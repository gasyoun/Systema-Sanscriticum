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ДДС" sheetId="1" r:id="rId5"/>
    <sheet state="visible" name="Баланс" sheetId="2" r:id="rId6"/>
    <sheet state="visible" name="ОПиУ" sheetId="3" r:id="rId7"/>
    <sheet state="visible" name="БДР-свод_БЕЗ НДС" sheetId="4" r:id="rId8"/>
    <sheet state="visible" name="Бюджет-продаж" sheetId="5" r:id="rId9"/>
    <sheet state="visible" name="Бюджет производства" sheetId="6" r:id="rId10"/>
    <sheet state="visible" name="Бюджет запасов ГП" sheetId="7" r:id="rId11"/>
    <sheet state="visible" name="Бюджет закупок" sheetId="8" r:id="rId12"/>
    <sheet state="visible" name="Исх.данные-произв" sheetId="9" r:id="rId13"/>
    <sheet state="visible" name="Бюджет коммер. расходов" sheetId="10" r:id="rId14"/>
    <sheet state="visible" name="Бюджет производственных расходо" sheetId="11" r:id="rId15"/>
    <sheet state="visible" name="Бюджет админ-управл.расходов" sheetId="12" r:id="rId16"/>
    <sheet state="visible" name="Инвест_бюджет" sheetId="13" r:id="rId17"/>
    <sheet state="visible" name="ФОТ" sheetId="14" r:id="rId18"/>
    <sheet state="visible" name="Спецодежда" sheetId="15" r:id="rId19"/>
    <sheet state="visible" name="Бюджет налогов" sheetId="16" r:id="rId20"/>
    <sheet state="visible" name="НФ" sheetId="17" r:id="rId21"/>
  </sheets>
  <definedNames>
    <definedName hidden="1" localSheetId="13" name="_xlnm._FilterDatabase">'ФОТ'!$A$3:$O$220</definedName>
  </definedNames>
  <calcPr/>
</workbook>
</file>

<file path=xl/sharedStrings.xml><?xml version="1.0" encoding="utf-8"?>
<sst xmlns="http://schemas.openxmlformats.org/spreadsheetml/2006/main" count="1481" uniqueCount="419">
  <si>
    <r>
      <rPr>
        <rFont val="Arial"/>
        <b/>
        <color theme="1"/>
        <sz val="14.0"/>
      </rPr>
      <t xml:space="preserve">Бюджет движения денежных средств 2021г. </t>
    </r>
    <r>
      <rPr>
        <rFont val="Arial"/>
        <b/>
        <color rgb="FFFF00FF"/>
        <sz val="14.0"/>
      </rPr>
      <t>Чтобы пользоваться таблицей, сделайте себе ее копию на свой гугл-диск</t>
    </r>
  </si>
  <si>
    <t>Наименование статьи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</si>
  <si>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</si>
  <si>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</si>
  <si>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</si>
  <si>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</si>
  <si>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</si>
  <si>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</si>
  <si>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</si>
  <si>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</si>
  <si>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</si>
  <si>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</si>
  <si>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</si>
  <si>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</si>
  <si>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ГОД</t>
  </si>
  <si>
    <t>Остаток денежных средств на начало периода</t>
  </si>
  <si>
    <t>Поступления по операционной деятельности</t>
  </si>
  <si>
    <t>Поступления от реализации товаров и услуг</t>
  </si>
  <si>
    <t>Поступления прочие</t>
  </si>
  <si>
    <t>Выплаты по операционной деятельности</t>
  </si>
  <si>
    <t>Выплата заработной платы</t>
  </si>
  <si>
    <t>Материальные расходы</t>
  </si>
  <si>
    <t>основные материалы</t>
  </si>
  <si>
    <t>вспомогательные материалы</t>
  </si>
  <si>
    <t>расходы на оборудование</t>
  </si>
  <si>
    <t>Приобретение товаров для перепродажи</t>
  </si>
  <si>
    <t>Содержание зданий</t>
  </si>
  <si>
    <t xml:space="preserve">аренда   </t>
  </si>
  <si>
    <t>коммунальные расходы</t>
  </si>
  <si>
    <t>охрана</t>
  </si>
  <si>
    <t>ремонт помещений</t>
  </si>
  <si>
    <t>Транспортные расходы</t>
  </si>
  <si>
    <t>ГСМ</t>
  </si>
  <si>
    <t>Ремонт и обслуживание транспорта</t>
  </si>
  <si>
    <t>страхование а/м</t>
  </si>
  <si>
    <t>прочие транспортные расходы</t>
  </si>
  <si>
    <t>Реклама  и продвижение</t>
  </si>
  <si>
    <t>Услуги связи</t>
  </si>
  <si>
    <t>телефон</t>
  </si>
  <si>
    <t>интернет</t>
  </si>
  <si>
    <t>Спецодежда</t>
  </si>
  <si>
    <t xml:space="preserve">Расходы на персонал </t>
  </si>
  <si>
    <t>обучение сотрудников</t>
  </si>
  <si>
    <t>подбор персонала</t>
  </si>
  <si>
    <t>прочие расходы на персонал</t>
  </si>
  <si>
    <t>Информационные и консультационные услуги</t>
  </si>
  <si>
    <t>поддержка ПО</t>
  </si>
  <si>
    <t>аутсорсинг</t>
  </si>
  <si>
    <t>услуги ИП</t>
  </si>
  <si>
    <t>прочие информационные услуги</t>
  </si>
  <si>
    <t xml:space="preserve">Расходы офиса </t>
  </si>
  <si>
    <t>хозяйственные расходы</t>
  </si>
  <si>
    <t>канцелярские товары</t>
  </si>
  <si>
    <t>содержание оргтехники</t>
  </si>
  <si>
    <t>Расходы на денежное обращение</t>
  </si>
  <si>
    <t>РКО</t>
  </si>
  <si>
    <t>прочие расходы на ден.обращение</t>
  </si>
  <si>
    <t>Прочие административные расходы</t>
  </si>
  <si>
    <t>командировки</t>
  </si>
  <si>
    <t>копировальные услуги</t>
  </si>
  <si>
    <t>представительские расходы</t>
  </si>
  <si>
    <t>почтовые расходы</t>
  </si>
  <si>
    <t>Налоги</t>
  </si>
  <si>
    <t>Отчисления от ФОТ</t>
  </si>
  <si>
    <t>НДФЛ</t>
  </si>
  <si>
    <t>УСН</t>
  </si>
  <si>
    <t>НДС</t>
  </si>
  <si>
    <t>Налог на прибыль</t>
  </si>
  <si>
    <t>Налог на имущество</t>
  </si>
  <si>
    <t>Транспортный налог</t>
  </si>
  <si>
    <t>ЕНВД</t>
  </si>
  <si>
    <t>Прочие налоги, сборы</t>
  </si>
  <si>
    <t>Штрафы, пени по налогам</t>
  </si>
  <si>
    <t>штрафы в налоговую</t>
  </si>
  <si>
    <t>штрафы в ГИБДД</t>
  </si>
  <si>
    <t>прочие штрафы</t>
  </si>
  <si>
    <t>Возврат денежных средств</t>
  </si>
  <si>
    <t>возврат  покупателям</t>
  </si>
  <si>
    <t>Денежный поток по операц. деятельности</t>
  </si>
  <si>
    <t>Поступления по инвестиционной деятельности</t>
  </si>
  <si>
    <t>Выбытие по инвестиционной деятельности</t>
  </si>
  <si>
    <t>Денежный поток по инвест. деятельности</t>
  </si>
  <si>
    <t>Поступления от финансовой деятельности</t>
  </si>
  <si>
    <t>Поступление банковских кредитов</t>
  </si>
  <si>
    <t>Поступление займов</t>
  </si>
  <si>
    <t>Возвраты выданных займов</t>
  </si>
  <si>
    <t>Поступление %% выданным займам</t>
  </si>
  <si>
    <t>Выбытия по финансовой деятельности</t>
  </si>
  <si>
    <t>Погашение банковских кредитов</t>
  </si>
  <si>
    <t>Погашение займов</t>
  </si>
  <si>
    <t>Погашение %% по банк. Кредитам (в т.ч. % за овердрафт)</t>
  </si>
  <si>
    <t>Предоставление займов</t>
  </si>
  <si>
    <t>Денежный поток по финансовой деятельности</t>
  </si>
  <si>
    <t>Прочие поступления</t>
  </si>
  <si>
    <t>Прочие выплаты</t>
  </si>
  <si>
    <t>Выплата дивидендов</t>
  </si>
  <si>
    <t>Денежный поток по прочим поступл. и выплатам</t>
  </si>
  <si>
    <t>Итого поступлений</t>
  </si>
  <si>
    <t>Итого выплат</t>
  </si>
  <si>
    <t>Чистый денежный поток</t>
  </si>
  <si>
    <t>Остаток денежных средств на конец периода</t>
  </si>
  <si>
    <t>Прогнозный баланс 2021</t>
  </si>
  <si>
    <t>Активы</t>
  </si>
  <si>
    <t>Внеоборотные активы</t>
  </si>
  <si>
    <t xml:space="preserve">Производственное оборудование </t>
  </si>
  <si>
    <t>Транспорт</t>
  </si>
  <si>
    <t>Мебель</t>
  </si>
  <si>
    <t>Оборотные активы</t>
  </si>
  <si>
    <t>Запасы материалов</t>
  </si>
  <si>
    <t>Запасы готовой продукции</t>
  </si>
  <si>
    <t>Денежные средства</t>
  </si>
  <si>
    <t>Дебиторская задолженность</t>
  </si>
  <si>
    <t>Прочие оборотные активы</t>
  </si>
  <si>
    <t>Пассивы</t>
  </si>
  <si>
    <t>Собственный капитал</t>
  </si>
  <si>
    <t>Уставный капитал</t>
  </si>
  <si>
    <t>Добавочный капитал</t>
  </si>
  <si>
    <t>Резервный капитал</t>
  </si>
  <si>
    <t>Нераспределенная прибыль</t>
  </si>
  <si>
    <t>Долгосрочные обязательства</t>
  </si>
  <si>
    <t>Задолженность по кредитам и займам</t>
  </si>
  <si>
    <t>Краткосрчные обязательства</t>
  </si>
  <si>
    <t>Кредиторская задолженность перед поставщиками</t>
  </si>
  <si>
    <t>Кредиторская задолженность перед покупателями</t>
  </si>
  <si>
    <t>Кредиторская задолженность перед сотрудниками</t>
  </si>
  <si>
    <t>Кредиторская задолженность по налогам и взносам</t>
  </si>
  <si>
    <t>контроль</t>
  </si>
  <si>
    <t>Прогнозный отчет о прибылях и убытках 2021 г.</t>
  </si>
  <si>
    <t>Доход</t>
  </si>
  <si>
    <t>Доход от продаж</t>
  </si>
  <si>
    <t>Расход</t>
  </si>
  <si>
    <t xml:space="preserve">сырье </t>
  </si>
  <si>
    <t>Маржинальная прибыль</t>
  </si>
  <si>
    <t>рентабельность маржинальной прибыли, %</t>
  </si>
  <si>
    <t>Общепроизводственные расходы</t>
  </si>
  <si>
    <t>Расходы на оплату труда</t>
  </si>
  <si>
    <t>Расходы на содержание оборудования</t>
  </si>
  <si>
    <t>Расходы на персонал</t>
  </si>
  <si>
    <t>Прочие производственые расходы расходы</t>
  </si>
  <si>
    <t>Валовая прибыль</t>
  </si>
  <si>
    <t>рентабельность валовой прибыли, %</t>
  </si>
  <si>
    <t>Административные расходы</t>
  </si>
  <si>
    <t>Информац. и консультац. услуги</t>
  </si>
  <si>
    <t>Налоги по операционной деятельности</t>
  </si>
  <si>
    <t>Коммерческие расходы</t>
  </si>
  <si>
    <t>Операционная прибыль</t>
  </si>
  <si>
    <t>рентабельность продаж, %</t>
  </si>
  <si>
    <t>Доход от финансовой деятельности</t>
  </si>
  <si>
    <t>Внереализационные доходы</t>
  </si>
  <si>
    <t>Амортизация</t>
  </si>
  <si>
    <t>Проценты по кредитам и вкладам</t>
  </si>
  <si>
    <t>Внереализационные расходы</t>
  </si>
  <si>
    <t>Чистая прибыль</t>
  </si>
  <si>
    <t>Корректировки</t>
  </si>
  <si>
    <t>убыток от списания ДЗ</t>
  </si>
  <si>
    <t>Чистая прибыль с учетом корректировок</t>
  </si>
  <si>
    <t>в % от дохода</t>
  </si>
  <si>
    <t>Распределение прибыли</t>
  </si>
  <si>
    <t>дивиденды</t>
  </si>
  <si>
    <t>Бюджет доходов и расходов 2021 г.</t>
  </si>
  <si>
    <t>Доходы от операционной деятельности</t>
  </si>
  <si>
    <t>Доход от продажи воды</t>
  </si>
  <si>
    <t>Расходы по операционной деятельности</t>
  </si>
  <si>
    <t>Расходы по продаже</t>
  </si>
  <si>
    <t>Производственная себестоимость продукции</t>
  </si>
  <si>
    <t>заработная плата</t>
  </si>
  <si>
    <t>отчисления с ФОТ</t>
  </si>
  <si>
    <t>Аренда</t>
  </si>
  <si>
    <t>Коммунальные расходы</t>
  </si>
  <si>
    <t>Охрана помещений</t>
  </si>
  <si>
    <t>Ремонт помещений</t>
  </si>
  <si>
    <t>Содержание транспорта</t>
  </si>
  <si>
    <t>Прочие транспортные расходы</t>
  </si>
  <si>
    <t>Обслуживание оборудования</t>
  </si>
  <si>
    <t>Ремонт оборудования</t>
  </si>
  <si>
    <t>Амортизация ОС и НМА</t>
  </si>
  <si>
    <t xml:space="preserve">Валовая прибыль </t>
  </si>
  <si>
    <t>амортизация ОС</t>
  </si>
  <si>
    <t>списание МПЗ</t>
  </si>
  <si>
    <t>охрана помещений</t>
  </si>
  <si>
    <t>инкассация</t>
  </si>
  <si>
    <t>Фиксированный платеж по ИП</t>
  </si>
  <si>
    <t>Прочие налоги и сборы</t>
  </si>
  <si>
    <t>Прибыль от операционной деятельности</t>
  </si>
  <si>
    <t>Доходы от прочих видов деятельности</t>
  </si>
  <si>
    <t>Расходы по прочим видам деятельности</t>
  </si>
  <si>
    <t>Прибыль от прочих видов деятельности</t>
  </si>
  <si>
    <t>Доходы от инвестиционной деятельности</t>
  </si>
  <si>
    <t>Расходы по инвестиционной деятельности</t>
  </si>
  <si>
    <t>Прибыль от инвестиционной деятельности</t>
  </si>
  <si>
    <t>Доходы от финансовой деятельности</t>
  </si>
  <si>
    <t>Расходы по финансовой деятельности</t>
  </si>
  <si>
    <t>Прибыль по финансовой деятельности</t>
  </si>
  <si>
    <t>штрафы, пени,неустойки полученные</t>
  </si>
  <si>
    <t>возмещение причиненных убытков</t>
  </si>
  <si>
    <t>прибыль прошлых лет, выявл. в отчетном году</t>
  </si>
  <si>
    <t>суммы КЗ с истекшим сроком давности</t>
  </si>
  <si>
    <t>штрафы, пени,неустойки уплаченные</t>
  </si>
  <si>
    <t>Прибыль от внереализационных операций</t>
  </si>
  <si>
    <t>Бюджет продаж 2021</t>
  </si>
  <si>
    <t>ШАГ № 1:ВВОД ИСХОДНОЙ ИНФОРМАЦИИ</t>
  </si>
  <si>
    <t>Ввести запланированные продажи ГП по направлениям, единицы</t>
  </si>
  <si>
    <t>Направление 1</t>
  </si>
  <si>
    <t>Продукт 1</t>
  </si>
  <si>
    <t>Продукт 2</t>
  </si>
  <si>
    <t>Продукт 3</t>
  </si>
  <si>
    <t>Продукт 4</t>
  </si>
  <si>
    <t>Продукт 5</t>
  </si>
  <si>
    <t>Продукт....</t>
  </si>
  <si>
    <t>Итого по направлению 1, единицы</t>
  </si>
  <si>
    <t>Направление 2</t>
  </si>
  <si>
    <t>Итого по направлению 2, единицы</t>
  </si>
  <si>
    <t>Итого запланированные продажи, единиц</t>
  </si>
  <si>
    <t>Ввести цены реализации,  руб / единица</t>
  </si>
  <si>
    <t>ШАГ № 2:РАСЧЕТНАЯ ЧАСТЬ ТАБЛИЦЫ</t>
  </si>
  <si>
    <t>Плановая реализация , тыс. руб.</t>
  </si>
  <si>
    <t>Итого по направлению 1, тыс.руб.</t>
  </si>
  <si>
    <t>Напарвление 2</t>
  </si>
  <si>
    <t>Итого по направлению 2, тыс.руб.</t>
  </si>
  <si>
    <t>Итого реализация, тыс.руб</t>
  </si>
  <si>
    <t>Поступления денежных средств от операционной деятельности</t>
  </si>
  <si>
    <t>Остаток задолженности на начало периода (дебиторская(+)/кредиторская (-))</t>
  </si>
  <si>
    <t>Поступления от операционной деятельности</t>
  </si>
  <si>
    <t>Итого поступлений от операционной деятельности, тыс.руб</t>
  </si>
  <si>
    <t>Остаток задолженности на конец периода (дебиторская(+)/кредиторская (-))</t>
  </si>
  <si>
    <t>Бюджет производства 2021</t>
  </si>
  <si>
    <t>Объем производства продукции</t>
  </si>
  <si>
    <t>Итого продукции, единицы</t>
  </si>
  <si>
    <t>Производственная мощность</t>
  </si>
  <si>
    <t>Итого производственная мощность, единицы</t>
  </si>
  <si>
    <t>Бюджет запасов готовой продукции 2021</t>
  </si>
  <si>
    <t>Объем запасов ГП на 01.01.2021</t>
  </si>
  <si>
    <t>Объем запасов ГП, единиц</t>
  </si>
  <si>
    <t>Себестоимость прдукции, руб. / единица</t>
  </si>
  <si>
    <t>Объем запасов ГП, тыс.руб.</t>
  </si>
  <si>
    <t>Итого объем запасов, тыс. руб.</t>
  </si>
  <si>
    <t>Бюджет закупок 2021 г.</t>
  </si>
  <si>
    <t>Наименование</t>
  </si>
  <si>
    <t>Расчет потребности в материалах для производства ( в натур.выражении)</t>
  </si>
  <si>
    <t>ед.изм.</t>
  </si>
  <si>
    <t>Основные материалы</t>
  </si>
  <si>
    <t>ОМ 1</t>
  </si>
  <si>
    <t>ОМ 2</t>
  </si>
  <si>
    <t>ОМ 3</t>
  </si>
  <si>
    <t>ОМ 4</t>
  </si>
  <si>
    <t>ОМ 5</t>
  </si>
  <si>
    <t>ОМ 6</t>
  </si>
  <si>
    <t>ОМ 7</t>
  </si>
  <si>
    <t>ОМ 8</t>
  </si>
  <si>
    <t>ОМ 9</t>
  </si>
  <si>
    <t>ОМ 10</t>
  </si>
  <si>
    <t>ОМ 11</t>
  </si>
  <si>
    <t>ОМ 12</t>
  </si>
  <si>
    <t>ОМ 13</t>
  </si>
  <si>
    <t>ОМ 14</t>
  </si>
  <si>
    <t>ОМ 15</t>
  </si>
  <si>
    <t>Вспомогательные материалы</t>
  </si>
  <si>
    <t>ВМ 1</t>
  </si>
  <si>
    <t>ВМ 2</t>
  </si>
  <si>
    <t>ВМ 3</t>
  </si>
  <si>
    <t>ВМ 4</t>
  </si>
  <si>
    <t>ВМ 5</t>
  </si>
  <si>
    <t>ВМ 6</t>
  </si>
  <si>
    <t>ВМ 7</t>
  </si>
  <si>
    <t>ВМ 8</t>
  </si>
  <si>
    <t>ВМ 9</t>
  </si>
  <si>
    <t>ВМ 10</t>
  </si>
  <si>
    <t>Нормативные запасы материалов на складе на конец периода (с учетом оборачиваемости)</t>
  </si>
  <si>
    <t>оборачиваемость (дни)</t>
  </si>
  <si>
    <t>остаток на конец 2020 г.</t>
  </si>
  <si>
    <t>Объем закупок сырья и материалов (в натур.выражении)</t>
  </si>
  <si>
    <t>Объем закупок сырья и материалов (в натур.выражении) - партия</t>
  </si>
  <si>
    <t>мин.партия закупки</t>
  </si>
  <si>
    <t>Объем закупок сырья и материалов, руб.</t>
  </si>
  <si>
    <t>стоимость, руб.</t>
  </si>
  <si>
    <t>Итого объем закупок, тыс.руб</t>
  </si>
  <si>
    <t>График расчета с поставщиками_2021 г.</t>
  </si>
  <si>
    <t>- 1 мес</t>
  </si>
  <si>
    <t>Основные материалы, тыс. руб.</t>
  </si>
  <si>
    <t>Расчет кредиторской и дебиторской задолженности 2021</t>
  </si>
  <si>
    <t>Объем ДЗ / КЗ на 01.01.2021</t>
  </si>
  <si>
    <t>Исходные данные для планирования</t>
  </si>
  <si>
    <t>Нормы расхода материалов на единицу</t>
  </si>
  <si>
    <t>Единица измерения</t>
  </si>
  <si>
    <t>Наименование продукции</t>
  </si>
  <si>
    <t>шт.</t>
  </si>
  <si>
    <t>Цены на ТМЦ, с НДС</t>
  </si>
  <si>
    <t>(цены на ресурсы без учета транспортных расходов)</t>
  </si>
  <si>
    <t>З/плата производственного персонала</t>
  </si>
  <si>
    <t>Численность производственного персонала, чел.</t>
  </si>
  <si>
    <t>Зарплата производственного персонала, руб / чел.</t>
  </si>
  <si>
    <t>Бюджет коммерческих расходов 2021</t>
  </si>
  <si>
    <t>Реклама сайта</t>
  </si>
  <si>
    <t>Таргетированная реклама</t>
  </si>
  <si>
    <t>Заходы на сайт</t>
  </si>
  <si>
    <t>Процент роста количества посещений</t>
  </si>
  <si>
    <t>Коэффициент сезонности</t>
  </si>
  <si>
    <t>Заходы на сайт с учетом коэффициента сезонности</t>
  </si>
  <si>
    <t>CV1 (конверсия сайта)</t>
  </si>
  <si>
    <t>лиды</t>
  </si>
  <si>
    <t>CV2 (конверсия в сделку)</t>
  </si>
  <si>
    <t>оформленные сделки</t>
  </si>
  <si>
    <t>CV3 (конверсия в оплату)</t>
  </si>
  <si>
    <t>Оплаченные заказы</t>
  </si>
  <si>
    <t>Стоимость лида</t>
  </si>
  <si>
    <t>Рекламная Кампания 2</t>
  </si>
  <si>
    <t>Рекламная Кампания 3</t>
  </si>
  <si>
    <t>ИТОГО расходы на рекламу</t>
  </si>
  <si>
    <t>БДДС / коммерческие расходы 2021 (с НДС)</t>
  </si>
  <si>
    <t>ИТОГО оплаты рекламы</t>
  </si>
  <si>
    <t>Бюджет производственных расходов 2021г</t>
  </si>
  <si>
    <t>Прямые материальные расходы</t>
  </si>
  <si>
    <t>Вспомогателные материалы</t>
  </si>
  <si>
    <t>помещение 1</t>
  </si>
  <si>
    <t>площадь</t>
  </si>
  <si>
    <t>стоимость 1 кв.м, руб.</t>
  </si>
  <si>
    <t>Амортизация ОС</t>
  </si>
  <si>
    <t>Списание МПЗ</t>
  </si>
  <si>
    <t>Итого админ-управл.расходов, тыс.руб</t>
  </si>
  <si>
    <t>БДДС / производственных расходов 2021 г.</t>
  </si>
  <si>
    <t>Охрана</t>
  </si>
  <si>
    <t>Транспортные услуги сторонние</t>
  </si>
  <si>
    <t>Бюджет административно-управленческих расходов 2021г</t>
  </si>
  <si>
    <t>Прочие трансп.расходы</t>
  </si>
  <si>
    <t>помещение 2</t>
  </si>
  <si>
    <t>площадь, кв.м</t>
  </si>
  <si>
    <t>Телефон</t>
  </si>
  <si>
    <t>Интернет</t>
  </si>
  <si>
    <t>Расходы офиса</t>
  </si>
  <si>
    <t>Хозяйственные расходы</t>
  </si>
  <si>
    <t>Канцелярские товары</t>
  </si>
  <si>
    <t>Содержание оргтехники</t>
  </si>
  <si>
    <t>Поддержка ПО</t>
  </si>
  <si>
    <t>Печатные издания</t>
  </si>
  <si>
    <t>Аутсорсинг</t>
  </si>
  <si>
    <t>Прочие информационные услуги</t>
  </si>
  <si>
    <t>Инкассация</t>
  </si>
  <si>
    <t>Прочие расходы на ден.обращение</t>
  </si>
  <si>
    <t>БДДС / административно-управленческих расходов 2021г</t>
  </si>
  <si>
    <t>Содержание а/м</t>
  </si>
  <si>
    <t>печатные издания</t>
  </si>
  <si>
    <t>Услуги ИП</t>
  </si>
  <si>
    <t>Ивестиционный бюджет 2021г (по начислению), тыс. руб.</t>
  </si>
  <si>
    <t>Ивестиционный бюджет 2015г (по оплате), тыс. руб.</t>
  </si>
  <si>
    <t>ОС</t>
  </si>
  <si>
    <t xml:space="preserve">ШАГ № 1:ВВОД ИСХОДНОЙ ИНФОРМАЦИИ </t>
  </si>
  <si>
    <t>МПЗ</t>
  </si>
  <si>
    <r>
      <rPr>
        <rFont val="Arial"/>
        <b/>
        <color theme="1"/>
        <sz val="9.0"/>
      </rPr>
      <t xml:space="preserve">Поступление </t>
    </r>
    <r>
      <rPr>
        <rFont val="Arial"/>
        <b/>
        <color rgb="FF000000"/>
        <sz val="9.0"/>
        <u/>
      </rPr>
      <t>Основных средств и Нематериальных активов</t>
    </r>
  </si>
  <si>
    <t>Здания и сооружения</t>
  </si>
  <si>
    <t>Производственное оборудование</t>
  </si>
  <si>
    <t>Основное производственное оборудование</t>
  </si>
  <si>
    <t>Вспомогательное производственное оборудование</t>
  </si>
  <si>
    <t>Транспортное оборудование</t>
  </si>
  <si>
    <t>Прочее оборудование</t>
  </si>
  <si>
    <t>Амортизация-данные для бюджета</t>
  </si>
  <si>
    <t>Для БДР</t>
  </si>
  <si>
    <t>Отдел 1</t>
  </si>
  <si>
    <t>Отдел 2</t>
  </si>
  <si>
    <t>Отдел 3</t>
  </si>
  <si>
    <t>Отдел 4</t>
  </si>
  <si>
    <t>Отдел 5</t>
  </si>
  <si>
    <t>Отдел 6</t>
  </si>
  <si>
    <t>Отдел 7</t>
  </si>
  <si>
    <t>Фонд оплаты труда Компании на 2021г</t>
  </si>
  <si>
    <t>Количество рабочих дней</t>
  </si>
  <si>
    <t>Подразделение / должность</t>
  </si>
  <si>
    <t>Бюджет расходов на спецодежду 2021г, тыс. руб.</t>
  </si>
  <si>
    <t>ИТОГО ПО Отделам</t>
  </si>
  <si>
    <t>Цены на спецодежду (с НДС), руб.</t>
  </si>
  <si>
    <t>---</t>
  </si>
  <si>
    <t>Нормативы выдачи спецодежды на 1 сотрудника в год</t>
  </si>
  <si>
    <t>Наименование должности /
наименование спецодежды</t>
  </si>
  <si>
    <t>Норма расхода, шт /год</t>
  </si>
  <si>
    <t>Численность по штатному расписанию</t>
  </si>
  <si>
    <t>Должность</t>
  </si>
  <si>
    <t>брюки рабочие утепленные</t>
  </si>
  <si>
    <t>БДДС по спецодежде 2021г, тыс. руб.</t>
  </si>
  <si>
    <t>Бюджет закупок в натуральном выражении</t>
  </si>
  <si>
    <t>Бюджет налогов и сборов 2021г</t>
  </si>
  <si>
    <t>Организация 1</t>
  </si>
  <si>
    <t>Организация 2</t>
  </si>
  <si>
    <t>Организация 3</t>
  </si>
  <si>
    <t>Организация 4</t>
  </si>
  <si>
    <t>Организация 5</t>
  </si>
  <si>
    <t>Организация 6</t>
  </si>
  <si>
    <t>Организация 7</t>
  </si>
  <si>
    <t>Организация 8</t>
  </si>
  <si>
    <t>Организация 9</t>
  </si>
  <si>
    <t>Организация 10</t>
  </si>
  <si>
    <t>Организация 11</t>
  </si>
  <si>
    <t>Организация 12</t>
  </si>
  <si>
    <t>Организация 13</t>
  </si>
  <si>
    <t>Организация 14</t>
  </si>
  <si>
    <t>Организация 15</t>
  </si>
  <si>
    <t>Организация 16</t>
  </si>
  <si>
    <t>Организация 17</t>
  </si>
  <si>
    <t>Организация 18</t>
  </si>
  <si>
    <t>Отчисления с ФОТ</t>
  </si>
  <si>
    <t>Фиксированные платежи ИП</t>
  </si>
  <si>
    <t>Итого налоговая нагрузка по операционной деятельности, тыс.руб</t>
  </si>
  <si>
    <t>Доход, тыс.руб.</t>
  </si>
  <si>
    <t>Налоговая нагрузка в % от дохода</t>
  </si>
  <si>
    <t>Бюджет налогов и сборов 2021г (оплата)</t>
  </si>
  <si>
    <t>Итого платежи по налогам, тыс.руб</t>
  </si>
  <si>
    <t>Предоставляем финансового директора, который выстроит 
управленческий учет и возьмет процессы под контроль</t>
  </si>
  <si>
    <t>Инструкция по этому шаблону</t>
  </si>
  <si>
    <t>Наши продукты</t>
  </si>
  <si>
    <t>Бесплатная онлайн-встреча с финансовым директором для предпринимателей</t>
  </si>
  <si>
    <t>Финансовая модель</t>
  </si>
  <si>
    <t>Онлайн-практикум Финучет на маркетплейсах</t>
  </si>
  <si>
    <t>Финучет за 10 часов для предпринимателей</t>
  </si>
  <si>
    <t>Мы в соцсетях</t>
  </si>
  <si>
    <t>YouTube</t>
  </si>
  <si>
    <t>Телеграм</t>
  </si>
  <si>
    <t>Вконтакте</t>
  </si>
  <si>
    <t>Наша полезная Газета</t>
  </si>
  <si>
    <t>Газета</t>
  </si>
  <si>
    <t>На связи</t>
  </si>
  <si>
    <t>8 800 551-85-81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</si>
</sst>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_-* #,##0.0_р_._-;\-* #,##0.0_р_._-;_-* &quot;-&quot;?_р_._-;_-@"/>
    <numFmt numFmtId="165" formatCode="mmm"/>
    <numFmt numFmtId="166" formatCode="#,##0.0"/>
    <numFmt numFmtId="167" formatCode="_-* #,##0.00000_р_._-;\-* #,##0.00000_р_._-;_-* &quot;-&quot;?_р_._-;_-@"/>
    <numFmt numFmtId="168" formatCode="_-* #,##0.0000_р_._-;\-* #,##0.0000_р_._-;_-* &quot;-&quot;?_р_._-;_-@"/>
    <numFmt numFmtId="169" formatCode="_-* #,##0.00_р_._-;\-* #,##0.00_р_._-;_-* &quot;-&quot;?_р_._-;_-@"/>
    <numFmt numFmtId="170" formatCode="_-* #,##0.00_р_._-;\-* #,##0.00_р_._-;_-* &quot;-&quot;??_р_._-;_-@"/>
    <numFmt numFmtId="171" formatCode="_-* #,##0.0000_р_._-;\-* #,##0.0000_р_._-;_-* &quot;-&quot;??_р_._-;_-@"/>
    <numFmt numFmtId="172" formatCode="_-* #,##0.0_р_._-;\-* #,##0.0_р_._-;_-* &quot;-&quot;??_р_._-;_-@"/>
    <numFmt numFmtId="173" formatCode="_-* #,##0_р_._-;\-* #,##0_р_._-;_-* &quot;-&quot;??_р_._-;_-@"/>
    <numFmt numFmtId="174" formatCode="_-* #,##0.000_р_._-;\-* #,##0.000_р_._-;_-* &quot;-&quot;???_р_._-;_-@"/>
    <numFmt numFmtId="175" formatCode="_-* #,##0.00_р_._-;\-* #,##0.00_р_._-;_-* &quot;-&quot;_р_._-;_-@"/>
    <numFmt numFmtId="176" formatCode="_-* #,##0.0_р_._-;\-* #,##0.0_р_._-;_-* &quot;-&quot;_р_._-;_-@"/>
    <numFmt numFmtId="177" formatCode="_-* #,##0.000_р_._-;\-* #,##0.000_р_._-;_-* &quot;-&quot;_р_._-;_-@"/>
    <numFmt numFmtId="178" formatCode="_-* #,##0.0000_р_._-;\-* #,##0.0000_р_._-;_-* &quot;-&quot;_р_._-;_-@"/>
    <numFmt numFmtId="179" formatCode="#,##0.0000_ ;\-#,##0.0000\ "/>
    <numFmt numFmtId="180" formatCode="_-* #,##0_р_._-;\-* #,##0_р_._-;_-* &quot;-&quot;_р_._-;_-@"/>
    <numFmt numFmtId="181" formatCode="0.0%"/>
  </numFmts>
  <fonts count="53">
    <font>
      <sz val="11.0"/>
      <color theme="1"/>
      <name val="Calibri"/>
      <scheme val="minor"/>
    </font>
    <font>
      <b/>
      <sz val="14.0"/>
      <color theme="1"/>
      <name val="Arial"/>
    </font>
    <font>
      <sz val="9.0"/>
      <color theme="1"/>
      <name val="Arial"/>
    </font>
    <font>
      <b/>
      <sz val="9.0"/>
      <color theme="1"/>
      <name val="Arial"/>
    </font>
    <font>
      <i/>
      <sz val="8.0"/>
      <color theme="1"/>
      <name val="Arial"/>
    </font>
    <font>
      <b/>
      <sz val="9.0"/>
      <color rgb="FFFF0000"/>
      <name val="Arial"/>
    </font>
    <font>
      <sz val="14.0"/>
      <color theme="1"/>
      <name val="Arial"/>
    </font>
    <font>
      <b/>
      <sz val="9.0"/>
      <color rgb="FFD9D9D9"/>
      <name val="Arial"/>
    </font>
    <font>
      <b/>
      <i/>
      <sz val="9.0"/>
      <color theme="1"/>
      <name val="Arial"/>
    </font>
    <font>
      <i/>
      <sz val="9.0"/>
      <color theme="1"/>
      <name val="Arial"/>
    </font>
    <font>
      <sz val="9.0"/>
      <color rgb="FF3333FF"/>
      <name val="Arial"/>
    </font>
    <font>
      <sz val="9.0"/>
      <color rgb="FF4F6128"/>
      <name val="Arial"/>
    </font>
    <font>
      <sz val="11.0"/>
      <color theme="1"/>
      <name val="Arial"/>
    </font>
    <font>
      <sz val="9.0"/>
      <color rgb="FFFF0000"/>
      <name val="Arial"/>
    </font>
    <font>
      <b/>
      <i/>
      <sz val="9.0"/>
      <color theme="0"/>
      <name val="Arial"/>
    </font>
    <font>
      <b/>
      <i/>
      <sz val="9.0"/>
      <color theme="1"/>
      <name val="Arimo"/>
    </font>
    <font>
      <sz val="9.0"/>
      <color theme="1"/>
      <name val="Arimo"/>
    </font>
    <font>
      <sz val="9.0"/>
      <color theme="1"/>
      <name val="Calibri"/>
      <scheme val="minor"/>
    </font>
    <font>
      <sz val="8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b/>
      <u/>
      <sz val="9.0"/>
      <color theme="1"/>
      <name val="Arial"/>
    </font>
    <font>
      <u/>
      <sz val="9.0"/>
      <color theme="1"/>
      <name val="Arial"/>
    </font>
    <font>
      <b/>
      <i/>
      <sz val="9.0"/>
      <color rgb="FFFF0000"/>
      <name val="Arial"/>
    </font>
    <font>
      <i/>
      <sz val="9.0"/>
      <color rgb="FF000000"/>
      <name val="Arial"/>
    </font>
    <font>
      <i/>
      <sz val="9.0"/>
      <color rgb="FFFF0000"/>
      <name val="Arial"/>
    </font>
    <font>
      <b/>
      <sz val="12.0"/>
      <color theme="1"/>
      <name val="Arial"/>
    </font>
    <font>
      <b/>
      <sz val="9.0"/>
      <color theme="1"/>
      <name val="Arimo"/>
    </font>
    <font>
      <sz val="9.0"/>
      <color rgb="FF000000"/>
      <name val="Arial"/>
    </font>
    <font>
      <b/>
      <sz val="9.0"/>
      <color rgb="FFBFBFBF"/>
      <name val="Arial"/>
    </font>
    <font>
      <b/>
      <sz val="11.0"/>
      <color theme="1"/>
      <name val="Calibri"/>
      <scheme val="minor"/>
    </font>
    <font>
      <b/>
      <sz val="9.0"/>
      <color rgb="FF3333FF"/>
      <name val="Arial"/>
    </font>
    <font>
      <color theme="1"/>
      <name val="Arial"/>
    </font>
    <font>
      <sz val="14.0"/>
      <color rgb="FF434343"/>
      <name val="Calibri"/>
      <scheme val="minor"/>
    </font>
    <font>
      <sz val="14.0"/>
      <color theme="1"/>
      <name val="Source Sans Pro"/>
    </font>
    <font>
      <u/>
      <sz val="18.0"/>
      <color rgb="FF1155CC"/>
      <name val="Source Sans Pro"/>
    </font>
    <font>
      <u/>
      <sz val="18.0"/>
      <color rgb="FF0000FF"/>
      <name val="Source Sans Pro"/>
    </font>
    <font>
      <u/>
      <sz val="14.0"/>
      <color rgb="FF1155CC"/>
      <name val="Source Sans Pro"/>
    </font>
    <font>
      <b/>
      <sz val="18.0"/>
      <color rgb="FF000000"/>
      <name val="Source Sans Pro"/>
    </font>
    <font/>
    <font>
      <u/>
      <sz val="14.0"/>
      <color rgb="FF1155CC"/>
      <name val="Source Sans Pro"/>
    </font>
    <font>
      <u/>
      <sz val="14.0"/>
      <color rgb="FF1155CC"/>
      <name val="Source Sans Pro"/>
    </font>
    <font>
      <u/>
      <sz val="14.0"/>
      <color rgb="FF1155CC"/>
      <name val="Source Sans Pro"/>
    </font>
    <font>
      <b/>
      <sz val="10.0"/>
      <color theme="1"/>
      <name val="Source Sans Pro"/>
    </font>
    <font>
      <sz val="15.0"/>
      <color rgb="FF000000"/>
      <name val="Source Sans Pro"/>
    </font>
    <font>
      <u/>
      <sz val="15.0"/>
      <color rgb="FF0000FF"/>
      <name val="Source Sans Pro"/>
    </font>
    <font>
      <u/>
      <sz val="15.0"/>
      <color rgb="FF0000FF"/>
      <name val="Source Sans Pro"/>
    </font>
    <font>
      <u/>
      <sz val="15.0"/>
      <color rgb="FF0000FF"/>
      <name val="Source Sans Pro"/>
    </font>
    <font>
      <u/>
      <sz val="14.0"/>
      <color rgb="FF1155CC"/>
      <name val="Source Sans Pro"/>
    </font>
    <font>
      <u/>
      <sz val="14.0"/>
      <color rgb="FF0000FF"/>
      <name val="Source Sans Pro"/>
    </font>
    <font>
      <u/>
      <sz val="14.0"/>
      <color rgb="FF1155CC"/>
      <name val="Source Sans Pro"/>
    </font>
    <font>
      <u/>
      <sz val="14.0"/>
      <color rgb="FF1155CC"/>
      <name val="Source Sans Pro"/>
    </font>
    <font>
      <sz val="14.0"/>
      <color rgb="FF000000"/>
      <name val="Source Sans Pro"/>
    </font>
  </fonts>
  <fills count="17">
    <fill>
      <patternFill patternType="none"/>
    </fill>
    <fill>
      <patternFill patternType="lightGray"/>
    </fill>
    <fill>
      <patternFill patternType="solid">
        <fgColor rgb="FFFFCC00"/>
        <bgColor rgb="FFFFCC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FFCC"/>
        <bgColor rgb="FFFFFFCC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FFF2CC"/>
        <bgColor rgb="FFFFF2CC"/>
      </patternFill>
    </fill>
  </fills>
  <borders count="16">
    <border/>
    <border>
      <left style="dotted">
        <color rgb="FF000000"/>
      </left>
      <right style="dotted">
        <color rgb="FF000000"/>
      </right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 style="thin">
        <color rgb="FFF3F3F3"/>
      </left>
      <top style="thin">
        <color rgb="FFF3F3F3"/>
      </top>
    </border>
    <border>
      <top style="thin">
        <color rgb="FFF3F3F3"/>
      </top>
    </border>
    <border>
      <right style="thin">
        <color rgb="FFF3F3F3"/>
      </right>
      <top style="thin">
        <color rgb="FFF3F3F3"/>
      </top>
    </border>
    <border>
      <left style="thin">
        <color rgb="FFF3F3F3"/>
      </left>
      <bottom style="thin">
        <color rgb="FFF3F3F3"/>
      </bottom>
    </border>
    <border>
      <bottom style="thin">
        <color rgb="FFF3F3F3"/>
      </bottom>
    </border>
    <border>
      <right style="thin">
        <color rgb="FFF3F3F3"/>
      </right>
      <bottom style="thin">
        <color rgb="FFF3F3F3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2" fontId="3" numFmtId="0" xfId="0" applyAlignment="1" applyFill="1" applyFont="1">
      <alignment horizontal="center" shrinkToFit="0" vertical="center" wrapText="1"/>
    </xf>
    <xf borderId="0" fillId="3" fontId="3" numFmtId="0" xfId="0" applyFill="1" applyFont="1"/>
    <xf borderId="0" fillId="4" fontId="3" numFmtId="164" xfId="0" applyFill="1" applyFont="1" applyNumberFormat="1"/>
    <xf borderId="0" fillId="3" fontId="3" numFmtId="164" xfId="0" applyFont="1" applyNumberFormat="1"/>
    <xf borderId="0" fillId="0" fontId="3" numFmtId="0" xfId="0" applyFont="1"/>
    <xf borderId="0" fillId="5" fontId="3" numFmtId="0" xfId="0" applyFill="1" applyFont="1"/>
    <xf borderId="0" fillId="5" fontId="3" numFmtId="164" xfId="0" applyFont="1" applyNumberFormat="1"/>
    <xf borderId="0" fillId="0" fontId="3" numFmtId="164" xfId="0" applyFont="1" applyNumberFormat="1"/>
    <xf borderId="0" fillId="0" fontId="2" numFmtId="0" xfId="0" applyAlignment="1" applyFont="1">
      <alignment horizontal="left"/>
    </xf>
    <xf borderId="0" fillId="0" fontId="2" numFmtId="164" xfId="0" applyFont="1" applyNumberFormat="1"/>
    <xf borderId="0" fillId="0" fontId="4" numFmtId="164" xfId="0" applyFont="1" applyNumberFormat="1"/>
    <xf borderId="0" fillId="0" fontId="5" numFmtId="164" xfId="0" applyFont="1" applyNumberFormat="1"/>
    <xf borderId="0" fillId="6" fontId="2" numFmtId="164" xfId="0" applyFill="1" applyFont="1" applyNumberFormat="1"/>
    <xf borderId="0" fillId="2" fontId="3" numFmtId="0" xfId="0" applyAlignment="1" applyFont="1">
      <alignment horizontal="left" shrinkToFit="0" vertical="center" wrapText="1"/>
    </xf>
    <xf borderId="0" fillId="2" fontId="3" numFmtId="164" xfId="0" applyAlignment="1" applyFont="1" applyNumberFormat="1">
      <alignment horizontal="center" shrinkToFit="0" vertical="center" wrapText="1"/>
    </xf>
    <xf borderId="0" fillId="3" fontId="3" numFmtId="0" xfId="0" applyAlignment="1" applyFont="1">
      <alignment horizontal="right"/>
    </xf>
    <xf borderId="0" fillId="0" fontId="1" numFmtId="0" xfId="0" applyAlignment="1" applyFont="1">
      <alignment horizontal="center" readingOrder="0" vertical="center"/>
    </xf>
    <xf borderId="0" fillId="0" fontId="6" numFmtId="0" xfId="0" applyFont="1"/>
    <xf borderId="0" fillId="7" fontId="3" numFmtId="165" xfId="0" applyAlignment="1" applyFill="1" applyFont="1" applyNumberFormat="1">
      <alignment horizontal="center" vertical="center"/>
    </xf>
    <xf borderId="0" fillId="3" fontId="3" numFmtId="0" xfId="0" applyAlignment="1" applyFont="1">
      <alignment readingOrder="0" vertical="center"/>
    </xf>
    <xf borderId="0" fillId="3" fontId="3" numFmtId="16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vertical="center"/>
    </xf>
    <xf borderId="0" fillId="3" fontId="7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7" fontId="3" numFmtId="165" xfId="0" applyAlignment="1" applyFont="1" applyNumberFormat="1">
      <alignment horizontal="center" shrinkToFit="0" vertical="center" wrapText="1"/>
    </xf>
    <xf borderId="0" fillId="3" fontId="3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7" fontId="8" numFmtId="0" xfId="0" applyAlignment="1" applyFont="1">
      <alignment readingOrder="0" vertical="center"/>
    </xf>
    <xf borderId="0" fillId="7" fontId="8" numFmtId="164" xfId="0" applyAlignment="1" applyFont="1" applyNumberFormat="1">
      <alignment vertical="center"/>
    </xf>
    <xf borderId="0" fillId="7" fontId="9" numFmtId="0" xfId="0" applyAlignment="1" applyFont="1">
      <alignment horizontal="right" readingOrder="0" vertical="center"/>
    </xf>
    <xf borderId="0" fillId="7" fontId="9" numFmtId="9" xfId="0" applyAlignment="1" applyFont="1" applyNumberFormat="1">
      <alignment horizontal="right" vertical="center"/>
    </xf>
    <xf borderId="0" fillId="0" fontId="3" numFmtId="0" xfId="0" applyAlignment="1" applyFont="1">
      <alignment vertical="bottom"/>
    </xf>
    <xf borderId="0" fillId="7" fontId="9" numFmtId="0" xfId="0" applyAlignment="1" applyFont="1">
      <alignment horizontal="right" vertical="center"/>
    </xf>
    <xf borderId="0" fillId="7" fontId="8" numFmtId="0" xfId="0" applyAlignment="1" applyFont="1">
      <alignment vertical="center"/>
    </xf>
    <xf borderId="0" fillId="0" fontId="10" numFmtId="0" xfId="0" applyAlignment="1" applyFont="1">
      <alignment horizontal="right" vertical="center"/>
    </xf>
    <xf borderId="0" fillId="0" fontId="11" numFmtId="166" xfId="0" applyAlignment="1" applyFont="1" applyNumberFormat="1">
      <alignment horizontal="center"/>
    </xf>
    <xf borderId="0" fillId="0" fontId="12" numFmtId="0" xfId="0" applyFont="1"/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2" numFmtId="167" xfId="0" applyFont="1" applyNumberFormat="1"/>
    <xf borderId="0" fillId="0" fontId="9" numFmtId="0" xfId="0" applyAlignment="1" applyFont="1">
      <alignment horizontal="left"/>
    </xf>
    <xf borderId="0" fillId="0" fontId="9" numFmtId="164" xfId="0" applyFont="1" applyNumberFormat="1"/>
    <xf borderId="0" fillId="0" fontId="9" numFmtId="0" xfId="0" applyFont="1"/>
    <xf borderId="0" fillId="0" fontId="9" numFmtId="0" xfId="0" applyAlignment="1" applyFont="1">
      <alignment horizontal="left" readingOrder="0"/>
    </xf>
    <xf borderId="0" fillId="3" fontId="2" numFmtId="0" xfId="0" applyAlignment="1" applyFont="1">
      <alignment horizontal="right"/>
    </xf>
    <xf borderId="0" fillId="3" fontId="2" numFmtId="9" xfId="0" applyAlignment="1" applyFont="1" applyNumberFormat="1">
      <alignment horizontal="right"/>
    </xf>
    <xf borderId="0" fillId="7" fontId="8" numFmtId="0" xfId="0" applyFont="1"/>
    <xf borderId="0" fillId="7" fontId="8" numFmtId="164" xfId="0" applyFont="1" applyNumberFormat="1"/>
    <xf borderId="0" fillId="0" fontId="8" numFmtId="0" xfId="0" applyFont="1"/>
    <xf borderId="0" fillId="7" fontId="9" numFmtId="0" xfId="0" applyAlignment="1" applyFont="1">
      <alignment horizontal="right"/>
    </xf>
    <xf borderId="0" fillId="7" fontId="9" numFmtId="9" xfId="0" applyAlignment="1" applyFont="1" applyNumberFormat="1">
      <alignment horizontal="right"/>
    </xf>
    <xf borderId="0" fillId="0" fontId="2" numFmtId="168" xfId="0" applyFont="1" applyNumberFormat="1"/>
    <xf borderId="0" fillId="7" fontId="8" numFmtId="168" xfId="0" applyFont="1" applyNumberFormat="1"/>
    <xf borderId="0" fillId="7" fontId="9" numFmtId="10" xfId="0" applyAlignment="1" applyFont="1" applyNumberFormat="1">
      <alignment horizontal="right"/>
    </xf>
    <xf borderId="0" fillId="7" fontId="8" numFmtId="169" xfId="0" applyFont="1" applyNumberFormat="1"/>
    <xf borderId="1" fillId="0" fontId="10" numFmtId="0" xfId="0" applyAlignment="1" applyBorder="1" applyFont="1">
      <alignment horizontal="right" vertical="center"/>
    </xf>
    <xf borderId="0" fillId="0" fontId="10" numFmtId="164" xfId="0" applyFont="1" applyNumberFormat="1"/>
    <xf borderId="0" fillId="0" fontId="13" numFmtId="0" xfId="0" applyFont="1"/>
    <xf borderId="0" fillId="0" fontId="13" numFmtId="170" xfId="0" applyFont="1" applyNumberFormat="1"/>
    <xf borderId="0" fillId="0" fontId="13" numFmtId="171" xfId="0" applyFont="1" applyNumberFormat="1"/>
    <xf borderId="0" fillId="8" fontId="3" numFmtId="0" xfId="0" applyAlignment="1" applyFill="1" applyFont="1">
      <alignment horizontal="center" shrinkToFit="0" vertical="center" wrapText="1"/>
    </xf>
    <xf borderId="0" fillId="8" fontId="2" numFmtId="0" xfId="0" applyAlignment="1" applyFont="1">
      <alignment horizontal="center"/>
    </xf>
    <xf borderId="0" fillId="9" fontId="8" numFmtId="0" xfId="0" applyFill="1" applyFont="1"/>
    <xf borderId="0" fillId="9" fontId="2" numFmtId="0" xfId="0" applyAlignment="1" applyFont="1">
      <alignment horizontal="center"/>
    </xf>
    <xf borderId="0" fillId="0" fontId="14" numFmtId="172" xfId="0" applyFont="1" applyNumberFormat="1"/>
    <xf borderId="0" fillId="0" fontId="2" numFmtId="0" xfId="0" applyAlignment="1" applyFont="1">
      <alignment horizontal="left" readingOrder="0"/>
    </xf>
    <xf borderId="0" fillId="6" fontId="2" numFmtId="172" xfId="0" applyAlignment="1" applyFont="1" applyNumberFormat="1">
      <alignment horizontal="center"/>
    </xf>
    <xf borderId="0" fillId="0" fontId="8" numFmtId="172" xfId="0" applyFont="1" applyNumberFormat="1"/>
    <xf borderId="0" fillId="0" fontId="3" numFmtId="0" xfId="0" applyAlignment="1" applyFont="1">
      <alignment readingOrder="0"/>
    </xf>
    <xf borderId="0" fillId="0" fontId="3" numFmtId="172" xfId="0" applyFont="1" applyNumberFormat="1"/>
    <xf borderId="0" fillId="0" fontId="2" numFmtId="0" xfId="0" applyAlignment="1" applyFont="1">
      <alignment shrinkToFit="0" wrapText="1"/>
    </xf>
    <xf borderId="0" fillId="0" fontId="2" numFmtId="2" xfId="0" applyFont="1" applyNumberFormat="1"/>
    <xf borderId="0" fillId="0" fontId="2" numFmtId="170" xfId="0" applyAlignment="1" applyFont="1" applyNumberFormat="1">
      <alignment horizontal="center"/>
    </xf>
    <xf borderId="0" fillId="0" fontId="8" numFmtId="170" xfId="0" applyFont="1" applyNumberFormat="1"/>
    <xf borderId="0" fillId="10" fontId="15" numFmtId="0" xfId="0" applyFill="1" applyFont="1"/>
    <xf borderId="0" fillId="10" fontId="15" numFmtId="172" xfId="0" applyFont="1" applyNumberFormat="1"/>
    <xf borderId="0" fillId="0" fontId="16" numFmtId="0" xfId="0" applyFont="1"/>
    <xf borderId="0" fillId="0" fontId="16" numFmtId="0" xfId="0" applyAlignment="1" applyFont="1">
      <alignment shrinkToFit="0" wrapText="1"/>
    </xf>
    <xf borderId="0" fillId="0" fontId="16" numFmtId="2" xfId="0" applyFont="1" applyNumberFormat="1"/>
    <xf borderId="0" fillId="0" fontId="17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8" numFmtId="0" xfId="0" applyAlignment="1" applyFont="1">
      <alignment shrinkToFit="0" vertical="center" wrapText="1"/>
    </xf>
    <xf borderId="0" fillId="0" fontId="8" numFmtId="172" xfId="0" applyAlignment="1" applyFont="1" applyNumberFormat="1">
      <alignment shrinkToFit="0" vertical="center" wrapText="1"/>
    </xf>
    <xf borderId="0" fillId="0" fontId="9" numFmtId="172" xfId="0" applyAlignment="1" applyFont="1" applyNumberFormat="1">
      <alignment vertical="center"/>
    </xf>
    <xf borderId="0" fillId="10" fontId="9" numFmtId="172" xfId="0" applyAlignment="1" applyFont="1" applyNumberFormat="1">
      <alignment vertical="center"/>
    </xf>
    <xf borderId="0" fillId="0" fontId="3" numFmtId="172" xfId="0" applyAlignment="1" applyFont="1" applyNumberFormat="1">
      <alignment vertical="center"/>
    </xf>
    <xf borderId="0" fillId="10" fontId="15" numFmtId="172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7" fontId="3" numFmtId="0" xfId="0" applyAlignment="1" applyFont="1">
      <alignment horizontal="center" readingOrder="0" shrinkToFit="0" vertical="center" wrapText="1"/>
    </xf>
    <xf borderId="0" fillId="0" fontId="2" numFmtId="172" xfId="0" applyAlignment="1" applyFont="1" applyNumberFormat="1">
      <alignment horizontal="center"/>
    </xf>
    <xf borderId="0" fillId="11" fontId="3" numFmtId="0" xfId="0" applyAlignment="1" applyFill="1" applyFont="1">
      <alignment readingOrder="0"/>
    </xf>
    <xf borderId="0" fillId="11" fontId="3" numFmtId="172" xfId="0" applyFont="1" applyNumberFormat="1"/>
    <xf borderId="0" fillId="11" fontId="8" numFmtId="172" xfId="0" applyFont="1" applyNumberFormat="1"/>
    <xf borderId="0" fillId="0" fontId="2" numFmtId="172" xfId="0" applyFont="1" applyNumberFormat="1"/>
    <xf borderId="0" fillId="0" fontId="18" numFmtId="0" xfId="0" applyAlignment="1" applyFont="1">
      <alignment horizontal="center"/>
    </xf>
    <xf borderId="0" fillId="8" fontId="3" numFmtId="0" xfId="0" applyAlignment="1" applyFont="1">
      <alignment horizontal="center" shrinkToFit="0" wrapText="1"/>
    </xf>
    <xf borderId="0" fillId="9" fontId="8" numFmtId="0" xfId="0" applyAlignment="1" applyFont="1">
      <alignment shrinkToFit="0" wrapText="1"/>
    </xf>
    <xf borderId="0" fillId="9" fontId="8" numFmtId="0" xfId="0" applyAlignment="1" applyFont="1">
      <alignment horizontal="center" vertical="center"/>
    </xf>
    <xf borderId="0" fillId="9" fontId="2" numFmtId="0" xfId="0" applyAlignment="1" applyFont="1">
      <alignment horizontal="center" vertical="center"/>
    </xf>
    <xf borderId="0" fillId="0" fontId="8" numFmtId="0" xfId="0" applyAlignment="1" applyFont="1">
      <alignment horizontal="left"/>
    </xf>
    <xf borderId="0" fillId="0" fontId="2" numFmtId="172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9" fontId="8" numFmtId="0" xfId="0" applyAlignment="1" applyFont="1">
      <alignment horizontal="center" shrinkToFit="0" vertical="center" wrapText="1"/>
    </xf>
    <xf borderId="0" fillId="0" fontId="9" numFmtId="173" xfId="0" applyAlignment="1" applyFont="1" applyNumberFormat="1">
      <alignment horizontal="center" vertical="center"/>
    </xf>
    <xf borderId="0" fillId="0" fontId="9" numFmtId="172" xfId="0" applyAlignment="1" applyFont="1" applyNumberFormat="1">
      <alignment horizontal="center" vertical="center"/>
    </xf>
    <xf borderId="0" fillId="6" fontId="2" numFmtId="173" xfId="0" applyAlignment="1" applyFont="1" applyNumberFormat="1">
      <alignment horizontal="center" vertical="center"/>
    </xf>
    <xf borderId="0" fillId="0" fontId="2" numFmtId="173" xfId="0" applyAlignment="1" applyFont="1" applyNumberFormat="1">
      <alignment horizontal="center" vertical="center"/>
    </xf>
    <xf borderId="0" fillId="9" fontId="8" numFmtId="0" xfId="0" applyAlignment="1" applyFont="1">
      <alignment horizontal="center" readingOrder="0" vertical="center"/>
    </xf>
    <xf borderId="0" fillId="9" fontId="8" numFmtId="0" xfId="0" applyAlignment="1" applyFont="1">
      <alignment horizontal="center" readingOrder="0" shrinkToFit="0" vertical="center" wrapText="1"/>
    </xf>
    <xf borderId="0" fillId="9" fontId="8" numFmtId="172" xfId="0" applyAlignment="1" applyFont="1" applyNumberFormat="1">
      <alignment horizontal="center"/>
    </xf>
    <xf borderId="0" fillId="0" fontId="8" numFmtId="0" xfId="0" applyAlignment="1" applyFont="1">
      <alignment horizontal="left" readingOrder="0"/>
    </xf>
    <xf borderId="0" fillId="0" fontId="8" numFmtId="172" xfId="0" applyAlignment="1" applyFont="1" applyNumberFormat="1">
      <alignment horizontal="center" readingOrder="0"/>
    </xf>
    <xf borderId="0" fillId="0" fontId="8" numFmtId="172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center" vertical="center"/>
    </xf>
    <xf borderId="0" fillId="0" fontId="2" numFmtId="174" xfId="0" applyFont="1" applyNumberFormat="1"/>
    <xf borderId="0" fillId="10" fontId="3" numFmtId="0" xfId="0" applyAlignment="1" applyFont="1">
      <alignment horizontal="center" vertical="center"/>
    </xf>
    <xf borderId="0" fillId="9" fontId="3" numFmtId="0" xfId="0" applyAlignment="1" applyFont="1">
      <alignment horizontal="center" shrinkToFit="0" vertical="center" wrapText="1"/>
    </xf>
    <xf borderId="0" fillId="9" fontId="3" numFmtId="0" xfId="0" applyAlignment="1" applyFont="1">
      <alignment horizontal="center"/>
    </xf>
    <xf borderId="0" fillId="10" fontId="8" numFmtId="0" xfId="0" applyAlignment="1" applyFont="1">
      <alignment vertical="center"/>
    </xf>
    <xf borderId="0" fillId="0" fontId="2" numFmtId="0" xfId="0" applyAlignment="1" applyFont="1">
      <alignment horizontal="center" readingOrder="0"/>
    </xf>
    <xf borderId="0" fillId="6" fontId="3" numFmtId="175" xfId="0" applyFont="1" applyNumberFormat="1"/>
    <xf borderId="0" fillId="6" fontId="3" numFmtId="176" xfId="0" applyFont="1" applyNumberFormat="1"/>
    <xf borderId="0" fillId="6" fontId="3" numFmtId="177" xfId="0" applyFont="1" applyNumberFormat="1"/>
    <xf borderId="0" fillId="6" fontId="19" numFmtId="178" xfId="0" applyFont="1" applyNumberFormat="1"/>
    <xf borderId="0" fillId="6" fontId="20" numFmtId="179" xfId="0" applyFont="1" applyNumberFormat="1"/>
    <xf borderId="0" fillId="6" fontId="21" numFmtId="177" xfId="0" applyFont="1" applyNumberFormat="1"/>
    <xf borderId="0" fillId="0" fontId="22" numFmtId="0" xfId="0" applyFont="1"/>
    <xf borderId="0" fillId="6" fontId="3" numFmtId="178" xfId="0" applyFont="1" applyNumberFormat="1"/>
    <xf borderId="0" fillId="0" fontId="3" numFmtId="178" xfId="0" applyFont="1" applyNumberFormat="1"/>
    <xf borderId="0" fillId="0" fontId="3" numFmtId="177" xfId="0" applyFont="1" applyNumberFormat="1"/>
    <xf borderId="0" fillId="12" fontId="1" numFmtId="0" xfId="0" applyAlignment="1" applyFill="1" applyFont="1">
      <alignment horizontal="center"/>
    </xf>
    <xf borderId="0" fillId="0" fontId="1" numFmtId="0" xfId="0" applyFont="1"/>
    <xf borderId="0" fillId="9" fontId="3" numFmtId="0" xfId="0" applyAlignment="1" applyFont="1">
      <alignment horizontal="center" vertical="center"/>
    </xf>
    <xf borderId="0" fillId="10" fontId="3" numFmtId="0" xfId="0" applyAlignment="1" applyFont="1">
      <alignment vertical="center"/>
    </xf>
    <xf borderId="0" fillId="10" fontId="2" numFmtId="0" xfId="0" applyAlignment="1" applyFont="1">
      <alignment vertical="center"/>
    </xf>
    <xf borderId="0" fillId="6" fontId="2" numFmtId="175" xfId="0" applyFont="1" applyNumberFormat="1"/>
    <xf borderId="0" fillId="0" fontId="2" numFmtId="17" xfId="0" applyFont="1" applyNumberFormat="1"/>
    <xf borderId="0" fillId="0" fontId="2" numFmtId="180" xfId="0" applyFont="1" applyNumberFormat="1"/>
    <xf borderId="0" fillId="6" fontId="2" numFmtId="176" xfId="0" applyFont="1" applyNumberFormat="1"/>
    <xf borderId="0" fillId="0" fontId="9" numFmtId="0" xfId="0" applyAlignment="1" applyFont="1">
      <alignment horizontal="right"/>
    </xf>
    <xf borderId="0" fillId="0" fontId="9" numFmtId="9" xfId="0" applyAlignment="1" applyFont="1" applyNumberFormat="1">
      <alignment horizontal="right"/>
    </xf>
    <xf borderId="0" fillId="9" fontId="8" numFmtId="173" xfId="0" applyAlignment="1" applyFont="1" applyNumberFormat="1">
      <alignment horizontal="center"/>
    </xf>
    <xf borderId="0" fillId="6" fontId="2" numFmtId="173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172" xfId="0" applyAlignment="1" applyFont="1" applyNumberFormat="1">
      <alignment horizontal="center"/>
    </xf>
    <xf borderId="0" fillId="6" fontId="9" numFmtId="172" xfId="0" applyAlignment="1" applyFont="1" applyNumberFormat="1">
      <alignment horizontal="center"/>
    </xf>
    <xf borderId="0" fillId="9" fontId="8" numFmtId="0" xfId="0" applyAlignment="1" applyFont="1">
      <alignment readingOrder="0"/>
    </xf>
    <xf borderId="0" fillId="9" fontId="23" numFmtId="0" xfId="0" applyAlignment="1" applyFont="1">
      <alignment readingOrder="0"/>
    </xf>
    <xf borderId="0" fillId="10" fontId="8" numFmtId="172" xfId="0" applyFont="1" applyNumberFormat="1"/>
    <xf borderId="0" fillId="0" fontId="24" numFmtId="0" xfId="0" applyAlignment="1" applyFont="1">
      <alignment horizontal="left"/>
    </xf>
    <xf borderId="0" fillId="6" fontId="9" numFmtId="172" xfId="0" applyFont="1" applyNumberFormat="1"/>
    <xf borderId="0" fillId="6" fontId="2" numFmtId="172" xfId="0" applyFont="1" applyNumberFormat="1"/>
    <xf borderId="0" fillId="0" fontId="9" numFmtId="172" xfId="0" applyFont="1" applyNumberFormat="1"/>
    <xf borderId="0" fillId="0" fontId="24" numFmtId="0" xfId="0" applyAlignment="1" applyFont="1">
      <alignment horizontal="right"/>
    </xf>
    <xf borderId="0" fillId="0" fontId="25" numFmtId="0" xfId="0" applyAlignment="1" applyFont="1">
      <alignment horizontal="left"/>
    </xf>
    <xf borderId="0" fillId="10" fontId="8" numFmtId="0" xfId="0" applyFont="1"/>
    <xf borderId="0" fillId="9" fontId="8" numFmtId="172" xfId="0" applyAlignment="1" applyFont="1" applyNumberFormat="1">
      <alignment horizontal="center" shrinkToFit="0" wrapText="1"/>
    </xf>
    <xf borderId="0" fillId="0" fontId="23" numFmtId="0" xfId="0" applyFont="1"/>
    <xf borderId="0" fillId="9" fontId="8" numFmtId="0" xfId="0" applyAlignment="1" applyFont="1">
      <alignment vertical="bottom"/>
    </xf>
    <xf borderId="0" fillId="9" fontId="8" numFmtId="164" xfId="0" applyAlignment="1" applyFont="1" applyNumberFormat="1">
      <alignment horizontal="center"/>
    </xf>
    <xf borderId="0" fillId="9" fontId="8" numFmtId="164" xfId="0" applyAlignment="1" applyFont="1" applyNumberFormat="1">
      <alignment horizontal="center" shrinkToFit="0" wrapText="1"/>
    </xf>
    <xf borderId="0" fillId="0" fontId="25" numFmtId="164" xfId="0" applyFont="1" applyNumberFormat="1"/>
    <xf borderId="0" fillId="6" fontId="13" numFmtId="164" xfId="0" applyFont="1" applyNumberFormat="1"/>
    <xf borderId="0" fillId="0" fontId="2" numFmtId="0" xfId="0" applyAlignment="1" applyFont="1">
      <alignment horizontal="center" vertical="center"/>
    </xf>
    <xf borderId="0" fillId="0" fontId="26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8" fontId="27" numFmtId="0" xfId="0" applyAlignment="1" applyFont="1">
      <alignment horizontal="center" shrinkToFit="0" vertical="center" wrapText="1"/>
    </xf>
    <xf borderId="0" fillId="8" fontId="13" numFmtId="0" xfId="0" applyAlignment="1" applyFont="1">
      <alignment horizontal="center"/>
    </xf>
    <xf borderId="0" fillId="0" fontId="1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7" fontId="3" numFmtId="0" xfId="0" applyAlignment="1" applyFont="1">
      <alignment vertical="center"/>
    </xf>
    <xf borderId="0" fillId="7" fontId="3" numFmtId="164" xfId="0" applyAlignment="1" applyFont="1" applyNumberFormat="1">
      <alignment vertical="center"/>
    </xf>
    <xf borderId="0" fillId="5" fontId="8" numFmtId="0" xfId="0" applyFont="1"/>
    <xf borderId="0" fillId="5" fontId="8" numFmtId="164" xfId="0" applyFont="1" applyNumberFormat="1"/>
    <xf borderId="0" fillId="0" fontId="8" numFmtId="0" xfId="0" applyAlignment="1" applyFont="1">
      <alignment horizontal="center" shrinkToFit="0" vertical="center" wrapText="1"/>
    </xf>
    <xf borderId="0" fillId="13" fontId="8" numFmtId="0" xfId="0" applyAlignment="1" applyFill="1" applyFont="1">
      <alignment shrinkToFit="0" vertical="center" wrapText="1"/>
    </xf>
    <xf borderId="0" fillId="0" fontId="8" numFmtId="164" xfId="0" applyFont="1" applyNumberFormat="1"/>
    <xf borderId="0" fillId="5" fontId="8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3" numFmtId="170" xfId="0" applyAlignment="1" applyFont="1" applyNumberFormat="1">
      <alignment horizontal="center" shrinkToFit="0" vertical="center" wrapText="1"/>
    </xf>
    <xf borderId="0" fillId="3" fontId="8" numFmtId="0" xfId="0" applyFont="1"/>
    <xf borderId="0" fillId="3" fontId="8" numFmtId="164" xfId="0" applyFont="1" applyNumberFormat="1"/>
    <xf borderId="0" fillId="0" fontId="5" numFmtId="172" xfId="0" applyAlignment="1" applyFont="1" applyNumberFormat="1">
      <alignment horizontal="center" vertical="center"/>
    </xf>
    <xf borderId="0" fillId="0" fontId="5" numFmtId="170" xfId="0" applyFont="1" applyNumberFormat="1"/>
    <xf borderId="0" fillId="7" fontId="3" numFmtId="0" xfId="0" applyFont="1"/>
    <xf borderId="0" fillId="7" fontId="3" numFmtId="164" xfId="0" applyFont="1" applyNumberForma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170" xfId="0" applyFont="1" applyNumberForma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13" numFmtId="164" xfId="0" applyFont="1" applyNumberFormat="1"/>
    <xf borderId="0" fillId="0" fontId="10" numFmtId="172" xfId="0" applyFont="1" applyNumberFormat="1"/>
    <xf borderId="0" fillId="3" fontId="3" numFmtId="0" xfId="0" applyAlignment="1" applyFont="1">
      <alignment horizontal="left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180" xfId="0" applyAlignment="1" applyFont="1" applyNumberFormat="1">
      <alignment horizontal="center"/>
    </xf>
    <xf borderId="0" fillId="0" fontId="3" numFmtId="180" xfId="0" applyAlignment="1" applyFont="1" applyNumberFormat="1">
      <alignment horizontal="center"/>
    </xf>
    <xf borderId="0" fillId="0" fontId="3" numFmtId="180" xfId="0" applyAlignment="1" applyFont="1" applyNumberFormat="1">
      <alignment horizontal="center" shrinkToFit="0" wrapText="1"/>
    </xf>
    <xf borderId="0" fillId="0" fontId="3" numFmtId="180" xfId="0" applyAlignment="1" applyFont="1" applyNumberFormat="1">
      <alignment shrinkToFit="0" vertical="center" wrapText="1"/>
    </xf>
    <xf borderId="0" fillId="6" fontId="2" numFmtId="0" xfId="0" applyAlignment="1" applyFont="1">
      <alignment horizontal="left" vertical="center"/>
    </xf>
    <xf borderId="0" fillId="6" fontId="2" numFmtId="180" xfId="0" applyAlignment="1" applyFont="1" applyNumberFormat="1">
      <alignment horizontal="center" vertical="center"/>
    </xf>
    <xf borderId="0" fillId="0" fontId="28" numFmtId="0" xfId="0" applyFont="1"/>
    <xf borderId="0" fillId="0" fontId="2" numFmtId="180" xfId="0" applyAlignment="1" applyFont="1" applyNumberFormat="1">
      <alignment horizontal="center" vertical="center"/>
    </xf>
    <xf borderId="0" fillId="0" fontId="2" numFmtId="176" xfId="0" applyAlignment="1" applyFont="1" applyNumberFormat="1">
      <alignment horizontal="center" vertical="center"/>
    </xf>
    <xf borderId="0" fillId="0" fontId="2" numFmtId="175" xfId="0" applyAlignment="1" applyFont="1" applyNumberFormat="1">
      <alignment horizontal="center" vertical="center"/>
    </xf>
    <xf borderId="0" fillId="6" fontId="2" numFmtId="0" xfId="0" applyAlignment="1" applyFont="1">
      <alignment horizontal="left"/>
    </xf>
    <xf borderId="0" fillId="6" fontId="2" numFmtId="180" xfId="0" applyAlignment="1" applyFont="1" applyNumberFormat="1">
      <alignment horizontal="center"/>
    </xf>
    <xf borderId="0" fillId="6" fontId="2" numFmtId="175" xfId="0" applyAlignment="1" applyFont="1" applyNumberFormat="1">
      <alignment horizontal="center"/>
    </xf>
    <xf borderId="0" fillId="0" fontId="2" numFmtId="180" xfId="0" applyAlignment="1" applyFont="1" applyNumberFormat="1">
      <alignment horizontal="center"/>
    </xf>
    <xf borderId="0" fillId="0" fontId="2" numFmtId="176" xfId="0" applyAlignment="1" applyFont="1" applyNumberFormat="1">
      <alignment horizontal="center"/>
    </xf>
    <xf borderId="0" fillId="5" fontId="3" numFmtId="0" xfId="0" applyAlignment="1" applyFont="1">
      <alignment horizontal="left" shrinkToFit="0" vertical="center" wrapText="1"/>
    </xf>
    <xf borderId="0" fillId="5" fontId="3" numFmtId="0" xfId="0" applyAlignment="1" applyFont="1">
      <alignment horizontal="center" shrinkToFit="0" vertical="center" wrapText="1"/>
    </xf>
    <xf borderId="0" fillId="5" fontId="3" numFmtId="180" xfId="0" applyAlignment="1" applyFont="1" applyNumberFormat="1">
      <alignment horizontal="center"/>
    </xf>
    <xf borderId="0" fillId="5" fontId="29" numFmtId="180" xfId="0" applyAlignment="1" applyFont="1" applyNumberFormat="1">
      <alignment horizontal="center" vertical="center"/>
    </xf>
    <xf borderId="0" fillId="5" fontId="30" numFmtId="180" xfId="0" applyAlignment="1" applyFont="1" applyNumberFormat="1">
      <alignment horizontal="center" vertical="center"/>
    </xf>
    <xf borderId="0" fillId="0" fontId="3" numFmtId="180" xfId="0" applyAlignment="1" applyFont="1" applyNumberFormat="1">
      <alignment horizontal="center" vertical="center"/>
    </xf>
    <xf borderId="0" fillId="0" fontId="30" numFmtId="0" xfId="0" applyFont="1"/>
    <xf borderId="0" fillId="0" fontId="28" numFmtId="0" xfId="0" applyAlignment="1" applyFont="1">
      <alignment vertical="center"/>
    </xf>
    <xf borderId="0" fillId="3" fontId="8" numFmtId="170" xfId="0" applyAlignment="1" applyFont="1" applyNumberFormat="1">
      <alignment horizontal="center" shrinkToFit="0" wrapText="1"/>
    </xf>
    <xf borderId="0" fillId="0" fontId="2" numFmtId="170" xfId="0" applyFont="1" applyNumberFormat="1"/>
    <xf borderId="0" fillId="0" fontId="0" numFmtId="0" xfId="0" applyFont="1"/>
    <xf borderId="0" fillId="6" fontId="2" numFmtId="176" xfId="0" applyAlignment="1" applyFont="1" applyNumberFormat="1">
      <alignment horizontal="center" vertical="center"/>
    </xf>
    <xf quotePrefix="1" borderId="0" fillId="0" fontId="0" numFmtId="0" xfId="0" applyFont="1"/>
    <xf borderId="0" fillId="0" fontId="26" numFmtId="0" xfId="0" applyFont="1"/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vertical="center"/>
    </xf>
    <xf borderId="0" fillId="14" fontId="3" numFmtId="0" xfId="0" applyAlignment="1" applyFill="1" applyFont="1">
      <alignment vertical="center"/>
    </xf>
    <xf borderId="0" fillId="15" fontId="2" numFmtId="180" xfId="0" applyAlignment="1" applyFill="1" applyFont="1" applyNumberFormat="1">
      <alignment horizontal="center"/>
    </xf>
    <xf borderId="0" fillId="0" fontId="8" numFmtId="0" xfId="0" applyAlignment="1" applyFont="1">
      <alignment vertical="center"/>
    </xf>
    <xf borderId="0" fillId="14" fontId="2" numFmtId="176" xfId="0" applyAlignment="1" applyFont="1" applyNumberFormat="1">
      <alignment horizontal="center" vertical="center"/>
    </xf>
    <xf borderId="0" fillId="0" fontId="2" numFmtId="170" xfId="0" applyAlignment="1" applyFont="1" applyNumberFormat="1">
      <alignment horizontal="center" shrinkToFit="0" wrapText="1"/>
    </xf>
    <xf borderId="0" fillId="0" fontId="2" numFmtId="164" xfId="0" applyAlignment="1" applyFont="1" applyNumberFormat="1">
      <alignment horizontal="center" shrinkToFit="0" wrapText="1"/>
    </xf>
    <xf borderId="0" fillId="0" fontId="2" numFmtId="169" xfId="0" applyAlignment="1" applyFont="1" applyNumberFormat="1">
      <alignment horizontal="center" shrinkToFit="0" wrapText="1"/>
    </xf>
    <xf borderId="0" fillId="0" fontId="3" numFmtId="170" xfId="0" applyAlignment="1" applyFont="1" applyNumberFormat="1">
      <alignment horizontal="center" shrinkToFit="0" wrapText="1"/>
    </xf>
    <xf borderId="0" fillId="0" fontId="1" numFmtId="0" xfId="0" applyAlignment="1" applyFont="1">
      <alignment horizontal="left" vertical="center"/>
    </xf>
    <xf borderId="0" fillId="3" fontId="3" numFmtId="17" xfId="0" applyAlignment="1" applyFont="1" applyNumberFormat="1">
      <alignment horizontal="center" shrinkToFit="0" vertical="center" wrapText="1"/>
    </xf>
    <xf borderId="0" fillId="0" fontId="0" numFmtId="176" xfId="0" applyFont="1" applyNumberFormat="1"/>
    <xf borderId="0" fillId="10" fontId="8" numFmtId="0" xfId="0" applyAlignment="1" applyFont="1">
      <alignment shrinkToFit="0" wrapText="1"/>
    </xf>
    <xf borderId="0" fillId="0" fontId="31" numFmtId="0" xfId="0" applyFont="1"/>
    <xf borderId="0" fillId="0" fontId="31" numFmtId="172" xfId="0" applyFont="1" applyNumberFormat="1"/>
    <xf borderId="0" fillId="0" fontId="31" numFmtId="181" xfId="0" applyAlignment="1" applyFont="1" applyNumberFormat="1">
      <alignment horizontal="right"/>
    </xf>
    <xf borderId="0" fillId="0" fontId="31" numFmtId="9" xfId="0" applyAlignment="1" applyFont="1" applyNumberFormat="1">
      <alignment horizontal="right"/>
    </xf>
    <xf borderId="0" fillId="0" fontId="31" numFmtId="172" xfId="0" applyAlignment="1" applyFont="1" applyNumberFormat="1">
      <alignment horizontal="right"/>
    </xf>
    <xf borderId="0" fillId="0" fontId="32" numFmtId="0" xfId="0" applyAlignment="1" applyFont="1">
      <alignment vertical="top"/>
    </xf>
    <xf borderId="0" fillId="0" fontId="32" numFmtId="0" xfId="0" applyAlignment="1" applyFont="1">
      <alignment horizontal="center" vertical="top"/>
    </xf>
    <xf borderId="0" fillId="0" fontId="33" numFmtId="0" xfId="0" applyAlignment="1" applyFont="1">
      <alignment horizontal="left" readingOrder="0" shrinkToFit="0" vertical="center" wrapText="1"/>
    </xf>
    <xf borderId="0" fillId="0" fontId="34" numFmtId="0" xfId="0" applyAlignment="1" applyFont="1">
      <alignment horizontal="left" readingOrder="0" shrinkToFit="0" vertical="top" wrapText="1"/>
    </xf>
    <xf borderId="0" fillId="0" fontId="34" numFmtId="0" xfId="0" applyAlignment="1" applyFont="1">
      <alignment horizontal="center" readingOrder="0" shrinkToFit="0" vertical="center" wrapText="1"/>
    </xf>
    <xf borderId="0" fillId="0" fontId="34" numFmtId="0" xfId="0" applyAlignment="1" applyFont="1">
      <alignment horizontal="left" readingOrder="0" shrinkToFit="0" vertical="top" wrapText="1"/>
    </xf>
    <xf borderId="0" fillId="0" fontId="35" numFmtId="0" xfId="0" applyAlignment="1" applyFont="1">
      <alignment horizontal="center" readingOrder="0" shrinkToFit="0" vertical="center" wrapText="1"/>
    </xf>
    <xf borderId="0" fillId="16" fontId="36" numFmtId="0" xfId="0" applyAlignment="1" applyFill="1" applyFont="1">
      <alignment horizontal="center" readingOrder="0" shrinkToFit="0" vertical="center" wrapText="1"/>
    </xf>
    <xf borderId="0" fillId="0" fontId="37" numFmtId="0" xfId="0" applyAlignment="1" applyFont="1">
      <alignment shrinkToFit="0" vertical="top" wrapText="1"/>
    </xf>
    <xf borderId="0" fillId="0" fontId="32" numFmtId="0" xfId="0" applyFont="1"/>
    <xf borderId="2" fillId="0" fontId="38" numFmtId="0" xfId="0" applyAlignment="1" applyBorder="1" applyFont="1">
      <alignment horizontal="center" shrinkToFit="0" wrapText="1"/>
    </xf>
    <xf borderId="3" fillId="0" fontId="39" numFmtId="0" xfId="0" applyBorder="1" applyFont="1"/>
    <xf borderId="4" fillId="0" fontId="39" numFmtId="0" xfId="0" applyBorder="1" applyFont="1"/>
    <xf borderId="5" fillId="0" fontId="40" numFmtId="0" xfId="0" applyAlignment="1" applyBorder="1" applyFont="1">
      <alignment horizontal="center" shrinkToFit="0" vertical="top" wrapText="1"/>
    </xf>
    <xf borderId="6" fillId="0" fontId="39" numFmtId="0" xfId="0" applyBorder="1" applyFont="1"/>
    <xf borderId="0" fillId="0" fontId="32" numFmtId="0" xfId="0" applyAlignment="1" applyFont="1">
      <alignment vertical="bottom"/>
    </xf>
    <xf borderId="7" fillId="0" fontId="41" numFmtId="0" xfId="0" applyAlignment="1" applyBorder="1" applyFont="1">
      <alignment horizontal="center" shrinkToFit="0" vertical="top" wrapText="1"/>
    </xf>
    <xf borderId="8" fillId="0" fontId="39" numFmtId="0" xfId="0" applyBorder="1" applyFont="1"/>
    <xf borderId="9" fillId="0" fontId="39" numFmtId="0" xfId="0" applyBorder="1" applyFont="1"/>
    <xf borderId="0" fillId="0" fontId="38" numFmtId="0" xfId="0" applyAlignment="1" applyFont="1">
      <alignment horizontal="center" readingOrder="0" shrinkToFit="0" vertical="center" wrapText="1"/>
    </xf>
    <xf borderId="2" fillId="0" fontId="38" numFmtId="0" xfId="0" applyAlignment="1" applyBorder="1" applyFont="1">
      <alignment horizontal="center" readingOrder="0" shrinkToFit="0" vertical="center" wrapText="1"/>
    </xf>
    <xf borderId="0" fillId="0" fontId="34" numFmtId="0" xfId="0" applyAlignment="1" applyFont="1">
      <alignment horizontal="center" readingOrder="0" shrinkToFit="0" vertical="top" wrapText="1"/>
    </xf>
    <xf borderId="5" fillId="0" fontId="34" numFmtId="0" xfId="0" applyAlignment="1" applyBorder="1" applyFont="1">
      <alignment horizontal="center" readingOrder="0" shrinkToFit="0" vertical="top" wrapText="1"/>
    </xf>
    <xf borderId="0" fillId="0" fontId="42" numFmtId="0" xfId="0" applyAlignment="1" applyFont="1">
      <alignment horizontal="center" readingOrder="0" shrinkToFit="0" vertical="top" wrapText="1"/>
    </xf>
    <xf borderId="6" fillId="0" fontId="34" numFmtId="0" xfId="0" applyAlignment="1" applyBorder="1" applyFont="1">
      <alignment horizontal="center" readingOrder="0" shrinkToFit="0" vertical="top" wrapText="1"/>
    </xf>
    <xf borderId="0" fillId="0" fontId="38" numFmtId="0" xfId="0" applyAlignment="1" applyFont="1">
      <alignment horizontal="center" readingOrder="0" shrinkToFit="0" vertical="top" wrapText="1"/>
    </xf>
    <xf borderId="5" fillId="0" fontId="43" numFmtId="0" xfId="0" applyAlignment="1" applyBorder="1" applyFont="1">
      <alignment horizontal="center" readingOrder="0" shrinkToFit="0" vertical="top" wrapText="1"/>
    </xf>
    <xf borderId="6" fillId="0" fontId="38" numFmtId="0" xfId="0" applyAlignment="1" applyBorder="1" applyFont="1">
      <alignment horizontal="center" readingOrder="0" shrinkToFit="0" vertical="top" wrapText="1"/>
    </xf>
    <xf borderId="0" fillId="0" fontId="44" numFmtId="0" xfId="0" applyAlignment="1" applyFont="1">
      <alignment horizontal="center" readingOrder="0" shrinkToFit="0" vertical="top" wrapText="1"/>
    </xf>
    <xf borderId="5" fillId="0" fontId="45" numFmtId="0" xfId="0" applyAlignment="1" applyBorder="1" applyFont="1">
      <alignment horizontal="center" readingOrder="0" shrinkToFit="0" vertical="top" wrapText="1"/>
    </xf>
    <xf borderId="0" fillId="0" fontId="46" numFmtId="0" xfId="0" applyAlignment="1" applyFont="1">
      <alignment horizontal="center" readingOrder="0" shrinkToFit="0" vertical="top" wrapText="1"/>
    </xf>
    <xf borderId="6" fillId="0" fontId="47" numFmtId="0" xfId="0" applyAlignment="1" applyBorder="1" applyFont="1">
      <alignment horizontal="center" readingOrder="0" shrinkToFit="0" vertical="top" wrapText="1"/>
    </xf>
    <xf borderId="7" fillId="0" fontId="38" numFmtId="0" xfId="0" applyAlignment="1" applyBorder="1" applyFont="1">
      <alignment horizontal="center" readingOrder="0" shrinkToFit="0" vertical="top" wrapText="1"/>
    </xf>
    <xf borderId="8" fillId="0" fontId="38" numFmtId="0" xfId="0" applyAlignment="1" applyBorder="1" applyFont="1">
      <alignment horizontal="center" readingOrder="0" shrinkToFit="0" vertical="top" wrapText="1"/>
    </xf>
    <xf borderId="9" fillId="0" fontId="38" numFmtId="0" xfId="0" applyAlignment="1" applyBorder="1" applyFont="1">
      <alignment horizontal="center" readingOrder="0" shrinkToFit="0" vertical="top" wrapText="1"/>
    </xf>
    <xf borderId="10" fillId="0" fontId="38" numFmtId="0" xfId="0" applyAlignment="1" applyBorder="1" applyFont="1">
      <alignment horizontal="center" readingOrder="0" shrinkToFit="0" vertical="center" wrapText="1"/>
    </xf>
    <xf borderId="11" fillId="0" fontId="39" numFmtId="0" xfId="0" applyBorder="1" applyFont="1"/>
    <xf borderId="12" fillId="0" fontId="39" numFmtId="0" xfId="0" applyBorder="1" applyFont="1"/>
    <xf borderId="13" fillId="0" fontId="48" numFmtId="0" xfId="0" applyAlignment="1" applyBorder="1" applyFont="1">
      <alignment horizontal="center" shrinkToFit="0" vertical="top" wrapText="1"/>
    </xf>
    <xf borderId="14" fillId="0" fontId="39" numFmtId="0" xfId="0" applyBorder="1" applyFont="1"/>
    <xf borderId="15" fillId="0" fontId="49" numFmtId="0" xfId="0" applyAlignment="1" applyBorder="1" applyFont="1">
      <alignment horizontal="left" readingOrder="0" shrinkToFit="0" vertical="center" wrapText="1"/>
    </xf>
    <xf borderId="0" fillId="0" fontId="50" numFmtId="0" xfId="0" applyAlignment="1" applyFont="1">
      <alignment horizontal="center" shrinkToFit="0" vertical="top" wrapText="1"/>
    </xf>
    <xf borderId="0" fillId="0" fontId="34" numFmtId="0" xfId="0" applyAlignment="1" applyFont="1">
      <alignment horizontal="left" readingOrder="0" shrinkToFit="0" vertical="center" wrapText="1"/>
    </xf>
    <xf borderId="0" fillId="0" fontId="38" numFmtId="0" xfId="0" applyAlignment="1" applyFont="1">
      <alignment horizontal="center" shrinkToFit="0" vertical="center" wrapText="1"/>
    </xf>
    <xf borderId="2" fillId="0" fontId="38" numFmtId="0" xfId="0" applyAlignment="1" applyBorder="1" applyFont="1">
      <alignment horizontal="center" shrinkToFit="0" vertical="center" wrapText="1"/>
    </xf>
    <xf borderId="7" fillId="0" fontId="51" numFmtId="0" xfId="0" applyAlignment="1" applyBorder="1" applyFont="1">
      <alignment shrinkToFit="0" vertical="top" wrapText="1"/>
    </xf>
    <xf borderId="9" fillId="0" fontId="52" numFmtId="0" xfId="0" applyAlignment="1" applyBorder="1" applyFont="1">
      <alignment shrinkToFit="0" vertical="top" wrapText="1"/>
    </xf>
    <xf borderId="0" fillId="0" fontId="5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28825" cy="571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333375" cy="3333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333375" cy="333375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333375" cy="3333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1581150" cy="7334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MAi84jQgXmE" TargetMode="External"/><Relationship Id="rId2" Type="http://schemas.openxmlformats.org/officeDocument/2006/relationships/hyperlink" Target="https://leads.noboring-finance.ru/meet_findir/?utm_source=shablon&amp;utm_medium=listnf&amp;utm_campaign=main" TargetMode="External"/><Relationship Id="rId3" Type="http://schemas.openxmlformats.org/officeDocument/2006/relationships/hyperlink" Target="https://leads.noboring-finance.ru/finmodel/?utm_source=shablon&amp;utm_medium=listnf&amp;utm_campaign=finmodel" TargetMode="External"/><Relationship Id="rId4" Type="http://schemas.openxmlformats.org/officeDocument/2006/relationships/hyperlink" Target="https://leads.noboring-finance.ru/uchet?utm_medium=.&amp;utm_campaign=%2F&amp;utm_term=barsetka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s://noboring-finance.ru/gazeta/?utm_source=shablon&amp;utm_medium=listnf&amp;utm_campaign=gazeta" TargetMode="External"/><Relationship Id="rId5" Type="http://schemas.openxmlformats.org/officeDocument/2006/relationships/hyperlink" Target="https://leads.noboring-finance.ru/fin_uchet2?utm_medium=.&amp;utm_campaign=%2F&amp;utm_term=barsetka" TargetMode="External"/><Relationship Id="rId6" Type="http://schemas.openxmlformats.org/officeDocument/2006/relationships/hyperlink" Target="https://www.youtube.com/@noboring_finance" TargetMode="External"/><Relationship Id="rId7" Type="http://schemas.openxmlformats.org/officeDocument/2006/relationships/hyperlink" Target="https://t.me/noboring_finance" TargetMode="External"/><Relationship Id="rId8" Type="http://schemas.openxmlformats.org/officeDocument/2006/relationships/hyperlink" Target="https://vk.com/noboring_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Row="1"/>
  <cols>
    <col customWidth="1" min="1" max="1" width="52.86"/>
    <col customWidth="1" min="2" max="14" width="14.86"/>
    <col customWidth="1" min="15" max="26" width="9.14"/>
  </cols>
  <sheetData>
    <row r="1" ht="11.2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4" t="s">
        <v>15</v>
      </c>
      <c r="B3" s="5"/>
      <c r="C3" s="6">
        <f t="shared" ref="C3:M3" si="1">B98</f>
        <v>0</v>
      </c>
      <c r="D3" s="6">
        <f t="shared" si="1"/>
        <v>0</v>
      </c>
      <c r="E3" s="6">
        <f t="shared" si="1"/>
        <v>0</v>
      </c>
      <c r="F3" s="6">
        <f t="shared" si="1"/>
        <v>0</v>
      </c>
      <c r="G3" s="6">
        <f t="shared" si="1"/>
        <v>0</v>
      </c>
      <c r="H3" s="6">
        <f t="shared" si="1"/>
        <v>0</v>
      </c>
      <c r="I3" s="6">
        <f t="shared" si="1"/>
        <v>0</v>
      </c>
      <c r="J3" s="6">
        <f t="shared" si="1"/>
        <v>0</v>
      </c>
      <c r="K3" s="6">
        <f t="shared" si="1"/>
        <v>0</v>
      </c>
      <c r="L3" s="6">
        <f t="shared" si="1"/>
        <v>0</v>
      </c>
      <c r="M3" s="6">
        <f t="shared" si="1"/>
        <v>0</v>
      </c>
      <c r="N3" s="6" t="str">
        <f>B3</f>
        <v/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1.25" customHeight="1">
      <c r="A4" s="8" t="s">
        <v>16</v>
      </c>
      <c r="B4" s="9">
        <f t="shared" ref="B4:M4" si="2">B5+B6</f>
        <v>0</v>
      </c>
      <c r="C4" s="9">
        <f t="shared" si="2"/>
        <v>0</v>
      </c>
      <c r="D4" s="9">
        <f t="shared" si="2"/>
        <v>0</v>
      </c>
      <c r="E4" s="9">
        <f t="shared" si="2"/>
        <v>0</v>
      </c>
      <c r="F4" s="9">
        <f t="shared" si="2"/>
        <v>0</v>
      </c>
      <c r="G4" s="9">
        <f t="shared" si="2"/>
        <v>0</v>
      </c>
      <c r="H4" s="9">
        <f t="shared" si="2"/>
        <v>0</v>
      </c>
      <c r="I4" s="9">
        <f t="shared" si="2"/>
        <v>0</v>
      </c>
      <c r="J4" s="9">
        <f t="shared" si="2"/>
        <v>0</v>
      </c>
      <c r="K4" s="9">
        <f t="shared" si="2"/>
        <v>0</v>
      </c>
      <c r="L4" s="9">
        <f t="shared" si="2"/>
        <v>0</v>
      </c>
      <c r="M4" s="9">
        <f t="shared" si="2"/>
        <v>0</v>
      </c>
      <c r="N4" s="9">
        <f t="shared" ref="N4:N6" si="3">B4+C4+D4+E4+F4+G4+H4+I4+J4+K4+L4+M4</f>
        <v>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1.25" customHeight="1">
      <c r="A5" s="7" t="s">
        <v>17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>
        <f t="shared" si="3"/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1.25" customHeight="1">
      <c r="A6" s="7" t="s">
        <v>18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>
        <f t="shared" si="3"/>
        <v>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1.25" customHeight="1">
      <c r="A7" s="8" t="s">
        <v>19</v>
      </c>
      <c r="B7" s="9">
        <f t="shared" ref="B7:N7" si="4">B8+B9+B13+B16+B21+B26+B27+B31+B30+B35+B40+B44+B47+B52+B62+B66</f>
        <v>0</v>
      </c>
      <c r="C7" s="9">
        <f t="shared" si="4"/>
        <v>0</v>
      </c>
      <c r="D7" s="9">
        <f t="shared" si="4"/>
        <v>0</v>
      </c>
      <c r="E7" s="9">
        <f t="shared" si="4"/>
        <v>0</v>
      </c>
      <c r="F7" s="9">
        <f t="shared" si="4"/>
        <v>0</v>
      </c>
      <c r="G7" s="9">
        <f t="shared" si="4"/>
        <v>0</v>
      </c>
      <c r="H7" s="9">
        <f t="shared" si="4"/>
        <v>0</v>
      </c>
      <c r="I7" s="9">
        <f t="shared" si="4"/>
        <v>0</v>
      </c>
      <c r="J7" s="9">
        <f t="shared" si="4"/>
        <v>0</v>
      </c>
      <c r="K7" s="9">
        <f t="shared" si="4"/>
        <v>0</v>
      </c>
      <c r="L7" s="9">
        <f t="shared" si="4"/>
        <v>0</v>
      </c>
      <c r="M7" s="9">
        <f t="shared" si="4"/>
        <v>0</v>
      </c>
      <c r="N7" s="9">
        <f t="shared" si="4"/>
        <v>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1.25" customHeight="1">
      <c r="A8" s="7" t="s">
        <v>20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>
        <f>B8+C8+D8+E8+F8+G8+H8+I8+J8+K8+L8+M8</f>
        <v>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1.25" customHeight="1">
      <c r="A9" s="7" t="s">
        <v>21</v>
      </c>
      <c r="B9" s="10">
        <f t="shared" ref="B9:N9" si="5">B10+B11+B12</f>
        <v>0</v>
      </c>
      <c r="C9" s="10">
        <f t="shared" si="5"/>
        <v>0</v>
      </c>
      <c r="D9" s="10">
        <f t="shared" si="5"/>
        <v>0</v>
      </c>
      <c r="E9" s="10">
        <f t="shared" si="5"/>
        <v>0</v>
      </c>
      <c r="F9" s="10">
        <f t="shared" si="5"/>
        <v>0</v>
      </c>
      <c r="G9" s="10">
        <f t="shared" si="5"/>
        <v>0</v>
      </c>
      <c r="H9" s="10">
        <f t="shared" si="5"/>
        <v>0</v>
      </c>
      <c r="I9" s="10">
        <f t="shared" si="5"/>
        <v>0</v>
      </c>
      <c r="J9" s="10">
        <f t="shared" si="5"/>
        <v>0</v>
      </c>
      <c r="K9" s="10">
        <f t="shared" si="5"/>
        <v>0</v>
      </c>
      <c r="L9" s="10">
        <f t="shared" si="5"/>
        <v>0</v>
      </c>
      <c r="M9" s="10">
        <f t="shared" si="5"/>
        <v>0</v>
      </c>
      <c r="N9" s="10">
        <f t="shared" si="5"/>
        <v>0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1.25" customHeight="1" outlineLevel="1">
      <c r="A10" s="11" t="s">
        <v>22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>
        <f t="shared" ref="N10:N13" si="6">B10+C10+D10+E10+F10+G10+H10+I10+J10+K10+L10+M10</f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 outlineLevel="1">
      <c r="A11" s="11" t="s">
        <v>23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>
        <f t="shared" si="6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customHeight="1" outlineLevel="1">
      <c r="A12" s="11" t="s">
        <v>24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>
        <f t="shared" si="6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>
      <c r="A13" s="7" t="s">
        <v>25</v>
      </c>
      <c r="B13" s="10">
        <f t="shared" ref="B13:M13" si="7">SUM(B14:B15)</f>
        <v>0</v>
      </c>
      <c r="C13" s="10">
        <f t="shared" si="7"/>
        <v>0</v>
      </c>
      <c r="D13" s="10">
        <f t="shared" si="7"/>
        <v>0</v>
      </c>
      <c r="E13" s="10">
        <f t="shared" si="7"/>
        <v>0</v>
      </c>
      <c r="F13" s="10">
        <f t="shared" si="7"/>
        <v>0</v>
      </c>
      <c r="G13" s="10">
        <f t="shared" si="7"/>
        <v>0</v>
      </c>
      <c r="H13" s="10">
        <f t="shared" si="7"/>
        <v>0</v>
      </c>
      <c r="I13" s="10">
        <f t="shared" si="7"/>
        <v>0</v>
      </c>
      <c r="J13" s="10">
        <f t="shared" si="7"/>
        <v>0</v>
      </c>
      <c r="K13" s="10">
        <f t="shared" si="7"/>
        <v>0</v>
      </c>
      <c r="L13" s="10">
        <f t="shared" si="7"/>
        <v>0</v>
      </c>
      <c r="M13" s="10">
        <f t="shared" si="7"/>
        <v>0</v>
      </c>
      <c r="N13" s="10">
        <f t="shared" si="6"/>
        <v>0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1.25" customHeight="1" outlineLevel="1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 outlineLevel="1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customHeight="1">
      <c r="A16" s="7" t="s">
        <v>26</v>
      </c>
      <c r="B16" s="10">
        <f t="shared" ref="B16:N16" si="8">B17+B18+B19+B20</f>
        <v>0</v>
      </c>
      <c r="C16" s="10">
        <f t="shared" si="8"/>
        <v>0</v>
      </c>
      <c r="D16" s="10">
        <f t="shared" si="8"/>
        <v>0</v>
      </c>
      <c r="E16" s="10">
        <f t="shared" si="8"/>
        <v>0</v>
      </c>
      <c r="F16" s="10">
        <f t="shared" si="8"/>
        <v>0</v>
      </c>
      <c r="G16" s="10">
        <f t="shared" si="8"/>
        <v>0</v>
      </c>
      <c r="H16" s="10">
        <f t="shared" si="8"/>
        <v>0</v>
      </c>
      <c r="I16" s="10">
        <f t="shared" si="8"/>
        <v>0</v>
      </c>
      <c r="J16" s="10">
        <f t="shared" si="8"/>
        <v>0</v>
      </c>
      <c r="K16" s="10">
        <f t="shared" si="8"/>
        <v>0</v>
      </c>
      <c r="L16" s="10">
        <f t="shared" si="8"/>
        <v>0</v>
      </c>
      <c r="M16" s="10">
        <f t="shared" si="8"/>
        <v>0</v>
      </c>
      <c r="N16" s="10">
        <f t="shared" si="8"/>
        <v>0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1.25" customHeight="1" outlineLevel="1">
      <c r="A17" s="11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0">
        <f t="shared" ref="N17:N20" si="9">B17+C17+D17+E17+F17+G17+H17+I17+J17+K17+L17+M17</f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customHeight="1" outlineLevel="1">
      <c r="A18" s="11" t="s">
        <v>28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>
        <f t="shared" si="9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customHeight="1" outlineLevel="1">
      <c r="A19" s="11" t="s">
        <v>29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>
        <f t="shared" si="9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customHeight="1" outlineLevel="1">
      <c r="A20" s="11" t="s">
        <v>30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>
        <f t="shared" si="9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customHeight="1">
      <c r="A21" s="7" t="s">
        <v>31</v>
      </c>
      <c r="B21" s="10">
        <f t="shared" ref="B21:N21" si="10">B22+B23+B24+B25</f>
        <v>0</v>
      </c>
      <c r="C21" s="10">
        <f t="shared" si="10"/>
        <v>0</v>
      </c>
      <c r="D21" s="10">
        <f t="shared" si="10"/>
        <v>0</v>
      </c>
      <c r="E21" s="10">
        <f t="shared" si="10"/>
        <v>0</v>
      </c>
      <c r="F21" s="10">
        <f t="shared" si="10"/>
        <v>0</v>
      </c>
      <c r="G21" s="10">
        <f t="shared" si="10"/>
        <v>0</v>
      </c>
      <c r="H21" s="10">
        <f t="shared" si="10"/>
        <v>0</v>
      </c>
      <c r="I21" s="10">
        <f t="shared" si="10"/>
        <v>0</v>
      </c>
      <c r="J21" s="10">
        <f t="shared" si="10"/>
        <v>0</v>
      </c>
      <c r="K21" s="10">
        <f t="shared" si="10"/>
        <v>0</v>
      </c>
      <c r="L21" s="10">
        <f t="shared" si="10"/>
        <v>0</v>
      </c>
      <c r="M21" s="10">
        <f t="shared" si="10"/>
        <v>0</v>
      </c>
      <c r="N21" s="10">
        <f t="shared" si="10"/>
        <v>0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1.25" customHeight="1" outlineLevel="1">
      <c r="A22" s="11" t="s">
        <v>32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>
        <f t="shared" ref="N22:N34" si="11">B22+C22+D22+E22+F22+G22+H22+I22+J22+K22+L22+M22</f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 outlineLevel="1">
      <c r="A23" s="11" t="s">
        <v>33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>
        <f t="shared" si="1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.25" customHeight="1" outlineLevel="1">
      <c r="A24" s="11" t="s">
        <v>34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>
        <f t="shared" si="11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 outlineLevel="1">
      <c r="A25" s="11" t="s">
        <v>35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>
        <f t="shared" si="11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7" t="s">
        <v>36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>
        <f t="shared" si="11"/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1.25" customHeight="1">
      <c r="A27" s="7" t="s">
        <v>37</v>
      </c>
      <c r="B27" s="10">
        <f t="shared" ref="B27:M27" si="12">B28+B29</f>
        <v>0</v>
      </c>
      <c r="C27" s="10">
        <f t="shared" si="12"/>
        <v>0</v>
      </c>
      <c r="D27" s="10">
        <f t="shared" si="12"/>
        <v>0</v>
      </c>
      <c r="E27" s="10">
        <f t="shared" si="12"/>
        <v>0</v>
      </c>
      <c r="F27" s="10">
        <f t="shared" si="12"/>
        <v>0</v>
      </c>
      <c r="G27" s="10">
        <f t="shared" si="12"/>
        <v>0</v>
      </c>
      <c r="H27" s="10">
        <f t="shared" si="12"/>
        <v>0</v>
      </c>
      <c r="I27" s="10">
        <f t="shared" si="12"/>
        <v>0</v>
      </c>
      <c r="J27" s="10">
        <f t="shared" si="12"/>
        <v>0</v>
      </c>
      <c r="K27" s="10">
        <f t="shared" si="12"/>
        <v>0</v>
      </c>
      <c r="L27" s="10">
        <f t="shared" si="12"/>
        <v>0</v>
      </c>
      <c r="M27" s="10">
        <f t="shared" si="12"/>
        <v>0</v>
      </c>
      <c r="N27" s="10">
        <f t="shared" si="11"/>
        <v>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1.25" customHeight="1" outlineLevel="1">
      <c r="A28" s="11" t="s">
        <v>38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>
        <f t="shared" si="11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 outlineLevel="1">
      <c r="A29" s="11" t="s">
        <v>39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f t="shared" si="11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>
      <c r="A30" s="7" t="s">
        <v>40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>
        <f t="shared" si="11"/>
        <v>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1.25" customHeight="1">
      <c r="A31" s="7" t="s">
        <v>41</v>
      </c>
      <c r="B31" s="10">
        <f t="shared" ref="B31:M31" si="13">B32+B33+B34</f>
        <v>0</v>
      </c>
      <c r="C31" s="10">
        <f t="shared" si="13"/>
        <v>0</v>
      </c>
      <c r="D31" s="10">
        <f t="shared" si="13"/>
        <v>0</v>
      </c>
      <c r="E31" s="10">
        <f t="shared" si="13"/>
        <v>0</v>
      </c>
      <c r="F31" s="10">
        <f t="shared" si="13"/>
        <v>0</v>
      </c>
      <c r="G31" s="10">
        <f t="shared" si="13"/>
        <v>0</v>
      </c>
      <c r="H31" s="10">
        <f t="shared" si="13"/>
        <v>0</v>
      </c>
      <c r="I31" s="10">
        <f t="shared" si="13"/>
        <v>0</v>
      </c>
      <c r="J31" s="10">
        <f t="shared" si="13"/>
        <v>0</v>
      </c>
      <c r="K31" s="10">
        <f t="shared" si="13"/>
        <v>0</v>
      </c>
      <c r="L31" s="10">
        <f t="shared" si="13"/>
        <v>0</v>
      </c>
      <c r="M31" s="10">
        <f t="shared" si="13"/>
        <v>0</v>
      </c>
      <c r="N31" s="10">
        <f t="shared" si="11"/>
        <v>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1.25" customHeight="1" outlineLevel="1">
      <c r="A32" s="11" t="s">
        <v>42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2">
        <f t="shared" si="11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 outlineLevel="1">
      <c r="A33" s="11" t="s">
        <v>43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2">
        <f t="shared" si="11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 outlineLevel="1">
      <c r="A34" s="11" t="s">
        <v>44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2">
        <f t="shared" si="11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7" t="s">
        <v>45</v>
      </c>
      <c r="B35" s="10">
        <f t="shared" ref="B35:N35" si="14">B36+B37+B39+B38</f>
        <v>0</v>
      </c>
      <c r="C35" s="10">
        <f t="shared" si="14"/>
        <v>0</v>
      </c>
      <c r="D35" s="10">
        <f t="shared" si="14"/>
        <v>0</v>
      </c>
      <c r="E35" s="10">
        <f t="shared" si="14"/>
        <v>0</v>
      </c>
      <c r="F35" s="10">
        <f t="shared" si="14"/>
        <v>0</v>
      </c>
      <c r="G35" s="10">
        <f t="shared" si="14"/>
        <v>0</v>
      </c>
      <c r="H35" s="10">
        <f t="shared" si="14"/>
        <v>0</v>
      </c>
      <c r="I35" s="10">
        <f t="shared" si="14"/>
        <v>0</v>
      </c>
      <c r="J35" s="10">
        <f t="shared" si="14"/>
        <v>0</v>
      </c>
      <c r="K35" s="10">
        <f t="shared" si="14"/>
        <v>0</v>
      </c>
      <c r="L35" s="10">
        <f t="shared" si="14"/>
        <v>0</v>
      </c>
      <c r="M35" s="10">
        <f t="shared" si="14"/>
        <v>0</v>
      </c>
      <c r="N35" s="10">
        <f t="shared" si="14"/>
        <v>0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1.25" customHeight="1" outlineLevel="1">
      <c r="A36" s="11" t="s">
        <v>46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>
        <f t="shared" ref="N36:N51" si="15">B36+C36+D36+E36+F36+G36+H36+I36+J36+K36+L36+M36</f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 outlineLevel="1">
      <c r="A37" s="11" t="s">
        <v>47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2">
        <f t="shared" si="15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 outlineLevel="1">
      <c r="A38" s="11" t="s">
        <v>48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2">
        <f t="shared" si="15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 outlineLevel="1">
      <c r="A39" s="11" t="s">
        <v>49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2">
        <f t="shared" si="15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7" t="s">
        <v>50</v>
      </c>
      <c r="B40" s="10">
        <f t="shared" ref="B40:M40" si="16">B41+B42+B43</f>
        <v>0</v>
      </c>
      <c r="C40" s="10">
        <f t="shared" si="16"/>
        <v>0</v>
      </c>
      <c r="D40" s="10">
        <f t="shared" si="16"/>
        <v>0</v>
      </c>
      <c r="E40" s="10">
        <f t="shared" si="16"/>
        <v>0</v>
      </c>
      <c r="F40" s="10">
        <f t="shared" si="16"/>
        <v>0</v>
      </c>
      <c r="G40" s="10">
        <f t="shared" si="16"/>
        <v>0</v>
      </c>
      <c r="H40" s="10">
        <f t="shared" si="16"/>
        <v>0</v>
      </c>
      <c r="I40" s="10">
        <f t="shared" si="16"/>
        <v>0</v>
      </c>
      <c r="J40" s="10">
        <f t="shared" si="16"/>
        <v>0</v>
      </c>
      <c r="K40" s="10">
        <f t="shared" si="16"/>
        <v>0</v>
      </c>
      <c r="L40" s="10">
        <f t="shared" si="16"/>
        <v>0</v>
      </c>
      <c r="M40" s="10">
        <f t="shared" si="16"/>
        <v>0</v>
      </c>
      <c r="N40" s="10">
        <f t="shared" si="15"/>
        <v>0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1.25" customHeight="1" outlineLevel="1">
      <c r="A41" s="11" t="s">
        <v>51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>
        <f t="shared" si="15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 outlineLevel="1">
      <c r="A42" s="11" t="s">
        <v>52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>
        <f t="shared" si="15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 outlineLevel="1">
      <c r="A43" s="11" t="s">
        <v>53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>
        <f t="shared" si="15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>
      <c r="A44" s="7" t="s">
        <v>54</v>
      </c>
      <c r="B44" s="10">
        <f t="shared" ref="B44:M44" si="17">B45+B46</f>
        <v>0</v>
      </c>
      <c r="C44" s="10">
        <f t="shared" si="17"/>
        <v>0</v>
      </c>
      <c r="D44" s="10">
        <f t="shared" si="17"/>
        <v>0</v>
      </c>
      <c r="E44" s="10">
        <f t="shared" si="17"/>
        <v>0</v>
      </c>
      <c r="F44" s="10">
        <f t="shared" si="17"/>
        <v>0</v>
      </c>
      <c r="G44" s="10">
        <f t="shared" si="17"/>
        <v>0</v>
      </c>
      <c r="H44" s="10">
        <f t="shared" si="17"/>
        <v>0</v>
      </c>
      <c r="I44" s="10">
        <f t="shared" si="17"/>
        <v>0</v>
      </c>
      <c r="J44" s="10">
        <f t="shared" si="17"/>
        <v>0</v>
      </c>
      <c r="K44" s="10">
        <f t="shared" si="17"/>
        <v>0</v>
      </c>
      <c r="L44" s="10">
        <f t="shared" si="17"/>
        <v>0</v>
      </c>
      <c r="M44" s="10">
        <f t="shared" si="17"/>
        <v>0</v>
      </c>
      <c r="N44" s="10">
        <f t="shared" si="15"/>
        <v>0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1.25" customHeight="1" outlineLevel="1">
      <c r="A45" s="11" t="s">
        <v>55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>
        <f t="shared" si="15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 outlineLevel="1">
      <c r="A46" s="11" t="s">
        <v>56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2">
        <f t="shared" si="15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>
      <c r="A47" s="7" t="s">
        <v>57</v>
      </c>
      <c r="B47" s="10">
        <f t="shared" ref="B47:M47" si="18">SUM(B48:B51)</f>
        <v>0</v>
      </c>
      <c r="C47" s="10">
        <f t="shared" si="18"/>
        <v>0</v>
      </c>
      <c r="D47" s="10">
        <f t="shared" si="18"/>
        <v>0</v>
      </c>
      <c r="E47" s="10">
        <f t="shared" si="18"/>
        <v>0</v>
      </c>
      <c r="F47" s="10">
        <f t="shared" si="18"/>
        <v>0</v>
      </c>
      <c r="G47" s="10">
        <f t="shared" si="18"/>
        <v>0</v>
      </c>
      <c r="H47" s="10">
        <f t="shared" si="18"/>
        <v>0</v>
      </c>
      <c r="I47" s="10">
        <f t="shared" si="18"/>
        <v>0</v>
      </c>
      <c r="J47" s="10">
        <f t="shared" si="18"/>
        <v>0</v>
      </c>
      <c r="K47" s="10">
        <f t="shared" si="18"/>
        <v>0</v>
      </c>
      <c r="L47" s="10">
        <f t="shared" si="18"/>
        <v>0</v>
      </c>
      <c r="M47" s="10">
        <f t="shared" si="18"/>
        <v>0</v>
      </c>
      <c r="N47" s="10">
        <f t="shared" si="15"/>
        <v>0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1.25" customHeight="1" outlineLevel="1">
      <c r="A48" s="11" t="s">
        <v>58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2">
        <f t="shared" si="15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 outlineLevel="1">
      <c r="A49" s="11" t="s">
        <v>59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2">
        <f t="shared" si="15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 outlineLevel="1">
      <c r="A50" s="11" t="s">
        <v>60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2">
        <f t="shared" si="15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 outlineLevel="1">
      <c r="A51" s="11" t="s">
        <v>61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2">
        <f t="shared" si="15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7" t="s">
        <v>62</v>
      </c>
      <c r="B52" s="10">
        <f t="shared" ref="B52:N52" si="19">B53+B54+B55+B56+B57+B58+B59+B60+B61</f>
        <v>0</v>
      </c>
      <c r="C52" s="10">
        <f t="shared" si="19"/>
        <v>0</v>
      </c>
      <c r="D52" s="10">
        <f t="shared" si="19"/>
        <v>0</v>
      </c>
      <c r="E52" s="10">
        <f t="shared" si="19"/>
        <v>0</v>
      </c>
      <c r="F52" s="10">
        <f t="shared" si="19"/>
        <v>0</v>
      </c>
      <c r="G52" s="10">
        <f t="shared" si="19"/>
        <v>0</v>
      </c>
      <c r="H52" s="10">
        <f t="shared" si="19"/>
        <v>0</v>
      </c>
      <c r="I52" s="10">
        <f t="shared" si="19"/>
        <v>0</v>
      </c>
      <c r="J52" s="10">
        <f t="shared" si="19"/>
        <v>0</v>
      </c>
      <c r="K52" s="10">
        <f t="shared" si="19"/>
        <v>0</v>
      </c>
      <c r="L52" s="10">
        <f t="shared" si="19"/>
        <v>0</v>
      </c>
      <c r="M52" s="10">
        <f t="shared" si="19"/>
        <v>0</v>
      </c>
      <c r="N52" s="10">
        <f t="shared" si="19"/>
        <v>0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1.25" customHeight="1" outlineLevel="1">
      <c r="A53" s="11" t="s">
        <v>63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>
        <f t="shared" ref="N53:N67" si="20">B53+C53+D53+E53+F53+G53+H53+I53+J53+K53+L53+M53</f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 outlineLevel="1">
      <c r="A54" s="11" t="s">
        <v>64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>
        <f t="shared" si="20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 outlineLevel="1">
      <c r="A55" s="11" t="s">
        <v>65</v>
      </c>
      <c r="B55" s="12"/>
      <c r="C55" s="12"/>
      <c r="D55" s="12"/>
      <c r="E55" s="14"/>
      <c r="F55" s="12"/>
      <c r="G55" s="12"/>
      <c r="H55" s="12"/>
      <c r="I55" s="12"/>
      <c r="J55" s="12"/>
      <c r="K55" s="12"/>
      <c r="L55" s="12"/>
      <c r="M55" s="12"/>
      <c r="N55" s="12">
        <f t="shared" si="20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 outlineLevel="1">
      <c r="A56" s="11" t="s">
        <v>66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>
        <f t="shared" si="20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 outlineLevel="1">
      <c r="A57" s="11" t="s">
        <v>67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>
        <f t="shared" si="20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 outlineLevel="1">
      <c r="A58" s="11" t="s">
        <v>68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>
        <f t="shared" si="20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 outlineLevel="1">
      <c r="A59" s="11" t="s">
        <v>69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>
        <f t="shared" si="20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 outlineLevel="1">
      <c r="A60" s="11" t="s">
        <v>70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>
        <f t="shared" si="20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 outlineLevel="1">
      <c r="A61" s="11" t="s">
        <v>71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>
        <f t="shared" si="20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7" t="s">
        <v>72</v>
      </c>
      <c r="B62" s="10">
        <f t="shared" ref="B62:M62" si="21">SUM(B63:B65)</f>
        <v>0</v>
      </c>
      <c r="C62" s="10">
        <f t="shared" si="21"/>
        <v>0</v>
      </c>
      <c r="D62" s="10">
        <f t="shared" si="21"/>
        <v>0</v>
      </c>
      <c r="E62" s="10">
        <f t="shared" si="21"/>
        <v>0</v>
      </c>
      <c r="F62" s="10">
        <f t="shared" si="21"/>
        <v>0</v>
      </c>
      <c r="G62" s="10">
        <f t="shared" si="21"/>
        <v>0</v>
      </c>
      <c r="H62" s="10">
        <f t="shared" si="21"/>
        <v>0</v>
      </c>
      <c r="I62" s="10">
        <f t="shared" si="21"/>
        <v>0</v>
      </c>
      <c r="J62" s="10">
        <f t="shared" si="21"/>
        <v>0</v>
      </c>
      <c r="K62" s="10">
        <f t="shared" si="21"/>
        <v>0</v>
      </c>
      <c r="L62" s="10">
        <f t="shared" si="21"/>
        <v>0</v>
      </c>
      <c r="M62" s="10">
        <f t="shared" si="21"/>
        <v>0</v>
      </c>
      <c r="N62" s="10">
        <f t="shared" si="20"/>
        <v>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1.25" customHeight="1">
      <c r="A63" s="11" t="s">
        <v>73</v>
      </c>
      <c r="B63" s="10">
        <v>0.0</v>
      </c>
      <c r="C63" s="10">
        <v>0.0</v>
      </c>
      <c r="D63" s="10">
        <v>0.0</v>
      </c>
      <c r="E63" s="10">
        <v>0.0</v>
      </c>
      <c r="F63" s="10">
        <v>0.0</v>
      </c>
      <c r="G63" s="10">
        <v>0.0</v>
      </c>
      <c r="H63" s="10">
        <v>0.0</v>
      </c>
      <c r="I63" s="10">
        <v>0.0</v>
      </c>
      <c r="J63" s="10">
        <v>0.0</v>
      </c>
      <c r="K63" s="10">
        <v>0.0</v>
      </c>
      <c r="L63" s="10">
        <v>0.0</v>
      </c>
      <c r="M63" s="10">
        <v>0.0</v>
      </c>
      <c r="N63" s="10">
        <f t="shared" si="20"/>
        <v>0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1.25" customHeight="1">
      <c r="A64" s="11" t="s">
        <v>74</v>
      </c>
      <c r="B64" s="10">
        <v>0.0</v>
      </c>
      <c r="C64" s="10">
        <v>0.0</v>
      </c>
      <c r="D64" s="10">
        <v>0.0</v>
      </c>
      <c r="E64" s="10">
        <v>0.0</v>
      </c>
      <c r="F64" s="10">
        <v>0.0</v>
      </c>
      <c r="G64" s="10">
        <v>0.0</v>
      </c>
      <c r="H64" s="10">
        <v>0.0</v>
      </c>
      <c r="I64" s="10">
        <v>0.0</v>
      </c>
      <c r="J64" s="10">
        <v>0.0</v>
      </c>
      <c r="K64" s="10">
        <v>0.0</v>
      </c>
      <c r="L64" s="10">
        <v>0.0</v>
      </c>
      <c r="M64" s="10">
        <v>0.0</v>
      </c>
      <c r="N64" s="10">
        <f t="shared" si="20"/>
        <v>0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1.25" customHeight="1">
      <c r="A65" s="11" t="s">
        <v>75</v>
      </c>
      <c r="B65" s="10">
        <v>0.0</v>
      </c>
      <c r="C65" s="10">
        <v>0.0</v>
      </c>
      <c r="D65" s="10">
        <v>0.0</v>
      </c>
      <c r="E65" s="10">
        <v>0.0</v>
      </c>
      <c r="F65" s="10">
        <v>0.0</v>
      </c>
      <c r="G65" s="10">
        <v>0.0</v>
      </c>
      <c r="H65" s="10">
        <v>0.0</v>
      </c>
      <c r="I65" s="10">
        <v>0.0</v>
      </c>
      <c r="J65" s="10">
        <v>0.0</v>
      </c>
      <c r="K65" s="10">
        <v>0.0</v>
      </c>
      <c r="L65" s="10">
        <v>0.0</v>
      </c>
      <c r="M65" s="10">
        <v>0.0</v>
      </c>
      <c r="N65" s="10">
        <f t="shared" si="20"/>
        <v>0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1.25" customHeight="1">
      <c r="A66" s="7" t="s">
        <v>76</v>
      </c>
      <c r="B66" s="10">
        <f t="shared" ref="B66:M66" si="22">SUM(B67)</f>
        <v>0</v>
      </c>
      <c r="C66" s="10">
        <f t="shared" si="22"/>
        <v>0</v>
      </c>
      <c r="D66" s="10">
        <f t="shared" si="22"/>
        <v>0</v>
      </c>
      <c r="E66" s="10">
        <f t="shared" si="22"/>
        <v>0</v>
      </c>
      <c r="F66" s="10">
        <f t="shared" si="22"/>
        <v>0</v>
      </c>
      <c r="G66" s="10">
        <f t="shared" si="22"/>
        <v>0</v>
      </c>
      <c r="H66" s="10">
        <f t="shared" si="22"/>
        <v>0</v>
      </c>
      <c r="I66" s="10">
        <f t="shared" si="22"/>
        <v>0</v>
      </c>
      <c r="J66" s="10">
        <f t="shared" si="22"/>
        <v>0</v>
      </c>
      <c r="K66" s="10">
        <f t="shared" si="22"/>
        <v>0</v>
      </c>
      <c r="L66" s="10">
        <f t="shared" si="22"/>
        <v>0</v>
      </c>
      <c r="M66" s="10">
        <f t="shared" si="22"/>
        <v>0</v>
      </c>
      <c r="N66" s="10">
        <f t="shared" si="20"/>
        <v>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1.25" customHeight="1" outlineLevel="1">
      <c r="A67" s="11" t="s">
        <v>77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2">
        <f t="shared" si="20"/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16" t="s">
        <v>78</v>
      </c>
      <c r="B68" s="17">
        <f t="shared" ref="B68:N68" si="23">B4-B7</f>
        <v>0</v>
      </c>
      <c r="C68" s="17">
        <f t="shared" si="23"/>
        <v>0</v>
      </c>
      <c r="D68" s="17">
        <f t="shared" si="23"/>
        <v>0</v>
      </c>
      <c r="E68" s="17">
        <f t="shared" si="23"/>
        <v>0</v>
      </c>
      <c r="F68" s="17">
        <f t="shared" si="23"/>
        <v>0</v>
      </c>
      <c r="G68" s="17">
        <f t="shared" si="23"/>
        <v>0</v>
      </c>
      <c r="H68" s="17">
        <f t="shared" si="23"/>
        <v>0</v>
      </c>
      <c r="I68" s="17">
        <f t="shared" si="23"/>
        <v>0</v>
      </c>
      <c r="J68" s="17">
        <f t="shared" si="23"/>
        <v>0</v>
      </c>
      <c r="K68" s="17">
        <f t="shared" si="23"/>
        <v>0</v>
      </c>
      <c r="L68" s="17">
        <f t="shared" si="23"/>
        <v>0</v>
      </c>
      <c r="M68" s="17">
        <f t="shared" si="23"/>
        <v>0</v>
      </c>
      <c r="N68" s="17">
        <f t="shared" si="23"/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8" t="s">
        <v>79</v>
      </c>
      <c r="B69" s="9">
        <f t="shared" ref="B69:M69" si="24">B70+B71+B72</f>
        <v>0</v>
      </c>
      <c r="C69" s="9">
        <f t="shared" si="24"/>
        <v>0</v>
      </c>
      <c r="D69" s="9">
        <f t="shared" si="24"/>
        <v>0</v>
      </c>
      <c r="E69" s="9">
        <f t="shared" si="24"/>
        <v>0</v>
      </c>
      <c r="F69" s="9">
        <f t="shared" si="24"/>
        <v>0</v>
      </c>
      <c r="G69" s="9">
        <f t="shared" si="24"/>
        <v>0</v>
      </c>
      <c r="H69" s="9">
        <f t="shared" si="24"/>
        <v>0</v>
      </c>
      <c r="I69" s="9">
        <f t="shared" si="24"/>
        <v>0</v>
      </c>
      <c r="J69" s="9">
        <f t="shared" si="24"/>
        <v>0</v>
      </c>
      <c r="K69" s="9">
        <f t="shared" si="24"/>
        <v>0</v>
      </c>
      <c r="L69" s="9">
        <f t="shared" si="24"/>
        <v>0</v>
      </c>
      <c r="M69" s="9">
        <f t="shared" si="24"/>
        <v>0</v>
      </c>
      <c r="N69" s="9">
        <f t="shared" ref="N69:N72" si="25">B69+C69+D69+E69+F69+G69+H69+I69+J69+K69+L69+M69</f>
        <v>0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1.25" customHeight="1">
      <c r="A70" s="7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>
        <f t="shared" si="25"/>
        <v>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1.25" customHeight="1">
      <c r="A71" s="7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>
        <f t="shared" si="25"/>
        <v>0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1.25" customHeight="1">
      <c r="A72" s="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>
        <f t="shared" si="25"/>
        <v>0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1.25" customHeight="1">
      <c r="A73" s="8" t="s">
        <v>80</v>
      </c>
      <c r="B73" s="9">
        <f t="shared" ref="B73:N73" si="26">B74+B75+B76+B77</f>
        <v>0</v>
      </c>
      <c r="C73" s="9">
        <f t="shared" si="26"/>
        <v>0</v>
      </c>
      <c r="D73" s="9">
        <f t="shared" si="26"/>
        <v>0</v>
      </c>
      <c r="E73" s="9">
        <f t="shared" si="26"/>
        <v>0</v>
      </c>
      <c r="F73" s="9">
        <f t="shared" si="26"/>
        <v>0</v>
      </c>
      <c r="G73" s="9">
        <f t="shared" si="26"/>
        <v>0</v>
      </c>
      <c r="H73" s="9">
        <f t="shared" si="26"/>
        <v>0</v>
      </c>
      <c r="I73" s="9">
        <f t="shared" si="26"/>
        <v>0</v>
      </c>
      <c r="J73" s="9">
        <f t="shared" si="26"/>
        <v>0</v>
      </c>
      <c r="K73" s="9">
        <f t="shared" si="26"/>
        <v>0</v>
      </c>
      <c r="L73" s="9">
        <f t="shared" si="26"/>
        <v>0</v>
      </c>
      <c r="M73" s="9">
        <f t="shared" si="26"/>
        <v>0</v>
      </c>
      <c r="N73" s="9">
        <f t="shared" si="26"/>
        <v>0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1.25" customHeight="1">
      <c r="A74" s="7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>
        <f t="shared" ref="N74:N77" si="27">B74+C74+D74+E74+F74+G74+H74+I74+J74+K74+L74+M74</f>
        <v>0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1.25" customHeight="1">
      <c r="A75" s="7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>
        <f t="shared" si="27"/>
        <v>0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1.25" customHeight="1">
      <c r="A76" s="7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>
        <f t="shared" si="27"/>
        <v>0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1.25" customHeight="1">
      <c r="A77" s="7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>
        <f t="shared" si="27"/>
        <v>0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1.25" customHeight="1">
      <c r="A78" s="16" t="s">
        <v>81</v>
      </c>
      <c r="B78" s="17">
        <f t="shared" ref="B78:N78" si="28">B69-B73</f>
        <v>0</v>
      </c>
      <c r="C78" s="17">
        <f t="shared" si="28"/>
        <v>0</v>
      </c>
      <c r="D78" s="17">
        <f t="shared" si="28"/>
        <v>0</v>
      </c>
      <c r="E78" s="17">
        <f t="shared" si="28"/>
        <v>0</v>
      </c>
      <c r="F78" s="17">
        <f t="shared" si="28"/>
        <v>0</v>
      </c>
      <c r="G78" s="17">
        <f t="shared" si="28"/>
        <v>0</v>
      </c>
      <c r="H78" s="17">
        <f t="shared" si="28"/>
        <v>0</v>
      </c>
      <c r="I78" s="17">
        <f t="shared" si="28"/>
        <v>0</v>
      </c>
      <c r="J78" s="17">
        <f t="shared" si="28"/>
        <v>0</v>
      </c>
      <c r="K78" s="17">
        <f t="shared" si="28"/>
        <v>0</v>
      </c>
      <c r="L78" s="17">
        <f t="shared" si="28"/>
        <v>0</v>
      </c>
      <c r="M78" s="17">
        <f t="shared" si="28"/>
        <v>0</v>
      </c>
      <c r="N78" s="17">
        <f t="shared" si="28"/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8" t="s">
        <v>82</v>
      </c>
      <c r="B79" s="9">
        <f t="shared" ref="B79:M79" si="29">B80+B81+B82+B83</f>
        <v>0</v>
      </c>
      <c r="C79" s="9">
        <f t="shared" si="29"/>
        <v>0</v>
      </c>
      <c r="D79" s="9">
        <f t="shared" si="29"/>
        <v>0</v>
      </c>
      <c r="E79" s="9">
        <f t="shared" si="29"/>
        <v>0</v>
      </c>
      <c r="F79" s="9">
        <f t="shared" si="29"/>
        <v>0</v>
      </c>
      <c r="G79" s="9">
        <f t="shared" si="29"/>
        <v>0</v>
      </c>
      <c r="H79" s="9">
        <f t="shared" si="29"/>
        <v>0</v>
      </c>
      <c r="I79" s="9">
        <f t="shared" si="29"/>
        <v>0</v>
      </c>
      <c r="J79" s="9">
        <f t="shared" si="29"/>
        <v>0</v>
      </c>
      <c r="K79" s="9">
        <f t="shared" si="29"/>
        <v>0</v>
      </c>
      <c r="L79" s="9">
        <f t="shared" si="29"/>
        <v>0</v>
      </c>
      <c r="M79" s="9">
        <f t="shared" si="29"/>
        <v>0</v>
      </c>
      <c r="N79" s="9">
        <f t="shared" ref="N79:N88" si="30">B79+C79+D79+E79+F79+G79+H79+I79+J79+K79+L79+M79</f>
        <v>0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1.25" customHeight="1">
      <c r="A80" s="7" t="s">
        <v>83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>
        <f t="shared" si="30"/>
        <v>0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1.25" customHeight="1">
      <c r="A81" s="7" t="s">
        <v>84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>
        <f t="shared" si="30"/>
        <v>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1.25" customHeight="1">
      <c r="A82" s="7" t="s">
        <v>85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>
        <f t="shared" si="30"/>
        <v>0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1.25" customHeight="1">
      <c r="A83" s="7" t="s">
        <v>86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>
        <f t="shared" si="30"/>
        <v>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1.25" customHeight="1">
      <c r="A84" s="8" t="s">
        <v>87</v>
      </c>
      <c r="B84" s="9">
        <f t="shared" ref="B84:M84" si="31">SUM(B85:B88)</f>
        <v>0</v>
      </c>
      <c r="C84" s="9">
        <f t="shared" si="31"/>
        <v>0</v>
      </c>
      <c r="D84" s="9">
        <f t="shared" si="31"/>
        <v>0</v>
      </c>
      <c r="E84" s="9">
        <f t="shared" si="31"/>
        <v>0</v>
      </c>
      <c r="F84" s="9">
        <f t="shared" si="31"/>
        <v>0</v>
      </c>
      <c r="G84" s="9">
        <f t="shared" si="31"/>
        <v>0</v>
      </c>
      <c r="H84" s="9">
        <f t="shared" si="31"/>
        <v>0</v>
      </c>
      <c r="I84" s="9">
        <f t="shared" si="31"/>
        <v>0</v>
      </c>
      <c r="J84" s="9">
        <f t="shared" si="31"/>
        <v>0</v>
      </c>
      <c r="K84" s="9">
        <f t="shared" si="31"/>
        <v>0</v>
      </c>
      <c r="L84" s="9">
        <f t="shared" si="31"/>
        <v>0</v>
      </c>
      <c r="M84" s="9">
        <f t="shared" si="31"/>
        <v>0</v>
      </c>
      <c r="N84" s="9">
        <f t="shared" si="30"/>
        <v>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1.25" customHeight="1">
      <c r="A85" s="7" t="s">
        <v>88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>
        <f t="shared" si="30"/>
        <v>0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1.25" customHeight="1">
      <c r="A86" s="7" t="s">
        <v>89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>
        <f t="shared" si="30"/>
        <v>0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1.25" customHeight="1">
      <c r="A87" s="7" t="s">
        <v>90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>
        <f t="shared" si="30"/>
        <v>0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1.25" customHeight="1">
      <c r="A88" s="7" t="s">
        <v>91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>
        <f t="shared" si="30"/>
        <v>0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1.25" customHeight="1">
      <c r="A89" s="16" t="s">
        <v>92</v>
      </c>
      <c r="B89" s="17">
        <f t="shared" ref="B89:N89" si="32">B79-B84</f>
        <v>0</v>
      </c>
      <c r="C89" s="17">
        <f t="shared" si="32"/>
        <v>0</v>
      </c>
      <c r="D89" s="17">
        <f t="shared" si="32"/>
        <v>0</v>
      </c>
      <c r="E89" s="17">
        <f t="shared" si="32"/>
        <v>0</v>
      </c>
      <c r="F89" s="17">
        <f t="shared" si="32"/>
        <v>0</v>
      </c>
      <c r="G89" s="17">
        <f t="shared" si="32"/>
        <v>0</v>
      </c>
      <c r="H89" s="17">
        <f t="shared" si="32"/>
        <v>0</v>
      </c>
      <c r="I89" s="17">
        <f t="shared" si="32"/>
        <v>0</v>
      </c>
      <c r="J89" s="17">
        <f t="shared" si="32"/>
        <v>0</v>
      </c>
      <c r="K89" s="17">
        <f t="shared" si="32"/>
        <v>0</v>
      </c>
      <c r="L89" s="17">
        <f t="shared" si="32"/>
        <v>0</v>
      </c>
      <c r="M89" s="17">
        <f t="shared" si="32"/>
        <v>0</v>
      </c>
      <c r="N89" s="17">
        <f t="shared" si="32"/>
        <v>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8" t="s">
        <v>93</v>
      </c>
      <c r="B90" s="9" t="str">
        <f t="shared" ref="B90:M90" si="33">B91</f>
        <v/>
      </c>
      <c r="C90" s="9" t="str">
        <f t="shared" si="33"/>
        <v/>
      </c>
      <c r="D90" s="9" t="str">
        <f t="shared" si="33"/>
        <v/>
      </c>
      <c r="E90" s="9" t="str">
        <f t="shared" si="33"/>
        <v/>
      </c>
      <c r="F90" s="9" t="str">
        <f t="shared" si="33"/>
        <v/>
      </c>
      <c r="G90" s="9" t="str">
        <f t="shared" si="33"/>
        <v/>
      </c>
      <c r="H90" s="9" t="str">
        <f t="shared" si="33"/>
        <v/>
      </c>
      <c r="I90" s="9" t="str">
        <f t="shared" si="33"/>
        <v/>
      </c>
      <c r="J90" s="9" t="str">
        <f t="shared" si="33"/>
        <v/>
      </c>
      <c r="K90" s="9" t="str">
        <f t="shared" si="33"/>
        <v/>
      </c>
      <c r="L90" s="9" t="str">
        <f t="shared" si="33"/>
        <v/>
      </c>
      <c r="M90" s="9" t="str">
        <f t="shared" si="33"/>
        <v/>
      </c>
      <c r="N90" s="9">
        <f t="shared" ref="N90:N93" si="34">B90+C90+D90+E90+F90+G90+H90+I90+J90+K90+L90+M90</f>
        <v>0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1.25" customHeight="1">
      <c r="A91" s="7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>
        <f t="shared" si="34"/>
        <v>0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1.25" customHeight="1">
      <c r="A92" s="8" t="s">
        <v>94</v>
      </c>
      <c r="B92" s="9" t="str">
        <f t="shared" ref="B92:M92" si="35">B93</f>
        <v/>
      </c>
      <c r="C92" s="9" t="str">
        <f t="shared" si="35"/>
        <v/>
      </c>
      <c r="D92" s="9" t="str">
        <f t="shared" si="35"/>
        <v/>
      </c>
      <c r="E92" s="9" t="str">
        <f t="shared" si="35"/>
        <v/>
      </c>
      <c r="F92" s="9" t="str">
        <f t="shared" si="35"/>
        <v/>
      </c>
      <c r="G92" s="9" t="str">
        <f t="shared" si="35"/>
        <v/>
      </c>
      <c r="H92" s="9" t="str">
        <f t="shared" si="35"/>
        <v/>
      </c>
      <c r="I92" s="9" t="str">
        <f t="shared" si="35"/>
        <v/>
      </c>
      <c r="J92" s="9" t="str">
        <f t="shared" si="35"/>
        <v/>
      </c>
      <c r="K92" s="9" t="str">
        <f t="shared" si="35"/>
        <v/>
      </c>
      <c r="L92" s="9" t="str">
        <f t="shared" si="35"/>
        <v/>
      </c>
      <c r="M92" s="9" t="str">
        <f t="shared" si="35"/>
        <v/>
      </c>
      <c r="N92" s="9">
        <f t="shared" si="34"/>
        <v>0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1.25" customHeight="1">
      <c r="A93" s="7" t="s">
        <v>95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>
        <f t="shared" si="34"/>
        <v>0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1.25" customHeight="1">
      <c r="A94" s="16" t="s">
        <v>96</v>
      </c>
      <c r="B94" s="17">
        <f t="shared" ref="B94:N94" si="36">B90-B92</f>
        <v>0</v>
      </c>
      <c r="C94" s="17">
        <f t="shared" si="36"/>
        <v>0</v>
      </c>
      <c r="D94" s="17">
        <f t="shared" si="36"/>
        <v>0</v>
      </c>
      <c r="E94" s="17">
        <f t="shared" si="36"/>
        <v>0</v>
      </c>
      <c r="F94" s="17">
        <f t="shared" si="36"/>
        <v>0</v>
      </c>
      <c r="G94" s="17">
        <f t="shared" si="36"/>
        <v>0</v>
      </c>
      <c r="H94" s="17">
        <f t="shared" si="36"/>
        <v>0</v>
      </c>
      <c r="I94" s="17">
        <f t="shared" si="36"/>
        <v>0</v>
      </c>
      <c r="J94" s="17">
        <f t="shared" si="36"/>
        <v>0</v>
      </c>
      <c r="K94" s="17">
        <f t="shared" si="36"/>
        <v>0</v>
      </c>
      <c r="L94" s="17">
        <f t="shared" si="36"/>
        <v>0</v>
      </c>
      <c r="M94" s="17">
        <f t="shared" si="36"/>
        <v>0</v>
      </c>
      <c r="N94" s="17">
        <f t="shared" si="36"/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18" t="s">
        <v>97</v>
      </c>
      <c r="B95" s="6">
        <f t="shared" ref="B95:N95" si="37">B4+B69+B79+B90</f>
        <v>0</v>
      </c>
      <c r="C95" s="6">
        <f t="shared" si="37"/>
        <v>0</v>
      </c>
      <c r="D95" s="6">
        <f t="shared" si="37"/>
        <v>0</v>
      </c>
      <c r="E95" s="6">
        <f t="shared" si="37"/>
        <v>0</v>
      </c>
      <c r="F95" s="6">
        <f t="shared" si="37"/>
        <v>0</v>
      </c>
      <c r="G95" s="6">
        <f t="shared" si="37"/>
        <v>0</v>
      </c>
      <c r="H95" s="6">
        <f t="shared" si="37"/>
        <v>0</v>
      </c>
      <c r="I95" s="6">
        <f t="shared" si="37"/>
        <v>0</v>
      </c>
      <c r="J95" s="6">
        <f t="shared" si="37"/>
        <v>0</v>
      </c>
      <c r="K95" s="6">
        <f t="shared" si="37"/>
        <v>0</v>
      </c>
      <c r="L95" s="6">
        <f t="shared" si="37"/>
        <v>0</v>
      </c>
      <c r="M95" s="6">
        <f t="shared" si="37"/>
        <v>0</v>
      </c>
      <c r="N95" s="6">
        <f t="shared" si="37"/>
        <v>0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1.25" customHeight="1">
      <c r="A96" s="18" t="s">
        <v>98</v>
      </c>
      <c r="B96" s="6">
        <f t="shared" ref="B96:N96" si="38">B7+B73+B84+B92</f>
        <v>0</v>
      </c>
      <c r="C96" s="6">
        <f t="shared" si="38"/>
        <v>0</v>
      </c>
      <c r="D96" s="6">
        <f t="shared" si="38"/>
        <v>0</v>
      </c>
      <c r="E96" s="6">
        <f t="shared" si="38"/>
        <v>0</v>
      </c>
      <c r="F96" s="6">
        <f t="shared" si="38"/>
        <v>0</v>
      </c>
      <c r="G96" s="6">
        <f t="shared" si="38"/>
        <v>0</v>
      </c>
      <c r="H96" s="6">
        <f t="shared" si="38"/>
        <v>0</v>
      </c>
      <c r="I96" s="6">
        <f t="shared" si="38"/>
        <v>0</v>
      </c>
      <c r="J96" s="6">
        <f t="shared" si="38"/>
        <v>0</v>
      </c>
      <c r="K96" s="6">
        <f t="shared" si="38"/>
        <v>0</v>
      </c>
      <c r="L96" s="6">
        <f t="shared" si="38"/>
        <v>0</v>
      </c>
      <c r="M96" s="6">
        <f t="shared" si="38"/>
        <v>0</v>
      </c>
      <c r="N96" s="6">
        <f t="shared" si="38"/>
        <v>0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1.25" customHeight="1">
      <c r="A97" s="18" t="s">
        <v>99</v>
      </c>
      <c r="B97" s="6">
        <f t="shared" ref="B97:N97" si="39">B95-B96</f>
        <v>0</v>
      </c>
      <c r="C97" s="6">
        <f t="shared" si="39"/>
        <v>0</v>
      </c>
      <c r="D97" s="6">
        <f t="shared" si="39"/>
        <v>0</v>
      </c>
      <c r="E97" s="6">
        <f t="shared" si="39"/>
        <v>0</v>
      </c>
      <c r="F97" s="6">
        <f t="shared" si="39"/>
        <v>0</v>
      </c>
      <c r="G97" s="6">
        <f t="shared" si="39"/>
        <v>0</v>
      </c>
      <c r="H97" s="6">
        <f t="shared" si="39"/>
        <v>0</v>
      </c>
      <c r="I97" s="6">
        <f t="shared" si="39"/>
        <v>0</v>
      </c>
      <c r="J97" s="6">
        <f t="shared" si="39"/>
        <v>0</v>
      </c>
      <c r="K97" s="6">
        <f t="shared" si="39"/>
        <v>0</v>
      </c>
      <c r="L97" s="6">
        <f t="shared" si="39"/>
        <v>0</v>
      </c>
      <c r="M97" s="6">
        <f t="shared" si="39"/>
        <v>0</v>
      </c>
      <c r="N97" s="6">
        <f t="shared" si="39"/>
        <v>0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1.25" customHeight="1">
      <c r="A98" s="18" t="s">
        <v>100</v>
      </c>
      <c r="B98" s="6">
        <f t="shared" ref="B98:N98" si="40">B3+B97</f>
        <v>0</v>
      </c>
      <c r="C98" s="6">
        <f t="shared" si="40"/>
        <v>0</v>
      </c>
      <c r="D98" s="6">
        <f t="shared" si="40"/>
        <v>0</v>
      </c>
      <c r="E98" s="6">
        <f t="shared" si="40"/>
        <v>0</v>
      </c>
      <c r="F98" s="6">
        <f t="shared" si="40"/>
        <v>0</v>
      </c>
      <c r="G98" s="6">
        <f t="shared" si="40"/>
        <v>0</v>
      </c>
      <c r="H98" s="6">
        <f t="shared" si="40"/>
        <v>0</v>
      </c>
      <c r="I98" s="6">
        <f t="shared" si="40"/>
        <v>0</v>
      </c>
      <c r="J98" s="6">
        <f t="shared" si="40"/>
        <v>0</v>
      </c>
      <c r="K98" s="6">
        <f t="shared" si="40"/>
        <v>0</v>
      </c>
      <c r="L98" s="6">
        <f t="shared" si="40"/>
        <v>0</v>
      </c>
      <c r="M98" s="6">
        <f t="shared" si="40"/>
        <v>0</v>
      </c>
      <c r="N98" s="6">
        <f t="shared" si="40"/>
        <v>0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1.25" customHeight="1">
      <c r="A99" s="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">
    <mergeCell ref="A1:N1"/>
  </mergeCells>
  <printOptions/>
  <pageMargins bottom="0.15748031496062992" footer="0.0" header="0.0" left="0.31496062992125984" right="0.31496062992125984" top="0.1574803149606299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2.86"/>
    <col customWidth="1" min="2" max="13" width="14.29"/>
    <col customWidth="1" min="14" max="16" width="9.14"/>
  </cols>
  <sheetData>
    <row r="1" ht="11.25" customHeight="1">
      <c r="A1" s="19" t="s">
        <v>101</v>
      </c>
      <c r="N1" s="20"/>
      <c r="O1" s="20"/>
      <c r="P1" s="20"/>
    </row>
    <row r="2" ht="25.5" customHeight="1">
      <c r="A2" s="3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2"/>
      <c r="O2" s="2"/>
      <c r="P2" s="2"/>
    </row>
    <row r="3" ht="11.25" customHeight="1">
      <c r="A3" s="22" t="s">
        <v>102</v>
      </c>
      <c r="B3" s="23">
        <f t="shared" ref="B3:M3" si="1">B4+B8</f>
        <v>0</v>
      </c>
      <c r="C3" s="23">
        <f t="shared" si="1"/>
        <v>0</v>
      </c>
      <c r="D3" s="23">
        <f t="shared" si="1"/>
        <v>0</v>
      </c>
      <c r="E3" s="23">
        <f t="shared" si="1"/>
        <v>0</v>
      </c>
      <c r="F3" s="23">
        <f t="shared" si="1"/>
        <v>0</v>
      </c>
      <c r="G3" s="23">
        <f t="shared" si="1"/>
        <v>0</v>
      </c>
      <c r="H3" s="23">
        <f t="shared" si="1"/>
        <v>0</v>
      </c>
      <c r="I3" s="23">
        <f t="shared" si="1"/>
        <v>0</v>
      </c>
      <c r="J3" s="23">
        <f t="shared" si="1"/>
        <v>0</v>
      </c>
      <c r="K3" s="23">
        <f t="shared" si="1"/>
        <v>0</v>
      </c>
      <c r="L3" s="23">
        <f t="shared" si="1"/>
        <v>0</v>
      </c>
      <c r="M3" s="23">
        <f t="shared" si="1"/>
        <v>0</v>
      </c>
      <c r="N3" s="24"/>
      <c r="O3" s="24"/>
      <c r="P3" s="24"/>
    </row>
    <row r="4" ht="30.0" customHeight="1">
      <c r="A4" s="25" t="s">
        <v>103</v>
      </c>
      <c r="B4" s="26">
        <f t="shared" ref="B4:M4" si="2">SUM(B5:B7)</f>
        <v>0</v>
      </c>
      <c r="C4" s="26">
        <f t="shared" si="2"/>
        <v>0</v>
      </c>
      <c r="D4" s="26">
        <f t="shared" si="2"/>
        <v>0</v>
      </c>
      <c r="E4" s="26">
        <f t="shared" si="2"/>
        <v>0</v>
      </c>
      <c r="F4" s="26">
        <f t="shared" si="2"/>
        <v>0</v>
      </c>
      <c r="G4" s="26">
        <f t="shared" si="2"/>
        <v>0</v>
      </c>
      <c r="H4" s="26">
        <f t="shared" si="2"/>
        <v>0</v>
      </c>
      <c r="I4" s="26">
        <f t="shared" si="2"/>
        <v>0</v>
      </c>
      <c r="J4" s="26">
        <f t="shared" si="2"/>
        <v>0</v>
      </c>
      <c r="K4" s="26">
        <f t="shared" si="2"/>
        <v>0</v>
      </c>
      <c r="L4" s="26">
        <f t="shared" si="2"/>
        <v>0</v>
      </c>
      <c r="M4" s="26">
        <f t="shared" si="2"/>
        <v>0</v>
      </c>
      <c r="N4" s="2"/>
      <c r="O4" s="2"/>
      <c r="P4" s="2"/>
    </row>
    <row r="5" ht="12.75" customHeight="1">
      <c r="A5" s="27" t="s">
        <v>104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"/>
      <c r="O5" s="2"/>
      <c r="P5" s="2"/>
    </row>
    <row r="6" ht="12.75" customHeight="1">
      <c r="A6" s="27" t="s">
        <v>105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"/>
      <c r="O6" s="2"/>
      <c r="P6" s="2"/>
    </row>
    <row r="7" ht="12.75" customHeight="1">
      <c r="A7" s="27" t="s">
        <v>106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"/>
      <c r="O7" s="2"/>
      <c r="P7" s="2"/>
    </row>
    <row r="8" ht="12.75" customHeight="1">
      <c r="A8" s="25" t="s">
        <v>107</v>
      </c>
      <c r="B8" s="26">
        <f t="shared" ref="B8:M8" si="3">SUM(B9:B13)</f>
        <v>0</v>
      </c>
      <c r="C8" s="26">
        <f t="shared" si="3"/>
        <v>0</v>
      </c>
      <c r="D8" s="26">
        <f t="shared" si="3"/>
        <v>0</v>
      </c>
      <c r="E8" s="26">
        <f t="shared" si="3"/>
        <v>0</v>
      </c>
      <c r="F8" s="26">
        <f t="shared" si="3"/>
        <v>0</v>
      </c>
      <c r="G8" s="26">
        <f t="shared" si="3"/>
        <v>0</v>
      </c>
      <c r="H8" s="26">
        <f t="shared" si="3"/>
        <v>0</v>
      </c>
      <c r="I8" s="26">
        <f t="shared" si="3"/>
        <v>0</v>
      </c>
      <c r="J8" s="26">
        <f t="shared" si="3"/>
        <v>0</v>
      </c>
      <c r="K8" s="26">
        <f t="shared" si="3"/>
        <v>0</v>
      </c>
      <c r="L8" s="26">
        <f t="shared" si="3"/>
        <v>0</v>
      </c>
      <c r="M8" s="26">
        <f t="shared" si="3"/>
        <v>0</v>
      </c>
      <c r="N8" s="2"/>
      <c r="O8" s="2"/>
      <c r="P8" s="2"/>
    </row>
    <row r="9" ht="12.75" customHeight="1">
      <c r="A9" s="27" t="s">
        <v>108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"/>
      <c r="O9" s="2"/>
      <c r="P9" s="2"/>
    </row>
    <row r="10" ht="11.25" customHeight="1">
      <c r="A10" s="27" t="s">
        <v>109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"/>
      <c r="O10" s="2"/>
      <c r="P10" s="2"/>
    </row>
    <row r="11" ht="11.25" customHeight="1">
      <c r="A11" s="27" t="s">
        <v>110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"/>
      <c r="O11" s="2"/>
      <c r="P11" s="2"/>
    </row>
    <row r="12" ht="11.25" customHeight="1">
      <c r="A12" s="27" t="s">
        <v>111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"/>
      <c r="O12" s="2"/>
      <c r="P12" s="2"/>
    </row>
    <row r="13" ht="11.25" customHeight="1">
      <c r="A13" s="27" t="s">
        <v>112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"/>
      <c r="O13" s="2"/>
      <c r="P13" s="2"/>
    </row>
    <row r="14" ht="12.75" customHeight="1">
      <c r="A14" s="22" t="s">
        <v>113</v>
      </c>
      <c r="B14" s="29">
        <f t="shared" ref="B14:M14" si="4">B15+B20+B24</f>
        <v>0</v>
      </c>
      <c r="C14" s="29">
        <f t="shared" si="4"/>
        <v>0</v>
      </c>
      <c r="D14" s="29">
        <f t="shared" si="4"/>
        <v>0</v>
      </c>
      <c r="E14" s="29">
        <f t="shared" si="4"/>
        <v>0</v>
      </c>
      <c r="F14" s="29">
        <f t="shared" si="4"/>
        <v>0</v>
      </c>
      <c r="G14" s="29">
        <f t="shared" si="4"/>
        <v>0</v>
      </c>
      <c r="H14" s="29">
        <f t="shared" si="4"/>
        <v>0</v>
      </c>
      <c r="I14" s="29">
        <f t="shared" si="4"/>
        <v>0</v>
      </c>
      <c r="J14" s="29">
        <f t="shared" si="4"/>
        <v>0</v>
      </c>
      <c r="K14" s="29">
        <f t="shared" si="4"/>
        <v>0</v>
      </c>
      <c r="L14" s="29">
        <f t="shared" si="4"/>
        <v>0</v>
      </c>
      <c r="M14" s="29">
        <f t="shared" si="4"/>
        <v>0</v>
      </c>
      <c r="N14" s="2"/>
      <c r="O14" s="2"/>
      <c r="P14" s="2"/>
    </row>
    <row r="15" ht="12.75" customHeight="1">
      <c r="A15" s="30" t="s">
        <v>114</v>
      </c>
      <c r="B15" s="26">
        <f t="shared" ref="B15:M15" si="5">SUM(B16:B19)</f>
        <v>0</v>
      </c>
      <c r="C15" s="26">
        <f t="shared" si="5"/>
        <v>0</v>
      </c>
      <c r="D15" s="26">
        <f t="shared" si="5"/>
        <v>0</v>
      </c>
      <c r="E15" s="26">
        <f t="shared" si="5"/>
        <v>0</v>
      </c>
      <c r="F15" s="26">
        <f t="shared" si="5"/>
        <v>0</v>
      </c>
      <c r="G15" s="26">
        <f t="shared" si="5"/>
        <v>0</v>
      </c>
      <c r="H15" s="26">
        <f t="shared" si="5"/>
        <v>0</v>
      </c>
      <c r="I15" s="26">
        <f t="shared" si="5"/>
        <v>0</v>
      </c>
      <c r="J15" s="26">
        <f t="shared" si="5"/>
        <v>0</v>
      </c>
      <c r="K15" s="26">
        <f t="shared" si="5"/>
        <v>0</v>
      </c>
      <c r="L15" s="26">
        <f t="shared" si="5"/>
        <v>0</v>
      </c>
      <c r="M15" s="26">
        <f t="shared" si="5"/>
        <v>0</v>
      </c>
      <c r="N15" s="2"/>
      <c r="O15" s="2"/>
      <c r="P15" s="2"/>
    </row>
    <row r="16" ht="11.25" customHeight="1">
      <c r="A16" s="27" t="s">
        <v>115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"/>
      <c r="O16" s="2"/>
      <c r="P16" s="2"/>
    </row>
    <row r="17" ht="11.25" customHeight="1">
      <c r="A17" s="27" t="s">
        <v>116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"/>
      <c r="O17" s="2"/>
      <c r="P17" s="2"/>
    </row>
    <row r="18" ht="11.25" customHeight="1">
      <c r="A18" s="27" t="s">
        <v>117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"/>
      <c r="O18" s="2"/>
      <c r="P18" s="2"/>
    </row>
    <row r="19" ht="11.25" customHeight="1">
      <c r="A19" s="27" t="s">
        <v>118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"/>
      <c r="O19" s="2"/>
      <c r="P19" s="2"/>
    </row>
    <row r="20" ht="12.75" customHeight="1">
      <c r="A20" s="25" t="s">
        <v>119</v>
      </c>
      <c r="B20" s="26">
        <f t="shared" ref="B20:M20" si="6">SUM(B21:B23)</f>
        <v>0</v>
      </c>
      <c r="C20" s="26">
        <f t="shared" si="6"/>
        <v>0</v>
      </c>
      <c r="D20" s="26">
        <f t="shared" si="6"/>
        <v>0</v>
      </c>
      <c r="E20" s="26">
        <f t="shared" si="6"/>
        <v>0</v>
      </c>
      <c r="F20" s="26">
        <f t="shared" si="6"/>
        <v>0</v>
      </c>
      <c r="G20" s="26">
        <f t="shared" si="6"/>
        <v>0</v>
      </c>
      <c r="H20" s="26">
        <f t="shared" si="6"/>
        <v>0</v>
      </c>
      <c r="I20" s="26">
        <f t="shared" si="6"/>
        <v>0</v>
      </c>
      <c r="J20" s="26">
        <f t="shared" si="6"/>
        <v>0</v>
      </c>
      <c r="K20" s="26">
        <f t="shared" si="6"/>
        <v>0</v>
      </c>
      <c r="L20" s="26">
        <f t="shared" si="6"/>
        <v>0</v>
      </c>
      <c r="M20" s="26">
        <f t="shared" si="6"/>
        <v>0</v>
      </c>
      <c r="N20" s="2"/>
      <c r="O20" s="2"/>
      <c r="P20" s="2"/>
    </row>
    <row r="21" ht="11.25" customHeight="1">
      <c r="A21" s="27" t="s">
        <v>120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"/>
      <c r="O21" s="2"/>
      <c r="P21" s="2"/>
    </row>
    <row r="22" ht="11.25" customHeight="1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"/>
      <c r="O22" s="2"/>
      <c r="P22" s="2"/>
    </row>
    <row r="23" ht="11.25" customHeight="1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"/>
      <c r="O23" s="2"/>
      <c r="P23" s="2"/>
    </row>
    <row r="24" ht="12.75" customHeight="1">
      <c r="A24" s="25" t="s">
        <v>121</v>
      </c>
      <c r="B24" s="26">
        <f t="shared" ref="B24:M24" si="7">SUM(B25:B29)</f>
        <v>0</v>
      </c>
      <c r="C24" s="26">
        <f t="shared" si="7"/>
        <v>0</v>
      </c>
      <c r="D24" s="26">
        <f t="shared" si="7"/>
        <v>0</v>
      </c>
      <c r="E24" s="26">
        <f t="shared" si="7"/>
        <v>0</v>
      </c>
      <c r="F24" s="26">
        <f t="shared" si="7"/>
        <v>0</v>
      </c>
      <c r="G24" s="26">
        <f t="shared" si="7"/>
        <v>0</v>
      </c>
      <c r="H24" s="26">
        <f t="shared" si="7"/>
        <v>0</v>
      </c>
      <c r="I24" s="26">
        <f t="shared" si="7"/>
        <v>0</v>
      </c>
      <c r="J24" s="26">
        <f t="shared" si="7"/>
        <v>0</v>
      </c>
      <c r="K24" s="26">
        <f t="shared" si="7"/>
        <v>0</v>
      </c>
      <c r="L24" s="26">
        <f t="shared" si="7"/>
        <v>0</v>
      </c>
      <c r="M24" s="26">
        <f t="shared" si="7"/>
        <v>0</v>
      </c>
      <c r="N24" s="2"/>
      <c r="O24" s="2"/>
      <c r="P24" s="2"/>
    </row>
    <row r="25" ht="11.25" customHeight="1">
      <c r="A25" s="27" t="s">
        <v>122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"/>
      <c r="O25" s="2"/>
      <c r="P25" s="2"/>
    </row>
    <row r="26" ht="11.25" customHeight="1">
      <c r="A26" s="27" t="s">
        <v>123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"/>
      <c r="O26" s="2"/>
      <c r="P26" s="2"/>
    </row>
    <row r="27" ht="11.25" customHeight="1">
      <c r="A27" s="27" t="s">
        <v>124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"/>
      <c r="O27" s="2"/>
      <c r="P27" s="2"/>
    </row>
    <row r="28" ht="11.25" customHeight="1">
      <c r="A28" s="27" t="s">
        <v>125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"/>
      <c r="O28" s="2"/>
      <c r="P28" s="2"/>
    </row>
    <row r="29" ht="1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ht="12.75" customHeight="1">
      <c r="A30" s="22" t="s">
        <v>126</v>
      </c>
      <c r="B30" s="29" t="str">
        <f t="shared" ref="B30:M30" si="8">IF(B3=B14,"","ОШИБКА")</f>
        <v/>
      </c>
      <c r="C30" s="29" t="str">
        <f t="shared" si="8"/>
        <v/>
      </c>
      <c r="D30" s="29" t="str">
        <f t="shared" si="8"/>
        <v/>
      </c>
      <c r="E30" s="29" t="str">
        <f t="shared" si="8"/>
        <v/>
      </c>
      <c r="F30" s="29" t="str">
        <f t="shared" si="8"/>
        <v/>
      </c>
      <c r="G30" s="29" t="str">
        <f t="shared" si="8"/>
        <v/>
      </c>
      <c r="H30" s="29" t="str">
        <f t="shared" si="8"/>
        <v/>
      </c>
      <c r="I30" s="29" t="str">
        <f t="shared" si="8"/>
        <v/>
      </c>
      <c r="J30" s="29" t="str">
        <f t="shared" si="8"/>
        <v/>
      </c>
      <c r="K30" s="29" t="str">
        <f t="shared" si="8"/>
        <v/>
      </c>
      <c r="L30" s="29" t="str">
        <f t="shared" si="8"/>
        <v/>
      </c>
      <c r="M30" s="29" t="str">
        <f t="shared" si="8"/>
        <v/>
      </c>
      <c r="N30" s="2"/>
      <c r="O30" s="2"/>
      <c r="P30" s="2"/>
    </row>
    <row r="31" ht="1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1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ht="1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ht="1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1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1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ht="1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ht="1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ht="1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ht="1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ht="1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</sheetData>
  <mergeCells count="1">
    <mergeCell ref="A1:M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42.86"/>
    <col customWidth="1" min="2" max="13" width="14.29"/>
    <col customWidth="1" min="14" max="14" width="15.29"/>
    <col customWidth="1" min="15" max="19" width="9.14"/>
  </cols>
  <sheetData>
    <row r="1" ht="11.25" customHeight="1">
      <c r="A1" s="19" t="s">
        <v>127</v>
      </c>
      <c r="O1" s="20"/>
      <c r="P1" s="20"/>
      <c r="Q1" s="20"/>
      <c r="R1" s="20"/>
      <c r="S1" s="20"/>
    </row>
    <row r="2" ht="25.5" customHeight="1">
      <c r="A2" s="3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31" t="s">
        <v>14</v>
      </c>
      <c r="O2" s="2"/>
      <c r="P2" s="2"/>
      <c r="Q2" s="2"/>
      <c r="R2" s="2"/>
      <c r="S2" s="2"/>
    </row>
    <row r="3" ht="11.25" customHeight="1">
      <c r="A3" s="32" t="s">
        <v>128</v>
      </c>
      <c r="B3" s="23" t="str">
        <f t="shared" ref="B3:N3" si="1">B4</f>
        <v/>
      </c>
      <c r="C3" s="23" t="str">
        <f t="shared" si="1"/>
        <v/>
      </c>
      <c r="D3" s="23" t="str">
        <f t="shared" si="1"/>
        <v/>
      </c>
      <c r="E3" s="23" t="str">
        <f t="shared" si="1"/>
        <v/>
      </c>
      <c r="F3" s="23" t="str">
        <f t="shared" si="1"/>
        <v/>
      </c>
      <c r="G3" s="23" t="str">
        <f t="shared" si="1"/>
        <v/>
      </c>
      <c r="H3" s="23" t="str">
        <f t="shared" si="1"/>
        <v/>
      </c>
      <c r="I3" s="23" t="str">
        <f t="shared" si="1"/>
        <v/>
      </c>
      <c r="J3" s="23" t="str">
        <f t="shared" si="1"/>
        <v/>
      </c>
      <c r="K3" s="23" t="str">
        <f t="shared" si="1"/>
        <v/>
      </c>
      <c r="L3" s="23" t="str">
        <f t="shared" si="1"/>
        <v/>
      </c>
      <c r="M3" s="23" t="str">
        <f t="shared" si="1"/>
        <v/>
      </c>
      <c r="N3" s="23">
        <f t="shared" si="1"/>
        <v>0</v>
      </c>
      <c r="O3" s="24"/>
      <c r="P3" s="24"/>
      <c r="Q3" s="24"/>
      <c r="R3" s="24"/>
      <c r="S3" s="24"/>
    </row>
    <row r="4" ht="53.25" customHeight="1">
      <c r="A4" s="30" t="s">
        <v>129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>
        <f>B4+C4+D4+E4+F4+G4+H4+I4+J4+K4+L4+M4</f>
        <v>0</v>
      </c>
      <c r="O4" s="2"/>
      <c r="P4" s="2"/>
      <c r="Q4" s="2"/>
      <c r="R4" s="2"/>
      <c r="S4" s="2"/>
    </row>
    <row r="5" ht="12.75" customHeight="1">
      <c r="A5" s="32" t="s">
        <v>130</v>
      </c>
      <c r="B5" s="29">
        <f t="shared" ref="B5:N5" si="2">B6+B9+B26+B30+B31+B34+B44+B43</f>
        <v>0</v>
      </c>
      <c r="C5" s="29">
        <f t="shared" si="2"/>
        <v>0</v>
      </c>
      <c r="D5" s="29">
        <f t="shared" si="2"/>
        <v>0</v>
      </c>
      <c r="E5" s="29">
        <f t="shared" si="2"/>
        <v>0</v>
      </c>
      <c r="F5" s="29">
        <f t="shared" si="2"/>
        <v>0</v>
      </c>
      <c r="G5" s="29">
        <f t="shared" si="2"/>
        <v>0</v>
      </c>
      <c r="H5" s="29">
        <f t="shared" si="2"/>
        <v>0</v>
      </c>
      <c r="I5" s="29">
        <f t="shared" si="2"/>
        <v>0</v>
      </c>
      <c r="J5" s="29">
        <f t="shared" si="2"/>
        <v>0</v>
      </c>
      <c r="K5" s="29">
        <f t="shared" si="2"/>
        <v>0</v>
      </c>
      <c r="L5" s="29">
        <f t="shared" si="2"/>
        <v>0</v>
      </c>
      <c r="M5" s="29">
        <f t="shared" si="2"/>
        <v>0</v>
      </c>
      <c r="N5" s="29">
        <f t="shared" si="2"/>
        <v>0</v>
      </c>
      <c r="O5" s="2"/>
      <c r="P5" s="2"/>
      <c r="Q5" s="2"/>
      <c r="R5" s="2"/>
      <c r="S5" s="2"/>
    </row>
    <row r="6" ht="12.75" customHeight="1">
      <c r="A6" s="30" t="s">
        <v>21</v>
      </c>
      <c r="B6" s="26">
        <f t="shared" ref="B6:M6" si="3">SUM(B7:B8)</f>
        <v>0</v>
      </c>
      <c r="C6" s="26">
        <f t="shared" si="3"/>
        <v>0</v>
      </c>
      <c r="D6" s="26">
        <f t="shared" si="3"/>
        <v>0</v>
      </c>
      <c r="E6" s="26">
        <f t="shared" si="3"/>
        <v>0</v>
      </c>
      <c r="F6" s="26">
        <f t="shared" si="3"/>
        <v>0</v>
      </c>
      <c r="G6" s="26">
        <f t="shared" si="3"/>
        <v>0</v>
      </c>
      <c r="H6" s="26">
        <f t="shared" si="3"/>
        <v>0</v>
      </c>
      <c r="I6" s="26">
        <f t="shared" si="3"/>
        <v>0</v>
      </c>
      <c r="J6" s="26">
        <f t="shared" si="3"/>
        <v>0</v>
      </c>
      <c r="K6" s="26">
        <f t="shared" si="3"/>
        <v>0</v>
      </c>
      <c r="L6" s="26">
        <f t="shared" si="3"/>
        <v>0</v>
      </c>
      <c r="M6" s="26">
        <f t="shared" si="3"/>
        <v>0</v>
      </c>
      <c r="N6" s="26">
        <f t="shared" ref="N6:N11" si="4">B6+C6+D6+E6+F6+G6+H6+I6+J6+K6+L6+M6</f>
        <v>0</v>
      </c>
      <c r="O6" s="2"/>
      <c r="P6" s="2"/>
      <c r="Q6" s="2"/>
      <c r="R6" s="2"/>
      <c r="S6" s="2"/>
    </row>
    <row r="7" ht="12.75" customHeight="1">
      <c r="A7" s="33" t="s">
        <v>131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>
        <f t="shared" si="4"/>
        <v>0</v>
      </c>
      <c r="O7" s="2"/>
      <c r="P7" s="2"/>
      <c r="Q7" s="2"/>
      <c r="R7" s="2"/>
      <c r="S7" s="2"/>
    </row>
    <row r="8" ht="11.25" customHeight="1">
      <c r="A8" s="33" t="s">
        <v>22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>
        <f t="shared" si="4"/>
        <v>0</v>
      </c>
      <c r="O8" s="2"/>
      <c r="P8" s="2"/>
      <c r="Q8" s="2"/>
      <c r="R8" s="2"/>
      <c r="S8" s="2"/>
    </row>
    <row r="9" ht="12.75" customHeight="1">
      <c r="A9" s="30" t="s">
        <v>25</v>
      </c>
      <c r="B9" s="26">
        <f t="shared" ref="B9:M9" si="5">SUM(B10:B11)</f>
        <v>0</v>
      </c>
      <c r="C9" s="26">
        <f t="shared" si="5"/>
        <v>0</v>
      </c>
      <c r="D9" s="26">
        <f t="shared" si="5"/>
        <v>0</v>
      </c>
      <c r="E9" s="26">
        <f t="shared" si="5"/>
        <v>0</v>
      </c>
      <c r="F9" s="26">
        <f t="shared" si="5"/>
        <v>0</v>
      </c>
      <c r="G9" s="26">
        <f t="shared" si="5"/>
        <v>0</v>
      </c>
      <c r="H9" s="26">
        <f t="shared" si="5"/>
        <v>0</v>
      </c>
      <c r="I9" s="26">
        <f t="shared" si="5"/>
        <v>0</v>
      </c>
      <c r="J9" s="26">
        <f t="shared" si="5"/>
        <v>0</v>
      </c>
      <c r="K9" s="26">
        <f t="shared" si="5"/>
        <v>0</v>
      </c>
      <c r="L9" s="26">
        <f t="shared" si="5"/>
        <v>0</v>
      </c>
      <c r="M9" s="26">
        <f t="shared" si="5"/>
        <v>0</v>
      </c>
      <c r="N9" s="26">
        <f t="shared" si="4"/>
        <v>0</v>
      </c>
      <c r="O9" s="2"/>
      <c r="P9" s="2"/>
      <c r="Q9" s="2"/>
      <c r="R9" s="2"/>
      <c r="S9" s="2"/>
    </row>
    <row r="10" ht="11.25" customHeight="1">
      <c r="A10" s="34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f t="shared" si="4"/>
        <v>0</v>
      </c>
      <c r="O10" s="2"/>
      <c r="P10" s="2"/>
      <c r="Q10" s="2"/>
      <c r="R10" s="2"/>
      <c r="S10" s="2"/>
    </row>
    <row r="11" ht="11.25" customHeight="1">
      <c r="A11" s="34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>
        <f t="shared" si="4"/>
        <v>0</v>
      </c>
      <c r="O11" s="2"/>
      <c r="P11" s="2"/>
      <c r="Q11" s="2"/>
      <c r="R11" s="2"/>
      <c r="S11" s="2"/>
    </row>
    <row r="12" ht="12.75" customHeight="1">
      <c r="A12" s="35" t="s">
        <v>132</v>
      </c>
      <c r="B12" s="36">
        <f t="shared" ref="B12:N12" si="6">B3-B6-B9</f>
        <v>0</v>
      </c>
      <c r="C12" s="36">
        <f t="shared" si="6"/>
        <v>0</v>
      </c>
      <c r="D12" s="36">
        <f t="shared" si="6"/>
        <v>0</v>
      </c>
      <c r="E12" s="36">
        <f t="shared" si="6"/>
        <v>0</v>
      </c>
      <c r="F12" s="36">
        <f t="shared" si="6"/>
        <v>0</v>
      </c>
      <c r="G12" s="36">
        <f t="shared" si="6"/>
        <v>0</v>
      </c>
      <c r="H12" s="36">
        <f t="shared" si="6"/>
        <v>0</v>
      </c>
      <c r="I12" s="36">
        <f t="shared" si="6"/>
        <v>0</v>
      </c>
      <c r="J12" s="36">
        <f t="shared" si="6"/>
        <v>0</v>
      </c>
      <c r="K12" s="36">
        <f t="shared" si="6"/>
        <v>0</v>
      </c>
      <c r="L12" s="36">
        <f t="shared" si="6"/>
        <v>0</v>
      </c>
      <c r="M12" s="36">
        <f t="shared" si="6"/>
        <v>0</v>
      </c>
      <c r="N12" s="36">
        <f t="shared" si="6"/>
        <v>0</v>
      </c>
      <c r="O12" s="2"/>
      <c r="P12" s="2"/>
      <c r="Q12" s="2"/>
      <c r="R12" s="2"/>
      <c r="S12" s="2"/>
    </row>
    <row r="13" ht="12.75" customHeight="1">
      <c r="A13" s="37" t="s">
        <v>133</v>
      </c>
      <c r="B13" s="38" t="str">
        <f t="shared" ref="B13:N13" si="7">IFERROR(B12/B3,)</f>
        <v/>
      </c>
      <c r="C13" s="38" t="str">
        <f t="shared" si="7"/>
        <v/>
      </c>
      <c r="D13" s="38" t="str">
        <f t="shared" si="7"/>
        <v/>
      </c>
      <c r="E13" s="38" t="str">
        <f t="shared" si="7"/>
        <v/>
      </c>
      <c r="F13" s="38" t="str">
        <f t="shared" si="7"/>
        <v/>
      </c>
      <c r="G13" s="38" t="str">
        <f t="shared" si="7"/>
        <v/>
      </c>
      <c r="H13" s="38" t="str">
        <f t="shared" si="7"/>
        <v/>
      </c>
      <c r="I13" s="38" t="str">
        <f t="shared" si="7"/>
        <v/>
      </c>
      <c r="J13" s="38" t="str">
        <f t="shared" si="7"/>
        <v/>
      </c>
      <c r="K13" s="38" t="str">
        <f t="shared" si="7"/>
        <v/>
      </c>
      <c r="L13" s="38" t="str">
        <f t="shared" si="7"/>
        <v/>
      </c>
      <c r="M13" s="38" t="str">
        <f t="shared" si="7"/>
        <v/>
      </c>
      <c r="N13" s="38" t="str">
        <f t="shared" si="7"/>
        <v/>
      </c>
      <c r="O13" s="2"/>
      <c r="P13" s="2"/>
      <c r="Q13" s="2"/>
      <c r="R13" s="2"/>
      <c r="S13" s="2"/>
    </row>
    <row r="14" ht="12.75" customHeight="1">
      <c r="A14" s="22" t="s">
        <v>134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"/>
      <c r="P14" s="2"/>
      <c r="Q14" s="2"/>
      <c r="R14" s="2"/>
      <c r="S14" s="2"/>
    </row>
    <row r="15" ht="12.75" customHeight="1">
      <c r="A15" s="30" t="s">
        <v>135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"/>
      <c r="P15" s="2"/>
      <c r="Q15" s="2"/>
      <c r="R15" s="2"/>
      <c r="S15" s="2"/>
    </row>
    <row r="16" ht="12.75" customHeight="1">
      <c r="A16" s="30" t="s">
        <v>26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"/>
      <c r="P16" s="2"/>
      <c r="Q16" s="2"/>
      <c r="R16" s="2"/>
      <c r="S16" s="2"/>
    </row>
    <row r="17" ht="12.75" customHeight="1">
      <c r="A17" s="30" t="s">
        <v>31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"/>
      <c r="P17" s="2"/>
      <c r="Q17" s="2"/>
      <c r="R17" s="2"/>
      <c r="S17" s="2"/>
    </row>
    <row r="18" ht="12.75" customHeight="1">
      <c r="A18" s="30" t="s">
        <v>136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"/>
      <c r="P18" s="2"/>
      <c r="Q18" s="2"/>
      <c r="R18" s="2"/>
      <c r="S18" s="2"/>
    </row>
    <row r="19" ht="12.75" customHeight="1">
      <c r="A19" s="30" t="s">
        <v>137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"/>
      <c r="P19" s="2"/>
      <c r="Q19" s="2"/>
      <c r="R19" s="2"/>
      <c r="S19" s="2"/>
    </row>
    <row r="20" ht="12.75" customHeight="1">
      <c r="A20" s="30" t="s">
        <v>138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"/>
      <c r="P20" s="2"/>
      <c r="Q20" s="2"/>
      <c r="R20" s="2"/>
      <c r="S20" s="2"/>
    </row>
    <row r="21" ht="12.75" customHeight="1">
      <c r="A21" s="30" t="s">
        <v>40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"/>
      <c r="P21" s="2"/>
      <c r="Q21" s="2"/>
      <c r="R21" s="2"/>
      <c r="S21" s="2"/>
    </row>
    <row r="22" ht="12.75" customHeight="1">
      <c r="A22" s="35" t="s">
        <v>139</v>
      </c>
      <c r="B22" s="36">
        <f t="shared" ref="B22:N22" si="8">B13-B16-B19</f>
        <v>0</v>
      </c>
      <c r="C22" s="36">
        <f t="shared" si="8"/>
        <v>0</v>
      </c>
      <c r="D22" s="36">
        <f t="shared" si="8"/>
        <v>0</v>
      </c>
      <c r="E22" s="36">
        <f t="shared" si="8"/>
        <v>0</v>
      </c>
      <c r="F22" s="36">
        <f t="shared" si="8"/>
        <v>0</v>
      </c>
      <c r="G22" s="36">
        <f t="shared" si="8"/>
        <v>0</v>
      </c>
      <c r="H22" s="36">
        <f t="shared" si="8"/>
        <v>0</v>
      </c>
      <c r="I22" s="36">
        <f t="shared" si="8"/>
        <v>0</v>
      </c>
      <c r="J22" s="36">
        <f t="shared" si="8"/>
        <v>0</v>
      </c>
      <c r="K22" s="36">
        <f t="shared" si="8"/>
        <v>0</v>
      </c>
      <c r="L22" s="36">
        <f t="shared" si="8"/>
        <v>0</v>
      </c>
      <c r="M22" s="36">
        <f t="shared" si="8"/>
        <v>0</v>
      </c>
      <c r="N22" s="36">
        <f t="shared" si="8"/>
        <v>0</v>
      </c>
      <c r="O22" s="2"/>
      <c r="P22" s="2"/>
      <c r="Q22" s="2"/>
      <c r="R22" s="2"/>
      <c r="S22" s="2"/>
    </row>
    <row r="23" ht="12.75" customHeight="1">
      <c r="A23" s="37" t="s">
        <v>140</v>
      </c>
      <c r="B23" s="38" t="str">
        <f t="shared" ref="B23:N23" si="9">IFERROR(B22/B13,)</f>
        <v/>
      </c>
      <c r="C23" s="38" t="str">
        <f t="shared" si="9"/>
        <v/>
      </c>
      <c r="D23" s="38" t="str">
        <f t="shared" si="9"/>
        <v/>
      </c>
      <c r="E23" s="38" t="str">
        <f t="shared" si="9"/>
        <v/>
      </c>
      <c r="F23" s="38" t="str">
        <f t="shared" si="9"/>
        <v/>
      </c>
      <c r="G23" s="38" t="str">
        <f t="shared" si="9"/>
        <v/>
      </c>
      <c r="H23" s="38" t="str">
        <f t="shared" si="9"/>
        <v/>
      </c>
      <c r="I23" s="38" t="str">
        <f t="shared" si="9"/>
        <v/>
      </c>
      <c r="J23" s="38" t="str">
        <f t="shared" si="9"/>
        <v/>
      </c>
      <c r="K23" s="38" t="str">
        <f t="shared" si="9"/>
        <v/>
      </c>
      <c r="L23" s="38" t="str">
        <f t="shared" si="9"/>
        <v/>
      </c>
      <c r="M23" s="38" t="str">
        <f t="shared" si="9"/>
        <v/>
      </c>
      <c r="N23" s="38" t="str">
        <f t="shared" si="9"/>
        <v/>
      </c>
      <c r="O23" s="2"/>
      <c r="P23" s="2"/>
      <c r="Q23" s="2"/>
      <c r="R23" s="2"/>
      <c r="S23" s="2"/>
    </row>
    <row r="24" ht="12.75" customHeight="1">
      <c r="A24" s="22" t="s">
        <v>141</v>
      </c>
      <c r="B24" s="29">
        <f t="shared" ref="B24:N24" si="10">SUM(B25:B34)</f>
        <v>0</v>
      </c>
      <c r="C24" s="29">
        <f t="shared" si="10"/>
        <v>0</v>
      </c>
      <c r="D24" s="29">
        <f t="shared" si="10"/>
        <v>0</v>
      </c>
      <c r="E24" s="29">
        <f t="shared" si="10"/>
        <v>0</v>
      </c>
      <c r="F24" s="29">
        <f t="shared" si="10"/>
        <v>0</v>
      </c>
      <c r="G24" s="29">
        <f t="shared" si="10"/>
        <v>0</v>
      </c>
      <c r="H24" s="29">
        <f t="shared" si="10"/>
        <v>0</v>
      </c>
      <c r="I24" s="29">
        <f t="shared" si="10"/>
        <v>0</v>
      </c>
      <c r="J24" s="29">
        <f t="shared" si="10"/>
        <v>0</v>
      </c>
      <c r="K24" s="29">
        <f t="shared" si="10"/>
        <v>0</v>
      </c>
      <c r="L24" s="29">
        <f t="shared" si="10"/>
        <v>0</v>
      </c>
      <c r="M24" s="29">
        <f t="shared" si="10"/>
        <v>0</v>
      </c>
      <c r="N24" s="29">
        <f t="shared" si="10"/>
        <v>0</v>
      </c>
      <c r="O24" s="2"/>
      <c r="P24" s="2"/>
      <c r="Q24" s="2"/>
      <c r="R24" s="2"/>
      <c r="S24" s="2"/>
    </row>
    <row r="25" ht="12.75" customHeight="1">
      <c r="A25" s="39" t="s">
        <v>135</v>
      </c>
      <c r="B25" s="26">
        <f>'БДР-свод_БЕЗ НДС'!B50</f>
        <v>0</v>
      </c>
      <c r="C25" s="26">
        <f>'БДР-свод_БЕЗ НДС'!C50</f>
        <v>0</v>
      </c>
      <c r="D25" s="26">
        <f>'БДР-свод_БЕЗ НДС'!D50</f>
        <v>0</v>
      </c>
      <c r="E25" s="26">
        <f>'БДР-свод_БЕЗ НДС'!E50</f>
        <v>0</v>
      </c>
      <c r="F25" s="26">
        <f>'БДР-свод_БЕЗ НДС'!F50</f>
        <v>0</v>
      </c>
      <c r="G25" s="26">
        <f>'БДР-свод_БЕЗ НДС'!G50</f>
        <v>0</v>
      </c>
      <c r="H25" s="26">
        <f>'БДР-свод_БЕЗ НДС'!H50</f>
        <v>0</v>
      </c>
      <c r="I25" s="26">
        <f>'БДР-свод_БЕЗ НДС'!I50</f>
        <v>0</v>
      </c>
      <c r="J25" s="26">
        <f>'БДР-свод_БЕЗ НДС'!J50</f>
        <v>0</v>
      </c>
      <c r="K25" s="26">
        <f>'БДР-свод_БЕЗ НДС'!K50</f>
        <v>0</v>
      </c>
      <c r="L25" s="26">
        <f>'БДР-свод_БЕЗ НДС'!L50</f>
        <v>0</v>
      </c>
      <c r="M25" s="26">
        <f>'БДР-свод_БЕЗ НДС'!M50</f>
        <v>0</v>
      </c>
      <c r="N25" s="26"/>
      <c r="O25" s="2"/>
      <c r="P25" s="2"/>
      <c r="Q25" s="2"/>
      <c r="R25" s="2"/>
      <c r="S25" s="2"/>
    </row>
    <row r="26" ht="12.75" customHeight="1">
      <c r="A26" s="39" t="s">
        <v>26</v>
      </c>
      <c r="B26" s="26">
        <f>'БДР-свод_БЕЗ НДС'!B54</f>
        <v>0</v>
      </c>
      <c r="C26" s="26">
        <f>'БДР-свод_БЕЗ НДС'!C54</f>
        <v>0</v>
      </c>
      <c r="D26" s="26">
        <f>'БДР-свод_БЕЗ НДС'!D54</f>
        <v>0</v>
      </c>
      <c r="E26" s="26">
        <f>'БДР-свод_БЕЗ НДС'!E54</f>
        <v>0</v>
      </c>
      <c r="F26" s="26">
        <f>'БДР-свод_БЕЗ НДС'!F54</f>
        <v>0</v>
      </c>
      <c r="G26" s="26">
        <f>'БДР-свод_БЕЗ НДС'!G54</f>
        <v>0</v>
      </c>
      <c r="H26" s="26">
        <f>'БДР-свод_БЕЗ НДС'!H54</f>
        <v>0</v>
      </c>
      <c r="I26" s="26">
        <f>'БДР-свод_БЕЗ НДС'!I54</f>
        <v>0</v>
      </c>
      <c r="J26" s="26">
        <f>'БДР-свод_БЕЗ НДС'!J54</f>
        <v>0</v>
      </c>
      <c r="K26" s="26">
        <f>'БДР-свод_БЕЗ НДС'!K54</f>
        <v>0</v>
      </c>
      <c r="L26" s="26">
        <f>'БДР-свод_БЕЗ НДС'!L54</f>
        <v>0</v>
      </c>
      <c r="M26" s="26">
        <f>'БДР-свод_БЕЗ НДС'!M54</f>
        <v>0</v>
      </c>
      <c r="N26" s="26">
        <f t="shared" ref="N26:N29" si="11">B26+C26+D26+E26+F26+G26+H26+I26+J26+K26+L26+M26</f>
        <v>0</v>
      </c>
      <c r="O26" s="2"/>
      <c r="P26" s="2"/>
      <c r="Q26" s="2"/>
      <c r="R26" s="2"/>
      <c r="S26" s="2"/>
    </row>
    <row r="27" ht="11.25" customHeight="1">
      <c r="A27" s="39" t="s">
        <v>37</v>
      </c>
      <c r="B27" s="28">
        <f>'БДР-свод_БЕЗ НДС'!B59</f>
        <v>0</v>
      </c>
      <c r="C27" s="28">
        <f>'БДР-свод_БЕЗ НДС'!C59</f>
        <v>0</v>
      </c>
      <c r="D27" s="28">
        <f>'БДР-свод_БЕЗ НДС'!D59</f>
        <v>0</v>
      </c>
      <c r="E27" s="28">
        <f>'БДР-свод_БЕЗ НДС'!E59</f>
        <v>0</v>
      </c>
      <c r="F27" s="28">
        <f>'БДР-свод_БЕЗ НДС'!F59</f>
        <v>0</v>
      </c>
      <c r="G27" s="28">
        <f>'БДР-свод_БЕЗ НДС'!G59</f>
        <v>0</v>
      </c>
      <c r="H27" s="28">
        <f>'БДР-свод_БЕЗ НДС'!H59</f>
        <v>0</v>
      </c>
      <c r="I27" s="28">
        <f>'БДР-свод_БЕЗ НДС'!I59</f>
        <v>0</v>
      </c>
      <c r="J27" s="28">
        <f>'БДР-свод_БЕЗ НДС'!J59</f>
        <v>0</v>
      </c>
      <c r="K27" s="28">
        <f>'БДР-свод_БЕЗ НДС'!K59</f>
        <v>0</v>
      </c>
      <c r="L27" s="28">
        <f>'БДР-свод_БЕЗ НДС'!L59</f>
        <v>0</v>
      </c>
      <c r="M27" s="28">
        <f>'БДР-свод_БЕЗ НДС'!M59</f>
        <v>0</v>
      </c>
      <c r="N27" s="28">
        <f t="shared" si="11"/>
        <v>0</v>
      </c>
      <c r="O27" s="2"/>
      <c r="P27" s="2"/>
      <c r="Q27" s="2"/>
      <c r="R27" s="2"/>
      <c r="S27" s="2"/>
    </row>
    <row r="28" ht="11.25" customHeight="1">
      <c r="A28" s="39" t="s">
        <v>41</v>
      </c>
      <c r="B28" s="28">
        <f>'БДР-свод_БЕЗ НДС'!B62</f>
        <v>0</v>
      </c>
      <c r="C28" s="28">
        <f>'БДР-свод_БЕЗ НДС'!C62</f>
        <v>0</v>
      </c>
      <c r="D28" s="28">
        <f>'БДР-свод_БЕЗ НДС'!D62</f>
        <v>0</v>
      </c>
      <c r="E28" s="28">
        <f>'БДР-свод_БЕЗ НДС'!E62</f>
        <v>0</v>
      </c>
      <c r="F28" s="28">
        <f>'БДР-свод_БЕЗ НДС'!F62</f>
        <v>0</v>
      </c>
      <c r="G28" s="28">
        <f>'БДР-свод_БЕЗ НДС'!G62</f>
        <v>0</v>
      </c>
      <c r="H28" s="28">
        <f>'БДР-свод_БЕЗ НДС'!H62</f>
        <v>0</v>
      </c>
      <c r="I28" s="28">
        <f>'БДР-свод_БЕЗ НДС'!I62</f>
        <v>0</v>
      </c>
      <c r="J28" s="28">
        <f>'БДР-свод_БЕЗ НДС'!J62</f>
        <v>0</v>
      </c>
      <c r="K28" s="28">
        <f>'БДР-свод_БЕЗ НДС'!K62</f>
        <v>0</v>
      </c>
      <c r="L28" s="28">
        <f>'БДР-свод_БЕЗ НДС'!L62</f>
        <v>0</v>
      </c>
      <c r="M28" s="28">
        <f>'БДР-свод_БЕЗ НДС'!M62</f>
        <v>0</v>
      </c>
      <c r="N28" s="28">
        <f t="shared" si="11"/>
        <v>0</v>
      </c>
      <c r="O28" s="2"/>
      <c r="P28" s="2"/>
      <c r="Q28" s="2"/>
      <c r="R28" s="2"/>
      <c r="S28" s="2"/>
    </row>
    <row r="29" ht="11.25" customHeight="1">
      <c r="A29" s="39" t="s">
        <v>50</v>
      </c>
      <c r="B29" s="28">
        <f>'БДР-свод_БЕЗ НДС'!B66</f>
        <v>0</v>
      </c>
      <c r="C29" s="28">
        <f>'БДР-свод_БЕЗ НДС'!C66</f>
        <v>0</v>
      </c>
      <c r="D29" s="28">
        <f>'БДР-свод_БЕЗ НДС'!D66</f>
        <v>0</v>
      </c>
      <c r="E29" s="28">
        <f>'БДР-свод_БЕЗ НДС'!E66</f>
        <v>0</v>
      </c>
      <c r="F29" s="28">
        <f>'БДР-свод_БЕЗ НДС'!F66</f>
        <v>0</v>
      </c>
      <c r="G29" s="28">
        <f>'БДР-свод_БЕЗ НДС'!G66</f>
        <v>0</v>
      </c>
      <c r="H29" s="28">
        <f>'БДР-свод_БЕЗ НДС'!H66</f>
        <v>0</v>
      </c>
      <c r="I29" s="28">
        <f>'БДР-свод_БЕЗ НДС'!I66</f>
        <v>0</v>
      </c>
      <c r="J29" s="28">
        <f>'БДР-свод_БЕЗ НДС'!J66</f>
        <v>0</v>
      </c>
      <c r="K29" s="28">
        <f>'БДР-свод_БЕЗ НДС'!K66</f>
        <v>0</v>
      </c>
      <c r="L29" s="28">
        <f>'БДР-свод_БЕЗ НДС'!L66</f>
        <v>0</v>
      </c>
      <c r="M29" s="28">
        <f>'БДР-свод_БЕЗ НДС'!M66</f>
        <v>0</v>
      </c>
      <c r="N29" s="28">
        <f t="shared" si="11"/>
        <v>0</v>
      </c>
      <c r="O29" s="2"/>
      <c r="P29" s="2"/>
      <c r="Q29" s="2"/>
      <c r="R29" s="2"/>
      <c r="S29" s="2"/>
    </row>
    <row r="30" ht="12.75" customHeight="1">
      <c r="A30" s="39" t="s">
        <v>142</v>
      </c>
      <c r="B30" s="26">
        <f>'БДР-свод_БЕЗ НДС'!B70</f>
        <v>0</v>
      </c>
      <c r="C30" s="26">
        <f>'БДР-свод_БЕЗ НДС'!C70</f>
        <v>0</v>
      </c>
      <c r="D30" s="26">
        <f>'БДР-свод_БЕЗ НДС'!D70</f>
        <v>0</v>
      </c>
      <c r="E30" s="26">
        <f>'БДР-свод_БЕЗ НДС'!E70</f>
        <v>0</v>
      </c>
      <c r="F30" s="26">
        <f>'БДР-свод_БЕЗ НДС'!F70</f>
        <v>0</v>
      </c>
      <c r="G30" s="26">
        <f>'БДР-свод_БЕЗ НДС'!G70</f>
        <v>0</v>
      </c>
      <c r="H30" s="26">
        <f>'БДР-свод_БЕЗ НДС'!H70</f>
        <v>0</v>
      </c>
      <c r="I30" s="26">
        <f>'БДР-свод_БЕЗ НДС'!I70</f>
        <v>0</v>
      </c>
      <c r="J30" s="26">
        <f>'БДР-свод_БЕЗ НДС'!J70</f>
        <v>0</v>
      </c>
      <c r="K30" s="26">
        <f>'БДР-свод_БЕЗ НДС'!K70</f>
        <v>0</v>
      </c>
      <c r="L30" s="26">
        <f>'БДР-свод_БЕЗ НДС'!L70</f>
        <v>0</v>
      </c>
      <c r="M30" s="26">
        <f>'БДР-свод_БЕЗ НДС'!M70</f>
        <v>0</v>
      </c>
      <c r="N30" s="26">
        <f>N3*3%</f>
        <v>0</v>
      </c>
      <c r="O30" s="2"/>
      <c r="P30" s="2"/>
      <c r="Q30" s="2"/>
      <c r="R30" s="2"/>
      <c r="S30" s="2"/>
    </row>
    <row r="31" ht="12.75" customHeight="1">
      <c r="A31" s="39" t="s">
        <v>54</v>
      </c>
      <c r="B31" s="26">
        <f>'БДР-свод_БЕЗ НДС'!B74</f>
        <v>0</v>
      </c>
      <c r="C31" s="26">
        <f>'БДР-свод_БЕЗ НДС'!C74</f>
        <v>0</v>
      </c>
      <c r="D31" s="26">
        <f>'БДР-свод_БЕЗ НДС'!D74</f>
        <v>0</v>
      </c>
      <c r="E31" s="26">
        <f>'БДР-свод_БЕЗ НДС'!E74</f>
        <v>0</v>
      </c>
      <c r="F31" s="26">
        <f>'БДР-свод_БЕЗ НДС'!F74</f>
        <v>0</v>
      </c>
      <c r="G31" s="26">
        <f>'БДР-свод_БЕЗ НДС'!G74</f>
        <v>0</v>
      </c>
      <c r="H31" s="26">
        <f>'БДР-свод_БЕЗ НДС'!H74</f>
        <v>0</v>
      </c>
      <c r="I31" s="26">
        <f>'БДР-свод_БЕЗ НДС'!I74</f>
        <v>0</v>
      </c>
      <c r="J31" s="26">
        <f>'БДР-свод_БЕЗ НДС'!J74</f>
        <v>0</v>
      </c>
      <c r="K31" s="26">
        <f>'БДР-свод_БЕЗ НДС'!K74</f>
        <v>0</v>
      </c>
      <c r="L31" s="26">
        <f>'БДР-свод_БЕЗ НДС'!L74</f>
        <v>0</v>
      </c>
      <c r="M31" s="26">
        <f>'БДР-свод_БЕЗ НДС'!M74</f>
        <v>0</v>
      </c>
      <c r="N31" s="26">
        <f t="shared" ref="N31:N34" si="12">B31+C31+D31+E31+F31+G31+H31+I31+J31+K31+L31+M31</f>
        <v>0</v>
      </c>
      <c r="O31" s="2"/>
      <c r="P31" s="2"/>
      <c r="Q31" s="2"/>
      <c r="R31" s="2"/>
      <c r="S31" s="2"/>
    </row>
    <row r="32" ht="11.25" customHeight="1">
      <c r="A32" s="39" t="s">
        <v>57</v>
      </c>
      <c r="B32" s="28">
        <f>'БДР-свод_БЕЗ НДС'!B78</f>
        <v>0</v>
      </c>
      <c r="C32" s="28">
        <f>'БДР-свод_БЕЗ НДС'!C78</f>
        <v>0</v>
      </c>
      <c r="D32" s="28">
        <f>'БДР-свод_БЕЗ НДС'!D78</f>
        <v>0</v>
      </c>
      <c r="E32" s="28">
        <f>'БДР-свод_БЕЗ НДС'!E78</f>
        <v>0</v>
      </c>
      <c r="F32" s="28">
        <f>'БДР-свод_БЕЗ НДС'!F78</f>
        <v>0</v>
      </c>
      <c r="G32" s="28">
        <f>'БДР-свод_БЕЗ НДС'!G78</f>
        <v>0</v>
      </c>
      <c r="H32" s="28">
        <f>'БДР-свод_БЕЗ НДС'!H78</f>
        <v>0</v>
      </c>
      <c r="I32" s="28">
        <f>'БДР-свод_БЕЗ НДС'!I78</f>
        <v>0</v>
      </c>
      <c r="J32" s="28">
        <f>'БДР-свод_БЕЗ НДС'!J78</f>
        <v>0</v>
      </c>
      <c r="K32" s="28">
        <f>'БДР-свод_БЕЗ НДС'!K78</f>
        <v>0</v>
      </c>
      <c r="L32" s="28">
        <f>'БДР-свод_БЕЗ НДС'!L78</f>
        <v>0</v>
      </c>
      <c r="M32" s="28">
        <f>'БДР-свод_БЕЗ НДС'!M78</f>
        <v>0</v>
      </c>
      <c r="N32" s="28">
        <f t="shared" si="12"/>
        <v>0</v>
      </c>
      <c r="O32" s="2"/>
      <c r="P32" s="2"/>
      <c r="Q32" s="2"/>
      <c r="R32" s="2"/>
      <c r="S32" s="2"/>
    </row>
    <row r="33" ht="11.25" customHeight="1">
      <c r="A33" s="39" t="s">
        <v>40</v>
      </c>
      <c r="B33" s="28" t="str">
        <f>'БДР-свод_БЕЗ НДС'!B83</f>
        <v/>
      </c>
      <c r="C33" s="28" t="str">
        <f>'БДР-свод_БЕЗ НДС'!C83</f>
        <v/>
      </c>
      <c r="D33" s="28" t="str">
        <f>'БДР-свод_БЕЗ НДС'!D83</f>
        <v/>
      </c>
      <c r="E33" s="28" t="str">
        <f>'БДР-свод_БЕЗ НДС'!E83</f>
        <v/>
      </c>
      <c r="F33" s="28" t="str">
        <f>'БДР-свод_БЕЗ НДС'!F83</f>
        <v/>
      </c>
      <c r="G33" s="28" t="str">
        <f>'БДР-свод_БЕЗ НДС'!G83</f>
        <v/>
      </c>
      <c r="H33" s="28" t="str">
        <f>'БДР-свод_БЕЗ НДС'!H83</f>
        <v/>
      </c>
      <c r="I33" s="28" t="str">
        <f>'БДР-свод_БЕЗ НДС'!I83</f>
        <v/>
      </c>
      <c r="J33" s="28" t="str">
        <f>'БДР-свод_БЕЗ НДС'!J83</f>
        <v/>
      </c>
      <c r="K33" s="28" t="str">
        <f>'БДР-свод_БЕЗ НДС'!K83</f>
        <v/>
      </c>
      <c r="L33" s="28" t="str">
        <f>'БДР-свод_БЕЗ НДС'!L83</f>
        <v/>
      </c>
      <c r="M33" s="28" t="str">
        <f>'БДР-свод_БЕЗ НДС'!M83</f>
        <v/>
      </c>
      <c r="N33" s="28">
        <f t="shared" si="12"/>
        <v>0</v>
      </c>
      <c r="O33" s="2"/>
      <c r="P33" s="2"/>
      <c r="Q33" s="2"/>
      <c r="R33" s="2"/>
      <c r="S33" s="2"/>
    </row>
    <row r="34" ht="12.75" customHeight="1">
      <c r="A34" s="30" t="s">
        <v>143</v>
      </c>
      <c r="B34" s="26">
        <f>'БДР-свод_БЕЗ НДС'!B87</f>
        <v>0</v>
      </c>
      <c r="C34" s="26">
        <f>'БДР-свод_БЕЗ НДС'!C87</f>
        <v>0</v>
      </c>
      <c r="D34" s="26">
        <f>'БДР-свод_БЕЗ НДС'!D87</f>
        <v>0</v>
      </c>
      <c r="E34" s="26">
        <f>'БДР-свод_БЕЗ НДС'!E87</f>
        <v>0</v>
      </c>
      <c r="F34" s="26">
        <f>'БДР-свод_БЕЗ НДС'!F87</f>
        <v>0</v>
      </c>
      <c r="G34" s="26">
        <f>'БДР-свод_БЕЗ НДС'!G87</f>
        <v>0</v>
      </c>
      <c r="H34" s="26">
        <f>'БДР-свод_БЕЗ НДС'!H87</f>
        <v>0</v>
      </c>
      <c r="I34" s="26">
        <f>'БДР-свод_БЕЗ НДС'!I87</f>
        <v>0</v>
      </c>
      <c r="J34" s="26">
        <f>'БДР-свод_БЕЗ НДС'!J87</f>
        <v>0</v>
      </c>
      <c r="K34" s="26">
        <f>'БДР-свод_БЕЗ НДС'!K87</f>
        <v>0</v>
      </c>
      <c r="L34" s="26">
        <f>'БДР-свод_БЕЗ НДС'!L87</f>
        <v>0</v>
      </c>
      <c r="M34" s="26">
        <f>'БДР-свод_БЕЗ НДС'!M87</f>
        <v>0</v>
      </c>
      <c r="N34" s="26">
        <f t="shared" si="12"/>
        <v>0</v>
      </c>
      <c r="O34" s="2"/>
      <c r="P34" s="2"/>
      <c r="Q34" s="2"/>
      <c r="R34" s="2"/>
      <c r="S34" s="2"/>
    </row>
    <row r="35" ht="12.75" customHeight="1">
      <c r="A35" s="22" t="s">
        <v>144</v>
      </c>
      <c r="B35" s="29">
        <f t="shared" ref="B35:N35" si="13">SUM(B36:B37)</f>
        <v>0</v>
      </c>
      <c r="C35" s="29">
        <f t="shared" si="13"/>
        <v>0</v>
      </c>
      <c r="D35" s="29">
        <f t="shared" si="13"/>
        <v>0</v>
      </c>
      <c r="E35" s="29">
        <f t="shared" si="13"/>
        <v>0</v>
      </c>
      <c r="F35" s="29">
        <f t="shared" si="13"/>
        <v>0</v>
      </c>
      <c r="G35" s="29">
        <f t="shared" si="13"/>
        <v>0</v>
      </c>
      <c r="H35" s="29">
        <f t="shared" si="13"/>
        <v>0</v>
      </c>
      <c r="I35" s="29">
        <f t="shared" si="13"/>
        <v>0</v>
      </c>
      <c r="J35" s="29">
        <f t="shared" si="13"/>
        <v>0</v>
      </c>
      <c r="K35" s="29">
        <f t="shared" si="13"/>
        <v>0</v>
      </c>
      <c r="L35" s="29">
        <f t="shared" si="13"/>
        <v>0</v>
      </c>
      <c r="M35" s="29">
        <f t="shared" si="13"/>
        <v>0</v>
      </c>
      <c r="N35" s="29">
        <f t="shared" si="13"/>
        <v>0</v>
      </c>
      <c r="O35" s="2"/>
      <c r="P35" s="2"/>
      <c r="Q35" s="2"/>
      <c r="R35" s="2"/>
      <c r="S35" s="2"/>
    </row>
    <row r="36" ht="12.75" customHeight="1">
      <c r="A36" s="39" t="s">
        <v>135</v>
      </c>
      <c r="B36" s="26">
        <f>'БДР-свод_БЕЗ НДС'!B41</f>
        <v>0</v>
      </c>
      <c r="C36" s="26">
        <f>'БДР-свод_БЕЗ НДС'!C41</f>
        <v>0</v>
      </c>
      <c r="D36" s="26">
        <f>'БДР-свод_БЕЗ НДС'!D41</f>
        <v>0</v>
      </c>
      <c r="E36" s="26">
        <f>'БДР-свод_БЕЗ НДС'!E41</f>
        <v>0</v>
      </c>
      <c r="F36" s="26">
        <f>'БДР-свод_БЕЗ НДС'!F41</f>
        <v>0</v>
      </c>
      <c r="G36" s="26">
        <f>'БДР-свод_БЕЗ НДС'!G41</f>
        <v>0</v>
      </c>
      <c r="H36" s="26">
        <f>'БДР-свод_БЕЗ НДС'!H41</f>
        <v>0</v>
      </c>
      <c r="I36" s="26">
        <f>'БДР-свод_БЕЗ НДС'!I41</f>
        <v>0</v>
      </c>
      <c r="J36" s="26">
        <f>'БДР-свод_БЕЗ НДС'!J41</f>
        <v>0</v>
      </c>
      <c r="K36" s="26">
        <f>'БДР-свод_БЕЗ НДС'!K41</f>
        <v>0</v>
      </c>
      <c r="L36" s="26">
        <f>'БДР-свод_БЕЗ НДС'!L41</f>
        <v>0</v>
      </c>
      <c r="M36" s="26">
        <f>'БДР-свод_БЕЗ НДС'!M41</f>
        <v>0</v>
      </c>
      <c r="N36" s="26">
        <f>'БДР-свод_БЕЗ НДС'!N41</f>
        <v>0</v>
      </c>
      <c r="O36" s="2"/>
      <c r="P36" s="2"/>
      <c r="Q36" s="2"/>
      <c r="R36" s="2"/>
      <c r="S36" s="2"/>
    </row>
    <row r="37" ht="12.75" customHeight="1">
      <c r="A37" s="39" t="s">
        <v>36</v>
      </c>
      <c r="B37" s="26">
        <f>'БДР-свод_БЕЗ НДС'!B45</f>
        <v>0</v>
      </c>
      <c r="C37" s="26">
        <f>'БДР-свод_БЕЗ НДС'!C45</f>
        <v>0</v>
      </c>
      <c r="D37" s="26">
        <f>'БДР-свод_БЕЗ НДС'!D45</f>
        <v>0</v>
      </c>
      <c r="E37" s="26">
        <f>'БДР-свод_БЕЗ НДС'!E45</f>
        <v>0</v>
      </c>
      <c r="F37" s="26">
        <f>'БДР-свод_БЕЗ НДС'!F45</f>
        <v>0</v>
      </c>
      <c r="G37" s="26">
        <f>'БДР-свод_БЕЗ НДС'!G45</f>
        <v>0</v>
      </c>
      <c r="H37" s="26">
        <f>'БДР-свод_БЕЗ НДС'!H45</f>
        <v>0</v>
      </c>
      <c r="I37" s="26">
        <f>'БДР-свод_БЕЗ НДС'!I45</f>
        <v>0</v>
      </c>
      <c r="J37" s="26">
        <f>'БДР-свод_БЕЗ НДС'!J45</f>
        <v>0</v>
      </c>
      <c r="K37" s="26">
        <f>'БДР-свод_БЕЗ НДС'!K45</f>
        <v>0</v>
      </c>
      <c r="L37" s="26">
        <f>'БДР-свод_БЕЗ НДС'!L45</f>
        <v>0</v>
      </c>
      <c r="M37" s="26">
        <f>'БДР-свод_БЕЗ НДС'!M45</f>
        <v>0</v>
      </c>
      <c r="N37" s="26">
        <f>'БДР-свод_БЕЗ НДС'!N45</f>
        <v>0</v>
      </c>
      <c r="O37" s="2"/>
      <c r="P37" s="2"/>
      <c r="Q37" s="2"/>
      <c r="R37" s="2"/>
      <c r="S37" s="2"/>
    </row>
    <row r="38" ht="12.75" customHeight="1">
      <c r="A38" s="35" t="s">
        <v>145</v>
      </c>
      <c r="B38" s="36">
        <f t="shared" ref="B38:N38" si="14">B22-B24-B35</f>
        <v>0</v>
      </c>
      <c r="C38" s="36">
        <f t="shared" si="14"/>
        <v>0</v>
      </c>
      <c r="D38" s="36">
        <f t="shared" si="14"/>
        <v>0</v>
      </c>
      <c r="E38" s="36">
        <f t="shared" si="14"/>
        <v>0</v>
      </c>
      <c r="F38" s="36">
        <f t="shared" si="14"/>
        <v>0</v>
      </c>
      <c r="G38" s="36">
        <f t="shared" si="14"/>
        <v>0</v>
      </c>
      <c r="H38" s="36">
        <f t="shared" si="14"/>
        <v>0</v>
      </c>
      <c r="I38" s="36">
        <f t="shared" si="14"/>
        <v>0</v>
      </c>
      <c r="J38" s="36">
        <f t="shared" si="14"/>
        <v>0</v>
      </c>
      <c r="K38" s="36">
        <f t="shared" si="14"/>
        <v>0</v>
      </c>
      <c r="L38" s="36">
        <f t="shared" si="14"/>
        <v>0</v>
      </c>
      <c r="M38" s="36">
        <f t="shared" si="14"/>
        <v>0</v>
      </c>
      <c r="N38" s="36">
        <f t="shared" si="14"/>
        <v>0</v>
      </c>
      <c r="O38" s="2"/>
      <c r="P38" s="2"/>
      <c r="Q38" s="2"/>
      <c r="R38" s="2"/>
      <c r="S38" s="2"/>
    </row>
    <row r="39" ht="12.75" customHeight="1">
      <c r="A39" s="40" t="s">
        <v>146</v>
      </c>
      <c r="B39" s="38" t="str">
        <f t="shared" ref="B39:N39" si="15">IFERROR(B38/B3,"")</f>
        <v/>
      </c>
      <c r="C39" s="38" t="str">
        <f t="shared" si="15"/>
        <v/>
      </c>
      <c r="D39" s="38" t="str">
        <f t="shared" si="15"/>
        <v/>
      </c>
      <c r="E39" s="38" t="str">
        <f t="shared" si="15"/>
        <v/>
      </c>
      <c r="F39" s="38" t="str">
        <f t="shared" si="15"/>
        <v/>
      </c>
      <c r="G39" s="38" t="str">
        <f t="shared" si="15"/>
        <v/>
      </c>
      <c r="H39" s="38" t="str">
        <f t="shared" si="15"/>
        <v/>
      </c>
      <c r="I39" s="38" t="str">
        <f t="shared" si="15"/>
        <v/>
      </c>
      <c r="J39" s="38" t="str">
        <f t="shared" si="15"/>
        <v/>
      </c>
      <c r="K39" s="38" t="str">
        <f t="shared" si="15"/>
        <v/>
      </c>
      <c r="L39" s="38" t="str">
        <f t="shared" si="15"/>
        <v/>
      </c>
      <c r="M39" s="38" t="str">
        <f t="shared" si="15"/>
        <v/>
      </c>
      <c r="N39" s="38" t="str">
        <f t="shared" si="15"/>
        <v/>
      </c>
      <c r="O39" s="2"/>
      <c r="P39" s="2"/>
      <c r="Q39" s="2"/>
      <c r="R39" s="2"/>
      <c r="S39" s="2"/>
    </row>
    <row r="40" ht="12.75" customHeight="1">
      <c r="A40" s="30" t="s">
        <v>147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>
        <f t="shared" ref="N40:N41" si="16">B40+C40+D40+E40+F40+G40+H40+I40+J40+K40+L40+M40</f>
        <v>0</v>
      </c>
      <c r="O40" s="2"/>
      <c r="P40" s="2"/>
      <c r="Q40" s="2"/>
      <c r="R40" s="2"/>
      <c r="S40" s="2"/>
    </row>
    <row r="41" ht="12.75" customHeight="1">
      <c r="A41" s="30" t="s">
        <v>148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>
        <f t="shared" si="16"/>
        <v>0</v>
      </c>
      <c r="O41" s="2"/>
      <c r="P41" s="2"/>
      <c r="Q41" s="2"/>
      <c r="R41" s="2"/>
      <c r="S41" s="2"/>
    </row>
    <row r="42" ht="12.75" customHeight="1">
      <c r="A42" s="25" t="s">
        <v>149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"/>
      <c r="P42" s="2"/>
      <c r="Q42" s="2"/>
      <c r="R42" s="2"/>
      <c r="S42" s="2"/>
    </row>
    <row r="43" ht="12.75" customHeight="1">
      <c r="A43" s="25" t="s">
        <v>150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>
        <f t="shared" ref="N43:N47" si="17">B43+C43+D43+E43+F43+G43+H43+I43+J43+K43+L43+M43</f>
        <v>0</v>
      </c>
      <c r="O43" s="2"/>
      <c r="P43" s="2"/>
      <c r="Q43" s="2"/>
      <c r="R43" s="2"/>
      <c r="S43" s="2"/>
    </row>
    <row r="44" ht="12.75" customHeight="1">
      <c r="A44" s="30" t="s">
        <v>151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>
        <f t="shared" si="17"/>
        <v>0</v>
      </c>
      <c r="O44" s="2"/>
      <c r="P44" s="2"/>
      <c r="Q44" s="2"/>
      <c r="R44" s="2"/>
      <c r="S44" s="2"/>
    </row>
    <row r="45" ht="12.75" customHeight="1">
      <c r="A45" s="32" t="s">
        <v>62</v>
      </c>
      <c r="B45" s="23">
        <f t="shared" ref="B45:M45" si="18">SUM(B46:B47)</f>
        <v>0</v>
      </c>
      <c r="C45" s="23">
        <f t="shared" si="18"/>
        <v>0</v>
      </c>
      <c r="D45" s="23">
        <f t="shared" si="18"/>
        <v>0</v>
      </c>
      <c r="E45" s="23">
        <f t="shared" si="18"/>
        <v>0</v>
      </c>
      <c r="F45" s="23">
        <f t="shared" si="18"/>
        <v>0</v>
      </c>
      <c r="G45" s="23">
        <f t="shared" si="18"/>
        <v>0</v>
      </c>
      <c r="H45" s="23">
        <f t="shared" si="18"/>
        <v>0</v>
      </c>
      <c r="I45" s="23">
        <f t="shared" si="18"/>
        <v>0</v>
      </c>
      <c r="J45" s="23">
        <f t="shared" si="18"/>
        <v>0</v>
      </c>
      <c r="K45" s="23">
        <f t="shared" si="18"/>
        <v>0</v>
      </c>
      <c r="L45" s="23">
        <f t="shared" si="18"/>
        <v>0</v>
      </c>
      <c r="M45" s="23">
        <f t="shared" si="18"/>
        <v>0</v>
      </c>
      <c r="N45" s="23">
        <f t="shared" si="17"/>
        <v>0</v>
      </c>
      <c r="O45" s="2"/>
      <c r="P45" s="2"/>
      <c r="Q45" s="2"/>
      <c r="R45" s="2"/>
      <c r="S45" s="2"/>
    </row>
    <row r="46" ht="11.25" customHeight="1">
      <c r="A46" s="33" t="s">
        <v>65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>
        <f t="shared" si="17"/>
        <v>0</v>
      </c>
      <c r="O46" s="2"/>
      <c r="P46" s="2"/>
      <c r="Q46" s="2"/>
      <c r="R46" s="2"/>
      <c r="S46" s="2"/>
    </row>
    <row r="47" ht="12.75" customHeight="1">
      <c r="A47" s="33" t="s">
        <v>67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>
        <f t="shared" si="17"/>
        <v>0</v>
      </c>
      <c r="O47" s="2"/>
      <c r="P47" s="2"/>
      <c r="Q47" s="2"/>
      <c r="R47" s="2"/>
      <c r="S47" s="2"/>
    </row>
    <row r="48" ht="12.75" customHeight="1">
      <c r="A48" s="41" t="s">
        <v>152</v>
      </c>
      <c r="B48" s="36">
        <f t="shared" ref="B48:N48" si="19">B38+B40+B41-B42-B43-B44-B45</f>
        <v>0</v>
      </c>
      <c r="C48" s="36">
        <f t="shared" si="19"/>
        <v>0</v>
      </c>
      <c r="D48" s="36">
        <f t="shared" si="19"/>
        <v>0</v>
      </c>
      <c r="E48" s="36">
        <f t="shared" si="19"/>
        <v>0</v>
      </c>
      <c r="F48" s="36">
        <f t="shared" si="19"/>
        <v>0</v>
      </c>
      <c r="G48" s="36">
        <f t="shared" si="19"/>
        <v>0</v>
      </c>
      <c r="H48" s="36">
        <f t="shared" si="19"/>
        <v>0</v>
      </c>
      <c r="I48" s="36">
        <f t="shared" si="19"/>
        <v>0</v>
      </c>
      <c r="J48" s="36">
        <f t="shared" si="19"/>
        <v>0</v>
      </c>
      <c r="K48" s="36">
        <f t="shared" si="19"/>
        <v>0</v>
      </c>
      <c r="L48" s="36">
        <f t="shared" si="19"/>
        <v>0</v>
      </c>
      <c r="M48" s="36">
        <f t="shared" si="19"/>
        <v>0</v>
      </c>
      <c r="N48" s="36">
        <f t="shared" si="19"/>
        <v>0</v>
      </c>
      <c r="O48" s="2"/>
      <c r="P48" s="2"/>
      <c r="Q48" s="2"/>
      <c r="R48" s="2"/>
      <c r="S48" s="2"/>
    </row>
    <row r="49" ht="12.75" customHeight="1">
      <c r="A49" s="40" t="s">
        <v>146</v>
      </c>
      <c r="B49" s="38" t="str">
        <f t="shared" ref="B49:N49" si="20">IFERROR(B48/B3,)</f>
        <v/>
      </c>
      <c r="C49" s="38" t="str">
        <f t="shared" si="20"/>
        <v/>
      </c>
      <c r="D49" s="38" t="str">
        <f t="shared" si="20"/>
        <v/>
      </c>
      <c r="E49" s="38" t="str">
        <f t="shared" si="20"/>
        <v/>
      </c>
      <c r="F49" s="38" t="str">
        <f t="shared" si="20"/>
        <v/>
      </c>
      <c r="G49" s="38" t="str">
        <f t="shared" si="20"/>
        <v/>
      </c>
      <c r="H49" s="38" t="str">
        <f t="shared" si="20"/>
        <v/>
      </c>
      <c r="I49" s="38" t="str">
        <f t="shared" si="20"/>
        <v/>
      </c>
      <c r="J49" s="38" t="str">
        <f t="shared" si="20"/>
        <v/>
      </c>
      <c r="K49" s="38" t="str">
        <f t="shared" si="20"/>
        <v/>
      </c>
      <c r="L49" s="38" t="str">
        <f t="shared" si="20"/>
        <v/>
      </c>
      <c r="M49" s="38" t="str">
        <f t="shared" si="20"/>
        <v/>
      </c>
      <c r="N49" s="38" t="str">
        <f t="shared" si="20"/>
        <v/>
      </c>
      <c r="O49" s="2"/>
      <c r="P49" s="2"/>
      <c r="Q49" s="2"/>
      <c r="R49" s="2"/>
      <c r="S49" s="2"/>
    </row>
    <row r="50" ht="12.75" customHeight="1">
      <c r="A50" s="32" t="s">
        <v>153</v>
      </c>
      <c r="B50" s="23" t="str">
        <f t="shared" ref="B50:M50" si="21">B51</f>
        <v/>
      </c>
      <c r="C50" s="23" t="str">
        <f t="shared" si="21"/>
        <v/>
      </c>
      <c r="D50" s="23" t="str">
        <f t="shared" si="21"/>
        <v/>
      </c>
      <c r="E50" s="23" t="str">
        <f t="shared" si="21"/>
        <v/>
      </c>
      <c r="F50" s="23" t="str">
        <f t="shared" si="21"/>
        <v/>
      </c>
      <c r="G50" s="23" t="str">
        <f t="shared" si="21"/>
        <v/>
      </c>
      <c r="H50" s="23" t="str">
        <f t="shared" si="21"/>
        <v/>
      </c>
      <c r="I50" s="23" t="str">
        <f t="shared" si="21"/>
        <v/>
      </c>
      <c r="J50" s="23" t="str">
        <f t="shared" si="21"/>
        <v/>
      </c>
      <c r="K50" s="23" t="str">
        <f t="shared" si="21"/>
        <v/>
      </c>
      <c r="L50" s="23" t="str">
        <f t="shared" si="21"/>
        <v/>
      </c>
      <c r="M50" s="23" t="str">
        <f t="shared" si="21"/>
        <v/>
      </c>
      <c r="N50" s="23">
        <f t="shared" ref="N50:N51" si="22">B50+C50+D50+E50+F50+G50+H50+I50+J50+K50+L50+M50</f>
        <v>0</v>
      </c>
      <c r="O50" s="2"/>
      <c r="P50" s="2"/>
      <c r="Q50" s="2"/>
      <c r="R50" s="2"/>
      <c r="S50" s="2"/>
    </row>
    <row r="51" ht="12.75" customHeight="1">
      <c r="A51" s="33" t="s">
        <v>154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8">
        <f t="shared" si="22"/>
        <v>0</v>
      </c>
      <c r="O51" s="2"/>
      <c r="P51" s="2"/>
      <c r="Q51" s="2"/>
      <c r="R51" s="2"/>
      <c r="S51" s="2"/>
    </row>
    <row r="52" ht="12.75" customHeight="1">
      <c r="A52" s="41" t="s">
        <v>155</v>
      </c>
      <c r="B52" s="36">
        <f t="shared" ref="B52:N52" si="23">B48-B51</f>
        <v>0</v>
      </c>
      <c r="C52" s="36">
        <f t="shared" si="23"/>
        <v>0</v>
      </c>
      <c r="D52" s="36">
        <f t="shared" si="23"/>
        <v>0</v>
      </c>
      <c r="E52" s="36">
        <f t="shared" si="23"/>
        <v>0</v>
      </c>
      <c r="F52" s="36">
        <f t="shared" si="23"/>
        <v>0</v>
      </c>
      <c r="G52" s="36">
        <f t="shared" si="23"/>
        <v>0</v>
      </c>
      <c r="H52" s="36">
        <f t="shared" si="23"/>
        <v>0</v>
      </c>
      <c r="I52" s="36">
        <f t="shared" si="23"/>
        <v>0</v>
      </c>
      <c r="J52" s="36">
        <f t="shared" si="23"/>
        <v>0</v>
      </c>
      <c r="K52" s="36">
        <f t="shared" si="23"/>
        <v>0</v>
      </c>
      <c r="L52" s="36">
        <f t="shared" si="23"/>
        <v>0</v>
      </c>
      <c r="M52" s="36">
        <f t="shared" si="23"/>
        <v>0</v>
      </c>
      <c r="N52" s="36">
        <f t="shared" si="23"/>
        <v>0</v>
      </c>
      <c r="O52" s="2"/>
      <c r="P52" s="2"/>
      <c r="Q52" s="2"/>
      <c r="R52" s="2"/>
      <c r="S52" s="2"/>
    </row>
    <row r="53" ht="12.75" customHeight="1">
      <c r="A53" s="40" t="s">
        <v>156</v>
      </c>
      <c r="B53" s="38" t="str">
        <f t="shared" ref="B53:N53" si="24">IFERROR(B52/B3,)</f>
        <v/>
      </c>
      <c r="C53" s="38" t="str">
        <f t="shared" si="24"/>
        <v/>
      </c>
      <c r="D53" s="38" t="str">
        <f t="shared" si="24"/>
        <v/>
      </c>
      <c r="E53" s="38" t="str">
        <f t="shared" si="24"/>
        <v/>
      </c>
      <c r="F53" s="38" t="str">
        <f t="shared" si="24"/>
        <v/>
      </c>
      <c r="G53" s="38" t="str">
        <f t="shared" si="24"/>
        <v/>
      </c>
      <c r="H53" s="38" t="str">
        <f t="shared" si="24"/>
        <v/>
      </c>
      <c r="I53" s="38" t="str">
        <f t="shared" si="24"/>
        <v/>
      </c>
      <c r="J53" s="38" t="str">
        <f t="shared" si="24"/>
        <v/>
      </c>
      <c r="K53" s="38" t="str">
        <f t="shared" si="24"/>
        <v/>
      </c>
      <c r="L53" s="38" t="str">
        <f t="shared" si="24"/>
        <v/>
      </c>
      <c r="M53" s="38" t="str">
        <f t="shared" si="24"/>
        <v/>
      </c>
      <c r="N53" s="38" t="str">
        <f t="shared" si="24"/>
        <v/>
      </c>
      <c r="O53" s="2"/>
      <c r="P53" s="2"/>
      <c r="Q53" s="2"/>
      <c r="R53" s="2"/>
      <c r="S53" s="2"/>
    </row>
    <row r="54" ht="12.75" customHeight="1">
      <c r="A54" s="32" t="s">
        <v>157</v>
      </c>
      <c r="B54" s="23" t="str">
        <f t="shared" ref="B54:M54" si="25">B55</f>
        <v/>
      </c>
      <c r="C54" s="23" t="str">
        <f t="shared" si="25"/>
        <v/>
      </c>
      <c r="D54" s="23" t="str">
        <f t="shared" si="25"/>
        <v/>
      </c>
      <c r="E54" s="23" t="str">
        <f t="shared" si="25"/>
        <v/>
      </c>
      <c r="F54" s="23" t="str">
        <f t="shared" si="25"/>
        <v/>
      </c>
      <c r="G54" s="23" t="str">
        <f t="shared" si="25"/>
        <v/>
      </c>
      <c r="H54" s="23" t="str">
        <f t="shared" si="25"/>
        <v/>
      </c>
      <c r="I54" s="23" t="str">
        <f t="shared" si="25"/>
        <v/>
      </c>
      <c r="J54" s="23" t="str">
        <f t="shared" si="25"/>
        <v/>
      </c>
      <c r="K54" s="23" t="str">
        <f t="shared" si="25"/>
        <v/>
      </c>
      <c r="L54" s="23" t="str">
        <f t="shared" si="25"/>
        <v/>
      </c>
      <c r="M54" s="23" t="str">
        <f t="shared" si="25"/>
        <v/>
      </c>
      <c r="N54" s="23">
        <f t="shared" ref="N54:N56" si="26">B54+C54+D54+E54+F54+G54+H54+I54+J54+K54+L54+M54</f>
        <v>0</v>
      </c>
      <c r="O54" s="2"/>
      <c r="P54" s="2"/>
      <c r="Q54" s="2"/>
      <c r="R54" s="2"/>
      <c r="S54" s="2"/>
    </row>
    <row r="55" ht="12.75" customHeight="1">
      <c r="A55" s="33" t="s">
        <v>158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>
        <f t="shared" si="26"/>
        <v>0</v>
      </c>
      <c r="O55" s="2"/>
      <c r="P55" s="2"/>
      <c r="Q55" s="2"/>
      <c r="R55" s="2"/>
      <c r="S55" s="2"/>
    </row>
    <row r="56" ht="12.75" customHeight="1">
      <c r="A56" s="41" t="s">
        <v>118</v>
      </c>
      <c r="B56" s="36">
        <f t="shared" ref="B56:M56" si="27">B52-B54</f>
        <v>0</v>
      </c>
      <c r="C56" s="36">
        <f t="shared" si="27"/>
        <v>0</v>
      </c>
      <c r="D56" s="36">
        <f t="shared" si="27"/>
        <v>0</v>
      </c>
      <c r="E56" s="36">
        <f t="shared" si="27"/>
        <v>0</v>
      </c>
      <c r="F56" s="36">
        <f t="shared" si="27"/>
        <v>0</v>
      </c>
      <c r="G56" s="36">
        <f t="shared" si="27"/>
        <v>0</v>
      </c>
      <c r="H56" s="36">
        <f t="shared" si="27"/>
        <v>0</v>
      </c>
      <c r="I56" s="36">
        <f t="shared" si="27"/>
        <v>0</v>
      </c>
      <c r="J56" s="36">
        <f t="shared" si="27"/>
        <v>0</v>
      </c>
      <c r="K56" s="36">
        <f t="shared" si="27"/>
        <v>0</v>
      </c>
      <c r="L56" s="36">
        <f t="shared" si="27"/>
        <v>0</v>
      </c>
      <c r="M56" s="36">
        <f t="shared" si="27"/>
        <v>0</v>
      </c>
      <c r="N56" s="36">
        <f t="shared" si="26"/>
        <v>0</v>
      </c>
      <c r="O56" s="2"/>
      <c r="P56" s="2"/>
      <c r="Q56" s="2"/>
      <c r="R56" s="2"/>
      <c r="S56" s="2"/>
    </row>
    <row r="57" ht="11.25" customHeight="1">
      <c r="A57" s="42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2"/>
      <c r="P57" s="2"/>
      <c r="Q57" s="2"/>
      <c r="R57" s="2"/>
      <c r="S57" s="2"/>
    </row>
    <row r="58" ht="11.25" customHeight="1">
      <c r="A58" s="44"/>
      <c r="B58" s="44"/>
      <c r="C58" s="44"/>
      <c r="D58" s="44"/>
      <c r="E58" s="44"/>
      <c r="F58" s="44"/>
      <c r="G58" s="4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</sheetData>
  <mergeCells count="1">
    <mergeCell ref="A1:N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 outlineLevelRow="1"/>
  <cols>
    <col customWidth="1" min="1" max="1" width="36.57"/>
    <col customWidth="1" min="2" max="14" width="14.71"/>
    <col customWidth="1" min="15" max="26" width="9.14"/>
  </cols>
  <sheetData>
    <row r="1" ht="11.25" customHeight="1">
      <c r="A1" s="45" t="s">
        <v>159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  <c r="M1" s="45"/>
      <c r="N1" s="4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8.25" customHeight="1">
      <c r="A2" s="3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31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4" t="s">
        <v>160</v>
      </c>
      <c r="B3" s="6" t="str">
        <f t="shared" ref="B3:M3" si="1">B4</f>
        <v/>
      </c>
      <c r="C3" s="6" t="str">
        <f t="shared" si="1"/>
        <v/>
      </c>
      <c r="D3" s="6" t="str">
        <f t="shared" si="1"/>
        <v/>
      </c>
      <c r="E3" s="6" t="str">
        <f t="shared" si="1"/>
        <v/>
      </c>
      <c r="F3" s="6" t="str">
        <f t="shared" si="1"/>
        <v/>
      </c>
      <c r="G3" s="6" t="str">
        <f t="shared" si="1"/>
        <v/>
      </c>
      <c r="H3" s="6" t="str">
        <f t="shared" si="1"/>
        <v/>
      </c>
      <c r="I3" s="6" t="str">
        <f t="shared" si="1"/>
        <v/>
      </c>
      <c r="J3" s="6" t="str">
        <f t="shared" si="1"/>
        <v/>
      </c>
      <c r="K3" s="6" t="str">
        <f t="shared" si="1"/>
        <v/>
      </c>
      <c r="L3" s="6" t="str">
        <f t="shared" si="1"/>
        <v/>
      </c>
      <c r="M3" s="6" t="str">
        <f t="shared" si="1"/>
        <v/>
      </c>
      <c r="N3" s="6">
        <f t="shared" ref="N3:N4" si="2">B3+C3+D3+E3+F3+G3+H3+I3+J3+K3+L3+M3</f>
        <v>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7" t="s">
        <v>161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>
        <f t="shared" si="2"/>
        <v>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4" t="s">
        <v>162</v>
      </c>
      <c r="B5" s="6">
        <f t="shared" ref="B5:N5" si="3">B6+B40+B87+B49</f>
        <v>0</v>
      </c>
      <c r="C5" s="6">
        <f t="shared" si="3"/>
        <v>0</v>
      </c>
      <c r="D5" s="6">
        <f t="shared" si="3"/>
        <v>0</v>
      </c>
      <c r="E5" s="6">
        <f t="shared" si="3"/>
        <v>0</v>
      </c>
      <c r="F5" s="6">
        <f t="shared" si="3"/>
        <v>0</v>
      </c>
      <c r="G5" s="6">
        <f t="shared" si="3"/>
        <v>0</v>
      </c>
      <c r="H5" s="6">
        <f t="shared" si="3"/>
        <v>0</v>
      </c>
      <c r="I5" s="6">
        <f t="shared" si="3"/>
        <v>0</v>
      </c>
      <c r="J5" s="6">
        <f t="shared" si="3"/>
        <v>0</v>
      </c>
      <c r="K5" s="6">
        <f t="shared" si="3"/>
        <v>0</v>
      </c>
      <c r="L5" s="6">
        <f t="shared" si="3"/>
        <v>0</v>
      </c>
      <c r="M5" s="6">
        <f t="shared" si="3"/>
        <v>0</v>
      </c>
      <c r="N5" s="6">
        <f t="shared" si="3"/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8" t="s">
        <v>163</v>
      </c>
      <c r="B6" s="9">
        <f t="shared" ref="B6:M6" si="4">B7</f>
        <v>0</v>
      </c>
      <c r="C6" s="9">
        <f t="shared" si="4"/>
        <v>0</v>
      </c>
      <c r="D6" s="9">
        <f t="shared" si="4"/>
        <v>0</v>
      </c>
      <c r="E6" s="9">
        <f t="shared" si="4"/>
        <v>0</v>
      </c>
      <c r="F6" s="9">
        <f t="shared" si="4"/>
        <v>0</v>
      </c>
      <c r="G6" s="9">
        <f t="shared" si="4"/>
        <v>0</v>
      </c>
      <c r="H6" s="9">
        <f t="shared" si="4"/>
        <v>0</v>
      </c>
      <c r="I6" s="9">
        <f t="shared" si="4"/>
        <v>0</v>
      </c>
      <c r="J6" s="9">
        <f t="shared" si="4"/>
        <v>0</v>
      </c>
      <c r="K6" s="9">
        <f t="shared" si="4"/>
        <v>0</v>
      </c>
      <c r="L6" s="9">
        <f t="shared" si="4"/>
        <v>0</v>
      </c>
      <c r="M6" s="9">
        <f t="shared" si="4"/>
        <v>0</v>
      </c>
      <c r="N6" s="9">
        <f>B6+C6+D6+E6+F6+G6+H6+I6+J6+K6+L6+M6</f>
        <v>0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8" t="s">
        <v>164</v>
      </c>
      <c r="B7" s="9">
        <f t="shared" ref="B7:N7" si="5">B8+B11+B15+B20+B24+B27+B31+B36+B37</f>
        <v>0</v>
      </c>
      <c r="C7" s="9">
        <f t="shared" si="5"/>
        <v>0</v>
      </c>
      <c r="D7" s="9">
        <f t="shared" si="5"/>
        <v>0</v>
      </c>
      <c r="E7" s="9">
        <f t="shared" si="5"/>
        <v>0</v>
      </c>
      <c r="F7" s="9">
        <f t="shared" si="5"/>
        <v>0</v>
      </c>
      <c r="G7" s="9">
        <f t="shared" si="5"/>
        <v>0</v>
      </c>
      <c r="H7" s="9">
        <f t="shared" si="5"/>
        <v>0</v>
      </c>
      <c r="I7" s="9">
        <f t="shared" si="5"/>
        <v>0</v>
      </c>
      <c r="J7" s="9">
        <f t="shared" si="5"/>
        <v>0</v>
      </c>
      <c r="K7" s="9">
        <f t="shared" si="5"/>
        <v>0</v>
      </c>
      <c r="L7" s="9">
        <f t="shared" si="5"/>
        <v>0</v>
      </c>
      <c r="M7" s="9">
        <f t="shared" si="5"/>
        <v>0</v>
      </c>
      <c r="N7" s="9">
        <f t="shared" si="5"/>
        <v>0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7" t="s">
        <v>21</v>
      </c>
      <c r="B8" s="10">
        <f t="shared" ref="B8:N8" si="6">B9+B10</f>
        <v>0</v>
      </c>
      <c r="C8" s="10">
        <f t="shared" si="6"/>
        <v>0</v>
      </c>
      <c r="D8" s="10">
        <f t="shared" si="6"/>
        <v>0</v>
      </c>
      <c r="E8" s="10">
        <f t="shared" si="6"/>
        <v>0</v>
      </c>
      <c r="F8" s="10">
        <f t="shared" si="6"/>
        <v>0</v>
      </c>
      <c r="G8" s="10">
        <f t="shared" si="6"/>
        <v>0</v>
      </c>
      <c r="H8" s="10">
        <f t="shared" si="6"/>
        <v>0</v>
      </c>
      <c r="I8" s="10">
        <f t="shared" si="6"/>
        <v>0</v>
      </c>
      <c r="J8" s="10">
        <f t="shared" si="6"/>
        <v>0</v>
      </c>
      <c r="K8" s="10">
        <f t="shared" si="6"/>
        <v>0</v>
      </c>
      <c r="L8" s="10">
        <f t="shared" si="6"/>
        <v>0</v>
      </c>
      <c r="M8" s="10">
        <f t="shared" si="6"/>
        <v>0</v>
      </c>
      <c r="N8" s="10">
        <f t="shared" si="6"/>
        <v>0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7.0" customHeight="1" outlineLevel="1">
      <c r="A9" s="11" t="s">
        <v>22</v>
      </c>
      <c r="B9" s="47" t="str">
        <f>'Бюджет производственных расходо'!B5</f>
        <v/>
      </c>
      <c r="C9" s="47" t="str">
        <f>'Бюджет производственных расходо'!C5</f>
        <v/>
      </c>
      <c r="D9" s="47" t="str">
        <f>'Бюджет производственных расходо'!D5</f>
        <v/>
      </c>
      <c r="E9" s="47" t="str">
        <f>'Бюджет производственных расходо'!E5</f>
        <v/>
      </c>
      <c r="F9" s="47" t="str">
        <f>'Бюджет производственных расходо'!F5</f>
        <v/>
      </c>
      <c r="G9" s="47" t="str">
        <f>'Бюджет производственных расходо'!G5</f>
        <v/>
      </c>
      <c r="H9" s="47" t="str">
        <f>'Бюджет производственных расходо'!H5</f>
        <v/>
      </c>
      <c r="I9" s="47" t="str">
        <f>'Бюджет производственных расходо'!I5</f>
        <v/>
      </c>
      <c r="J9" s="47" t="str">
        <f>'Бюджет производственных расходо'!J5</f>
        <v/>
      </c>
      <c r="K9" s="47" t="str">
        <f>'Бюджет производственных расходо'!K5</f>
        <v/>
      </c>
      <c r="L9" s="47" t="str">
        <f>'Бюджет производственных расходо'!L5</f>
        <v/>
      </c>
      <c r="M9" s="47" t="str">
        <f>'Бюджет производственных расходо'!M5</f>
        <v/>
      </c>
      <c r="N9" s="12">
        <f t="shared" ref="N9:N15" si="7">B9+C9+D9+E9+F9+G9+H9+I9+J9+K9+L9+M9</f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 outlineLevel="1">
      <c r="A10" s="11" t="s">
        <v>23</v>
      </c>
      <c r="B10" s="47" t="str">
        <f>'Бюджет производственных расходо'!B6</f>
        <v/>
      </c>
      <c r="C10" s="47" t="str">
        <f>'Бюджет производственных расходо'!C6</f>
        <v/>
      </c>
      <c r="D10" s="47" t="str">
        <f>'Бюджет производственных расходо'!D6</f>
        <v/>
      </c>
      <c r="E10" s="47" t="str">
        <f>'Бюджет производственных расходо'!E6</f>
        <v/>
      </c>
      <c r="F10" s="47" t="str">
        <f>'Бюджет производственных расходо'!F6</f>
        <v/>
      </c>
      <c r="G10" s="47" t="str">
        <f>'Бюджет производственных расходо'!G6</f>
        <v/>
      </c>
      <c r="H10" s="47" t="str">
        <f>'Бюджет производственных расходо'!H6</f>
        <v/>
      </c>
      <c r="I10" s="47" t="str">
        <f>'Бюджет производственных расходо'!I6</f>
        <v/>
      </c>
      <c r="J10" s="47" t="str">
        <f>'Бюджет производственных расходо'!J6</f>
        <v/>
      </c>
      <c r="K10" s="47" t="str">
        <f>'Бюджет производственных расходо'!K6</f>
        <v/>
      </c>
      <c r="L10" s="47" t="str">
        <f>'Бюджет производственных расходо'!L6</f>
        <v/>
      </c>
      <c r="M10" s="47" t="str">
        <f>'Бюджет производственных расходо'!M6</f>
        <v/>
      </c>
      <c r="N10" s="12">
        <f t="shared" si="7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customHeight="1">
      <c r="A11" s="7" t="s">
        <v>135</v>
      </c>
      <c r="B11" s="10">
        <f t="shared" ref="B11:M11" si="8">SUM(B12:B14)</f>
        <v>0</v>
      </c>
      <c r="C11" s="10">
        <f t="shared" si="8"/>
        <v>0</v>
      </c>
      <c r="D11" s="10">
        <f t="shared" si="8"/>
        <v>0</v>
      </c>
      <c r="E11" s="10">
        <f t="shared" si="8"/>
        <v>0</v>
      </c>
      <c r="F11" s="10">
        <f t="shared" si="8"/>
        <v>0</v>
      </c>
      <c r="G11" s="10">
        <f t="shared" si="8"/>
        <v>0</v>
      </c>
      <c r="H11" s="10">
        <f t="shared" si="8"/>
        <v>0</v>
      </c>
      <c r="I11" s="10">
        <f t="shared" si="8"/>
        <v>0</v>
      </c>
      <c r="J11" s="10">
        <f t="shared" si="8"/>
        <v>0</v>
      </c>
      <c r="K11" s="10">
        <f t="shared" si="8"/>
        <v>0</v>
      </c>
      <c r="L11" s="10">
        <f t="shared" si="8"/>
        <v>0</v>
      </c>
      <c r="M11" s="10">
        <f t="shared" si="8"/>
        <v>0</v>
      </c>
      <c r="N11" s="10">
        <f t="shared" si="7"/>
        <v>0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1.25" customHeight="1" outlineLevel="1">
      <c r="A12" s="11" t="s">
        <v>165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>
        <f t="shared" si="7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customHeight="1" outlineLevel="1">
      <c r="A13" s="11" t="s">
        <v>166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>
        <f t="shared" si="7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customHeight="1" outlineLevel="1">
      <c r="A14" s="11" t="s">
        <v>64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>
        <f t="shared" si="7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customHeight="1">
      <c r="A15" s="7" t="s">
        <v>26</v>
      </c>
      <c r="B15" s="10">
        <f t="shared" ref="B15:M15" si="9">B16+B20+B21+B22</f>
        <v>0</v>
      </c>
      <c r="C15" s="10">
        <f t="shared" si="9"/>
        <v>0</v>
      </c>
      <c r="D15" s="10">
        <f t="shared" si="9"/>
        <v>0</v>
      </c>
      <c r="E15" s="10">
        <f t="shared" si="9"/>
        <v>0</v>
      </c>
      <c r="F15" s="10">
        <f t="shared" si="9"/>
        <v>0</v>
      </c>
      <c r="G15" s="10">
        <f t="shared" si="9"/>
        <v>0</v>
      </c>
      <c r="H15" s="10">
        <f t="shared" si="9"/>
        <v>0</v>
      </c>
      <c r="I15" s="10">
        <f t="shared" si="9"/>
        <v>0</v>
      </c>
      <c r="J15" s="10">
        <f t="shared" si="9"/>
        <v>0</v>
      </c>
      <c r="K15" s="10">
        <f t="shared" si="9"/>
        <v>0</v>
      </c>
      <c r="L15" s="10">
        <f t="shared" si="9"/>
        <v>0</v>
      </c>
      <c r="M15" s="10">
        <f t="shared" si="9"/>
        <v>0</v>
      </c>
      <c r="N15" s="10">
        <f t="shared" si="7"/>
        <v>0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3.5" customHeight="1">
      <c r="A16" s="48" t="s">
        <v>167</v>
      </c>
      <c r="B16" s="49">
        <f>'Бюджет производственных расходо'!B9</f>
        <v>0</v>
      </c>
      <c r="C16" s="49">
        <f>'Бюджет производственных расходо'!C9</f>
        <v>0</v>
      </c>
      <c r="D16" s="49">
        <f>'Бюджет производственных расходо'!D9</f>
        <v>0</v>
      </c>
      <c r="E16" s="49">
        <f>'Бюджет производственных расходо'!E9</f>
        <v>0</v>
      </c>
      <c r="F16" s="49">
        <f>'Бюджет производственных расходо'!F9</f>
        <v>0</v>
      </c>
      <c r="G16" s="49">
        <f>'Бюджет производственных расходо'!G9</f>
        <v>0</v>
      </c>
      <c r="H16" s="49">
        <f>'Бюджет производственных расходо'!H9</f>
        <v>0</v>
      </c>
      <c r="I16" s="49">
        <f>'Бюджет производственных расходо'!I9</f>
        <v>0</v>
      </c>
      <c r="J16" s="49">
        <f>'Бюджет производственных расходо'!J9</f>
        <v>0</v>
      </c>
      <c r="K16" s="49">
        <f>'Бюджет производственных расходо'!K9</f>
        <v>0</v>
      </c>
      <c r="L16" s="49">
        <f>'Бюджет производственных расходо'!L9</f>
        <v>0</v>
      </c>
      <c r="M16" s="49">
        <f>'Бюджет производственных расходо'!M9</f>
        <v>0</v>
      </c>
      <c r="N16" s="49">
        <f>N17</f>
        <v>0</v>
      </c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3.5" customHeight="1">
      <c r="A17" s="48" t="s">
        <v>168</v>
      </c>
      <c r="B17" s="49" t="str">
        <f>'Бюджет производственных расходо'!B13</f>
        <v/>
      </c>
      <c r="C17" s="49" t="str">
        <f>'Бюджет производственных расходо'!C13</f>
        <v/>
      </c>
      <c r="D17" s="49" t="str">
        <f>'Бюджет производственных расходо'!D13</f>
        <v/>
      </c>
      <c r="E17" s="49" t="str">
        <f>'Бюджет производственных расходо'!E13</f>
        <v/>
      </c>
      <c r="F17" s="49" t="str">
        <f>'Бюджет производственных расходо'!F13</f>
        <v/>
      </c>
      <c r="G17" s="49" t="str">
        <f>'Бюджет производственных расходо'!G13</f>
        <v/>
      </c>
      <c r="H17" s="49" t="str">
        <f>'Бюджет производственных расходо'!H13</f>
        <v/>
      </c>
      <c r="I17" s="49" t="str">
        <f>'Бюджет производственных расходо'!I13</f>
        <v/>
      </c>
      <c r="J17" s="49" t="str">
        <f>'Бюджет производственных расходо'!J13</f>
        <v/>
      </c>
      <c r="K17" s="49" t="str">
        <f>'Бюджет производственных расходо'!K13</f>
        <v/>
      </c>
      <c r="L17" s="49" t="str">
        <f>'Бюджет производственных расходо'!L13</f>
        <v/>
      </c>
      <c r="M17" s="49" t="str">
        <f>'Бюджет производственных расходо'!M13</f>
        <v/>
      </c>
      <c r="N17" s="49">
        <f t="shared" ref="N17:N21" si="10">B17+C17+D17+E17+F17+G17+H17+I17+J17+K17+L17+M17</f>
        <v>0</v>
      </c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3.5" customHeight="1">
      <c r="A18" s="48" t="s">
        <v>169</v>
      </c>
      <c r="B18" s="49" t="str">
        <f>'Бюджет производственных расходо'!B14</f>
        <v/>
      </c>
      <c r="C18" s="49" t="str">
        <f>'Бюджет производственных расходо'!C14</f>
        <v/>
      </c>
      <c r="D18" s="49" t="str">
        <f>'Бюджет производственных расходо'!D14</f>
        <v/>
      </c>
      <c r="E18" s="49" t="str">
        <f>'Бюджет производственных расходо'!E14</f>
        <v/>
      </c>
      <c r="F18" s="49" t="str">
        <f>'Бюджет производственных расходо'!F14</f>
        <v/>
      </c>
      <c r="G18" s="49" t="str">
        <f>'Бюджет производственных расходо'!G14</f>
        <v/>
      </c>
      <c r="H18" s="49" t="str">
        <f>'Бюджет производственных расходо'!H14</f>
        <v/>
      </c>
      <c r="I18" s="49" t="str">
        <f>'Бюджет производственных расходо'!I14</f>
        <v/>
      </c>
      <c r="J18" s="49" t="str">
        <f>'Бюджет производственных расходо'!J14</f>
        <v/>
      </c>
      <c r="K18" s="49" t="str">
        <f>'Бюджет производственных расходо'!K14</f>
        <v/>
      </c>
      <c r="L18" s="49" t="str">
        <f>'Бюджет производственных расходо'!L14</f>
        <v/>
      </c>
      <c r="M18" s="49" t="str">
        <f>'Бюджет производственных расходо'!M14</f>
        <v/>
      </c>
      <c r="N18" s="49">
        <f t="shared" si="10"/>
        <v>0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3.5" customHeight="1">
      <c r="A19" s="48" t="s">
        <v>170</v>
      </c>
      <c r="B19" s="49" t="str">
        <f>'Бюджет производственных расходо'!B15</f>
        <v/>
      </c>
      <c r="C19" s="49" t="str">
        <f>'Бюджет производственных расходо'!C15</f>
        <v/>
      </c>
      <c r="D19" s="49" t="str">
        <f>'Бюджет производственных расходо'!D15</f>
        <v/>
      </c>
      <c r="E19" s="49" t="str">
        <f>'Бюджет производственных расходо'!E15</f>
        <v/>
      </c>
      <c r="F19" s="49" t="str">
        <f>'Бюджет производственных расходо'!F15</f>
        <v/>
      </c>
      <c r="G19" s="49" t="str">
        <f>'Бюджет производственных расходо'!G15</f>
        <v/>
      </c>
      <c r="H19" s="49" t="str">
        <f>'Бюджет производственных расходо'!H15</f>
        <v/>
      </c>
      <c r="I19" s="49" t="str">
        <f>'Бюджет производственных расходо'!I15</f>
        <v/>
      </c>
      <c r="J19" s="49" t="str">
        <f>'Бюджет производственных расходо'!J15</f>
        <v/>
      </c>
      <c r="K19" s="49" t="str">
        <f>'Бюджет производственных расходо'!K15</f>
        <v/>
      </c>
      <c r="L19" s="49" t="str">
        <f>'Бюджет производственных расходо'!L15</f>
        <v/>
      </c>
      <c r="M19" s="49" t="str">
        <f>'Бюджет производственных расходо'!M15</f>
        <v/>
      </c>
      <c r="N19" s="49">
        <f t="shared" si="10"/>
        <v>0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3.5" customHeight="1">
      <c r="A20" s="7" t="s">
        <v>31</v>
      </c>
      <c r="B20" s="10">
        <f t="shared" ref="B20:M20" si="11">B21+B23</f>
        <v>0</v>
      </c>
      <c r="C20" s="10">
        <f t="shared" si="11"/>
        <v>0</v>
      </c>
      <c r="D20" s="10">
        <f t="shared" si="11"/>
        <v>0</v>
      </c>
      <c r="E20" s="10">
        <f t="shared" si="11"/>
        <v>0</v>
      </c>
      <c r="F20" s="10">
        <f t="shared" si="11"/>
        <v>0</v>
      </c>
      <c r="G20" s="10">
        <f t="shared" si="11"/>
        <v>0</v>
      </c>
      <c r="H20" s="10">
        <f t="shared" si="11"/>
        <v>0</v>
      </c>
      <c r="I20" s="10">
        <f t="shared" si="11"/>
        <v>0</v>
      </c>
      <c r="J20" s="10">
        <f t="shared" si="11"/>
        <v>0</v>
      </c>
      <c r="K20" s="10">
        <f t="shared" si="11"/>
        <v>0</v>
      </c>
      <c r="L20" s="10">
        <f t="shared" si="11"/>
        <v>0</v>
      </c>
      <c r="M20" s="10">
        <f t="shared" si="11"/>
        <v>0</v>
      </c>
      <c r="N20" s="10">
        <f t="shared" si="10"/>
        <v>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3.5" customHeight="1">
      <c r="A21" s="51" t="s">
        <v>32</v>
      </c>
      <c r="B21" s="49" t="str">
        <f>'Бюджет производственных расходо'!B17</f>
        <v/>
      </c>
      <c r="C21" s="49" t="str">
        <f>'Бюджет производственных расходо'!C17</f>
        <v/>
      </c>
      <c r="D21" s="49" t="str">
        <f>'Бюджет производственных расходо'!D17</f>
        <v/>
      </c>
      <c r="E21" s="49" t="str">
        <f>'Бюджет производственных расходо'!E17</f>
        <v/>
      </c>
      <c r="F21" s="49" t="str">
        <f>'Бюджет производственных расходо'!F17</f>
        <v/>
      </c>
      <c r="G21" s="49" t="str">
        <f>'Бюджет производственных расходо'!G17</f>
        <v/>
      </c>
      <c r="H21" s="49" t="str">
        <f>'Бюджет производственных расходо'!H17</f>
        <v/>
      </c>
      <c r="I21" s="49" t="str">
        <f>'Бюджет производственных расходо'!I17</f>
        <v/>
      </c>
      <c r="J21" s="49" t="str">
        <f>'Бюджет производственных расходо'!J17</f>
        <v/>
      </c>
      <c r="K21" s="49" t="str">
        <f>'Бюджет производственных расходо'!K17</f>
        <v/>
      </c>
      <c r="L21" s="49" t="str">
        <f>'Бюджет производственных расходо'!L17</f>
        <v/>
      </c>
      <c r="M21" s="49" t="str">
        <f>'Бюджет производственных расходо'!M17</f>
        <v/>
      </c>
      <c r="N21" s="49">
        <f t="shared" si="10"/>
        <v>0</v>
      </c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3.5" customHeight="1">
      <c r="A22" s="51" t="s">
        <v>171</v>
      </c>
      <c r="B22" s="49" t="str">
        <f>'Бюджет производственных расходо'!B18</f>
        <v/>
      </c>
      <c r="C22" s="49" t="str">
        <f>'Бюджет производственных расходо'!C18</f>
        <v/>
      </c>
      <c r="D22" s="49" t="str">
        <f>'Бюджет производственных расходо'!D18</f>
        <v/>
      </c>
      <c r="E22" s="49" t="str">
        <f>'Бюджет производственных расходо'!E18</f>
        <v/>
      </c>
      <c r="F22" s="49" t="str">
        <f>'Бюджет производственных расходо'!F18</f>
        <v/>
      </c>
      <c r="G22" s="49" t="str">
        <f>'Бюджет производственных расходо'!G18</f>
        <v/>
      </c>
      <c r="H22" s="49" t="str">
        <f>'Бюджет производственных расходо'!H18</f>
        <v/>
      </c>
      <c r="I22" s="49" t="str">
        <f>'Бюджет производственных расходо'!I18</f>
        <v/>
      </c>
      <c r="J22" s="49" t="str">
        <f>'Бюджет производственных расходо'!J18</f>
        <v/>
      </c>
      <c r="K22" s="49" t="str">
        <f>'Бюджет производственных расходо'!K18</f>
        <v/>
      </c>
      <c r="L22" s="49" t="str">
        <f>'Бюджет производственных расходо'!L18</f>
        <v/>
      </c>
      <c r="M22" s="49" t="str">
        <f>'Бюджет производственных расходо'!M18</f>
        <v/>
      </c>
      <c r="N22" s="49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3.5" customHeight="1">
      <c r="A23" s="51" t="s">
        <v>172</v>
      </c>
      <c r="B23" s="49" t="str">
        <f>'Бюджет производственных расходо'!B19</f>
        <v/>
      </c>
      <c r="C23" s="49" t="str">
        <f>'Бюджет производственных расходо'!C19</f>
        <v/>
      </c>
      <c r="D23" s="49" t="str">
        <f>'Бюджет производственных расходо'!D19</f>
        <v/>
      </c>
      <c r="E23" s="49" t="str">
        <f>'Бюджет производственных расходо'!E19</f>
        <v/>
      </c>
      <c r="F23" s="49" t="str">
        <f>'Бюджет производственных расходо'!F19</f>
        <v/>
      </c>
      <c r="G23" s="49" t="str">
        <f>'Бюджет производственных расходо'!G19</f>
        <v/>
      </c>
      <c r="H23" s="49" t="str">
        <f>'Бюджет производственных расходо'!H19</f>
        <v/>
      </c>
      <c r="I23" s="49" t="str">
        <f>'Бюджет производственных расходо'!I19</f>
        <v/>
      </c>
      <c r="J23" s="49" t="str">
        <f>'Бюджет производственных расходо'!J19</f>
        <v/>
      </c>
      <c r="K23" s="49" t="str">
        <f>'Бюджет производственных расходо'!K19</f>
        <v/>
      </c>
      <c r="L23" s="49" t="str">
        <f>'Бюджет производственных расходо'!L19</f>
        <v/>
      </c>
      <c r="M23" s="49" t="str">
        <f>'Бюджет производственных расходо'!M19</f>
        <v/>
      </c>
      <c r="N23" s="49">
        <f>B23+C23+D23+E23+F23+G23+H23+I23+J23+K23+L23+M23</f>
        <v>0</v>
      </c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3.5" customHeight="1">
      <c r="A24" s="7" t="s">
        <v>136</v>
      </c>
      <c r="B24" s="10">
        <f t="shared" ref="B24:N24" si="12">B25+B26</f>
        <v>0</v>
      </c>
      <c r="C24" s="10">
        <f t="shared" si="12"/>
        <v>0</v>
      </c>
      <c r="D24" s="10">
        <f t="shared" si="12"/>
        <v>0</v>
      </c>
      <c r="E24" s="10">
        <f t="shared" si="12"/>
        <v>0</v>
      </c>
      <c r="F24" s="10">
        <f t="shared" si="12"/>
        <v>0</v>
      </c>
      <c r="G24" s="10">
        <f t="shared" si="12"/>
        <v>0</v>
      </c>
      <c r="H24" s="10">
        <f t="shared" si="12"/>
        <v>0</v>
      </c>
      <c r="I24" s="10">
        <f t="shared" si="12"/>
        <v>0</v>
      </c>
      <c r="J24" s="10">
        <f t="shared" si="12"/>
        <v>0</v>
      </c>
      <c r="K24" s="10">
        <f t="shared" si="12"/>
        <v>0</v>
      </c>
      <c r="L24" s="10">
        <f t="shared" si="12"/>
        <v>0</v>
      </c>
      <c r="M24" s="10">
        <f t="shared" si="12"/>
        <v>0</v>
      </c>
      <c r="N24" s="10">
        <f t="shared" si="12"/>
        <v>0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3.5" customHeight="1">
      <c r="A25" s="51" t="s">
        <v>173</v>
      </c>
      <c r="B25" s="49" t="str">
        <f>'Бюджет производственных расходо'!B21</f>
        <v/>
      </c>
      <c r="C25" s="49" t="str">
        <f>'Бюджет производственных расходо'!C21</f>
        <v/>
      </c>
      <c r="D25" s="49" t="str">
        <f>'Бюджет производственных расходо'!D21</f>
        <v/>
      </c>
      <c r="E25" s="49" t="str">
        <f>'Бюджет производственных расходо'!E21</f>
        <v/>
      </c>
      <c r="F25" s="49" t="str">
        <f>'Бюджет производственных расходо'!F21</f>
        <v/>
      </c>
      <c r="G25" s="49" t="str">
        <f>'Бюджет производственных расходо'!G21</f>
        <v/>
      </c>
      <c r="H25" s="49" t="str">
        <f>'Бюджет производственных расходо'!H21</f>
        <v/>
      </c>
      <c r="I25" s="49" t="str">
        <f>'Бюджет производственных расходо'!I21</f>
        <v/>
      </c>
      <c r="J25" s="49" t="str">
        <f>'Бюджет производственных расходо'!J21</f>
        <v/>
      </c>
      <c r="K25" s="49" t="str">
        <f>'Бюджет производственных расходо'!K21</f>
        <v/>
      </c>
      <c r="L25" s="49" t="str">
        <f>'Бюджет производственных расходо'!L21</f>
        <v/>
      </c>
      <c r="M25" s="49" t="str">
        <f>'Бюджет производственных расходо'!M21</f>
        <v/>
      </c>
      <c r="N25" s="49">
        <f t="shared" ref="N25:N26" si="13">B25+C25+D25+E25+F25+G25+H25+I25+J25+K25+L25+M25</f>
        <v>0</v>
      </c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3.5" customHeight="1">
      <c r="A26" s="51" t="s">
        <v>174</v>
      </c>
      <c r="B26" s="49" t="str">
        <f>'Бюджет производственных расходо'!B22</f>
        <v/>
      </c>
      <c r="C26" s="49" t="str">
        <f>'Бюджет производственных расходо'!C22</f>
        <v/>
      </c>
      <c r="D26" s="49" t="str">
        <f>'Бюджет производственных расходо'!D22</f>
        <v/>
      </c>
      <c r="E26" s="49" t="str">
        <f>'Бюджет производственных расходо'!E22</f>
        <v/>
      </c>
      <c r="F26" s="49" t="str">
        <f>'Бюджет производственных расходо'!F22</f>
        <v/>
      </c>
      <c r="G26" s="49" t="str">
        <f>'Бюджет производственных расходо'!G22</f>
        <v/>
      </c>
      <c r="H26" s="49" t="str">
        <f>'Бюджет производственных расходо'!H22</f>
        <v/>
      </c>
      <c r="I26" s="49" t="str">
        <f>'Бюджет производственных расходо'!I22</f>
        <v/>
      </c>
      <c r="J26" s="49" t="str">
        <f>'Бюджет производственных расходо'!J22</f>
        <v/>
      </c>
      <c r="K26" s="49" t="str">
        <f>'Бюджет производственных расходо'!K22</f>
        <v/>
      </c>
      <c r="L26" s="49" t="str">
        <f>'Бюджет производственных расходо'!L22</f>
        <v/>
      </c>
      <c r="M26" s="49" t="str">
        <f>'Бюджет производственных расходо'!M22</f>
        <v/>
      </c>
      <c r="N26" s="49">
        <f t="shared" si="13"/>
        <v>0</v>
      </c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3.5" customHeight="1">
      <c r="A27" s="7" t="s">
        <v>137</v>
      </c>
      <c r="B27" s="10">
        <f t="shared" ref="B27:N27" si="14">SUM(B28:B30)</f>
        <v>0</v>
      </c>
      <c r="C27" s="10">
        <f t="shared" si="14"/>
        <v>0</v>
      </c>
      <c r="D27" s="10">
        <f t="shared" si="14"/>
        <v>0</v>
      </c>
      <c r="E27" s="10">
        <f t="shared" si="14"/>
        <v>0</v>
      </c>
      <c r="F27" s="10">
        <f t="shared" si="14"/>
        <v>0</v>
      </c>
      <c r="G27" s="10">
        <f t="shared" si="14"/>
        <v>0</v>
      </c>
      <c r="H27" s="10">
        <f t="shared" si="14"/>
        <v>0</v>
      </c>
      <c r="I27" s="10">
        <f t="shared" si="14"/>
        <v>0</v>
      </c>
      <c r="J27" s="10">
        <f t="shared" si="14"/>
        <v>0</v>
      </c>
      <c r="K27" s="10">
        <f t="shared" si="14"/>
        <v>0</v>
      </c>
      <c r="L27" s="10">
        <f t="shared" si="14"/>
        <v>0</v>
      </c>
      <c r="M27" s="10">
        <f t="shared" si="14"/>
        <v>0</v>
      </c>
      <c r="N27" s="10">
        <f t="shared" si="14"/>
        <v>0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3.5" customHeight="1">
      <c r="A28" s="48" t="s">
        <v>42</v>
      </c>
      <c r="B28" s="49" t="str">
        <f>'Бюджет производственных расходо'!B24</f>
        <v/>
      </c>
      <c r="C28" s="49" t="str">
        <f>'Бюджет производственных расходо'!C24</f>
        <v/>
      </c>
      <c r="D28" s="49" t="str">
        <f>'Бюджет производственных расходо'!D24</f>
        <v/>
      </c>
      <c r="E28" s="49" t="str">
        <f>'Бюджет производственных расходо'!E24</f>
        <v/>
      </c>
      <c r="F28" s="49" t="str">
        <f>'Бюджет производственных расходо'!F24</f>
        <v/>
      </c>
      <c r="G28" s="49" t="str">
        <f>'Бюджет производственных расходо'!G24</f>
        <v/>
      </c>
      <c r="H28" s="49" t="str">
        <f>'Бюджет производственных расходо'!H24</f>
        <v/>
      </c>
      <c r="I28" s="49" t="str">
        <f>'Бюджет производственных расходо'!I24</f>
        <v/>
      </c>
      <c r="J28" s="49" t="str">
        <f>'Бюджет производственных расходо'!J24</f>
        <v/>
      </c>
      <c r="K28" s="49" t="str">
        <f>'Бюджет производственных расходо'!K24</f>
        <v/>
      </c>
      <c r="L28" s="49" t="str">
        <f>'Бюджет производственных расходо'!L24</f>
        <v/>
      </c>
      <c r="M28" s="49" t="str">
        <f>'Бюджет производственных расходо'!M24</f>
        <v/>
      </c>
      <c r="N28" s="49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3.5" customHeight="1">
      <c r="A29" s="48" t="s">
        <v>43</v>
      </c>
      <c r="B29" s="49" t="str">
        <f>'Бюджет производственных расходо'!B25</f>
        <v/>
      </c>
      <c r="C29" s="49" t="str">
        <f>'Бюджет производственных расходо'!C25</f>
        <v/>
      </c>
      <c r="D29" s="49" t="str">
        <f>'Бюджет производственных расходо'!D25</f>
        <v/>
      </c>
      <c r="E29" s="49" t="str">
        <f>'Бюджет производственных расходо'!E25</f>
        <v/>
      </c>
      <c r="F29" s="49" t="str">
        <f>'Бюджет производственных расходо'!F25</f>
        <v/>
      </c>
      <c r="G29" s="49" t="str">
        <f>'Бюджет производственных расходо'!G25</f>
        <v/>
      </c>
      <c r="H29" s="49" t="str">
        <f>'Бюджет производственных расходо'!H25</f>
        <v/>
      </c>
      <c r="I29" s="49" t="str">
        <f>'Бюджет производственных расходо'!I25</f>
        <v/>
      </c>
      <c r="J29" s="49" t="str">
        <f>'Бюджет производственных расходо'!J25</f>
        <v/>
      </c>
      <c r="K29" s="49" t="str">
        <f>'Бюджет производственных расходо'!K25</f>
        <v/>
      </c>
      <c r="L29" s="49" t="str">
        <f>'Бюджет производственных расходо'!L25</f>
        <v/>
      </c>
      <c r="M29" s="49" t="str">
        <f>'Бюджет производственных расходо'!M25</f>
        <v/>
      </c>
      <c r="N29" s="49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3.5" customHeight="1">
      <c r="A30" s="48" t="s">
        <v>44</v>
      </c>
      <c r="B30" s="49" t="str">
        <f>'Бюджет производственных расходо'!B26</f>
        <v/>
      </c>
      <c r="C30" s="49" t="str">
        <f>'Бюджет производственных расходо'!C26</f>
        <v/>
      </c>
      <c r="D30" s="49" t="str">
        <f>'Бюджет производственных расходо'!D26</f>
        <v/>
      </c>
      <c r="E30" s="49" t="str">
        <f>'Бюджет производственных расходо'!E26</f>
        <v/>
      </c>
      <c r="F30" s="49" t="str">
        <f>'Бюджет производственных расходо'!F26</f>
        <v/>
      </c>
      <c r="G30" s="49" t="str">
        <f>'Бюджет производственных расходо'!G26</f>
        <v/>
      </c>
      <c r="H30" s="49" t="str">
        <f>'Бюджет производственных расходо'!H26</f>
        <v/>
      </c>
      <c r="I30" s="49" t="str">
        <f>'Бюджет производственных расходо'!I26</f>
        <v/>
      </c>
      <c r="J30" s="49" t="str">
        <f>'Бюджет производственных расходо'!J26</f>
        <v/>
      </c>
      <c r="K30" s="49" t="str">
        <f>'Бюджет производственных расходо'!K26</f>
        <v/>
      </c>
      <c r="L30" s="49" t="str">
        <f>'Бюджет производственных расходо'!L26</f>
        <v/>
      </c>
      <c r="M30" s="49" t="str">
        <f>'Бюджет производственных расходо'!M26</f>
        <v/>
      </c>
      <c r="N30" s="49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3.5" customHeight="1">
      <c r="A31" s="7" t="s">
        <v>138</v>
      </c>
      <c r="B31" s="10">
        <f t="shared" ref="B31:M31" si="15">B32+B33+B34+B35</f>
        <v>0</v>
      </c>
      <c r="C31" s="10">
        <f t="shared" si="15"/>
        <v>0</v>
      </c>
      <c r="D31" s="10">
        <f t="shared" si="15"/>
        <v>0</v>
      </c>
      <c r="E31" s="10">
        <f t="shared" si="15"/>
        <v>0</v>
      </c>
      <c r="F31" s="10">
        <f t="shared" si="15"/>
        <v>0</v>
      </c>
      <c r="G31" s="10">
        <f t="shared" si="15"/>
        <v>0</v>
      </c>
      <c r="H31" s="10">
        <f t="shared" si="15"/>
        <v>0</v>
      </c>
      <c r="I31" s="10">
        <f t="shared" si="15"/>
        <v>0</v>
      </c>
      <c r="J31" s="10">
        <f t="shared" si="15"/>
        <v>0</v>
      </c>
      <c r="K31" s="10">
        <f t="shared" si="15"/>
        <v>0</v>
      </c>
      <c r="L31" s="10">
        <f t="shared" si="15"/>
        <v>0</v>
      </c>
      <c r="M31" s="10">
        <f t="shared" si="15"/>
        <v>0</v>
      </c>
      <c r="N31" s="10">
        <f>B31+C31+D31+E31+F31+G31+H31+I31+J31+K31+L31+M31</f>
        <v>0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3.5" customHeight="1">
      <c r="A32" s="48"/>
      <c r="B32" s="49" t="str">
        <f>'Бюджет производственных расходо'!B28</f>
        <v/>
      </c>
      <c r="C32" s="49" t="str">
        <f>'Бюджет производственных расходо'!C28</f>
        <v/>
      </c>
      <c r="D32" s="49" t="str">
        <f>'Бюджет производственных расходо'!D28</f>
        <v/>
      </c>
      <c r="E32" s="49" t="str">
        <f>'Бюджет производственных расходо'!E28</f>
        <v/>
      </c>
      <c r="F32" s="49" t="str">
        <f>'Бюджет производственных расходо'!F28</f>
        <v/>
      </c>
      <c r="G32" s="49" t="str">
        <f>'Бюджет производственных расходо'!G28</f>
        <v/>
      </c>
      <c r="H32" s="49" t="str">
        <f>'Бюджет производственных расходо'!H28</f>
        <v/>
      </c>
      <c r="I32" s="49" t="str">
        <f>'Бюджет производственных расходо'!I28</f>
        <v/>
      </c>
      <c r="J32" s="49" t="str">
        <f>'Бюджет производственных расходо'!J28</f>
        <v/>
      </c>
      <c r="K32" s="49" t="str">
        <f>'Бюджет производственных расходо'!K28</f>
        <v/>
      </c>
      <c r="L32" s="49" t="str">
        <f>'Бюджет производственных расходо'!L28</f>
        <v/>
      </c>
      <c r="M32" s="49" t="str">
        <f>'Бюджет производственных расходо'!M28</f>
        <v/>
      </c>
      <c r="N32" s="49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3.5" customHeight="1">
      <c r="A33" s="48"/>
      <c r="B33" s="49" t="str">
        <f>'Бюджет производственных расходо'!B29</f>
        <v/>
      </c>
      <c r="C33" s="49" t="str">
        <f>'Бюджет производственных расходо'!C29</f>
        <v/>
      </c>
      <c r="D33" s="49" t="str">
        <f>'Бюджет производственных расходо'!D29</f>
        <v/>
      </c>
      <c r="E33" s="49" t="str">
        <f>'Бюджет производственных расходо'!E29</f>
        <v/>
      </c>
      <c r="F33" s="49" t="str">
        <f>'Бюджет производственных расходо'!F29</f>
        <v/>
      </c>
      <c r="G33" s="49" t="str">
        <f>'Бюджет производственных расходо'!G29</f>
        <v/>
      </c>
      <c r="H33" s="49" t="str">
        <f>'Бюджет производственных расходо'!H29</f>
        <v/>
      </c>
      <c r="I33" s="49" t="str">
        <f>'Бюджет производственных расходо'!I29</f>
        <v/>
      </c>
      <c r="J33" s="49" t="str">
        <f>'Бюджет производственных расходо'!J29</f>
        <v/>
      </c>
      <c r="K33" s="49" t="str">
        <f>'Бюджет производственных расходо'!K29</f>
        <v/>
      </c>
      <c r="L33" s="49" t="str">
        <f>'Бюджет производственных расходо'!L29</f>
        <v/>
      </c>
      <c r="M33" s="49" t="str">
        <f>'Бюджет производственных расходо'!M29</f>
        <v/>
      </c>
      <c r="N33" s="49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48"/>
      <c r="B34" s="49" t="str">
        <f>'Бюджет производственных расходо'!B30</f>
        <v/>
      </c>
      <c r="C34" s="49" t="str">
        <f>'Бюджет производственных расходо'!C30</f>
        <v/>
      </c>
      <c r="D34" s="49" t="str">
        <f>'Бюджет производственных расходо'!D30</f>
        <v/>
      </c>
      <c r="E34" s="49" t="str">
        <f>'Бюджет производственных расходо'!E30</f>
        <v/>
      </c>
      <c r="F34" s="49" t="str">
        <f>'Бюджет производственных расходо'!F30</f>
        <v/>
      </c>
      <c r="G34" s="49" t="str">
        <f>'Бюджет производственных расходо'!G30</f>
        <v/>
      </c>
      <c r="H34" s="49" t="str">
        <f>'Бюджет производственных расходо'!H30</f>
        <v/>
      </c>
      <c r="I34" s="49" t="str">
        <f>'Бюджет производственных расходо'!I30</f>
        <v/>
      </c>
      <c r="J34" s="49" t="str">
        <f>'Бюджет производственных расходо'!J30</f>
        <v/>
      </c>
      <c r="K34" s="49" t="str">
        <f>'Бюджет производственных расходо'!K30</f>
        <v/>
      </c>
      <c r="L34" s="49" t="str">
        <f>'Бюджет производственных расходо'!L30</f>
        <v/>
      </c>
      <c r="M34" s="49" t="str">
        <f>'Бюджет производственных расходо'!M30</f>
        <v/>
      </c>
      <c r="N34" s="1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48"/>
      <c r="B35" s="49" t="str">
        <f>'Бюджет производственных расходо'!B31</f>
        <v/>
      </c>
      <c r="C35" s="49" t="str">
        <f>'Бюджет производственных расходо'!C31</f>
        <v/>
      </c>
      <c r="D35" s="49" t="str">
        <f>'Бюджет производственных расходо'!D31</f>
        <v/>
      </c>
      <c r="E35" s="49" t="str">
        <f>'Бюджет производственных расходо'!E31</f>
        <v/>
      </c>
      <c r="F35" s="49" t="str">
        <f>'Бюджет производственных расходо'!F31</f>
        <v/>
      </c>
      <c r="G35" s="49" t="str">
        <f>'Бюджет производственных расходо'!G31</f>
        <v/>
      </c>
      <c r="H35" s="49" t="str">
        <f>'Бюджет производственных расходо'!H31</f>
        <v/>
      </c>
      <c r="I35" s="49" t="str">
        <f>'Бюджет производственных расходо'!I31</f>
        <v/>
      </c>
      <c r="J35" s="49" t="str">
        <f>'Бюджет производственных расходо'!J31</f>
        <v/>
      </c>
      <c r="K35" s="49" t="str">
        <f>'Бюджет производственных расходо'!K31</f>
        <v/>
      </c>
      <c r="L35" s="49" t="str">
        <f>'Бюджет производственных расходо'!L31</f>
        <v/>
      </c>
      <c r="M35" s="49" t="str">
        <f>'Бюджет производственных расходо'!M31</f>
        <v/>
      </c>
      <c r="N35" s="49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3.5" customHeight="1">
      <c r="A36" s="7" t="s">
        <v>40</v>
      </c>
      <c r="B36" s="49" t="str">
        <f>'Бюджет производственных расходо'!B32</f>
        <v/>
      </c>
      <c r="C36" s="49" t="str">
        <f>'Бюджет производственных расходо'!C32</f>
        <v/>
      </c>
      <c r="D36" s="49" t="str">
        <f>'Бюджет производственных расходо'!D32</f>
        <v/>
      </c>
      <c r="E36" s="49" t="str">
        <f>'Бюджет производственных расходо'!E32</f>
        <v/>
      </c>
      <c r="F36" s="49" t="str">
        <f>'Бюджет производственных расходо'!F32</f>
        <v/>
      </c>
      <c r="G36" s="49" t="str">
        <f>'Бюджет производственных расходо'!G32</f>
        <v/>
      </c>
      <c r="H36" s="49" t="str">
        <f>'Бюджет производственных расходо'!H32</f>
        <v/>
      </c>
      <c r="I36" s="49" t="str">
        <f>'Бюджет производственных расходо'!I32</f>
        <v/>
      </c>
      <c r="J36" s="49" t="str">
        <f>'Бюджет производственных расходо'!J32</f>
        <v/>
      </c>
      <c r="K36" s="49" t="str">
        <f>'Бюджет производственных расходо'!K32</f>
        <v/>
      </c>
      <c r="L36" s="49" t="str">
        <f>'Бюджет производственных расходо'!L32</f>
        <v/>
      </c>
      <c r="M36" s="49" t="str">
        <f>'Бюджет производственных расходо'!M32</f>
        <v/>
      </c>
      <c r="N36" s="10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3.5" customHeight="1">
      <c r="A37" s="7" t="s">
        <v>175</v>
      </c>
      <c r="B37" s="49">
        <f>'Бюджет производственных расходо'!B33</f>
        <v>0</v>
      </c>
      <c r="C37" s="49">
        <f>'Бюджет производственных расходо'!C33</f>
        <v>0</v>
      </c>
      <c r="D37" s="49">
        <f>'Бюджет производственных расходо'!D33</f>
        <v>0</v>
      </c>
      <c r="E37" s="49">
        <f>'Бюджет производственных расходо'!E33</f>
        <v>0</v>
      </c>
      <c r="F37" s="49">
        <f>'Бюджет производственных расходо'!F33</f>
        <v>0</v>
      </c>
      <c r="G37" s="49">
        <f>'Бюджет производственных расходо'!G33</f>
        <v>0</v>
      </c>
      <c r="H37" s="49">
        <f>'Бюджет производственных расходо'!H33</f>
        <v>0</v>
      </c>
      <c r="I37" s="49">
        <f>'Бюджет производственных расходо'!I33</f>
        <v>0</v>
      </c>
      <c r="J37" s="49">
        <f>'Бюджет производственных расходо'!J33</f>
        <v>0</v>
      </c>
      <c r="K37" s="49">
        <f>'Бюджет производственных расходо'!K33</f>
        <v>0</v>
      </c>
      <c r="L37" s="49">
        <f>'Бюджет производственных расходо'!L33</f>
        <v>0</v>
      </c>
      <c r="M37" s="49">
        <f>'Бюджет производственных расходо'!M33</f>
        <v>0</v>
      </c>
      <c r="N37" s="10">
        <f t="shared" ref="N37:N38" si="17">B37+C37+D37+E37+F37+G37+H37+I37+J37+K37+L37+M37</f>
        <v>0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1.25" customHeight="1">
      <c r="A38" s="4" t="s">
        <v>176</v>
      </c>
      <c r="B38" s="6">
        <f t="shared" ref="B38:M38" si="16">B4-B6</f>
        <v>0</v>
      </c>
      <c r="C38" s="6">
        <f t="shared" si="16"/>
        <v>0</v>
      </c>
      <c r="D38" s="6">
        <f t="shared" si="16"/>
        <v>0</v>
      </c>
      <c r="E38" s="6">
        <f t="shared" si="16"/>
        <v>0</v>
      </c>
      <c r="F38" s="6">
        <f t="shared" si="16"/>
        <v>0</v>
      </c>
      <c r="G38" s="6">
        <f t="shared" si="16"/>
        <v>0</v>
      </c>
      <c r="H38" s="6">
        <f t="shared" si="16"/>
        <v>0</v>
      </c>
      <c r="I38" s="6">
        <f t="shared" si="16"/>
        <v>0</v>
      </c>
      <c r="J38" s="6">
        <f t="shared" si="16"/>
        <v>0</v>
      </c>
      <c r="K38" s="6">
        <f t="shared" si="16"/>
        <v>0</v>
      </c>
      <c r="L38" s="6">
        <f t="shared" si="16"/>
        <v>0</v>
      </c>
      <c r="M38" s="6">
        <f t="shared" si="16"/>
        <v>0</v>
      </c>
      <c r="N38" s="6">
        <f t="shared" si="17"/>
        <v>0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1.25" customHeight="1">
      <c r="A39" s="52" t="s">
        <v>156</v>
      </c>
      <c r="B39" s="53" t="str">
        <f t="shared" ref="B39:N39" si="18">IFERROR(B38/B4,)</f>
        <v/>
      </c>
      <c r="C39" s="53" t="str">
        <f t="shared" si="18"/>
        <v/>
      </c>
      <c r="D39" s="53" t="str">
        <f t="shared" si="18"/>
        <v/>
      </c>
      <c r="E39" s="53" t="str">
        <f t="shared" si="18"/>
        <v/>
      </c>
      <c r="F39" s="53" t="str">
        <f t="shared" si="18"/>
        <v/>
      </c>
      <c r="G39" s="53" t="str">
        <f t="shared" si="18"/>
        <v/>
      </c>
      <c r="H39" s="53" t="str">
        <f t="shared" si="18"/>
        <v/>
      </c>
      <c r="I39" s="53" t="str">
        <f t="shared" si="18"/>
        <v/>
      </c>
      <c r="J39" s="53" t="str">
        <f t="shared" si="18"/>
        <v/>
      </c>
      <c r="K39" s="53" t="str">
        <f t="shared" si="18"/>
        <v/>
      </c>
      <c r="L39" s="53" t="str">
        <f t="shared" si="18"/>
        <v/>
      </c>
      <c r="M39" s="53" t="str">
        <f t="shared" si="18"/>
        <v/>
      </c>
      <c r="N39" s="53" t="str">
        <f t="shared" si="18"/>
        <v/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1.25" customHeight="1">
      <c r="A40" s="8" t="s">
        <v>144</v>
      </c>
      <c r="B40" s="9">
        <f t="shared" ref="B40:M40" si="19">B41+B45+B46</f>
        <v>0</v>
      </c>
      <c r="C40" s="9">
        <f t="shared" si="19"/>
        <v>0</v>
      </c>
      <c r="D40" s="9">
        <f t="shared" si="19"/>
        <v>0</v>
      </c>
      <c r="E40" s="9">
        <f t="shared" si="19"/>
        <v>0</v>
      </c>
      <c r="F40" s="9">
        <f t="shared" si="19"/>
        <v>0</v>
      </c>
      <c r="G40" s="9">
        <f t="shared" si="19"/>
        <v>0</v>
      </c>
      <c r="H40" s="9">
        <f t="shared" si="19"/>
        <v>0</v>
      </c>
      <c r="I40" s="9">
        <f t="shared" si="19"/>
        <v>0</v>
      </c>
      <c r="J40" s="9">
        <f t="shared" si="19"/>
        <v>0</v>
      </c>
      <c r="K40" s="9">
        <f t="shared" si="19"/>
        <v>0</v>
      </c>
      <c r="L40" s="9">
        <f t="shared" si="19"/>
        <v>0</v>
      </c>
      <c r="M40" s="9">
        <f t="shared" si="19"/>
        <v>0</v>
      </c>
      <c r="N40" s="9">
        <f t="shared" ref="N40:N44" si="21">B40+C40+D40+E40+F40+G40+H40+I40+J40+K40+L40+M40</f>
        <v>0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1.25" customHeight="1">
      <c r="A41" s="7" t="s">
        <v>135</v>
      </c>
      <c r="B41" s="10">
        <f t="shared" ref="B41:M41" si="20">B42+B43+B44</f>
        <v>0</v>
      </c>
      <c r="C41" s="10">
        <f t="shared" si="20"/>
        <v>0</v>
      </c>
      <c r="D41" s="10">
        <f t="shared" si="20"/>
        <v>0</v>
      </c>
      <c r="E41" s="10">
        <f t="shared" si="20"/>
        <v>0</v>
      </c>
      <c r="F41" s="10">
        <f t="shared" si="20"/>
        <v>0</v>
      </c>
      <c r="G41" s="10">
        <f t="shared" si="20"/>
        <v>0</v>
      </c>
      <c r="H41" s="10">
        <f t="shared" si="20"/>
        <v>0</v>
      </c>
      <c r="I41" s="10">
        <f t="shared" si="20"/>
        <v>0</v>
      </c>
      <c r="J41" s="10">
        <f t="shared" si="20"/>
        <v>0</v>
      </c>
      <c r="K41" s="10">
        <f t="shared" si="20"/>
        <v>0</v>
      </c>
      <c r="L41" s="10">
        <f t="shared" si="20"/>
        <v>0</v>
      </c>
      <c r="M41" s="10">
        <f t="shared" si="20"/>
        <v>0</v>
      </c>
      <c r="N41" s="10">
        <f t="shared" si="21"/>
        <v>0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1.25" customHeight="1" outlineLevel="1">
      <c r="A42" s="11" t="s">
        <v>165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>
        <f t="shared" si="21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 outlineLevel="1">
      <c r="A43" s="11" t="s">
        <v>166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>
        <f t="shared" si="21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 outlineLevel="1">
      <c r="A44" s="11" t="s">
        <v>64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>
        <f t="shared" si="21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>
      <c r="A45" s="7" t="s">
        <v>36</v>
      </c>
      <c r="B45" s="10">
        <f>'Бюджет коммер. расходов'!B63</f>
        <v>0</v>
      </c>
      <c r="C45" s="10">
        <f>'Бюджет коммер. расходов'!C63</f>
        <v>0</v>
      </c>
      <c r="D45" s="10">
        <f>'Бюджет коммер. расходов'!D63</f>
        <v>0</v>
      </c>
      <c r="E45" s="10">
        <f>'Бюджет коммер. расходов'!E63</f>
        <v>0</v>
      </c>
      <c r="F45" s="10">
        <f>'Бюджет коммер. расходов'!F63</f>
        <v>0</v>
      </c>
      <c r="G45" s="10">
        <f>'Бюджет коммер. расходов'!G63</f>
        <v>0</v>
      </c>
      <c r="H45" s="10">
        <f>'Бюджет коммер. расходов'!H63</f>
        <v>0</v>
      </c>
      <c r="I45" s="10">
        <f>'Бюджет коммер. расходов'!I63</f>
        <v>0</v>
      </c>
      <c r="J45" s="10">
        <f>'Бюджет коммер. расходов'!J63</f>
        <v>0</v>
      </c>
      <c r="K45" s="10">
        <f>'Бюджет коммер. расходов'!K63</f>
        <v>0</v>
      </c>
      <c r="L45" s="10">
        <f>'Бюджет коммер. расходов'!L63</f>
        <v>0</v>
      </c>
      <c r="M45" s="10">
        <f>'Бюджет коммер. расходов'!M63</f>
        <v>0</v>
      </c>
      <c r="N45" s="10">
        <f>'Бюджет коммер. расходов'!N63</f>
        <v>0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1.25" customHeight="1">
      <c r="A46" s="7" t="s">
        <v>149</v>
      </c>
      <c r="B46" s="10">
        <f t="shared" ref="B46:M46" si="22">B48+B47</f>
        <v>0</v>
      </c>
      <c r="C46" s="10">
        <f t="shared" si="22"/>
        <v>0</v>
      </c>
      <c r="D46" s="10">
        <f t="shared" si="22"/>
        <v>0</v>
      </c>
      <c r="E46" s="10">
        <f t="shared" si="22"/>
        <v>0</v>
      </c>
      <c r="F46" s="10">
        <f t="shared" si="22"/>
        <v>0</v>
      </c>
      <c r="G46" s="10">
        <f t="shared" si="22"/>
        <v>0</v>
      </c>
      <c r="H46" s="10">
        <f t="shared" si="22"/>
        <v>0</v>
      </c>
      <c r="I46" s="10">
        <f t="shared" si="22"/>
        <v>0</v>
      </c>
      <c r="J46" s="10">
        <f t="shared" si="22"/>
        <v>0</v>
      </c>
      <c r="K46" s="10">
        <f t="shared" si="22"/>
        <v>0</v>
      </c>
      <c r="L46" s="10">
        <f t="shared" si="22"/>
        <v>0</v>
      </c>
      <c r="M46" s="10">
        <f t="shared" si="22"/>
        <v>0</v>
      </c>
      <c r="N46" s="10">
        <f t="shared" ref="N46:N48" si="23">B46+C46+D46+E46+F46+G46+H46+I46+J46+K46+L46+M46</f>
        <v>0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1.25" customHeight="1" outlineLevel="1">
      <c r="A47" s="11" t="s">
        <v>177</v>
      </c>
      <c r="B47" s="12" t="str">
        <f>'Инвест_бюджет'!B672</f>
        <v/>
      </c>
      <c r="C47" s="12" t="str">
        <f>'Инвест_бюджет'!C672</f>
        <v/>
      </c>
      <c r="D47" s="12" t="str">
        <f>'Инвест_бюджет'!D672</f>
        <v/>
      </c>
      <c r="E47" s="12" t="str">
        <f>'Инвест_бюджет'!E672</f>
        <v/>
      </c>
      <c r="F47" s="12" t="str">
        <f>'Инвест_бюджет'!F672</f>
        <v/>
      </c>
      <c r="G47" s="12" t="str">
        <f>'Инвест_бюджет'!G672</f>
        <v/>
      </c>
      <c r="H47" s="12" t="str">
        <f>'Инвест_бюджет'!H672</f>
        <v/>
      </c>
      <c r="I47" s="12" t="str">
        <f>'Инвест_бюджет'!I672</f>
        <v/>
      </c>
      <c r="J47" s="12" t="str">
        <f>'Инвест_бюджет'!J672</f>
        <v/>
      </c>
      <c r="K47" s="12" t="str">
        <f>'Инвест_бюджет'!K672</f>
        <v/>
      </c>
      <c r="L47" s="12" t="str">
        <f>'Инвест_бюджет'!L672</f>
        <v/>
      </c>
      <c r="M47" s="12" t="str">
        <f>'Инвест_бюджет'!M672</f>
        <v/>
      </c>
      <c r="N47" s="12">
        <f t="shared" si="23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 outlineLevel="1">
      <c r="A48" s="11" t="s">
        <v>178</v>
      </c>
      <c r="B48" s="12" t="str">
        <f>'Инвест_бюджет'!B673</f>
        <v/>
      </c>
      <c r="C48" s="12" t="str">
        <f>'Инвест_бюджет'!C673</f>
        <v/>
      </c>
      <c r="D48" s="12" t="str">
        <f>'Инвест_бюджет'!D673</f>
        <v/>
      </c>
      <c r="E48" s="12" t="str">
        <f>'Инвест_бюджет'!E673</f>
        <v/>
      </c>
      <c r="F48" s="12" t="str">
        <f>'Инвест_бюджет'!F673</f>
        <v/>
      </c>
      <c r="G48" s="12" t="str">
        <f>'Инвест_бюджет'!G673</f>
        <v/>
      </c>
      <c r="H48" s="12" t="str">
        <f>'Инвест_бюджет'!H673</f>
        <v/>
      </c>
      <c r="I48" s="12" t="str">
        <f>'Инвест_бюджет'!I673</f>
        <v/>
      </c>
      <c r="J48" s="12" t="str">
        <f>'Инвест_бюджет'!J673</f>
        <v/>
      </c>
      <c r="K48" s="12" t="str">
        <f>'Инвест_бюджет'!K673</f>
        <v/>
      </c>
      <c r="L48" s="12" t="str">
        <f>'Инвест_бюджет'!L673</f>
        <v/>
      </c>
      <c r="M48" s="12" t="str">
        <f>'Инвест_бюджет'!M673</f>
        <v/>
      </c>
      <c r="N48" s="12">
        <f t="shared" si="23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8" t="s">
        <v>141</v>
      </c>
      <c r="B49" s="9">
        <f t="shared" ref="B49:N49" si="24">B50+B54+B59+B62+B66+B70+B74+B78+B84+B83</f>
        <v>0</v>
      </c>
      <c r="C49" s="9">
        <f t="shared" si="24"/>
        <v>0</v>
      </c>
      <c r="D49" s="9">
        <f t="shared" si="24"/>
        <v>0</v>
      </c>
      <c r="E49" s="9">
        <f t="shared" si="24"/>
        <v>0</v>
      </c>
      <c r="F49" s="9">
        <f t="shared" si="24"/>
        <v>0</v>
      </c>
      <c r="G49" s="9">
        <f t="shared" si="24"/>
        <v>0</v>
      </c>
      <c r="H49" s="9">
        <f t="shared" si="24"/>
        <v>0</v>
      </c>
      <c r="I49" s="9">
        <f t="shared" si="24"/>
        <v>0</v>
      </c>
      <c r="J49" s="9">
        <f t="shared" si="24"/>
        <v>0</v>
      </c>
      <c r="K49" s="9">
        <f t="shared" si="24"/>
        <v>0</v>
      </c>
      <c r="L49" s="9">
        <f t="shared" si="24"/>
        <v>0</v>
      </c>
      <c r="M49" s="9">
        <f t="shared" si="24"/>
        <v>0</v>
      </c>
      <c r="N49" s="9">
        <f t="shared" si="24"/>
        <v>0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1.25" customHeight="1">
      <c r="A50" s="7" t="s">
        <v>135</v>
      </c>
      <c r="B50" s="10">
        <f t="shared" ref="B50:M50" si="25">B51+B52+B53</f>
        <v>0</v>
      </c>
      <c r="C50" s="10">
        <f t="shared" si="25"/>
        <v>0</v>
      </c>
      <c r="D50" s="10">
        <f t="shared" si="25"/>
        <v>0</v>
      </c>
      <c r="E50" s="10">
        <f t="shared" si="25"/>
        <v>0</v>
      </c>
      <c r="F50" s="10">
        <f t="shared" si="25"/>
        <v>0</v>
      </c>
      <c r="G50" s="10">
        <f t="shared" si="25"/>
        <v>0</v>
      </c>
      <c r="H50" s="10">
        <f t="shared" si="25"/>
        <v>0</v>
      </c>
      <c r="I50" s="10">
        <f t="shared" si="25"/>
        <v>0</v>
      </c>
      <c r="J50" s="10">
        <f t="shared" si="25"/>
        <v>0</v>
      </c>
      <c r="K50" s="10">
        <f t="shared" si="25"/>
        <v>0</v>
      </c>
      <c r="L50" s="10">
        <f t="shared" si="25"/>
        <v>0</v>
      </c>
      <c r="M50" s="10">
        <f t="shared" si="25"/>
        <v>0</v>
      </c>
      <c r="N50" s="10">
        <f t="shared" ref="N50:N93" si="26">B50+C50+D50+E50+F50+G50+H50+I50+J50+K50+L50+M50</f>
        <v>0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1.25" customHeight="1" outlineLevel="1">
      <c r="A51" s="11" t="s">
        <v>165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>
        <f t="shared" si="26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 outlineLevel="1">
      <c r="A52" s="11" t="s">
        <v>166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>
        <f t="shared" si="26"/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 outlineLevel="1">
      <c r="A53" s="11" t="s">
        <v>64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>
        <f t="shared" si="26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7" t="s">
        <v>26</v>
      </c>
      <c r="B54" s="10">
        <f t="shared" ref="B54:M54" si="27">B55+B56+B57+B58</f>
        <v>0</v>
      </c>
      <c r="C54" s="10">
        <f t="shared" si="27"/>
        <v>0</v>
      </c>
      <c r="D54" s="10">
        <f t="shared" si="27"/>
        <v>0</v>
      </c>
      <c r="E54" s="10">
        <f t="shared" si="27"/>
        <v>0</v>
      </c>
      <c r="F54" s="10">
        <f t="shared" si="27"/>
        <v>0</v>
      </c>
      <c r="G54" s="10">
        <f t="shared" si="27"/>
        <v>0</v>
      </c>
      <c r="H54" s="10">
        <f t="shared" si="27"/>
        <v>0</v>
      </c>
      <c r="I54" s="10">
        <f t="shared" si="27"/>
        <v>0</v>
      </c>
      <c r="J54" s="10">
        <f t="shared" si="27"/>
        <v>0</v>
      </c>
      <c r="K54" s="10">
        <f t="shared" si="27"/>
        <v>0</v>
      </c>
      <c r="L54" s="10">
        <f t="shared" si="27"/>
        <v>0</v>
      </c>
      <c r="M54" s="10">
        <f t="shared" si="27"/>
        <v>0</v>
      </c>
      <c r="N54" s="10">
        <f t="shared" si="26"/>
        <v>0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1.25" customHeight="1" outlineLevel="1">
      <c r="A55" s="11" t="s">
        <v>27</v>
      </c>
      <c r="B55" s="12">
        <f>'Бюджет админ-управл.расходов'!B9</f>
        <v>0</v>
      </c>
      <c r="C55" s="12">
        <f>'Бюджет админ-управл.расходов'!C9</f>
        <v>0</v>
      </c>
      <c r="D55" s="12">
        <f>'Бюджет админ-управл.расходов'!D9</f>
        <v>0</v>
      </c>
      <c r="E55" s="12">
        <f>'Бюджет админ-управл.расходов'!E9</f>
        <v>0</v>
      </c>
      <c r="F55" s="12">
        <f>'Бюджет админ-управл.расходов'!F9</f>
        <v>0</v>
      </c>
      <c r="G55" s="12">
        <f>'Бюджет админ-управл.расходов'!G9</f>
        <v>0</v>
      </c>
      <c r="H55" s="12">
        <f>'Бюджет админ-управл.расходов'!H9</f>
        <v>0</v>
      </c>
      <c r="I55" s="12">
        <f>'Бюджет админ-управл.расходов'!I9</f>
        <v>0</v>
      </c>
      <c r="J55" s="12">
        <f>'Бюджет админ-управл.расходов'!J9</f>
        <v>0</v>
      </c>
      <c r="K55" s="12">
        <f>'Бюджет админ-управл.расходов'!K9</f>
        <v>0</v>
      </c>
      <c r="L55" s="12">
        <f>'Бюджет админ-управл.расходов'!L9</f>
        <v>0</v>
      </c>
      <c r="M55" s="12">
        <f>'Бюджет админ-управл.расходов'!M9</f>
        <v>0</v>
      </c>
      <c r="N55" s="12">
        <f t="shared" si="26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 outlineLevel="1">
      <c r="A56" s="11" t="s">
        <v>28</v>
      </c>
      <c r="B56" s="12" t="str">
        <f>'Бюджет админ-управл.расходов'!B16</f>
        <v/>
      </c>
      <c r="C56" s="12" t="str">
        <f>'Бюджет админ-управл.расходов'!C16</f>
        <v/>
      </c>
      <c r="D56" s="12" t="str">
        <f>'Бюджет админ-управл.расходов'!D16</f>
        <v/>
      </c>
      <c r="E56" s="12" t="str">
        <f>'Бюджет админ-управл.расходов'!E16</f>
        <v/>
      </c>
      <c r="F56" s="12" t="str">
        <f>'Бюджет админ-управл.расходов'!F16</f>
        <v/>
      </c>
      <c r="G56" s="12" t="str">
        <f>'Бюджет админ-управл.расходов'!G16</f>
        <v/>
      </c>
      <c r="H56" s="12" t="str">
        <f>'Бюджет админ-управл.расходов'!H16</f>
        <v/>
      </c>
      <c r="I56" s="12" t="str">
        <f>'Бюджет админ-управл.расходов'!I16</f>
        <v/>
      </c>
      <c r="J56" s="12" t="str">
        <f>'Бюджет админ-управл.расходов'!J16</f>
        <v/>
      </c>
      <c r="K56" s="12" t="str">
        <f>'Бюджет админ-управл.расходов'!K16</f>
        <v/>
      </c>
      <c r="L56" s="12" t="str">
        <f>'Бюджет админ-управл.расходов'!L16</f>
        <v/>
      </c>
      <c r="M56" s="12" t="str">
        <f>'Бюджет админ-управл.расходов'!M16</f>
        <v/>
      </c>
      <c r="N56" s="12">
        <f t="shared" si="26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 outlineLevel="1">
      <c r="A57" s="11" t="s">
        <v>179</v>
      </c>
      <c r="B57" s="12" t="str">
        <f>'Бюджет админ-управл.расходов'!B17</f>
        <v/>
      </c>
      <c r="C57" s="12" t="str">
        <f>'Бюджет админ-управл.расходов'!C17</f>
        <v/>
      </c>
      <c r="D57" s="12" t="str">
        <f>'Бюджет админ-управл.расходов'!D17</f>
        <v/>
      </c>
      <c r="E57" s="12" t="str">
        <f>'Бюджет админ-управл.расходов'!E17</f>
        <v/>
      </c>
      <c r="F57" s="12" t="str">
        <f>'Бюджет админ-управл.расходов'!F17</f>
        <v/>
      </c>
      <c r="G57" s="12" t="str">
        <f>'Бюджет админ-управл.расходов'!G17</f>
        <v/>
      </c>
      <c r="H57" s="12" t="str">
        <f>'Бюджет админ-управл.расходов'!H17</f>
        <v/>
      </c>
      <c r="I57" s="12" t="str">
        <f>'Бюджет админ-управл.расходов'!I17</f>
        <v/>
      </c>
      <c r="J57" s="12" t="str">
        <f>'Бюджет админ-управл.расходов'!J17</f>
        <v/>
      </c>
      <c r="K57" s="12" t="str">
        <f>'Бюджет админ-управл.расходов'!K17</f>
        <v/>
      </c>
      <c r="L57" s="12" t="str">
        <f>'Бюджет админ-управл.расходов'!L17</f>
        <v/>
      </c>
      <c r="M57" s="12" t="str">
        <f>'Бюджет админ-управл.расходов'!M17</f>
        <v/>
      </c>
      <c r="N57" s="12">
        <f t="shared" si="26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 outlineLevel="1">
      <c r="A58" s="11" t="s">
        <v>30</v>
      </c>
      <c r="B58" s="12" t="str">
        <f>'Бюджет админ-управл.расходов'!B18</f>
        <v/>
      </c>
      <c r="C58" s="12" t="str">
        <f>'Бюджет админ-управл.расходов'!C18</f>
        <v/>
      </c>
      <c r="D58" s="12" t="str">
        <f>'Бюджет админ-управл.расходов'!D18</f>
        <v/>
      </c>
      <c r="E58" s="12" t="str">
        <f>'Бюджет админ-управл.расходов'!E18</f>
        <v/>
      </c>
      <c r="F58" s="12" t="str">
        <f>'Бюджет админ-управл.расходов'!F18</f>
        <v/>
      </c>
      <c r="G58" s="12" t="str">
        <f>'Бюджет админ-управл.расходов'!G18</f>
        <v/>
      </c>
      <c r="H58" s="12" t="str">
        <f>'Бюджет админ-управл.расходов'!H18</f>
        <v/>
      </c>
      <c r="I58" s="12" t="str">
        <f>'Бюджет админ-управл.расходов'!I18</f>
        <v/>
      </c>
      <c r="J58" s="12" t="str">
        <f>'Бюджет админ-управл.расходов'!J18</f>
        <v/>
      </c>
      <c r="K58" s="12" t="str">
        <f>'Бюджет админ-управл.расходов'!K18</f>
        <v/>
      </c>
      <c r="L58" s="12" t="str">
        <f>'Бюджет админ-управл.расходов'!L18</f>
        <v/>
      </c>
      <c r="M58" s="12" t="str">
        <f>'Бюджет админ-управл.расходов'!M18</f>
        <v/>
      </c>
      <c r="N58" s="12">
        <f t="shared" si="26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7" t="s">
        <v>37</v>
      </c>
      <c r="B59" s="10">
        <f t="shared" ref="B59:M59" si="28">B60+B61</f>
        <v>0</v>
      </c>
      <c r="C59" s="10">
        <f t="shared" si="28"/>
        <v>0</v>
      </c>
      <c r="D59" s="10">
        <f t="shared" si="28"/>
        <v>0</v>
      </c>
      <c r="E59" s="10">
        <f t="shared" si="28"/>
        <v>0</v>
      </c>
      <c r="F59" s="10">
        <f t="shared" si="28"/>
        <v>0</v>
      </c>
      <c r="G59" s="10">
        <f t="shared" si="28"/>
        <v>0</v>
      </c>
      <c r="H59" s="10">
        <f t="shared" si="28"/>
        <v>0</v>
      </c>
      <c r="I59" s="10">
        <f t="shared" si="28"/>
        <v>0</v>
      </c>
      <c r="J59" s="10">
        <f t="shared" si="28"/>
        <v>0</v>
      </c>
      <c r="K59" s="10">
        <f t="shared" si="28"/>
        <v>0</v>
      </c>
      <c r="L59" s="10">
        <f t="shared" si="28"/>
        <v>0</v>
      </c>
      <c r="M59" s="10">
        <f t="shared" si="28"/>
        <v>0</v>
      </c>
      <c r="N59" s="10">
        <f t="shared" si="26"/>
        <v>0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1.25" customHeight="1" outlineLevel="1">
      <c r="A60" s="11" t="s">
        <v>38</v>
      </c>
      <c r="B60" s="12" t="str">
        <f>'Бюджет админ-управл.расходов'!B20</f>
        <v/>
      </c>
      <c r="C60" s="12" t="str">
        <f>'Бюджет админ-управл.расходов'!C20</f>
        <v/>
      </c>
      <c r="D60" s="12" t="str">
        <f>'Бюджет админ-управл.расходов'!D20</f>
        <v/>
      </c>
      <c r="E60" s="12" t="str">
        <f>'Бюджет админ-управл.расходов'!E20</f>
        <v/>
      </c>
      <c r="F60" s="12" t="str">
        <f>'Бюджет админ-управл.расходов'!F20</f>
        <v/>
      </c>
      <c r="G60" s="12" t="str">
        <f>'Бюджет админ-управл.расходов'!G20</f>
        <v/>
      </c>
      <c r="H60" s="12" t="str">
        <f>'Бюджет админ-управл.расходов'!H20</f>
        <v/>
      </c>
      <c r="I60" s="12" t="str">
        <f>'Бюджет админ-управл.расходов'!I20</f>
        <v/>
      </c>
      <c r="J60" s="12" t="str">
        <f>'Бюджет админ-управл.расходов'!J20</f>
        <v/>
      </c>
      <c r="K60" s="12" t="str">
        <f>'Бюджет админ-управл.расходов'!K20</f>
        <v/>
      </c>
      <c r="L60" s="12" t="str">
        <f>'Бюджет админ-управл.расходов'!L20</f>
        <v/>
      </c>
      <c r="M60" s="12" t="str">
        <f>'Бюджет админ-управл.расходов'!M20</f>
        <v/>
      </c>
      <c r="N60" s="12">
        <f t="shared" si="26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 outlineLevel="1">
      <c r="A61" s="11" t="s">
        <v>39</v>
      </c>
      <c r="B61" s="12" t="str">
        <f>'Бюджет админ-управл.расходов'!B21</f>
        <v/>
      </c>
      <c r="C61" s="12" t="str">
        <f>'Бюджет админ-управл.расходов'!C21</f>
        <v/>
      </c>
      <c r="D61" s="12" t="str">
        <f>'Бюджет админ-управл.расходов'!D21</f>
        <v/>
      </c>
      <c r="E61" s="12" t="str">
        <f>'Бюджет админ-управл.расходов'!E21</f>
        <v/>
      </c>
      <c r="F61" s="12" t="str">
        <f>'Бюджет админ-управл.расходов'!F21</f>
        <v/>
      </c>
      <c r="G61" s="12" t="str">
        <f>'Бюджет админ-управл.расходов'!G21</f>
        <v/>
      </c>
      <c r="H61" s="12" t="str">
        <f>'Бюджет админ-управл.расходов'!H21</f>
        <v/>
      </c>
      <c r="I61" s="12" t="str">
        <f>'Бюджет админ-управл.расходов'!I21</f>
        <v/>
      </c>
      <c r="J61" s="12" t="str">
        <f>'Бюджет админ-управл.расходов'!J21</f>
        <v/>
      </c>
      <c r="K61" s="12" t="str">
        <f>'Бюджет админ-управл.расходов'!K21</f>
        <v/>
      </c>
      <c r="L61" s="12" t="str">
        <f>'Бюджет админ-управл.расходов'!L21</f>
        <v/>
      </c>
      <c r="M61" s="12" t="str">
        <f>'Бюджет админ-управл.расходов'!M21</f>
        <v/>
      </c>
      <c r="N61" s="12">
        <f t="shared" si="26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7" t="s">
        <v>41</v>
      </c>
      <c r="B62" s="10">
        <f t="shared" ref="B62:M62" si="29">B63+B64+B65</f>
        <v>0</v>
      </c>
      <c r="C62" s="10">
        <f t="shared" si="29"/>
        <v>0</v>
      </c>
      <c r="D62" s="10">
        <f t="shared" si="29"/>
        <v>0</v>
      </c>
      <c r="E62" s="10">
        <f t="shared" si="29"/>
        <v>0</v>
      </c>
      <c r="F62" s="10">
        <f t="shared" si="29"/>
        <v>0</v>
      </c>
      <c r="G62" s="10">
        <f t="shared" si="29"/>
        <v>0</v>
      </c>
      <c r="H62" s="10">
        <f t="shared" si="29"/>
        <v>0</v>
      </c>
      <c r="I62" s="10">
        <f t="shared" si="29"/>
        <v>0</v>
      </c>
      <c r="J62" s="10">
        <f t="shared" si="29"/>
        <v>0</v>
      </c>
      <c r="K62" s="10">
        <f t="shared" si="29"/>
        <v>0</v>
      </c>
      <c r="L62" s="10">
        <f t="shared" si="29"/>
        <v>0</v>
      </c>
      <c r="M62" s="10">
        <f t="shared" si="29"/>
        <v>0</v>
      </c>
      <c r="N62" s="10">
        <f t="shared" si="26"/>
        <v>0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1.25" customHeight="1" outlineLevel="1">
      <c r="A63" s="11" t="s">
        <v>42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12">
        <f t="shared" si="26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 outlineLevel="1">
      <c r="A64" s="11" t="s">
        <v>43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12">
        <f t="shared" si="26"/>
        <v>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 outlineLevel="1">
      <c r="A65" s="11" t="s">
        <v>44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12">
        <f t="shared" si="26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7" t="s">
        <v>50</v>
      </c>
      <c r="B66" s="10">
        <f t="shared" ref="B66:M66" si="30">B67+B68+B69</f>
        <v>0</v>
      </c>
      <c r="C66" s="10">
        <f t="shared" si="30"/>
        <v>0</v>
      </c>
      <c r="D66" s="10">
        <f t="shared" si="30"/>
        <v>0</v>
      </c>
      <c r="E66" s="10">
        <f t="shared" si="30"/>
        <v>0</v>
      </c>
      <c r="F66" s="10">
        <f t="shared" si="30"/>
        <v>0</v>
      </c>
      <c r="G66" s="10">
        <f t="shared" si="30"/>
        <v>0</v>
      </c>
      <c r="H66" s="10">
        <f t="shared" si="30"/>
        <v>0</v>
      </c>
      <c r="I66" s="10">
        <f t="shared" si="30"/>
        <v>0</v>
      </c>
      <c r="J66" s="10">
        <f t="shared" si="30"/>
        <v>0</v>
      </c>
      <c r="K66" s="10">
        <f t="shared" si="30"/>
        <v>0</v>
      </c>
      <c r="L66" s="10">
        <f t="shared" si="30"/>
        <v>0</v>
      </c>
      <c r="M66" s="10">
        <f t="shared" si="30"/>
        <v>0</v>
      </c>
      <c r="N66" s="10">
        <f t="shared" si="26"/>
        <v>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1.25" customHeight="1" outlineLevel="1">
      <c r="A67" s="11" t="s">
        <v>51</v>
      </c>
      <c r="B67" s="12" t="str">
        <f>'Бюджет админ-управл.расходов'!B23</f>
        <v/>
      </c>
      <c r="C67" s="12" t="str">
        <f>'Бюджет админ-управл.расходов'!C23</f>
        <v/>
      </c>
      <c r="D67" s="12" t="str">
        <f>'Бюджет админ-управл.расходов'!D23</f>
        <v/>
      </c>
      <c r="E67" s="12" t="str">
        <f>'Бюджет админ-управл.расходов'!E23</f>
        <v/>
      </c>
      <c r="F67" s="12" t="str">
        <f>'Бюджет админ-управл.расходов'!F23</f>
        <v/>
      </c>
      <c r="G67" s="12" t="str">
        <f>'Бюджет админ-управл.расходов'!G23</f>
        <v/>
      </c>
      <c r="H67" s="12" t="str">
        <f>'Бюджет админ-управл.расходов'!H23</f>
        <v/>
      </c>
      <c r="I67" s="12" t="str">
        <f>'Бюджет админ-управл.расходов'!I23</f>
        <v/>
      </c>
      <c r="J67" s="12" t="str">
        <f>'Бюджет админ-управл.расходов'!J23</f>
        <v/>
      </c>
      <c r="K67" s="12" t="str">
        <f>'Бюджет админ-управл.расходов'!K23</f>
        <v/>
      </c>
      <c r="L67" s="12" t="str">
        <f>'Бюджет админ-управл.расходов'!L23</f>
        <v/>
      </c>
      <c r="M67" s="12" t="str">
        <f>'Бюджет админ-управл.расходов'!M23</f>
        <v/>
      </c>
      <c r="N67" s="12">
        <f t="shared" si="26"/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 outlineLevel="1">
      <c r="A68" s="11" t="s">
        <v>52</v>
      </c>
      <c r="B68" s="12" t="str">
        <f>'Бюджет админ-управл.расходов'!B24</f>
        <v/>
      </c>
      <c r="C68" s="12" t="str">
        <f>'Бюджет админ-управл.расходов'!C24</f>
        <v/>
      </c>
      <c r="D68" s="12" t="str">
        <f>'Бюджет админ-управл.расходов'!D24</f>
        <v/>
      </c>
      <c r="E68" s="12" t="str">
        <f>'Бюджет админ-управл.расходов'!E24</f>
        <v/>
      </c>
      <c r="F68" s="12" t="str">
        <f>'Бюджет админ-управл.расходов'!F24</f>
        <v/>
      </c>
      <c r="G68" s="12" t="str">
        <f>'Бюджет админ-управл.расходов'!G24</f>
        <v/>
      </c>
      <c r="H68" s="12" t="str">
        <f>'Бюджет админ-управл.расходов'!H24</f>
        <v/>
      </c>
      <c r="I68" s="12" t="str">
        <f>'Бюджет админ-управл.расходов'!I24</f>
        <v/>
      </c>
      <c r="J68" s="12" t="str">
        <f>'Бюджет админ-управл.расходов'!J24</f>
        <v/>
      </c>
      <c r="K68" s="12" t="str">
        <f>'Бюджет админ-управл.расходов'!K24</f>
        <v/>
      </c>
      <c r="L68" s="12" t="str">
        <f>'Бюджет админ-управл.расходов'!L24</f>
        <v/>
      </c>
      <c r="M68" s="12" t="str">
        <f>'Бюджет админ-управл.расходов'!M24</f>
        <v/>
      </c>
      <c r="N68" s="12">
        <f t="shared" si="26"/>
        <v>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 outlineLevel="1">
      <c r="A69" s="11" t="s">
        <v>53</v>
      </c>
      <c r="B69" s="12" t="str">
        <f>'Бюджет админ-управл.расходов'!B72</f>
        <v/>
      </c>
      <c r="C69" s="12" t="str">
        <f>'Бюджет админ-управл.расходов'!C72</f>
        <v/>
      </c>
      <c r="D69" s="12" t="str">
        <f>'Бюджет админ-управл.расходов'!D72</f>
        <v/>
      </c>
      <c r="E69" s="12" t="str">
        <f>'Бюджет админ-управл.расходов'!E72</f>
        <v/>
      </c>
      <c r="F69" s="12" t="str">
        <f>'Бюджет админ-управл.расходов'!F72</f>
        <v/>
      </c>
      <c r="G69" s="12" t="str">
        <f>'Бюджет админ-управл.расходов'!G72</f>
        <v/>
      </c>
      <c r="H69" s="12" t="str">
        <f>'Бюджет админ-управл.расходов'!H72</f>
        <v/>
      </c>
      <c r="I69" s="12" t="str">
        <f>'Бюджет админ-управл.расходов'!I72</f>
        <v/>
      </c>
      <c r="J69" s="12" t="str">
        <f>'Бюджет админ-управл.расходов'!J72</f>
        <v/>
      </c>
      <c r="K69" s="12" t="str">
        <f>'Бюджет админ-управл.расходов'!K72</f>
        <v/>
      </c>
      <c r="L69" s="12" t="str">
        <f>'Бюджет админ-управл.расходов'!L72</f>
        <v/>
      </c>
      <c r="M69" s="12" t="str">
        <f>'Бюджет админ-управл.расходов'!M72</f>
        <v/>
      </c>
      <c r="N69" s="12">
        <f t="shared" si="26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7" t="s">
        <v>142</v>
      </c>
      <c r="B70" s="10">
        <f t="shared" ref="B70:M70" si="31">SUM(B71:B73)</f>
        <v>0</v>
      </c>
      <c r="C70" s="10">
        <f t="shared" si="31"/>
        <v>0</v>
      </c>
      <c r="D70" s="10">
        <f t="shared" si="31"/>
        <v>0</v>
      </c>
      <c r="E70" s="10">
        <f t="shared" si="31"/>
        <v>0</v>
      </c>
      <c r="F70" s="10">
        <f t="shared" si="31"/>
        <v>0</v>
      </c>
      <c r="G70" s="10">
        <f t="shared" si="31"/>
        <v>0</v>
      </c>
      <c r="H70" s="10">
        <f t="shared" si="31"/>
        <v>0</v>
      </c>
      <c r="I70" s="10">
        <f t="shared" si="31"/>
        <v>0</v>
      </c>
      <c r="J70" s="10">
        <f t="shared" si="31"/>
        <v>0</v>
      </c>
      <c r="K70" s="10">
        <f t="shared" si="31"/>
        <v>0</v>
      </c>
      <c r="L70" s="10">
        <f t="shared" si="31"/>
        <v>0</v>
      </c>
      <c r="M70" s="10">
        <f t="shared" si="31"/>
        <v>0</v>
      </c>
      <c r="N70" s="10">
        <f t="shared" si="26"/>
        <v>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1.25" customHeight="1" outlineLevel="1">
      <c r="A71" s="11" t="s">
        <v>46</v>
      </c>
      <c r="B71" s="12" t="str">
        <f>'Бюджет админ-управл.расходов'!B27</f>
        <v/>
      </c>
      <c r="C71" s="12" t="str">
        <f>'Бюджет админ-управл.расходов'!C27</f>
        <v/>
      </c>
      <c r="D71" s="12" t="str">
        <f>'Бюджет админ-управл.расходов'!D27</f>
        <v/>
      </c>
      <c r="E71" s="12" t="str">
        <f>'Бюджет админ-управл.расходов'!E27</f>
        <v/>
      </c>
      <c r="F71" s="12" t="str">
        <f>'Бюджет админ-управл.расходов'!F27</f>
        <v/>
      </c>
      <c r="G71" s="12" t="str">
        <f>'Бюджет админ-управл.расходов'!G27</f>
        <v/>
      </c>
      <c r="H71" s="12" t="str">
        <f>'Бюджет админ-управл.расходов'!H27</f>
        <v/>
      </c>
      <c r="I71" s="12" t="str">
        <f>'Бюджет админ-управл.расходов'!I27</f>
        <v/>
      </c>
      <c r="J71" s="12" t="str">
        <f>'Бюджет админ-управл.расходов'!J27</f>
        <v/>
      </c>
      <c r="K71" s="12" t="str">
        <f>'Бюджет админ-управл.расходов'!K27</f>
        <v/>
      </c>
      <c r="L71" s="12" t="str">
        <f>'Бюджет админ-управл.расходов'!L27</f>
        <v/>
      </c>
      <c r="M71" s="12" t="str">
        <f>'Бюджет админ-управл.расходов'!M27</f>
        <v/>
      </c>
      <c r="N71" s="12">
        <f t="shared" si="26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 outlineLevel="1">
      <c r="A72" s="11" t="s">
        <v>47</v>
      </c>
      <c r="B72" s="12" t="str">
        <f>'Бюджет админ-управл.расходов'!B29</f>
        <v/>
      </c>
      <c r="C72" s="12" t="str">
        <f>'Бюджет админ-управл.расходов'!C29</f>
        <v/>
      </c>
      <c r="D72" s="12" t="str">
        <f>'Бюджет админ-управл.расходов'!D29</f>
        <v/>
      </c>
      <c r="E72" s="12" t="str">
        <f>'Бюджет админ-управл.расходов'!E29</f>
        <v/>
      </c>
      <c r="F72" s="12" t="str">
        <f>'Бюджет админ-управл.расходов'!F29</f>
        <v/>
      </c>
      <c r="G72" s="12" t="str">
        <f>'Бюджет админ-управл.расходов'!G29</f>
        <v/>
      </c>
      <c r="H72" s="12" t="str">
        <f>'Бюджет админ-управл.расходов'!H29</f>
        <v/>
      </c>
      <c r="I72" s="12" t="str">
        <f>'Бюджет админ-управл.расходов'!I29</f>
        <v/>
      </c>
      <c r="J72" s="12" t="str">
        <f>'Бюджет админ-управл.расходов'!J29</f>
        <v/>
      </c>
      <c r="K72" s="12" t="str">
        <f>'Бюджет админ-управл.расходов'!K29</f>
        <v/>
      </c>
      <c r="L72" s="12" t="str">
        <f>'Бюджет админ-управл.расходов'!L29</f>
        <v/>
      </c>
      <c r="M72" s="12" t="str">
        <f>'Бюджет админ-управл.расходов'!M29</f>
        <v/>
      </c>
      <c r="N72" s="12">
        <f t="shared" si="26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 outlineLevel="1">
      <c r="A73" s="11" t="s">
        <v>49</v>
      </c>
      <c r="B73" s="12" t="str">
        <f>'Бюджет админ-управл.расходов'!B30</f>
        <v/>
      </c>
      <c r="C73" s="12" t="str">
        <f>'Бюджет админ-управл.расходов'!C30</f>
        <v/>
      </c>
      <c r="D73" s="12" t="str">
        <f>'Бюджет админ-управл.расходов'!D30</f>
        <v/>
      </c>
      <c r="E73" s="12" t="str">
        <f>'Бюджет админ-управл.расходов'!E30</f>
        <v/>
      </c>
      <c r="F73" s="12" t="str">
        <f>'Бюджет админ-управл.расходов'!F30</f>
        <v/>
      </c>
      <c r="G73" s="12" t="str">
        <f>'Бюджет админ-управл.расходов'!G30</f>
        <v/>
      </c>
      <c r="H73" s="12" t="str">
        <f>'Бюджет админ-управл.расходов'!H30</f>
        <v/>
      </c>
      <c r="I73" s="12" t="str">
        <f>'Бюджет админ-управл.расходов'!I30</f>
        <v/>
      </c>
      <c r="J73" s="12" t="str">
        <f>'Бюджет админ-управл.расходов'!J30</f>
        <v/>
      </c>
      <c r="K73" s="12" t="str">
        <f>'Бюджет админ-управл.расходов'!K30</f>
        <v/>
      </c>
      <c r="L73" s="12" t="str">
        <f>'Бюджет админ-управл.расходов'!L30</f>
        <v/>
      </c>
      <c r="M73" s="12" t="str">
        <f>'Бюджет админ-управл.расходов'!M30</f>
        <v/>
      </c>
      <c r="N73" s="12">
        <f t="shared" si="26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7" t="s">
        <v>54</v>
      </c>
      <c r="B74" s="10">
        <f t="shared" ref="B74:M74" si="32">B75+B76+B77</f>
        <v>0</v>
      </c>
      <c r="C74" s="10">
        <f t="shared" si="32"/>
        <v>0</v>
      </c>
      <c r="D74" s="10">
        <f t="shared" si="32"/>
        <v>0</v>
      </c>
      <c r="E74" s="10">
        <f t="shared" si="32"/>
        <v>0</v>
      </c>
      <c r="F74" s="10">
        <f t="shared" si="32"/>
        <v>0</v>
      </c>
      <c r="G74" s="10">
        <f t="shared" si="32"/>
        <v>0</v>
      </c>
      <c r="H74" s="10">
        <f t="shared" si="32"/>
        <v>0</v>
      </c>
      <c r="I74" s="10">
        <f t="shared" si="32"/>
        <v>0</v>
      </c>
      <c r="J74" s="10">
        <f t="shared" si="32"/>
        <v>0</v>
      </c>
      <c r="K74" s="10">
        <f t="shared" si="32"/>
        <v>0</v>
      </c>
      <c r="L74" s="10">
        <f t="shared" si="32"/>
        <v>0</v>
      </c>
      <c r="M74" s="10">
        <f t="shared" si="32"/>
        <v>0</v>
      </c>
      <c r="N74" s="10">
        <f t="shared" si="26"/>
        <v>0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1.25" customHeight="1" outlineLevel="1">
      <c r="A75" s="11" t="s">
        <v>55</v>
      </c>
      <c r="B75" s="12" t="str">
        <f>'Бюджет админ-управл.расходов'!B32</f>
        <v/>
      </c>
      <c r="C75" s="12" t="str">
        <f>'Бюджет админ-управл.расходов'!C32</f>
        <v/>
      </c>
      <c r="D75" s="12" t="str">
        <f>'Бюджет админ-управл.расходов'!D32</f>
        <v/>
      </c>
      <c r="E75" s="12" t="str">
        <f>'Бюджет админ-управл.расходов'!E32</f>
        <v/>
      </c>
      <c r="F75" s="12" t="str">
        <f>'Бюджет админ-управл.расходов'!F32</f>
        <v/>
      </c>
      <c r="G75" s="12" t="str">
        <f>'Бюджет админ-управл.расходов'!G32</f>
        <v/>
      </c>
      <c r="H75" s="12" t="str">
        <f>'Бюджет админ-управл.расходов'!H32</f>
        <v/>
      </c>
      <c r="I75" s="12" t="str">
        <f>'Бюджет админ-управл.расходов'!I32</f>
        <v/>
      </c>
      <c r="J75" s="12" t="str">
        <f>'Бюджет админ-управл.расходов'!J32</f>
        <v/>
      </c>
      <c r="K75" s="12" t="str">
        <f>'Бюджет админ-управл.расходов'!K32</f>
        <v/>
      </c>
      <c r="L75" s="12" t="str">
        <f>'Бюджет админ-управл.расходов'!L32</f>
        <v/>
      </c>
      <c r="M75" s="12" t="str">
        <f>'Бюджет админ-управл.расходов'!M32</f>
        <v/>
      </c>
      <c r="N75" s="12">
        <f t="shared" si="26"/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 outlineLevel="1">
      <c r="A76" s="11" t="s">
        <v>180</v>
      </c>
      <c r="B76" s="12" t="str">
        <f>'Бюджет админ-управл.расходов'!B33</f>
        <v/>
      </c>
      <c r="C76" s="12" t="str">
        <f>'Бюджет админ-управл.расходов'!C33</f>
        <v/>
      </c>
      <c r="D76" s="12" t="str">
        <f>'Бюджет админ-управл.расходов'!D33</f>
        <v/>
      </c>
      <c r="E76" s="12" t="str">
        <f>'Бюджет админ-управл.расходов'!E33</f>
        <v/>
      </c>
      <c r="F76" s="12" t="str">
        <f>'Бюджет админ-управл.расходов'!F33</f>
        <v/>
      </c>
      <c r="G76" s="12" t="str">
        <f>'Бюджет админ-управл.расходов'!G33</f>
        <v/>
      </c>
      <c r="H76" s="12" t="str">
        <f>'Бюджет админ-управл.расходов'!H33</f>
        <v/>
      </c>
      <c r="I76" s="12" t="str">
        <f>'Бюджет админ-управл.расходов'!I33</f>
        <v/>
      </c>
      <c r="J76" s="12" t="str">
        <f>'Бюджет админ-управл.расходов'!J33</f>
        <v/>
      </c>
      <c r="K76" s="12" t="str">
        <f>'Бюджет админ-управл.расходов'!K33</f>
        <v/>
      </c>
      <c r="L76" s="12" t="str">
        <f>'Бюджет админ-управл.расходов'!L33</f>
        <v/>
      </c>
      <c r="M76" s="12" t="str">
        <f>'Бюджет админ-управл.расходов'!M33</f>
        <v/>
      </c>
      <c r="N76" s="12">
        <f t="shared" si="26"/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 outlineLevel="1">
      <c r="A77" s="11" t="s">
        <v>56</v>
      </c>
      <c r="B77" s="12" t="str">
        <f>'Бюджет админ-управл.расходов'!B34</f>
        <v/>
      </c>
      <c r="C77" s="12" t="str">
        <f>'Бюджет админ-управл.расходов'!C34</f>
        <v/>
      </c>
      <c r="D77" s="12" t="str">
        <f>'Бюджет админ-управл.расходов'!D34</f>
        <v/>
      </c>
      <c r="E77" s="12" t="str">
        <f>'Бюджет админ-управл.расходов'!E34</f>
        <v/>
      </c>
      <c r="F77" s="12" t="str">
        <f>'Бюджет админ-управл.расходов'!F34</f>
        <v/>
      </c>
      <c r="G77" s="12" t="str">
        <f>'Бюджет админ-управл.расходов'!G34</f>
        <v/>
      </c>
      <c r="H77" s="12" t="str">
        <f>'Бюджет админ-управл.расходов'!H34</f>
        <v/>
      </c>
      <c r="I77" s="12" t="str">
        <f>'Бюджет админ-управл.расходов'!I34</f>
        <v/>
      </c>
      <c r="J77" s="12" t="str">
        <f>'Бюджет админ-управл.расходов'!J34</f>
        <v/>
      </c>
      <c r="K77" s="12" t="str">
        <f>'Бюджет админ-управл.расходов'!K34</f>
        <v/>
      </c>
      <c r="L77" s="12" t="str">
        <f>'Бюджет админ-управл.расходов'!L34</f>
        <v/>
      </c>
      <c r="M77" s="12" t="str">
        <f>'Бюджет админ-управл.расходов'!M34</f>
        <v/>
      </c>
      <c r="N77" s="12">
        <f t="shared" si="26"/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7" t="s">
        <v>57</v>
      </c>
      <c r="B78" s="10">
        <f t="shared" ref="B78:M78" si="33">B79+B80+B81+B82</f>
        <v>0</v>
      </c>
      <c r="C78" s="10">
        <f t="shared" si="33"/>
        <v>0</v>
      </c>
      <c r="D78" s="10">
        <f t="shared" si="33"/>
        <v>0</v>
      </c>
      <c r="E78" s="10">
        <f t="shared" si="33"/>
        <v>0</v>
      </c>
      <c r="F78" s="10">
        <f t="shared" si="33"/>
        <v>0</v>
      </c>
      <c r="G78" s="10">
        <f t="shared" si="33"/>
        <v>0</v>
      </c>
      <c r="H78" s="10">
        <f t="shared" si="33"/>
        <v>0</v>
      </c>
      <c r="I78" s="10">
        <f t="shared" si="33"/>
        <v>0</v>
      </c>
      <c r="J78" s="10">
        <f t="shared" si="33"/>
        <v>0</v>
      </c>
      <c r="K78" s="10">
        <f t="shared" si="33"/>
        <v>0</v>
      </c>
      <c r="L78" s="10">
        <f t="shared" si="33"/>
        <v>0</v>
      </c>
      <c r="M78" s="10">
        <f t="shared" si="33"/>
        <v>0</v>
      </c>
      <c r="N78" s="10">
        <f t="shared" si="26"/>
        <v>0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1.25" customHeight="1" outlineLevel="1">
      <c r="A79" s="11" t="s">
        <v>58</v>
      </c>
      <c r="B79" s="12" t="str">
        <f>'Бюджет админ-управл.расходов'!B42</f>
        <v/>
      </c>
      <c r="C79" s="12" t="str">
        <f>'Бюджет админ-управл.расходов'!C42</f>
        <v/>
      </c>
      <c r="D79" s="12" t="str">
        <f>'Бюджет админ-управл.расходов'!D42</f>
        <v/>
      </c>
      <c r="E79" s="12" t="str">
        <f>'Бюджет админ-управл.расходов'!E42</f>
        <v/>
      </c>
      <c r="F79" s="12" t="str">
        <f>'Бюджет админ-управл.расходов'!F42</f>
        <v/>
      </c>
      <c r="G79" s="12" t="str">
        <f>'Бюджет админ-управл.расходов'!G42</f>
        <v/>
      </c>
      <c r="H79" s="12" t="str">
        <f>'Бюджет админ-управл.расходов'!H42</f>
        <v/>
      </c>
      <c r="I79" s="12" t="str">
        <f>'Бюджет админ-управл.расходов'!I42</f>
        <v/>
      </c>
      <c r="J79" s="12" t="str">
        <f>'Бюджет админ-управл.расходов'!J42</f>
        <v/>
      </c>
      <c r="K79" s="12" t="str">
        <f>'Бюджет админ-управл.расходов'!K42</f>
        <v/>
      </c>
      <c r="L79" s="12" t="str">
        <f>'Бюджет админ-управл.расходов'!L42</f>
        <v/>
      </c>
      <c r="M79" s="12" t="str">
        <f>'Бюджет админ-управл.расходов'!M42</f>
        <v/>
      </c>
      <c r="N79" s="12">
        <f t="shared" si="26"/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 outlineLevel="1">
      <c r="A80" s="11" t="s">
        <v>59</v>
      </c>
      <c r="B80" s="12" t="str">
        <f>'Бюджет админ-управл.расходов'!B41</f>
        <v/>
      </c>
      <c r="C80" s="12" t="str">
        <f>'Бюджет админ-управл.расходов'!C41</f>
        <v/>
      </c>
      <c r="D80" s="12" t="str">
        <f>'Бюджет админ-управл.расходов'!D41</f>
        <v/>
      </c>
      <c r="E80" s="12" t="str">
        <f>'Бюджет админ-управл.расходов'!E41</f>
        <v/>
      </c>
      <c r="F80" s="12" t="str">
        <f>'Бюджет админ-управл.расходов'!F41</f>
        <v/>
      </c>
      <c r="G80" s="12" t="str">
        <f>'Бюджет админ-управл.расходов'!G41</f>
        <v/>
      </c>
      <c r="H80" s="12" t="str">
        <f>'Бюджет админ-управл.расходов'!H41</f>
        <v/>
      </c>
      <c r="I80" s="12" t="str">
        <f>'Бюджет админ-управл.расходов'!I41</f>
        <v/>
      </c>
      <c r="J80" s="12" t="str">
        <f>'Бюджет админ-управл.расходов'!J41</f>
        <v/>
      </c>
      <c r="K80" s="12" t="str">
        <f>'Бюджет админ-управл.расходов'!K41</f>
        <v/>
      </c>
      <c r="L80" s="12" t="str">
        <f>'Бюджет админ-управл.расходов'!L41</f>
        <v/>
      </c>
      <c r="M80" s="12" t="str">
        <f>'Бюджет админ-управл.расходов'!M41</f>
        <v/>
      </c>
      <c r="N80" s="12">
        <f t="shared" si="26"/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 outlineLevel="1">
      <c r="A81" s="11" t="s">
        <v>60</v>
      </c>
      <c r="B81" s="12" t="str">
        <f>'Бюджет админ-управл.расходов'!B43</f>
        <v/>
      </c>
      <c r="C81" s="12" t="str">
        <f>'Бюджет админ-управл.расходов'!C43</f>
        <v/>
      </c>
      <c r="D81" s="12" t="str">
        <f>'Бюджет админ-управл.расходов'!D43</f>
        <v/>
      </c>
      <c r="E81" s="12" t="str">
        <f>'Бюджет админ-управл.расходов'!E43</f>
        <v/>
      </c>
      <c r="F81" s="12" t="str">
        <f>'Бюджет админ-управл.расходов'!F43</f>
        <v/>
      </c>
      <c r="G81" s="12" t="str">
        <f>'Бюджет админ-управл.расходов'!G43</f>
        <v/>
      </c>
      <c r="H81" s="12" t="str">
        <f>'Бюджет админ-управл.расходов'!H43</f>
        <v/>
      </c>
      <c r="I81" s="12" t="str">
        <f>'Бюджет админ-управл.расходов'!I43</f>
        <v/>
      </c>
      <c r="J81" s="12" t="str">
        <f>'Бюджет админ-управл.расходов'!J43</f>
        <v/>
      </c>
      <c r="K81" s="12" t="str">
        <f>'Бюджет админ-управл.расходов'!K43</f>
        <v/>
      </c>
      <c r="L81" s="12" t="str">
        <f>'Бюджет админ-управл.расходов'!L43</f>
        <v/>
      </c>
      <c r="M81" s="12" t="str">
        <f>'Бюджет админ-управл.расходов'!M43</f>
        <v/>
      </c>
      <c r="N81" s="12">
        <f t="shared" si="26"/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 outlineLevel="1">
      <c r="A82" s="11" t="s">
        <v>61</v>
      </c>
      <c r="B82" s="12" t="str">
        <f>'Бюджет админ-управл.расходов'!B40</f>
        <v/>
      </c>
      <c r="C82" s="12" t="str">
        <f>'Бюджет админ-управл.расходов'!C40</f>
        <v/>
      </c>
      <c r="D82" s="12" t="str">
        <f>'Бюджет админ-управл.расходов'!D40</f>
        <v/>
      </c>
      <c r="E82" s="12" t="str">
        <f>'Бюджет админ-управл.расходов'!E40</f>
        <v/>
      </c>
      <c r="F82" s="12" t="str">
        <f>'Бюджет админ-управл.расходов'!F40</f>
        <v/>
      </c>
      <c r="G82" s="12" t="str">
        <f>'Бюджет админ-управл.расходов'!G40</f>
        <v/>
      </c>
      <c r="H82" s="12" t="str">
        <f>'Бюджет админ-управл.расходов'!H40</f>
        <v/>
      </c>
      <c r="I82" s="12" t="str">
        <f>'Бюджет админ-управл.расходов'!I40</f>
        <v/>
      </c>
      <c r="J82" s="12" t="str">
        <f>'Бюджет админ-управл.расходов'!J40</f>
        <v/>
      </c>
      <c r="K82" s="12" t="str">
        <f>'Бюджет админ-управл.расходов'!K40</f>
        <v/>
      </c>
      <c r="L82" s="12" t="str">
        <f>'Бюджет админ-управл.расходов'!L40</f>
        <v/>
      </c>
      <c r="M82" s="12" t="str">
        <f>'Бюджет админ-управл.расходов'!M40</f>
        <v/>
      </c>
      <c r="N82" s="12">
        <f t="shared" si="26"/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7" t="s">
        <v>40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>
        <f t="shared" si="26"/>
        <v>0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1.25" customHeight="1">
      <c r="A84" s="7" t="s">
        <v>149</v>
      </c>
      <c r="B84" s="10">
        <f t="shared" ref="B84:M84" si="34">B86+B85</f>
        <v>0</v>
      </c>
      <c r="C84" s="10">
        <f t="shared" si="34"/>
        <v>0</v>
      </c>
      <c r="D84" s="10">
        <f t="shared" si="34"/>
        <v>0</v>
      </c>
      <c r="E84" s="10">
        <f t="shared" si="34"/>
        <v>0</v>
      </c>
      <c r="F84" s="10">
        <f t="shared" si="34"/>
        <v>0</v>
      </c>
      <c r="G84" s="10">
        <f t="shared" si="34"/>
        <v>0</v>
      </c>
      <c r="H84" s="10">
        <f t="shared" si="34"/>
        <v>0</v>
      </c>
      <c r="I84" s="10">
        <f t="shared" si="34"/>
        <v>0</v>
      </c>
      <c r="J84" s="10">
        <f t="shared" si="34"/>
        <v>0</v>
      </c>
      <c r="K84" s="10">
        <f t="shared" si="34"/>
        <v>0</v>
      </c>
      <c r="L84" s="10">
        <f t="shared" si="34"/>
        <v>0</v>
      </c>
      <c r="M84" s="10">
        <f t="shared" si="34"/>
        <v>0</v>
      </c>
      <c r="N84" s="10">
        <f t="shared" si="26"/>
        <v>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1.25" customHeight="1" outlineLevel="1">
      <c r="A85" s="11" t="s">
        <v>177</v>
      </c>
      <c r="B85" s="12" t="str">
        <f>'Инвест_бюджет'!B675</f>
        <v/>
      </c>
      <c r="C85" s="12" t="str">
        <f>'Инвест_бюджет'!C675</f>
        <v/>
      </c>
      <c r="D85" s="12" t="str">
        <f>'Инвест_бюджет'!D675</f>
        <v/>
      </c>
      <c r="E85" s="12" t="str">
        <f>'Инвест_бюджет'!E675</f>
        <v/>
      </c>
      <c r="F85" s="12" t="str">
        <f>'Инвест_бюджет'!F675</f>
        <v/>
      </c>
      <c r="G85" s="12" t="str">
        <f>'Инвест_бюджет'!G675</f>
        <v/>
      </c>
      <c r="H85" s="12" t="str">
        <f>'Инвест_бюджет'!H675</f>
        <v/>
      </c>
      <c r="I85" s="12" t="str">
        <f>'Инвест_бюджет'!I675</f>
        <v/>
      </c>
      <c r="J85" s="12" t="str">
        <f>'Инвест_бюджет'!J675</f>
        <v/>
      </c>
      <c r="K85" s="12" t="str">
        <f>'Инвест_бюджет'!K675</f>
        <v/>
      </c>
      <c r="L85" s="12" t="str">
        <f>'Инвест_бюджет'!L675</f>
        <v/>
      </c>
      <c r="M85" s="12" t="str">
        <f>'Инвест_бюджет'!M675</f>
        <v/>
      </c>
      <c r="N85" s="12">
        <f t="shared" si="26"/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 outlineLevel="1">
      <c r="A86" s="11" t="s">
        <v>178</v>
      </c>
      <c r="B86" s="12" t="str">
        <f>'Инвест_бюджет'!B676</f>
        <v/>
      </c>
      <c r="C86" s="12" t="str">
        <f>'Инвест_бюджет'!C676</f>
        <v/>
      </c>
      <c r="D86" s="12" t="str">
        <f>'Инвест_бюджет'!D676</f>
        <v/>
      </c>
      <c r="E86" s="12" t="str">
        <f>'Инвест_бюджет'!E676</f>
        <v/>
      </c>
      <c r="F86" s="12" t="str">
        <f>'Инвест_бюджет'!F676</f>
        <v/>
      </c>
      <c r="G86" s="12" t="str">
        <f>'Инвест_бюджет'!G676</f>
        <v/>
      </c>
      <c r="H86" s="12" t="str">
        <f>'Инвест_бюджет'!H676</f>
        <v/>
      </c>
      <c r="I86" s="12" t="str">
        <f>'Инвест_бюджет'!I676</f>
        <v/>
      </c>
      <c r="J86" s="12" t="str">
        <f>'Инвест_бюджет'!J676</f>
        <v/>
      </c>
      <c r="K86" s="12" t="str">
        <f>'Инвест_бюджет'!K676</f>
        <v/>
      </c>
      <c r="L86" s="12" t="str">
        <f>'Инвест_бюджет'!L676</f>
        <v/>
      </c>
      <c r="M86" s="12" t="str">
        <f>'Инвест_бюджет'!M676</f>
        <v/>
      </c>
      <c r="N86" s="12">
        <f t="shared" si="26"/>
        <v>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8" t="s">
        <v>143</v>
      </c>
      <c r="B87" s="9">
        <f t="shared" ref="B87:M87" si="35">SUM(B88:B92)</f>
        <v>0</v>
      </c>
      <c r="C87" s="9">
        <f t="shared" si="35"/>
        <v>0</v>
      </c>
      <c r="D87" s="9">
        <f t="shared" si="35"/>
        <v>0</v>
      </c>
      <c r="E87" s="9">
        <f t="shared" si="35"/>
        <v>0</v>
      </c>
      <c r="F87" s="9">
        <f t="shared" si="35"/>
        <v>0</v>
      </c>
      <c r="G87" s="9">
        <f t="shared" si="35"/>
        <v>0</v>
      </c>
      <c r="H87" s="9">
        <f t="shared" si="35"/>
        <v>0</v>
      </c>
      <c r="I87" s="9">
        <f t="shared" si="35"/>
        <v>0</v>
      </c>
      <c r="J87" s="9">
        <f t="shared" si="35"/>
        <v>0</v>
      </c>
      <c r="K87" s="9">
        <f t="shared" si="35"/>
        <v>0</v>
      </c>
      <c r="L87" s="9">
        <f t="shared" si="35"/>
        <v>0</v>
      </c>
      <c r="M87" s="9">
        <f t="shared" si="35"/>
        <v>0</v>
      </c>
      <c r="N87" s="9">
        <f t="shared" si="26"/>
        <v>0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1.25" customHeight="1">
      <c r="A88" s="11" t="s">
        <v>70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>
        <f t="shared" si="26"/>
        <v>0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1.25" customHeight="1">
      <c r="A89" s="11" t="s">
        <v>69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>
        <f t="shared" si="26"/>
        <v>0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1.25" customHeight="1">
      <c r="A90" s="11" t="s">
        <v>68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>
        <f t="shared" si="26"/>
        <v>0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1.25" customHeight="1">
      <c r="A91" s="11" t="s">
        <v>181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>
        <f t="shared" si="26"/>
        <v>0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1.25" customHeight="1">
      <c r="A92" s="11" t="s">
        <v>182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>
        <f t="shared" si="26"/>
        <v>0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1.25" customHeight="1">
      <c r="A93" s="54" t="s">
        <v>183</v>
      </c>
      <c r="B93" s="55">
        <f t="shared" ref="B93:M93" si="36">B3-B5</f>
        <v>0</v>
      </c>
      <c r="C93" s="55">
        <f t="shared" si="36"/>
        <v>0</v>
      </c>
      <c r="D93" s="55">
        <f t="shared" si="36"/>
        <v>0</v>
      </c>
      <c r="E93" s="55">
        <f t="shared" si="36"/>
        <v>0</v>
      </c>
      <c r="F93" s="55">
        <f t="shared" si="36"/>
        <v>0</v>
      </c>
      <c r="G93" s="55">
        <f t="shared" si="36"/>
        <v>0</v>
      </c>
      <c r="H93" s="55">
        <f t="shared" si="36"/>
        <v>0</v>
      </c>
      <c r="I93" s="55">
        <f t="shared" si="36"/>
        <v>0</v>
      </c>
      <c r="J93" s="55">
        <f t="shared" si="36"/>
        <v>0</v>
      </c>
      <c r="K93" s="55">
        <f t="shared" si="36"/>
        <v>0</v>
      </c>
      <c r="L93" s="55">
        <f t="shared" si="36"/>
        <v>0</v>
      </c>
      <c r="M93" s="55">
        <f t="shared" si="36"/>
        <v>0</v>
      </c>
      <c r="N93" s="55">
        <f t="shared" si="26"/>
        <v>0</v>
      </c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1.25" customHeight="1">
      <c r="A94" s="57" t="s">
        <v>156</v>
      </c>
      <c r="B94" s="58" t="str">
        <f t="shared" ref="B94:N94" si="37">B93/B3</f>
        <v>#DIV/0!</v>
      </c>
      <c r="C94" s="58" t="str">
        <f t="shared" si="37"/>
        <v>#DIV/0!</v>
      </c>
      <c r="D94" s="58" t="str">
        <f t="shared" si="37"/>
        <v>#DIV/0!</v>
      </c>
      <c r="E94" s="58" t="str">
        <f t="shared" si="37"/>
        <v>#DIV/0!</v>
      </c>
      <c r="F94" s="58" t="str">
        <f t="shared" si="37"/>
        <v>#DIV/0!</v>
      </c>
      <c r="G94" s="58" t="str">
        <f t="shared" si="37"/>
        <v>#DIV/0!</v>
      </c>
      <c r="H94" s="58" t="str">
        <f t="shared" si="37"/>
        <v>#DIV/0!</v>
      </c>
      <c r="I94" s="58" t="str">
        <f t="shared" si="37"/>
        <v>#DIV/0!</v>
      </c>
      <c r="J94" s="58" t="str">
        <f t="shared" si="37"/>
        <v>#DIV/0!</v>
      </c>
      <c r="K94" s="58" t="str">
        <f t="shared" si="37"/>
        <v>#DIV/0!</v>
      </c>
      <c r="L94" s="58" t="str">
        <f t="shared" si="37"/>
        <v>#DIV/0!</v>
      </c>
      <c r="M94" s="58" t="str">
        <f t="shared" si="37"/>
        <v>#DIV/0!</v>
      </c>
      <c r="N94" s="58" t="str">
        <f t="shared" si="37"/>
        <v>#DIV/0!</v>
      </c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1.25" customHeight="1">
      <c r="A95" s="4" t="s">
        <v>184</v>
      </c>
      <c r="B95" s="6">
        <f t="shared" ref="B95:M95" si="38">SUM(B96:B97)</f>
        <v>0</v>
      </c>
      <c r="C95" s="6">
        <f t="shared" si="38"/>
        <v>0</v>
      </c>
      <c r="D95" s="6">
        <f t="shared" si="38"/>
        <v>0</v>
      </c>
      <c r="E95" s="6">
        <f t="shared" si="38"/>
        <v>0</v>
      </c>
      <c r="F95" s="6">
        <f t="shared" si="38"/>
        <v>0</v>
      </c>
      <c r="G95" s="6">
        <f t="shared" si="38"/>
        <v>0</v>
      </c>
      <c r="H95" s="6">
        <f t="shared" si="38"/>
        <v>0</v>
      </c>
      <c r="I95" s="6">
        <f t="shared" si="38"/>
        <v>0</v>
      </c>
      <c r="J95" s="6">
        <f t="shared" si="38"/>
        <v>0</v>
      </c>
      <c r="K95" s="6">
        <f t="shared" si="38"/>
        <v>0</v>
      </c>
      <c r="L95" s="6">
        <f t="shared" si="38"/>
        <v>0</v>
      </c>
      <c r="M95" s="6">
        <f t="shared" si="38"/>
        <v>0</v>
      </c>
      <c r="N95" s="6">
        <f>B95+C95+D95+E95+F95+G95+H95+I95+J95+K95+L95+M95</f>
        <v>0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1.25" customHeight="1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1.25" customHeight="1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1.25" customHeight="1">
      <c r="A98" s="4" t="s">
        <v>185</v>
      </c>
      <c r="B98" s="6" t="str">
        <f t="shared" ref="B98:M98" si="39">B99</f>
        <v/>
      </c>
      <c r="C98" s="6" t="str">
        <f t="shared" si="39"/>
        <v/>
      </c>
      <c r="D98" s="6" t="str">
        <f t="shared" si="39"/>
        <v/>
      </c>
      <c r="E98" s="6" t="str">
        <f t="shared" si="39"/>
        <v/>
      </c>
      <c r="F98" s="6" t="str">
        <f t="shared" si="39"/>
        <v/>
      </c>
      <c r="G98" s="6" t="str">
        <f t="shared" si="39"/>
        <v/>
      </c>
      <c r="H98" s="6" t="str">
        <f t="shared" si="39"/>
        <v/>
      </c>
      <c r="I98" s="6" t="str">
        <f t="shared" si="39"/>
        <v/>
      </c>
      <c r="J98" s="6" t="str">
        <f t="shared" si="39"/>
        <v/>
      </c>
      <c r="K98" s="6" t="str">
        <f t="shared" si="39"/>
        <v/>
      </c>
      <c r="L98" s="6" t="str">
        <f t="shared" si="39"/>
        <v/>
      </c>
      <c r="M98" s="6" t="str">
        <f t="shared" si="39"/>
        <v/>
      </c>
      <c r="N98" s="6">
        <f>B98+C98+D98+E98+F98+G98+H98+I98+J98+K98+L98+M98</f>
        <v>0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1.25" customHeight="1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1.25" customHeight="1">
      <c r="A100" s="54" t="s">
        <v>186</v>
      </c>
      <c r="B100" s="55">
        <f t="shared" ref="B100:M100" si="40">B95-B98</f>
        <v>0</v>
      </c>
      <c r="C100" s="55">
        <f t="shared" si="40"/>
        <v>0</v>
      </c>
      <c r="D100" s="55">
        <f t="shared" si="40"/>
        <v>0</v>
      </c>
      <c r="E100" s="55">
        <f t="shared" si="40"/>
        <v>0</v>
      </c>
      <c r="F100" s="55">
        <f t="shared" si="40"/>
        <v>0</v>
      </c>
      <c r="G100" s="55">
        <f t="shared" si="40"/>
        <v>0</v>
      </c>
      <c r="H100" s="55">
        <f t="shared" si="40"/>
        <v>0</v>
      </c>
      <c r="I100" s="55">
        <f t="shared" si="40"/>
        <v>0</v>
      </c>
      <c r="J100" s="55">
        <f t="shared" si="40"/>
        <v>0</v>
      </c>
      <c r="K100" s="55">
        <f t="shared" si="40"/>
        <v>0</v>
      </c>
      <c r="L100" s="55">
        <f t="shared" si="40"/>
        <v>0</v>
      </c>
      <c r="M100" s="55">
        <f t="shared" si="40"/>
        <v>0</v>
      </c>
      <c r="N100" s="55">
        <f>B100+C100+D100+E100+F100+G100+H100+I100+J100+K100+L100+M100</f>
        <v>0</v>
      </c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1.25" customHeight="1">
      <c r="A101" s="57" t="s">
        <v>156</v>
      </c>
      <c r="B101" s="58">
        <f t="shared" ref="B101:M101" si="41">IF(B100=0,0,B100/B95)</f>
        <v>0</v>
      </c>
      <c r="C101" s="58">
        <f t="shared" si="41"/>
        <v>0</v>
      </c>
      <c r="D101" s="58">
        <f t="shared" si="41"/>
        <v>0</v>
      </c>
      <c r="E101" s="58">
        <f t="shared" si="41"/>
        <v>0</v>
      </c>
      <c r="F101" s="58">
        <f t="shared" si="41"/>
        <v>0</v>
      </c>
      <c r="G101" s="58">
        <f t="shared" si="41"/>
        <v>0</v>
      </c>
      <c r="H101" s="58">
        <f t="shared" si="41"/>
        <v>0</v>
      </c>
      <c r="I101" s="58">
        <f t="shared" si="41"/>
        <v>0</v>
      </c>
      <c r="J101" s="58">
        <f t="shared" si="41"/>
        <v>0</v>
      </c>
      <c r="K101" s="58">
        <f t="shared" si="41"/>
        <v>0</v>
      </c>
      <c r="L101" s="58">
        <f t="shared" si="41"/>
        <v>0</v>
      </c>
      <c r="M101" s="58">
        <f t="shared" si="41"/>
        <v>0</v>
      </c>
      <c r="N101" s="58" t="str">
        <f>N100/#REF!</f>
        <v>#REF!</v>
      </c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1.25" customHeight="1">
      <c r="A102" s="4" t="s">
        <v>187</v>
      </c>
      <c r="B102" s="6" t="str">
        <f t="shared" ref="B102:N102" si="42">B103</f>
        <v/>
      </c>
      <c r="C102" s="6" t="str">
        <f t="shared" si="42"/>
        <v/>
      </c>
      <c r="D102" s="6" t="str">
        <f t="shared" si="42"/>
        <v/>
      </c>
      <c r="E102" s="6" t="str">
        <f t="shared" si="42"/>
        <v/>
      </c>
      <c r="F102" s="6" t="str">
        <f t="shared" si="42"/>
        <v/>
      </c>
      <c r="G102" s="6" t="str">
        <f t="shared" si="42"/>
        <v/>
      </c>
      <c r="H102" s="6" t="str">
        <f t="shared" si="42"/>
        <v/>
      </c>
      <c r="I102" s="6" t="str">
        <f t="shared" si="42"/>
        <v/>
      </c>
      <c r="J102" s="6" t="str">
        <f t="shared" si="42"/>
        <v/>
      </c>
      <c r="K102" s="6" t="str">
        <f t="shared" si="42"/>
        <v/>
      </c>
      <c r="L102" s="6" t="str">
        <f t="shared" si="42"/>
        <v/>
      </c>
      <c r="M102" s="6" t="str">
        <f t="shared" si="42"/>
        <v/>
      </c>
      <c r="N102" s="6" t="str">
        <f t="shared" si="42"/>
        <v/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1.25" customHeight="1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1.25" customHeight="1">
      <c r="A104" s="4" t="s">
        <v>188</v>
      </c>
      <c r="B104" s="6">
        <f t="shared" ref="B104:M104" si="43">SUM(B105:B106)</f>
        <v>0</v>
      </c>
      <c r="C104" s="6">
        <f t="shared" si="43"/>
        <v>0</v>
      </c>
      <c r="D104" s="6">
        <f t="shared" si="43"/>
        <v>0</v>
      </c>
      <c r="E104" s="6">
        <f t="shared" si="43"/>
        <v>0</v>
      </c>
      <c r="F104" s="6">
        <f t="shared" si="43"/>
        <v>0</v>
      </c>
      <c r="G104" s="6">
        <f t="shared" si="43"/>
        <v>0</v>
      </c>
      <c r="H104" s="6">
        <f t="shared" si="43"/>
        <v>0</v>
      </c>
      <c r="I104" s="6">
        <f t="shared" si="43"/>
        <v>0</v>
      </c>
      <c r="J104" s="6">
        <f t="shared" si="43"/>
        <v>0</v>
      </c>
      <c r="K104" s="6">
        <f t="shared" si="43"/>
        <v>0</v>
      </c>
      <c r="L104" s="6">
        <f t="shared" si="43"/>
        <v>0</v>
      </c>
      <c r="M104" s="6">
        <f t="shared" si="43"/>
        <v>0</v>
      </c>
      <c r="N104" s="6">
        <f>B104+C104+D104+E104+F104+G104+H104+I104+J104+K104+L104+M104</f>
        <v>0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1.25" customHeight="1">
      <c r="A105" s="11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2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1.25" customHeight="1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1.25" customHeight="1">
      <c r="A107" s="54" t="s">
        <v>189</v>
      </c>
      <c r="B107" s="55">
        <f t="shared" ref="B107:N107" si="44">B102-B104</f>
        <v>0</v>
      </c>
      <c r="C107" s="55">
        <f t="shared" si="44"/>
        <v>0</v>
      </c>
      <c r="D107" s="55">
        <f t="shared" si="44"/>
        <v>0</v>
      </c>
      <c r="E107" s="55">
        <f t="shared" si="44"/>
        <v>0</v>
      </c>
      <c r="F107" s="55">
        <f t="shared" si="44"/>
        <v>0</v>
      </c>
      <c r="G107" s="55">
        <f t="shared" si="44"/>
        <v>0</v>
      </c>
      <c r="H107" s="55">
        <f t="shared" si="44"/>
        <v>0</v>
      </c>
      <c r="I107" s="55">
        <f t="shared" si="44"/>
        <v>0</v>
      </c>
      <c r="J107" s="55">
        <f t="shared" si="44"/>
        <v>0</v>
      </c>
      <c r="K107" s="55">
        <f t="shared" si="44"/>
        <v>0</v>
      </c>
      <c r="L107" s="55">
        <f t="shared" si="44"/>
        <v>0</v>
      </c>
      <c r="M107" s="55">
        <f t="shared" si="44"/>
        <v>0</v>
      </c>
      <c r="N107" s="55">
        <f t="shared" si="44"/>
        <v>0</v>
      </c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1.25" customHeight="1">
      <c r="A108" s="57" t="s">
        <v>156</v>
      </c>
      <c r="B108" s="58">
        <f t="shared" ref="B108:N108" si="45">IF(B107=0,0,B107/B102)</f>
        <v>0</v>
      </c>
      <c r="C108" s="58">
        <f t="shared" si="45"/>
        <v>0</v>
      </c>
      <c r="D108" s="58">
        <f t="shared" si="45"/>
        <v>0</v>
      </c>
      <c r="E108" s="58">
        <f t="shared" si="45"/>
        <v>0</v>
      </c>
      <c r="F108" s="58">
        <f t="shared" si="45"/>
        <v>0</v>
      </c>
      <c r="G108" s="58">
        <f t="shared" si="45"/>
        <v>0</v>
      </c>
      <c r="H108" s="58">
        <f t="shared" si="45"/>
        <v>0</v>
      </c>
      <c r="I108" s="58">
        <f t="shared" si="45"/>
        <v>0</v>
      </c>
      <c r="J108" s="58">
        <f t="shared" si="45"/>
        <v>0</v>
      </c>
      <c r="K108" s="58">
        <f t="shared" si="45"/>
        <v>0</v>
      </c>
      <c r="L108" s="58">
        <f t="shared" si="45"/>
        <v>0</v>
      </c>
      <c r="M108" s="58">
        <f t="shared" si="45"/>
        <v>0</v>
      </c>
      <c r="N108" s="58">
        <f t="shared" si="45"/>
        <v>0</v>
      </c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1.25" customHeight="1">
      <c r="A109" s="4" t="s">
        <v>190</v>
      </c>
      <c r="B109" s="6">
        <f t="shared" ref="B109:M109" si="46">SUM(B110)</f>
        <v>0</v>
      </c>
      <c r="C109" s="6">
        <f t="shared" si="46"/>
        <v>0</v>
      </c>
      <c r="D109" s="6">
        <f t="shared" si="46"/>
        <v>0</v>
      </c>
      <c r="E109" s="6">
        <f t="shared" si="46"/>
        <v>0</v>
      </c>
      <c r="F109" s="6">
        <f t="shared" si="46"/>
        <v>0</v>
      </c>
      <c r="G109" s="6">
        <f t="shared" si="46"/>
        <v>0</v>
      </c>
      <c r="H109" s="6">
        <f t="shared" si="46"/>
        <v>0</v>
      </c>
      <c r="I109" s="6">
        <f t="shared" si="46"/>
        <v>0</v>
      </c>
      <c r="J109" s="6">
        <f t="shared" si="46"/>
        <v>0</v>
      </c>
      <c r="K109" s="6">
        <f t="shared" si="46"/>
        <v>0</v>
      </c>
      <c r="L109" s="6">
        <f t="shared" si="46"/>
        <v>0</v>
      </c>
      <c r="M109" s="6">
        <f t="shared" si="46"/>
        <v>0</v>
      </c>
      <c r="N109" s="6">
        <f>B109+C109+D109+E109+F109+G109+H109+I109+J109+K109+L109+M109</f>
        <v>0</v>
      </c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1.25" customHeight="1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1.25" customHeight="1">
      <c r="A111" s="4" t="s">
        <v>191</v>
      </c>
      <c r="B111" s="6">
        <f t="shared" ref="B111:M111" si="47">SUM(B112)</f>
        <v>0</v>
      </c>
      <c r="C111" s="6">
        <f t="shared" si="47"/>
        <v>0</v>
      </c>
      <c r="D111" s="6">
        <f t="shared" si="47"/>
        <v>0</v>
      </c>
      <c r="E111" s="6">
        <f t="shared" si="47"/>
        <v>0</v>
      </c>
      <c r="F111" s="6">
        <f t="shared" si="47"/>
        <v>0</v>
      </c>
      <c r="G111" s="6">
        <f t="shared" si="47"/>
        <v>0</v>
      </c>
      <c r="H111" s="6">
        <f t="shared" si="47"/>
        <v>0</v>
      </c>
      <c r="I111" s="6">
        <f t="shared" si="47"/>
        <v>0</v>
      </c>
      <c r="J111" s="6">
        <f t="shared" si="47"/>
        <v>0</v>
      </c>
      <c r="K111" s="6">
        <f t="shared" si="47"/>
        <v>0</v>
      </c>
      <c r="L111" s="6">
        <f t="shared" si="47"/>
        <v>0</v>
      </c>
      <c r="M111" s="6">
        <f t="shared" si="47"/>
        <v>0</v>
      </c>
      <c r="N111" s="6">
        <f>B111+C111+D111+E111+F111+G111+H111+I111+J111+K111+L111+M111</f>
        <v>0</v>
      </c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1.25" customHeight="1">
      <c r="A112" s="1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0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1.25" customHeight="1">
      <c r="A113" s="54" t="s">
        <v>192</v>
      </c>
      <c r="B113" s="55">
        <f t="shared" ref="B113:N113" si="48">B109-B111</f>
        <v>0</v>
      </c>
      <c r="C113" s="55">
        <f t="shared" si="48"/>
        <v>0</v>
      </c>
      <c r="D113" s="55">
        <f t="shared" si="48"/>
        <v>0</v>
      </c>
      <c r="E113" s="55">
        <f t="shared" si="48"/>
        <v>0</v>
      </c>
      <c r="F113" s="55">
        <f t="shared" si="48"/>
        <v>0</v>
      </c>
      <c r="G113" s="55">
        <f t="shared" si="48"/>
        <v>0</v>
      </c>
      <c r="H113" s="55">
        <f t="shared" si="48"/>
        <v>0</v>
      </c>
      <c r="I113" s="55">
        <f t="shared" si="48"/>
        <v>0</v>
      </c>
      <c r="J113" s="55">
        <f t="shared" si="48"/>
        <v>0</v>
      </c>
      <c r="K113" s="55">
        <f t="shared" si="48"/>
        <v>0</v>
      </c>
      <c r="L113" s="55">
        <f t="shared" si="48"/>
        <v>0</v>
      </c>
      <c r="M113" s="55">
        <f t="shared" si="48"/>
        <v>0</v>
      </c>
      <c r="N113" s="55">
        <f t="shared" si="48"/>
        <v>0</v>
      </c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1.25" customHeight="1">
      <c r="A114" s="57" t="s">
        <v>156</v>
      </c>
      <c r="B114" s="58">
        <f t="shared" ref="B114:N114" si="49">IF(B113=0,0,B113/B109)</f>
        <v>0</v>
      </c>
      <c r="C114" s="58">
        <f t="shared" si="49"/>
        <v>0</v>
      </c>
      <c r="D114" s="58">
        <f t="shared" si="49"/>
        <v>0</v>
      </c>
      <c r="E114" s="58">
        <f t="shared" si="49"/>
        <v>0</v>
      </c>
      <c r="F114" s="58">
        <f t="shared" si="49"/>
        <v>0</v>
      </c>
      <c r="G114" s="58">
        <f t="shared" si="49"/>
        <v>0</v>
      </c>
      <c r="H114" s="58">
        <f t="shared" si="49"/>
        <v>0</v>
      </c>
      <c r="I114" s="58">
        <f t="shared" si="49"/>
        <v>0</v>
      </c>
      <c r="J114" s="58">
        <f t="shared" si="49"/>
        <v>0</v>
      </c>
      <c r="K114" s="58">
        <f t="shared" si="49"/>
        <v>0</v>
      </c>
      <c r="L114" s="58">
        <f t="shared" si="49"/>
        <v>0</v>
      </c>
      <c r="M114" s="58">
        <f t="shared" si="49"/>
        <v>0</v>
      </c>
      <c r="N114" s="58">
        <f t="shared" si="49"/>
        <v>0</v>
      </c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1.25" customHeight="1">
      <c r="A115" s="4" t="s">
        <v>148</v>
      </c>
      <c r="B115" s="6">
        <f t="shared" ref="B115:M115" si="50">SUM(B116:B119)</f>
        <v>0</v>
      </c>
      <c r="C115" s="6">
        <f t="shared" si="50"/>
        <v>0</v>
      </c>
      <c r="D115" s="6">
        <f t="shared" si="50"/>
        <v>0</v>
      </c>
      <c r="E115" s="6">
        <f t="shared" si="50"/>
        <v>0</v>
      </c>
      <c r="F115" s="6">
        <f t="shared" si="50"/>
        <v>0</v>
      </c>
      <c r="G115" s="6">
        <f t="shared" si="50"/>
        <v>0</v>
      </c>
      <c r="H115" s="6">
        <f t="shared" si="50"/>
        <v>0</v>
      </c>
      <c r="I115" s="6">
        <f t="shared" si="50"/>
        <v>0</v>
      </c>
      <c r="J115" s="6">
        <f t="shared" si="50"/>
        <v>0</v>
      </c>
      <c r="K115" s="6">
        <f t="shared" si="50"/>
        <v>0</v>
      </c>
      <c r="L115" s="6">
        <f t="shared" si="50"/>
        <v>0</v>
      </c>
      <c r="M115" s="6">
        <f t="shared" si="50"/>
        <v>0</v>
      </c>
      <c r="N115" s="6">
        <f t="shared" ref="N115:N123" si="51">B115+C115+D115+E115+F115+G115+H115+I115+J115+K115+L115+M115</f>
        <v>0</v>
      </c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1.25" customHeight="1">
      <c r="A116" s="11" t="s">
        <v>193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2">
        <f t="shared" si="51"/>
        <v>0</v>
      </c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1.25" customHeight="1">
      <c r="A117" s="11" t="s">
        <v>194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2">
        <f t="shared" si="51"/>
        <v>0</v>
      </c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1.25" customHeight="1">
      <c r="A118" s="11" t="s">
        <v>195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2">
        <f t="shared" si="51"/>
        <v>0</v>
      </c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1.25" customHeight="1">
      <c r="A119" s="11" t="s">
        <v>196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2">
        <f t="shared" si="51"/>
        <v>0</v>
      </c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1.25" customHeight="1">
      <c r="A120" s="4" t="s">
        <v>151</v>
      </c>
      <c r="B120" s="6">
        <f t="shared" ref="B120:M120" si="52">SUM(B121:B122)</f>
        <v>0</v>
      </c>
      <c r="C120" s="6">
        <f t="shared" si="52"/>
        <v>0</v>
      </c>
      <c r="D120" s="6">
        <f t="shared" si="52"/>
        <v>0</v>
      </c>
      <c r="E120" s="6">
        <f t="shared" si="52"/>
        <v>0</v>
      </c>
      <c r="F120" s="6">
        <f t="shared" si="52"/>
        <v>0</v>
      </c>
      <c r="G120" s="6">
        <f t="shared" si="52"/>
        <v>0</v>
      </c>
      <c r="H120" s="6">
        <f t="shared" si="52"/>
        <v>0</v>
      </c>
      <c r="I120" s="6">
        <f t="shared" si="52"/>
        <v>0</v>
      </c>
      <c r="J120" s="6">
        <f t="shared" si="52"/>
        <v>0</v>
      </c>
      <c r="K120" s="6">
        <f t="shared" si="52"/>
        <v>0</v>
      </c>
      <c r="L120" s="6">
        <f t="shared" si="52"/>
        <v>0</v>
      </c>
      <c r="M120" s="6">
        <f t="shared" si="52"/>
        <v>0</v>
      </c>
      <c r="N120" s="6">
        <f t="shared" si="51"/>
        <v>0</v>
      </c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1.25" customHeight="1">
      <c r="A121" s="11" t="s">
        <v>197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2">
        <f t="shared" si="51"/>
        <v>0</v>
      </c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1.25" customHeight="1">
      <c r="A122" s="11" t="s">
        <v>194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2">
        <f t="shared" si="51"/>
        <v>0</v>
      </c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1.25" customHeight="1">
      <c r="A123" s="54" t="s">
        <v>198</v>
      </c>
      <c r="B123" s="55">
        <f t="shared" ref="B123:M123" si="53">B115-B120</f>
        <v>0</v>
      </c>
      <c r="C123" s="55">
        <f t="shared" si="53"/>
        <v>0</v>
      </c>
      <c r="D123" s="55">
        <f t="shared" si="53"/>
        <v>0</v>
      </c>
      <c r="E123" s="55">
        <f t="shared" si="53"/>
        <v>0</v>
      </c>
      <c r="F123" s="55">
        <f t="shared" si="53"/>
        <v>0</v>
      </c>
      <c r="G123" s="55">
        <f t="shared" si="53"/>
        <v>0</v>
      </c>
      <c r="H123" s="55">
        <f t="shared" si="53"/>
        <v>0</v>
      </c>
      <c r="I123" s="55">
        <f t="shared" si="53"/>
        <v>0</v>
      </c>
      <c r="J123" s="55">
        <f t="shared" si="53"/>
        <v>0</v>
      </c>
      <c r="K123" s="55">
        <f t="shared" si="53"/>
        <v>0</v>
      </c>
      <c r="L123" s="55">
        <f t="shared" si="53"/>
        <v>0</v>
      </c>
      <c r="M123" s="55">
        <f t="shared" si="53"/>
        <v>0</v>
      </c>
      <c r="N123" s="55">
        <f t="shared" si="51"/>
        <v>0</v>
      </c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1.25" customHeight="1">
      <c r="A124" s="57" t="s">
        <v>156</v>
      </c>
      <c r="B124" s="58">
        <f t="shared" ref="B124:N124" si="54">IF(B123=0,0,B123/B115)</f>
        <v>0</v>
      </c>
      <c r="C124" s="58">
        <f t="shared" si="54"/>
        <v>0</v>
      </c>
      <c r="D124" s="58">
        <f t="shared" si="54"/>
        <v>0</v>
      </c>
      <c r="E124" s="58">
        <f t="shared" si="54"/>
        <v>0</v>
      </c>
      <c r="F124" s="58">
        <f t="shared" si="54"/>
        <v>0</v>
      </c>
      <c r="G124" s="58">
        <f t="shared" si="54"/>
        <v>0</v>
      </c>
      <c r="H124" s="58">
        <f t="shared" si="54"/>
        <v>0</v>
      </c>
      <c r="I124" s="58">
        <f t="shared" si="54"/>
        <v>0</v>
      </c>
      <c r="J124" s="58">
        <f t="shared" si="54"/>
        <v>0</v>
      </c>
      <c r="K124" s="58">
        <f t="shared" si="54"/>
        <v>0</v>
      </c>
      <c r="L124" s="58">
        <f t="shared" si="54"/>
        <v>0</v>
      </c>
      <c r="M124" s="58">
        <f t="shared" si="54"/>
        <v>0</v>
      </c>
      <c r="N124" s="58">
        <f t="shared" si="54"/>
        <v>0</v>
      </c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1.25" customHeight="1">
      <c r="A125" s="4" t="s">
        <v>62</v>
      </c>
      <c r="B125" s="6">
        <f t="shared" ref="B125:M125" si="55">SUM(B126:B127)</f>
        <v>0</v>
      </c>
      <c r="C125" s="6">
        <f t="shared" si="55"/>
        <v>0</v>
      </c>
      <c r="D125" s="6">
        <f t="shared" si="55"/>
        <v>0</v>
      </c>
      <c r="E125" s="6">
        <f t="shared" si="55"/>
        <v>0</v>
      </c>
      <c r="F125" s="6">
        <f t="shared" si="55"/>
        <v>0</v>
      </c>
      <c r="G125" s="6">
        <f t="shared" si="55"/>
        <v>0</v>
      </c>
      <c r="H125" s="6">
        <f t="shared" si="55"/>
        <v>0</v>
      </c>
      <c r="I125" s="6">
        <f t="shared" si="55"/>
        <v>0</v>
      </c>
      <c r="J125" s="6">
        <f t="shared" si="55"/>
        <v>0</v>
      </c>
      <c r="K125" s="6">
        <f t="shared" si="55"/>
        <v>0</v>
      </c>
      <c r="L125" s="6">
        <f t="shared" si="55"/>
        <v>0</v>
      </c>
      <c r="M125" s="6">
        <f t="shared" si="55"/>
        <v>0</v>
      </c>
      <c r="N125" s="6">
        <f t="shared" ref="N125:N128" si="56">B125+C125+D125+E125+F125+G125+H125+I125+J125+K125+L125+M125</f>
        <v>0</v>
      </c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1.25" customHeight="1">
      <c r="A126" s="11" t="s">
        <v>65</v>
      </c>
      <c r="B126" s="59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>
        <f t="shared" si="56"/>
        <v>0</v>
      </c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1.25" customHeight="1">
      <c r="A127" s="11" t="s">
        <v>67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>
        <f t="shared" si="56"/>
        <v>0</v>
      </c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1.25" customHeight="1">
      <c r="A128" s="54" t="s">
        <v>152</v>
      </c>
      <c r="B128" s="60">
        <f t="shared" ref="B128:M128" si="57">B93+B100+B107+B113+B123-B125</f>
        <v>0</v>
      </c>
      <c r="C128" s="55">
        <f t="shared" si="57"/>
        <v>0</v>
      </c>
      <c r="D128" s="55">
        <f t="shared" si="57"/>
        <v>0</v>
      </c>
      <c r="E128" s="55">
        <f t="shared" si="57"/>
        <v>0</v>
      </c>
      <c r="F128" s="55">
        <f t="shared" si="57"/>
        <v>0</v>
      </c>
      <c r="G128" s="55">
        <f t="shared" si="57"/>
        <v>0</v>
      </c>
      <c r="H128" s="55">
        <f t="shared" si="57"/>
        <v>0</v>
      </c>
      <c r="I128" s="55">
        <f t="shared" si="57"/>
        <v>0</v>
      </c>
      <c r="J128" s="55">
        <f t="shared" si="57"/>
        <v>0</v>
      </c>
      <c r="K128" s="55">
        <f t="shared" si="57"/>
        <v>0</v>
      </c>
      <c r="L128" s="55">
        <f t="shared" si="57"/>
        <v>0</v>
      </c>
      <c r="M128" s="55">
        <f t="shared" si="57"/>
        <v>0</v>
      </c>
      <c r="N128" s="55">
        <f t="shared" si="56"/>
        <v>0</v>
      </c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1.25" customHeight="1">
      <c r="A129" s="57" t="s">
        <v>156</v>
      </c>
      <c r="B129" s="58" t="str">
        <f t="shared" ref="B129:N129" si="58">B128/SUM(B115+B109+B102+B95+B3)</f>
        <v>#DIV/0!</v>
      </c>
      <c r="C129" s="58" t="str">
        <f t="shared" si="58"/>
        <v>#DIV/0!</v>
      </c>
      <c r="D129" s="58" t="str">
        <f t="shared" si="58"/>
        <v>#DIV/0!</v>
      </c>
      <c r="E129" s="58" t="str">
        <f t="shared" si="58"/>
        <v>#DIV/0!</v>
      </c>
      <c r="F129" s="58" t="str">
        <f t="shared" si="58"/>
        <v>#DIV/0!</v>
      </c>
      <c r="G129" s="58" t="str">
        <f t="shared" si="58"/>
        <v>#DIV/0!</v>
      </c>
      <c r="H129" s="58" t="str">
        <f t="shared" si="58"/>
        <v>#DIV/0!</v>
      </c>
      <c r="I129" s="58" t="str">
        <f t="shared" si="58"/>
        <v>#DIV/0!</v>
      </c>
      <c r="J129" s="58" t="str">
        <f t="shared" si="58"/>
        <v>#DIV/0!</v>
      </c>
      <c r="K129" s="58" t="str">
        <f t="shared" si="58"/>
        <v>#DIV/0!</v>
      </c>
      <c r="L129" s="58" t="str">
        <f t="shared" si="58"/>
        <v>#DIV/0!</v>
      </c>
      <c r="M129" s="58" t="str">
        <f t="shared" si="58"/>
        <v>#DIV/0!</v>
      </c>
      <c r="N129" s="61" t="str">
        <f t="shared" si="58"/>
        <v>#DIV/0!</v>
      </c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1.25" customHeight="1">
      <c r="A130" s="4" t="s">
        <v>153</v>
      </c>
      <c r="B130" s="6">
        <f t="shared" ref="B130:M130" si="59">SUM(B131)</f>
        <v>0</v>
      </c>
      <c r="C130" s="6">
        <f t="shared" si="59"/>
        <v>0</v>
      </c>
      <c r="D130" s="6">
        <f t="shared" si="59"/>
        <v>0</v>
      </c>
      <c r="E130" s="6">
        <f t="shared" si="59"/>
        <v>0</v>
      </c>
      <c r="F130" s="6">
        <f t="shared" si="59"/>
        <v>0</v>
      </c>
      <c r="G130" s="6">
        <f t="shared" si="59"/>
        <v>0</v>
      </c>
      <c r="H130" s="6">
        <f t="shared" si="59"/>
        <v>0</v>
      </c>
      <c r="I130" s="6">
        <f t="shared" si="59"/>
        <v>0</v>
      </c>
      <c r="J130" s="6">
        <f t="shared" si="59"/>
        <v>0</v>
      </c>
      <c r="K130" s="6">
        <f t="shared" si="59"/>
        <v>0</v>
      </c>
      <c r="L130" s="6">
        <f t="shared" si="59"/>
        <v>0</v>
      </c>
      <c r="M130" s="6">
        <f t="shared" si="59"/>
        <v>0</v>
      </c>
      <c r="N130" s="6">
        <f t="shared" ref="N130:N132" si="60">B130+C130+D130+E130+F130+G130+H130+I130+J130+K130+L130+M130</f>
        <v>0</v>
      </c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1.25" customHeight="1">
      <c r="A131" s="11" t="s">
        <v>154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2">
        <f t="shared" si="60"/>
        <v>0</v>
      </c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1.25" customHeight="1">
      <c r="A132" s="54" t="s">
        <v>155</v>
      </c>
      <c r="B132" s="55">
        <f t="shared" ref="B132:M132" si="61">B128-B130</f>
        <v>0</v>
      </c>
      <c r="C132" s="55">
        <f t="shared" si="61"/>
        <v>0</v>
      </c>
      <c r="D132" s="55">
        <f t="shared" si="61"/>
        <v>0</v>
      </c>
      <c r="E132" s="55">
        <f t="shared" si="61"/>
        <v>0</v>
      </c>
      <c r="F132" s="55">
        <f t="shared" si="61"/>
        <v>0</v>
      </c>
      <c r="G132" s="55">
        <f t="shared" si="61"/>
        <v>0</v>
      </c>
      <c r="H132" s="55">
        <f t="shared" si="61"/>
        <v>0</v>
      </c>
      <c r="I132" s="55">
        <f t="shared" si="61"/>
        <v>0</v>
      </c>
      <c r="J132" s="55">
        <f t="shared" si="61"/>
        <v>0</v>
      </c>
      <c r="K132" s="55">
        <f t="shared" si="61"/>
        <v>0</v>
      </c>
      <c r="L132" s="55">
        <f t="shared" si="61"/>
        <v>0</v>
      </c>
      <c r="M132" s="55">
        <f t="shared" si="61"/>
        <v>0</v>
      </c>
      <c r="N132" s="62">
        <f t="shared" si="60"/>
        <v>0</v>
      </c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1.25" customHeight="1">
      <c r="A133" s="57" t="s">
        <v>156</v>
      </c>
      <c r="B133" s="58" t="str">
        <f t="shared" ref="B133:N133" si="62">B132/SUM(B115+B109+B102+B95+B3)</f>
        <v>#DIV/0!</v>
      </c>
      <c r="C133" s="58" t="str">
        <f t="shared" si="62"/>
        <v>#DIV/0!</v>
      </c>
      <c r="D133" s="58" t="str">
        <f t="shared" si="62"/>
        <v>#DIV/0!</v>
      </c>
      <c r="E133" s="58" t="str">
        <f t="shared" si="62"/>
        <v>#DIV/0!</v>
      </c>
      <c r="F133" s="58" t="str">
        <f t="shared" si="62"/>
        <v>#DIV/0!</v>
      </c>
      <c r="G133" s="58" t="str">
        <f t="shared" si="62"/>
        <v>#DIV/0!</v>
      </c>
      <c r="H133" s="58" t="str">
        <f t="shared" si="62"/>
        <v>#DIV/0!</v>
      </c>
      <c r="I133" s="58" t="str">
        <f t="shared" si="62"/>
        <v>#DIV/0!</v>
      </c>
      <c r="J133" s="58" t="str">
        <f t="shared" si="62"/>
        <v>#DIV/0!</v>
      </c>
      <c r="K133" s="58" t="str">
        <f t="shared" si="62"/>
        <v>#DIV/0!</v>
      </c>
      <c r="L133" s="58" t="str">
        <f t="shared" si="62"/>
        <v>#DIV/0!</v>
      </c>
      <c r="M133" s="58" t="str">
        <f t="shared" si="62"/>
        <v>#DIV/0!</v>
      </c>
      <c r="N133" s="61" t="str">
        <f t="shared" si="62"/>
        <v>#DIV/0!</v>
      </c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1.25" customHeight="1">
      <c r="A134" s="4" t="s">
        <v>157</v>
      </c>
      <c r="B134" s="6">
        <f t="shared" ref="B134:M134" si="63">B135</f>
        <v>0</v>
      </c>
      <c r="C134" s="6">
        <f t="shared" si="63"/>
        <v>0</v>
      </c>
      <c r="D134" s="6">
        <f t="shared" si="63"/>
        <v>0</v>
      </c>
      <c r="E134" s="6">
        <f t="shared" si="63"/>
        <v>0</v>
      </c>
      <c r="F134" s="6">
        <f t="shared" si="63"/>
        <v>0</v>
      </c>
      <c r="G134" s="6">
        <f t="shared" si="63"/>
        <v>0</v>
      </c>
      <c r="H134" s="6">
        <f t="shared" si="63"/>
        <v>0</v>
      </c>
      <c r="I134" s="6">
        <f t="shared" si="63"/>
        <v>0</v>
      </c>
      <c r="J134" s="6">
        <f t="shared" si="63"/>
        <v>0</v>
      </c>
      <c r="K134" s="6">
        <f t="shared" si="63"/>
        <v>0</v>
      </c>
      <c r="L134" s="6">
        <f t="shared" si="63"/>
        <v>0</v>
      </c>
      <c r="M134" s="6">
        <f t="shared" si="63"/>
        <v>0</v>
      </c>
      <c r="N134" s="6">
        <f t="shared" ref="N134:N136" si="65">B134+C134+D134+E134+F134+G134+H134+I134+J134+K134+L134+M134</f>
        <v>0</v>
      </c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1.25" customHeight="1">
      <c r="A135" s="11" t="s">
        <v>158</v>
      </c>
      <c r="B135" s="12">
        <f t="shared" ref="B135:M135" si="64">B3*5%</f>
        <v>0</v>
      </c>
      <c r="C135" s="12">
        <f t="shared" si="64"/>
        <v>0</v>
      </c>
      <c r="D135" s="12">
        <f t="shared" si="64"/>
        <v>0</v>
      </c>
      <c r="E135" s="12">
        <f t="shared" si="64"/>
        <v>0</v>
      </c>
      <c r="F135" s="12">
        <f t="shared" si="64"/>
        <v>0</v>
      </c>
      <c r="G135" s="12">
        <f t="shared" si="64"/>
        <v>0</v>
      </c>
      <c r="H135" s="12">
        <f t="shared" si="64"/>
        <v>0</v>
      </c>
      <c r="I135" s="12">
        <f t="shared" si="64"/>
        <v>0</v>
      </c>
      <c r="J135" s="12">
        <f t="shared" si="64"/>
        <v>0</v>
      </c>
      <c r="K135" s="12">
        <f t="shared" si="64"/>
        <v>0</v>
      </c>
      <c r="L135" s="12">
        <f t="shared" si="64"/>
        <v>0</v>
      </c>
      <c r="M135" s="12">
        <f t="shared" si="64"/>
        <v>0</v>
      </c>
      <c r="N135" s="12">
        <f t="shared" si="65"/>
        <v>0</v>
      </c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1.25" customHeight="1">
      <c r="A136" s="54" t="s">
        <v>118</v>
      </c>
      <c r="B136" s="55">
        <f t="shared" ref="B136:M136" si="66">B132-B134</f>
        <v>0</v>
      </c>
      <c r="C136" s="55">
        <f t="shared" si="66"/>
        <v>0</v>
      </c>
      <c r="D136" s="55">
        <f t="shared" si="66"/>
        <v>0</v>
      </c>
      <c r="E136" s="55">
        <f t="shared" si="66"/>
        <v>0</v>
      </c>
      <c r="F136" s="55">
        <f t="shared" si="66"/>
        <v>0</v>
      </c>
      <c r="G136" s="55">
        <f t="shared" si="66"/>
        <v>0</v>
      </c>
      <c r="H136" s="55">
        <f t="shared" si="66"/>
        <v>0</v>
      </c>
      <c r="I136" s="55">
        <f t="shared" si="66"/>
        <v>0</v>
      </c>
      <c r="J136" s="55">
        <f t="shared" si="66"/>
        <v>0</v>
      </c>
      <c r="K136" s="55">
        <f t="shared" si="66"/>
        <v>0</v>
      </c>
      <c r="L136" s="55">
        <f t="shared" si="66"/>
        <v>0</v>
      </c>
      <c r="M136" s="55">
        <f t="shared" si="66"/>
        <v>0</v>
      </c>
      <c r="N136" s="55">
        <f t="shared" si="65"/>
        <v>0</v>
      </c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1.25" customHeight="1">
      <c r="A137" s="63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1.25" customHeight="1">
      <c r="A138" s="65"/>
      <c r="B138" s="66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</sheetData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 outlineLevelRow="2"/>
  <cols>
    <col customWidth="1" min="1" max="1" width="47.0"/>
    <col customWidth="1" min="2" max="13" width="15.29"/>
    <col customWidth="1" min="14" max="14" width="20.14"/>
    <col customWidth="1" min="15" max="16" width="9.14"/>
    <col customWidth="1" min="17" max="26" width="8.71"/>
  </cols>
  <sheetData>
    <row r="1" ht="11.25" customHeight="1">
      <c r="A1" s="45" t="s">
        <v>199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3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31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68" t="s">
        <v>200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70" t="s">
        <v>201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 outlineLevel="1">
      <c r="A5" s="56" t="s">
        <v>202</v>
      </c>
      <c r="B5" s="72"/>
      <c r="C5" s="72"/>
      <c r="D5" s="72"/>
      <c r="E5" s="72"/>
      <c r="F5" s="72"/>
      <c r="G5" s="72"/>
      <c r="H5" s="56"/>
      <c r="I5" s="56"/>
      <c r="J5" s="56"/>
      <c r="K5" s="56"/>
      <c r="L5" s="56"/>
      <c r="M5" s="56"/>
      <c r="N5" s="5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 outlineLevel="2">
      <c r="A6" s="73" t="s">
        <v>203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5">
        <f t="shared" ref="N6:N25" si="1">SUM(B6,C6,D6,E6,F6,G6,H6,I6,J6,K6,L6,M6)</f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 outlineLevel="2">
      <c r="A7" s="73" t="s">
        <v>204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5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 outlineLevel="2">
      <c r="A8" s="73" t="s">
        <v>205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5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 outlineLevel="2">
      <c r="A9" s="73" t="s">
        <v>206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5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 outlineLevel="2">
      <c r="A10" s="73" t="s">
        <v>207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5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 outlineLevel="2">
      <c r="A11" s="73" t="s">
        <v>208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5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 outlineLevel="2">
      <c r="A12" s="11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5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 outlineLevel="2">
      <c r="A13" s="11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5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2">
      <c r="A14" s="11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5">
        <f t="shared" si="1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outlineLevel="2">
      <c r="A15" s="11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5">
        <f t="shared" si="1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outlineLevel="2">
      <c r="A16" s="11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5">
        <f t="shared" si="1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2">
      <c r="A17" s="11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5">
        <f t="shared" si="1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outlineLevel="2">
      <c r="A18" s="11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5">
        <f t="shared" si="1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 outlineLevel="2">
      <c r="A19" s="11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5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 outlineLevel="2">
      <c r="A20" s="11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5">
        <f t="shared" si="1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 outlineLevel="2">
      <c r="A21" s="11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5">
        <f t="shared" si="1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 outlineLevel="2">
      <c r="A22" s="11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5">
        <f t="shared" si="1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 outlineLevel="2">
      <c r="A23" s="11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5">
        <f t="shared" si="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 outlineLevel="2">
      <c r="A24" s="11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5">
        <f t="shared" si="1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 outlineLevel="2">
      <c r="A25" s="11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5">
        <f t="shared" si="1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 outlineLevel="1">
      <c r="A26" s="76" t="s">
        <v>209</v>
      </c>
      <c r="B26" s="77">
        <f t="shared" ref="B26:N26" si="2">SUM(B6:B24)</f>
        <v>0</v>
      </c>
      <c r="C26" s="77">
        <f t="shared" si="2"/>
        <v>0</v>
      </c>
      <c r="D26" s="77">
        <f t="shared" si="2"/>
        <v>0</v>
      </c>
      <c r="E26" s="77">
        <f t="shared" si="2"/>
        <v>0</v>
      </c>
      <c r="F26" s="77">
        <f t="shared" si="2"/>
        <v>0</v>
      </c>
      <c r="G26" s="77">
        <f t="shared" si="2"/>
        <v>0</v>
      </c>
      <c r="H26" s="77">
        <f t="shared" si="2"/>
        <v>0</v>
      </c>
      <c r="I26" s="77">
        <f t="shared" si="2"/>
        <v>0</v>
      </c>
      <c r="J26" s="77">
        <f t="shared" si="2"/>
        <v>0</v>
      </c>
      <c r="K26" s="77">
        <f t="shared" si="2"/>
        <v>0</v>
      </c>
      <c r="L26" s="77">
        <f t="shared" si="2"/>
        <v>0</v>
      </c>
      <c r="M26" s="77">
        <f t="shared" si="2"/>
        <v>0</v>
      </c>
      <c r="N26" s="77">
        <f t="shared" si="2"/>
        <v>0</v>
      </c>
      <c r="O26" s="2"/>
      <c r="P26" s="1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 outlineLevel="1">
      <c r="A27" s="78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 outlineLevel="1">
      <c r="A28" s="56" t="s">
        <v>210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 outlineLevel="2">
      <c r="A29" s="73" t="s">
        <v>203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8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 outlineLevel="2">
      <c r="A30" s="73" t="s">
        <v>204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5">
        <f t="shared" ref="N30:N48" si="3">SUM(B30,C30,D30,E30,F30,G30,H30,I30,J30,K30,L30,M30)</f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 outlineLevel="2">
      <c r="A31" s="73" t="s">
        <v>205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5">
        <f t="shared" si="3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 outlineLevel="2">
      <c r="A32" s="73" t="s">
        <v>206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5">
        <f t="shared" si="3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 outlineLevel="2">
      <c r="A33" s="73" t="s">
        <v>207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5">
        <f t="shared" si="3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 outlineLevel="2">
      <c r="A34" s="73" t="s">
        <v>208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5">
        <f t="shared" si="3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 outlineLevel="2">
      <c r="A35" s="11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5">
        <f t="shared" si="3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 outlineLevel="2">
      <c r="A36" s="11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5">
        <f t="shared" si="3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 outlineLevel="2">
      <c r="A37" s="11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5">
        <f t="shared" si="3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 outlineLevel="2">
      <c r="A38" s="11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5">
        <f t="shared" si="3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 outlineLevel="2">
      <c r="A39" s="11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5">
        <f t="shared" si="3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 outlineLevel="2">
      <c r="A40" s="11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5">
        <f t="shared" si="3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 outlineLevel="2">
      <c r="A41" s="11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5">
        <f t="shared" si="3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 outlineLevel="2">
      <c r="A42" s="11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>
        <f t="shared" si="3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 outlineLevel="2">
      <c r="A43" s="11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>
        <f t="shared" si="3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 outlineLevel="2">
      <c r="A44" s="11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>
        <f t="shared" si="3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 outlineLevel="2">
      <c r="A45" s="11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>
        <f t="shared" si="3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 outlineLevel="2">
      <c r="A46" s="11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>
        <f t="shared" si="3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 outlineLevel="2">
      <c r="A47" s="11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>
        <f t="shared" si="3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 outlineLevel="2">
      <c r="A48" s="11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5">
        <f t="shared" si="3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 outlineLevel="2">
      <c r="A49" s="76" t="s">
        <v>211</v>
      </c>
      <c r="B49" s="77">
        <f t="shared" ref="B49:N49" si="4">SUM(B29:B47)</f>
        <v>0</v>
      </c>
      <c r="C49" s="77">
        <f t="shared" si="4"/>
        <v>0</v>
      </c>
      <c r="D49" s="77">
        <f t="shared" si="4"/>
        <v>0</v>
      </c>
      <c r="E49" s="77">
        <f t="shared" si="4"/>
        <v>0</v>
      </c>
      <c r="F49" s="77">
        <f t="shared" si="4"/>
        <v>0</v>
      </c>
      <c r="G49" s="77">
        <f t="shared" si="4"/>
        <v>0</v>
      </c>
      <c r="H49" s="77">
        <f t="shared" si="4"/>
        <v>0</v>
      </c>
      <c r="I49" s="77">
        <f t="shared" si="4"/>
        <v>0</v>
      </c>
      <c r="J49" s="77">
        <f t="shared" si="4"/>
        <v>0</v>
      </c>
      <c r="K49" s="77">
        <f t="shared" si="4"/>
        <v>0</v>
      </c>
      <c r="L49" s="77">
        <f t="shared" si="4"/>
        <v>0</v>
      </c>
      <c r="M49" s="77">
        <f t="shared" si="4"/>
        <v>0</v>
      </c>
      <c r="N49" s="77">
        <f t="shared" si="4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56" t="s">
        <v>212</v>
      </c>
      <c r="B50" s="75">
        <f t="shared" ref="B50:N50" si="5">B26+B49</f>
        <v>0</v>
      </c>
      <c r="C50" s="75">
        <f t="shared" si="5"/>
        <v>0</v>
      </c>
      <c r="D50" s="75">
        <f t="shared" si="5"/>
        <v>0</v>
      </c>
      <c r="E50" s="75">
        <f t="shared" si="5"/>
        <v>0</v>
      </c>
      <c r="F50" s="75">
        <f t="shared" si="5"/>
        <v>0</v>
      </c>
      <c r="G50" s="75">
        <f t="shared" si="5"/>
        <v>0</v>
      </c>
      <c r="H50" s="75">
        <f t="shared" si="5"/>
        <v>0</v>
      </c>
      <c r="I50" s="75">
        <f t="shared" si="5"/>
        <v>0</v>
      </c>
      <c r="J50" s="75">
        <f t="shared" si="5"/>
        <v>0</v>
      </c>
      <c r="K50" s="75">
        <f t="shared" si="5"/>
        <v>0</v>
      </c>
      <c r="L50" s="75">
        <f t="shared" si="5"/>
        <v>0</v>
      </c>
      <c r="M50" s="75">
        <f t="shared" si="5"/>
        <v>0</v>
      </c>
      <c r="N50" s="75">
        <f t="shared" si="5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 outlineLevel="1">
      <c r="A51" s="78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70" t="s">
        <v>213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 outlineLevel="1">
      <c r="A53" s="56" t="s">
        <v>202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 outlineLevel="2">
      <c r="A54" s="73" t="s">
        <v>203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80" t="str">
        <f t="shared" ref="N54:N73" si="6">IFERROR(AVERAGE(B54,C54,D54,E54,F54,I54,G54,H54,J54,K54,L54,M54),)</f>
        <v/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 outlineLevel="2">
      <c r="A55" s="73" t="s">
        <v>204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80" t="str">
        <f t="shared" si="6"/>
        <v/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 outlineLevel="2">
      <c r="A56" s="73" t="s">
        <v>205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80" t="str">
        <f t="shared" si="6"/>
        <v/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 outlineLevel="2">
      <c r="A57" s="73" t="s">
        <v>206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80" t="str">
        <f t="shared" si="6"/>
        <v/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 outlineLevel="2">
      <c r="A58" s="73" t="s">
        <v>207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80" t="str">
        <f t="shared" si="6"/>
        <v/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 outlineLevel="2">
      <c r="A59" s="73" t="s">
        <v>208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80" t="str">
        <f t="shared" si="6"/>
        <v/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 outlineLevel="2">
      <c r="A60" s="11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80" t="str">
        <f t="shared" si="6"/>
        <v/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 outlineLevel="2">
      <c r="A61" s="11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80" t="str">
        <f t="shared" si="6"/>
        <v/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 outlineLevel="2">
      <c r="A62" s="11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80" t="str">
        <f t="shared" si="6"/>
        <v/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 outlineLevel="2">
      <c r="A63" s="11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80" t="str">
        <f t="shared" si="6"/>
        <v/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 outlineLevel="2">
      <c r="A64" s="11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80" t="str">
        <f t="shared" si="6"/>
        <v/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 outlineLevel="2">
      <c r="A65" s="11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80" t="str">
        <f t="shared" si="6"/>
        <v/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 outlineLevel="2">
      <c r="A66" s="11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80" t="str">
        <f t="shared" si="6"/>
        <v/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 outlineLevel="2">
      <c r="A67" s="11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80" t="str">
        <f t="shared" si="6"/>
        <v/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 outlineLevel="2">
      <c r="A68" s="11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80" t="str">
        <f t="shared" si="6"/>
        <v/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 outlineLevel="2">
      <c r="A69" s="11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80" t="str">
        <f t="shared" si="6"/>
        <v/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 outlineLevel="2">
      <c r="A70" s="11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80" t="str">
        <f t="shared" si="6"/>
        <v/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 outlineLevel="2">
      <c r="A71" s="11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80" t="str">
        <f t="shared" si="6"/>
        <v/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 outlineLevel="2">
      <c r="A72" s="11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80" t="str">
        <f t="shared" si="6"/>
        <v/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 outlineLevel="2">
      <c r="A73" s="11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80" t="str">
        <f t="shared" si="6"/>
        <v/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 outlineLevel="1">
      <c r="A74" s="56" t="s">
        <v>210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hidden="1" customHeight="1" outlineLevel="2">
      <c r="A75" s="73" t="s">
        <v>203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80" t="str">
        <f t="shared" ref="N75:N94" si="7">IFERROR(AVERAGE(B75,C75,D75,E75,F75,I75,G75,H75,J75,K75,L75,M75),)</f>
        <v/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hidden="1" customHeight="1" outlineLevel="2">
      <c r="A76" s="73" t="s">
        <v>204</v>
      </c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80" t="str">
        <f t="shared" si="7"/>
        <v/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hidden="1" customHeight="1" outlineLevel="2">
      <c r="A77" s="73" t="s">
        <v>205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80" t="str">
        <f t="shared" si="7"/>
        <v/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hidden="1" customHeight="1" outlineLevel="2">
      <c r="A78" s="73" t="s">
        <v>206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80" t="str">
        <f t="shared" si="7"/>
        <v/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hidden="1" customHeight="1" outlineLevel="2">
      <c r="A79" s="73" t="s">
        <v>207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80" t="str">
        <f t="shared" si="7"/>
        <v/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hidden="1" customHeight="1" outlineLevel="2">
      <c r="A80" s="73" t="s">
        <v>208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80" t="str">
        <f t="shared" si="7"/>
        <v/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hidden="1" customHeight="1" outlineLevel="2">
      <c r="A81" s="11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80" t="str">
        <f t="shared" si="7"/>
        <v/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hidden="1" customHeight="1" outlineLevel="2">
      <c r="A82" s="11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80" t="str">
        <f t="shared" si="7"/>
        <v/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hidden="1" customHeight="1" outlineLevel="2">
      <c r="A83" s="11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80" t="str">
        <f t="shared" si="7"/>
        <v/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hidden="1" customHeight="1" outlineLevel="2">
      <c r="A84" s="11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80" t="str">
        <f t="shared" si="7"/>
        <v/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hidden="1" customHeight="1" outlineLevel="2">
      <c r="A85" s="11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80" t="str">
        <f t="shared" si="7"/>
        <v/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hidden="1" customHeight="1" outlineLevel="2">
      <c r="A86" s="11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80" t="str">
        <f t="shared" si="7"/>
        <v/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hidden="1" customHeight="1" outlineLevel="2">
      <c r="A87" s="11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80" t="str">
        <f t="shared" si="7"/>
        <v/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hidden="1" customHeight="1" outlineLevel="2">
      <c r="A88" s="11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80" t="str">
        <f t="shared" si="7"/>
        <v/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hidden="1" customHeight="1" outlineLevel="2">
      <c r="A89" s="11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80" t="str">
        <f t="shared" si="7"/>
        <v/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hidden="1" customHeight="1" outlineLevel="2">
      <c r="A90" s="11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80" t="str">
        <f t="shared" si="7"/>
        <v/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hidden="1" customHeight="1" outlineLevel="2">
      <c r="A91" s="11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80" t="str">
        <f t="shared" si="7"/>
        <v/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hidden="1" customHeight="1" outlineLevel="2">
      <c r="A92" s="11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80" t="str">
        <f t="shared" si="7"/>
        <v/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hidden="1" customHeight="1" outlineLevel="2">
      <c r="A93" s="11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80" t="str">
        <f t="shared" si="7"/>
        <v/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hidden="1" customHeight="1" outlineLevel="2">
      <c r="A94" s="11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80" t="str">
        <f t="shared" si="7"/>
        <v/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hidden="1" customHeight="1" outlineLevel="2">
      <c r="A95" s="11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 collapsed="1">
      <c r="A96" s="68" t="s">
        <v>214</v>
      </c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70" t="s">
        <v>215</v>
      </c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 outlineLevel="1">
      <c r="A98" s="56" t="s">
        <v>202</v>
      </c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hidden="1" customHeight="1" outlineLevel="2">
      <c r="A99" s="73" t="s">
        <v>203</v>
      </c>
      <c r="B99" s="80">
        <f t="shared" ref="B99:M99" si="8">B6*B54</f>
        <v>0</v>
      </c>
      <c r="C99" s="80">
        <f t="shared" si="8"/>
        <v>0</v>
      </c>
      <c r="D99" s="80">
        <f t="shared" si="8"/>
        <v>0</v>
      </c>
      <c r="E99" s="80">
        <f t="shared" si="8"/>
        <v>0</v>
      </c>
      <c r="F99" s="80">
        <f t="shared" si="8"/>
        <v>0</v>
      </c>
      <c r="G99" s="80">
        <f t="shared" si="8"/>
        <v>0</v>
      </c>
      <c r="H99" s="80">
        <f t="shared" si="8"/>
        <v>0</v>
      </c>
      <c r="I99" s="80">
        <f t="shared" si="8"/>
        <v>0</v>
      </c>
      <c r="J99" s="80">
        <f t="shared" si="8"/>
        <v>0</v>
      </c>
      <c r="K99" s="80">
        <f t="shared" si="8"/>
        <v>0</v>
      </c>
      <c r="L99" s="80">
        <f t="shared" si="8"/>
        <v>0</v>
      </c>
      <c r="M99" s="80">
        <f t="shared" si="8"/>
        <v>0</v>
      </c>
      <c r="N99" s="81">
        <f t="shared" ref="N99:N118" si="10">SUM(B99,C99,D99,E99,F99,G99,H99,I99,J99,K99,L99,M99)</f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hidden="1" customHeight="1" outlineLevel="2">
      <c r="A100" s="73" t="s">
        <v>204</v>
      </c>
      <c r="B100" s="80">
        <f t="shared" ref="B100:M100" si="9">B7*B55</f>
        <v>0</v>
      </c>
      <c r="C100" s="80">
        <f t="shared" si="9"/>
        <v>0</v>
      </c>
      <c r="D100" s="80">
        <f t="shared" si="9"/>
        <v>0</v>
      </c>
      <c r="E100" s="80">
        <f t="shared" si="9"/>
        <v>0</v>
      </c>
      <c r="F100" s="80">
        <f t="shared" si="9"/>
        <v>0</v>
      </c>
      <c r="G100" s="80">
        <f t="shared" si="9"/>
        <v>0</v>
      </c>
      <c r="H100" s="80">
        <f t="shared" si="9"/>
        <v>0</v>
      </c>
      <c r="I100" s="80">
        <f t="shared" si="9"/>
        <v>0</v>
      </c>
      <c r="J100" s="80">
        <f t="shared" si="9"/>
        <v>0</v>
      </c>
      <c r="K100" s="80">
        <f t="shared" si="9"/>
        <v>0</v>
      </c>
      <c r="L100" s="80">
        <f t="shared" si="9"/>
        <v>0</v>
      </c>
      <c r="M100" s="80">
        <f t="shared" si="9"/>
        <v>0</v>
      </c>
      <c r="N100" s="81">
        <f t="shared" si="10"/>
        <v>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hidden="1" customHeight="1" outlineLevel="2">
      <c r="A101" s="73" t="s">
        <v>205</v>
      </c>
      <c r="B101" s="80">
        <f t="shared" ref="B101:M101" si="11">B8*B56</f>
        <v>0</v>
      </c>
      <c r="C101" s="80">
        <f t="shared" si="11"/>
        <v>0</v>
      </c>
      <c r="D101" s="80">
        <f t="shared" si="11"/>
        <v>0</v>
      </c>
      <c r="E101" s="80">
        <f t="shared" si="11"/>
        <v>0</v>
      </c>
      <c r="F101" s="80">
        <f t="shared" si="11"/>
        <v>0</v>
      </c>
      <c r="G101" s="80">
        <f t="shared" si="11"/>
        <v>0</v>
      </c>
      <c r="H101" s="80">
        <f t="shared" si="11"/>
        <v>0</v>
      </c>
      <c r="I101" s="80">
        <f t="shared" si="11"/>
        <v>0</v>
      </c>
      <c r="J101" s="80">
        <f t="shared" si="11"/>
        <v>0</v>
      </c>
      <c r="K101" s="80">
        <f t="shared" si="11"/>
        <v>0</v>
      </c>
      <c r="L101" s="80">
        <f t="shared" si="11"/>
        <v>0</v>
      </c>
      <c r="M101" s="80">
        <f t="shared" si="11"/>
        <v>0</v>
      </c>
      <c r="N101" s="81">
        <f t="shared" si="10"/>
        <v>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hidden="1" customHeight="1" outlineLevel="2">
      <c r="A102" s="73" t="s">
        <v>206</v>
      </c>
      <c r="B102" s="80">
        <f t="shared" ref="B102:M102" si="12">B9*B57</f>
        <v>0</v>
      </c>
      <c r="C102" s="80">
        <f t="shared" si="12"/>
        <v>0</v>
      </c>
      <c r="D102" s="80">
        <f t="shared" si="12"/>
        <v>0</v>
      </c>
      <c r="E102" s="80">
        <f t="shared" si="12"/>
        <v>0</v>
      </c>
      <c r="F102" s="80">
        <f t="shared" si="12"/>
        <v>0</v>
      </c>
      <c r="G102" s="80">
        <f t="shared" si="12"/>
        <v>0</v>
      </c>
      <c r="H102" s="80">
        <f t="shared" si="12"/>
        <v>0</v>
      </c>
      <c r="I102" s="80">
        <f t="shared" si="12"/>
        <v>0</v>
      </c>
      <c r="J102" s="80">
        <f t="shared" si="12"/>
        <v>0</v>
      </c>
      <c r="K102" s="80">
        <f t="shared" si="12"/>
        <v>0</v>
      </c>
      <c r="L102" s="80">
        <f t="shared" si="12"/>
        <v>0</v>
      </c>
      <c r="M102" s="80">
        <f t="shared" si="12"/>
        <v>0</v>
      </c>
      <c r="N102" s="81">
        <f t="shared" si="10"/>
        <v>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hidden="1" customHeight="1" outlineLevel="2">
      <c r="A103" s="73" t="s">
        <v>207</v>
      </c>
      <c r="B103" s="80">
        <f t="shared" ref="B103:M103" si="13">B10*B58</f>
        <v>0</v>
      </c>
      <c r="C103" s="80">
        <f t="shared" si="13"/>
        <v>0</v>
      </c>
      <c r="D103" s="80">
        <f t="shared" si="13"/>
        <v>0</v>
      </c>
      <c r="E103" s="80">
        <f t="shared" si="13"/>
        <v>0</v>
      </c>
      <c r="F103" s="80">
        <f t="shared" si="13"/>
        <v>0</v>
      </c>
      <c r="G103" s="80">
        <f t="shared" si="13"/>
        <v>0</v>
      </c>
      <c r="H103" s="80">
        <f t="shared" si="13"/>
        <v>0</v>
      </c>
      <c r="I103" s="80">
        <f t="shared" si="13"/>
        <v>0</v>
      </c>
      <c r="J103" s="80">
        <f t="shared" si="13"/>
        <v>0</v>
      </c>
      <c r="K103" s="80">
        <f t="shared" si="13"/>
        <v>0</v>
      </c>
      <c r="L103" s="80">
        <f t="shared" si="13"/>
        <v>0</v>
      </c>
      <c r="M103" s="80">
        <f t="shared" si="13"/>
        <v>0</v>
      </c>
      <c r="N103" s="81">
        <f t="shared" si="10"/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hidden="1" customHeight="1" outlineLevel="2">
      <c r="A104" s="73" t="s">
        <v>208</v>
      </c>
      <c r="B104" s="80">
        <f t="shared" ref="B104:M104" si="14">B11*B59</f>
        <v>0</v>
      </c>
      <c r="C104" s="80">
        <f t="shared" si="14"/>
        <v>0</v>
      </c>
      <c r="D104" s="80">
        <f t="shared" si="14"/>
        <v>0</v>
      </c>
      <c r="E104" s="80">
        <f t="shared" si="14"/>
        <v>0</v>
      </c>
      <c r="F104" s="80">
        <f t="shared" si="14"/>
        <v>0</v>
      </c>
      <c r="G104" s="80">
        <f t="shared" si="14"/>
        <v>0</v>
      </c>
      <c r="H104" s="80">
        <f t="shared" si="14"/>
        <v>0</v>
      </c>
      <c r="I104" s="80">
        <f t="shared" si="14"/>
        <v>0</v>
      </c>
      <c r="J104" s="80">
        <f t="shared" si="14"/>
        <v>0</v>
      </c>
      <c r="K104" s="80">
        <f t="shared" si="14"/>
        <v>0</v>
      </c>
      <c r="L104" s="80">
        <f t="shared" si="14"/>
        <v>0</v>
      </c>
      <c r="M104" s="80">
        <f t="shared" si="14"/>
        <v>0</v>
      </c>
      <c r="N104" s="81">
        <f t="shared" si="10"/>
        <v>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hidden="1" customHeight="1" outlineLevel="2">
      <c r="A105" s="11"/>
      <c r="B105" s="80">
        <f t="shared" ref="B105:M105" si="15">B12*B60</f>
        <v>0</v>
      </c>
      <c r="C105" s="80">
        <f t="shared" si="15"/>
        <v>0</v>
      </c>
      <c r="D105" s="80">
        <f t="shared" si="15"/>
        <v>0</v>
      </c>
      <c r="E105" s="80">
        <f t="shared" si="15"/>
        <v>0</v>
      </c>
      <c r="F105" s="80">
        <f t="shared" si="15"/>
        <v>0</v>
      </c>
      <c r="G105" s="80">
        <f t="shared" si="15"/>
        <v>0</v>
      </c>
      <c r="H105" s="80">
        <f t="shared" si="15"/>
        <v>0</v>
      </c>
      <c r="I105" s="80">
        <f t="shared" si="15"/>
        <v>0</v>
      </c>
      <c r="J105" s="80">
        <f t="shared" si="15"/>
        <v>0</v>
      </c>
      <c r="K105" s="80">
        <f t="shared" si="15"/>
        <v>0</v>
      </c>
      <c r="L105" s="80">
        <f t="shared" si="15"/>
        <v>0</v>
      </c>
      <c r="M105" s="80">
        <f t="shared" si="15"/>
        <v>0</v>
      </c>
      <c r="N105" s="81">
        <f t="shared" si="10"/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hidden="1" customHeight="1" outlineLevel="2">
      <c r="A106" s="11"/>
      <c r="B106" s="80">
        <f t="shared" ref="B106:M106" si="16">B13*B61</f>
        <v>0</v>
      </c>
      <c r="C106" s="80">
        <f t="shared" si="16"/>
        <v>0</v>
      </c>
      <c r="D106" s="80">
        <f t="shared" si="16"/>
        <v>0</v>
      </c>
      <c r="E106" s="80">
        <f t="shared" si="16"/>
        <v>0</v>
      </c>
      <c r="F106" s="80">
        <f t="shared" si="16"/>
        <v>0</v>
      </c>
      <c r="G106" s="80">
        <f t="shared" si="16"/>
        <v>0</v>
      </c>
      <c r="H106" s="80">
        <f t="shared" si="16"/>
        <v>0</v>
      </c>
      <c r="I106" s="80">
        <f t="shared" si="16"/>
        <v>0</v>
      </c>
      <c r="J106" s="80">
        <f t="shared" si="16"/>
        <v>0</v>
      </c>
      <c r="K106" s="80">
        <f t="shared" si="16"/>
        <v>0</v>
      </c>
      <c r="L106" s="80">
        <f t="shared" si="16"/>
        <v>0</v>
      </c>
      <c r="M106" s="80">
        <f t="shared" si="16"/>
        <v>0</v>
      </c>
      <c r="N106" s="81">
        <f t="shared" si="10"/>
        <v>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hidden="1" customHeight="1" outlineLevel="2">
      <c r="A107" s="11"/>
      <c r="B107" s="80">
        <f t="shared" ref="B107:M107" si="17">B14*B62</f>
        <v>0</v>
      </c>
      <c r="C107" s="80">
        <f t="shared" si="17"/>
        <v>0</v>
      </c>
      <c r="D107" s="80">
        <f t="shared" si="17"/>
        <v>0</v>
      </c>
      <c r="E107" s="80">
        <f t="shared" si="17"/>
        <v>0</v>
      </c>
      <c r="F107" s="80">
        <f t="shared" si="17"/>
        <v>0</v>
      </c>
      <c r="G107" s="80">
        <f t="shared" si="17"/>
        <v>0</v>
      </c>
      <c r="H107" s="80">
        <f t="shared" si="17"/>
        <v>0</v>
      </c>
      <c r="I107" s="80">
        <f t="shared" si="17"/>
        <v>0</v>
      </c>
      <c r="J107" s="80">
        <f t="shared" si="17"/>
        <v>0</v>
      </c>
      <c r="K107" s="80">
        <f t="shared" si="17"/>
        <v>0</v>
      </c>
      <c r="L107" s="80">
        <f t="shared" si="17"/>
        <v>0</v>
      </c>
      <c r="M107" s="80">
        <f t="shared" si="17"/>
        <v>0</v>
      </c>
      <c r="N107" s="81">
        <f t="shared" si="10"/>
        <v>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hidden="1" customHeight="1" outlineLevel="2">
      <c r="A108" s="11"/>
      <c r="B108" s="80">
        <f t="shared" ref="B108:M108" si="18">B15*B63</f>
        <v>0</v>
      </c>
      <c r="C108" s="80">
        <f t="shared" si="18"/>
        <v>0</v>
      </c>
      <c r="D108" s="80">
        <f t="shared" si="18"/>
        <v>0</v>
      </c>
      <c r="E108" s="80">
        <f t="shared" si="18"/>
        <v>0</v>
      </c>
      <c r="F108" s="80">
        <f t="shared" si="18"/>
        <v>0</v>
      </c>
      <c r="G108" s="80">
        <f t="shared" si="18"/>
        <v>0</v>
      </c>
      <c r="H108" s="80">
        <f t="shared" si="18"/>
        <v>0</v>
      </c>
      <c r="I108" s="80">
        <f t="shared" si="18"/>
        <v>0</v>
      </c>
      <c r="J108" s="80">
        <f t="shared" si="18"/>
        <v>0</v>
      </c>
      <c r="K108" s="80">
        <f t="shared" si="18"/>
        <v>0</v>
      </c>
      <c r="L108" s="80">
        <f t="shared" si="18"/>
        <v>0</v>
      </c>
      <c r="M108" s="80">
        <f t="shared" si="18"/>
        <v>0</v>
      </c>
      <c r="N108" s="81">
        <f t="shared" si="10"/>
        <v>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hidden="1" customHeight="1" outlineLevel="2">
      <c r="A109" s="11"/>
      <c r="B109" s="80">
        <f t="shared" ref="B109:M109" si="19">B16*B64</f>
        <v>0</v>
      </c>
      <c r="C109" s="80">
        <f t="shared" si="19"/>
        <v>0</v>
      </c>
      <c r="D109" s="80">
        <f t="shared" si="19"/>
        <v>0</v>
      </c>
      <c r="E109" s="80">
        <f t="shared" si="19"/>
        <v>0</v>
      </c>
      <c r="F109" s="80">
        <f t="shared" si="19"/>
        <v>0</v>
      </c>
      <c r="G109" s="80">
        <f t="shared" si="19"/>
        <v>0</v>
      </c>
      <c r="H109" s="80">
        <f t="shared" si="19"/>
        <v>0</v>
      </c>
      <c r="I109" s="80">
        <f t="shared" si="19"/>
        <v>0</v>
      </c>
      <c r="J109" s="80">
        <f t="shared" si="19"/>
        <v>0</v>
      </c>
      <c r="K109" s="80">
        <f t="shared" si="19"/>
        <v>0</v>
      </c>
      <c r="L109" s="80">
        <f t="shared" si="19"/>
        <v>0</v>
      </c>
      <c r="M109" s="80">
        <f t="shared" si="19"/>
        <v>0</v>
      </c>
      <c r="N109" s="81">
        <f t="shared" si="10"/>
        <v>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hidden="1" customHeight="1" outlineLevel="2">
      <c r="A110" s="11"/>
      <c r="B110" s="80">
        <f t="shared" ref="B110:M110" si="20">B17*B65</f>
        <v>0</v>
      </c>
      <c r="C110" s="80">
        <f t="shared" si="20"/>
        <v>0</v>
      </c>
      <c r="D110" s="80">
        <f t="shared" si="20"/>
        <v>0</v>
      </c>
      <c r="E110" s="80">
        <f t="shared" si="20"/>
        <v>0</v>
      </c>
      <c r="F110" s="80">
        <f t="shared" si="20"/>
        <v>0</v>
      </c>
      <c r="G110" s="80">
        <f t="shared" si="20"/>
        <v>0</v>
      </c>
      <c r="H110" s="80">
        <f t="shared" si="20"/>
        <v>0</v>
      </c>
      <c r="I110" s="80">
        <f t="shared" si="20"/>
        <v>0</v>
      </c>
      <c r="J110" s="80">
        <f t="shared" si="20"/>
        <v>0</v>
      </c>
      <c r="K110" s="80">
        <f t="shared" si="20"/>
        <v>0</v>
      </c>
      <c r="L110" s="80">
        <f t="shared" si="20"/>
        <v>0</v>
      </c>
      <c r="M110" s="80">
        <f t="shared" si="20"/>
        <v>0</v>
      </c>
      <c r="N110" s="81">
        <f t="shared" si="10"/>
        <v>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hidden="1" customHeight="1" outlineLevel="2">
      <c r="A111" s="11"/>
      <c r="B111" s="80">
        <f t="shared" ref="B111:M111" si="21">B18*B66</f>
        <v>0</v>
      </c>
      <c r="C111" s="80">
        <f t="shared" si="21"/>
        <v>0</v>
      </c>
      <c r="D111" s="80">
        <f t="shared" si="21"/>
        <v>0</v>
      </c>
      <c r="E111" s="80">
        <f t="shared" si="21"/>
        <v>0</v>
      </c>
      <c r="F111" s="80">
        <f t="shared" si="21"/>
        <v>0</v>
      </c>
      <c r="G111" s="80">
        <f t="shared" si="21"/>
        <v>0</v>
      </c>
      <c r="H111" s="80">
        <f t="shared" si="21"/>
        <v>0</v>
      </c>
      <c r="I111" s="80">
        <f t="shared" si="21"/>
        <v>0</v>
      </c>
      <c r="J111" s="80">
        <f t="shared" si="21"/>
        <v>0</v>
      </c>
      <c r="K111" s="80">
        <f t="shared" si="21"/>
        <v>0</v>
      </c>
      <c r="L111" s="80">
        <f t="shared" si="21"/>
        <v>0</v>
      </c>
      <c r="M111" s="80">
        <f t="shared" si="21"/>
        <v>0</v>
      </c>
      <c r="N111" s="81">
        <f t="shared" si="10"/>
        <v>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hidden="1" customHeight="1" outlineLevel="2">
      <c r="A112" s="11"/>
      <c r="B112" s="80">
        <f t="shared" ref="B112:M112" si="22">B19*B67</f>
        <v>0</v>
      </c>
      <c r="C112" s="80">
        <f t="shared" si="22"/>
        <v>0</v>
      </c>
      <c r="D112" s="80">
        <f t="shared" si="22"/>
        <v>0</v>
      </c>
      <c r="E112" s="80">
        <f t="shared" si="22"/>
        <v>0</v>
      </c>
      <c r="F112" s="80">
        <f t="shared" si="22"/>
        <v>0</v>
      </c>
      <c r="G112" s="80">
        <f t="shared" si="22"/>
        <v>0</v>
      </c>
      <c r="H112" s="80">
        <f t="shared" si="22"/>
        <v>0</v>
      </c>
      <c r="I112" s="80">
        <f t="shared" si="22"/>
        <v>0</v>
      </c>
      <c r="J112" s="80">
        <f t="shared" si="22"/>
        <v>0</v>
      </c>
      <c r="K112" s="80">
        <f t="shared" si="22"/>
        <v>0</v>
      </c>
      <c r="L112" s="80">
        <f t="shared" si="22"/>
        <v>0</v>
      </c>
      <c r="M112" s="80">
        <f t="shared" si="22"/>
        <v>0</v>
      </c>
      <c r="N112" s="81">
        <f t="shared" si="10"/>
        <v>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hidden="1" customHeight="1" outlineLevel="2">
      <c r="A113" s="11"/>
      <c r="B113" s="80">
        <f t="shared" ref="B113:M113" si="23">B20*B68</f>
        <v>0</v>
      </c>
      <c r="C113" s="80">
        <f t="shared" si="23"/>
        <v>0</v>
      </c>
      <c r="D113" s="80">
        <f t="shared" si="23"/>
        <v>0</v>
      </c>
      <c r="E113" s="80">
        <f t="shared" si="23"/>
        <v>0</v>
      </c>
      <c r="F113" s="80">
        <f t="shared" si="23"/>
        <v>0</v>
      </c>
      <c r="G113" s="80">
        <f t="shared" si="23"/>
        <v>0</v>
      </c>
      <c r="H113" s="80">
        <f t="shared" si="23"/>
        <v>0</v>
      </c>
      <c r="I113" s="80">
        <f t="shared" si="23"/>
        <v>0</v>
      </c>
      <c r="J113" s="80">
        <f t="shared" si="23"/>
        <v>0</v>
      </c>
      <c r="K113" s="80">
        <f t="shared" si="23"/>
        <v>0</v>
      </c>
      <c r="L113" s="80">
        <f t="shared" si="23"/>
        <v>0</v>
      </c>
      <c r="M113" s="80">
        <f t="shared" si="23"/>
        <v>0</v>
      </c>
      <c r="N113" s="75">
        <f t="shared" si="10"/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hidden="1" customHeight="1" outlineLevel="2">
      <c r="A114" s="11"/>
      <c r="B114" s="80">
        <f t="shared" ref="B114:M114" si="24">B21*B69</f>
        <v>0</v>
      </c>
      <c r="C114" s="80">
        <f t="shared" si="24"/>
        <v>0</v>
      </c>
      <c r="D114" s="80">
        <f t="shared" si="24"/>
        <v>0</v>
      </c>
      <c r="E114" s="80">
        <f t="shared" si="24"/>
        <v>0</v>
      </c>
      <c r="F114" s="80">
        <f t="shared" si="24"/>
        <v>0</v>
      </c>
      <c r="G114" s="80">
        <f t="shared" si="24"/>
        <v>0</v>
      </c>
      <c r="H114" s="80">
        <f t="shared" si="24"/>
        <v>0</v>
      </c>
      <c r="I114" s="80">
        <f t="shared" si="24"/>
        <v>0</v>
      </c>
      <c r="J114" s="80">
        <f t="shared" si="24"/>
        <v>0</v>
      </c>
      <c r="K114" s="80">
        <f t="shared" si="24"/>
        <v>0</v>
      </c>
      <c r="L114" s="80">
        <f t="shared" si="24"/>
        <v>0</v>
      </c>
      <c r="M114" s="80">
        <f t="shared" si="24"/>
        <v>0</v>
      </c>
      <c r="N114" s="75">
        <f t="shared" si="10"/>
        <v>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hidden="1" customHeight="1" outlineLevel="2">
      <c r="A115" s="11"/>
      <c r="B115" s="80">
        <f t="shared" ref="B115:M115" si="25">B22*B70</f>
        <v>0</v>
      </c>
      <c r="C115" s="80">
        <f t="shared" si="25"/>
        <v>0</v>
      </c>
      <c r="D115" s="80">
        <f t="shared" si="25"/>
        <v>0</v>
      </c>
      <c r="E115" s="80">
        <f t="shared" si="25"/>
        <v>0</v>
      </c>
      <c r="F115" s="80">
        <f t="shared" si="25"/>
        <v>0</v>
      </c>
      <c r="G115" s="80">
        <f t="shared" si="25"/>
        <v>0</v>
      </c>
      <c r="H115" s="80">
        <f t="shared" si="25"/>
        <v>0</v>
      </c>
      <c r="I115" s="80">
        <f t="shared" si="25"/>
        <v>0</v>
      </c>
      <c r="J115" s="80">
        <f t="shared" si="25"/>
        <v>0</v>
      </c>
      <c r="K115" s="80">
        <f t="shared" si="25"/>
        <v>0</v>
      </c>
      <c r="L115" s="80">
        <f t="shared" si="25"/>
        <v>0</v>
      </c>
      <c r="M115" s="80">
        <f t="shared" si="25"/>
        <v>0</v>
      </c>
      <c r="N115" s="75">
        <f t="shared" si="10"/>
        <v>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hidden="1" customHeight="1" outlineLevel="2">
      <c r="A116" s="11"/>
      <c r="B116" s="80">
        <f t="shared" ref="B116:M116" si="26">B23*B71</f>
        <v>0</v>
      </c>
      <c r="C116" s="80">
        <f t="shared" si="26"/>
        <v>0</v>
      </c>
      <c r="D116" s="80">
        <f t="shared" si="26"/>
        <v>0</v>
      </c>
      <c r="E116" s="80">
        <f t="shared" si="26"/>
        <v>0</v>
      </c>
      <c r="F116" s="80">
        <f t="shared" si="26"/>
        <v>0</v>
      </c>
      <c r="G116" s="80">
        <f t="shared" si="26"/>
        <v>0</v>
      </c>
      <c r="H116" s="80">
        <f t="shared" si="26"/>
        <v>0</v>
      </c>
      <c r="I116" s="80">
        <f t="shared" si="26"/>
        <v>0</v>
      </c>
      <c r="J116" s="80">
        <f t="shared" si="26"/>
        <v>0</v>
      </c>
      <c r="K116" s="80">
        <f t="shared" si="26"/>
        <v>0</v>
      </c>
      <c r="L116" s="80">
        <f t="shared" si="26"/>
        <v>0</v>
      </c>
      <c r="M116" s="80">
        <f t="shared" si="26"/>
        <v>0</v>
      </c>
      <c r="N116" s="75">
        <f t="shared" si="10"/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hidden="1" customHeight="1" outlineLevel="2">
      <c r="A117" s="11"/>
      <c r="B117" s="80">
        <f t="shared" ref="B117:M117" si="27">B24*B72</f>
        <v>0</v>
      </c>
      <c r="C117" s="80">
        <f t="shared" si="27"/>
        <v>0</v>
      </c>
      <c r="D117" s="80">
        <f t="shared" si="27"/>
        <v>0</v>
      </c>
      <c r="E117" s="80">
        <f t="shared" si="27"/>
        <v>0</v>
      </c>
      <c r="F117" s="80">
        <f t="shared" si="27"/>
        <v>0</v>
      </c>
      <c r="G117" s="80">
        <f t="shared" si="27"/>
        <v>0</v>
      </c>
      <c r="H117" s="80">
        <f t="shared" si="27"/>
        <v>0</v>
      </c>
      <c r="I117" s="80">
        <f t="shared" si="27"/>
        <v>0</v>
      </c>
      <c r="J117" s="80">
        <f t="shared" si="27"/>
        <v>0</v>
      </c>
      <c r="K117" s="80">
        <f t="shared" si="27"/>
        <v>0</v>
      </c>
      <c r="L117" s="80">
        <f t="shared" si="27"/>
        <v>0</v>
      </c>
      <c r="M117" s="80">
        <f t="shared" si="27"/>
        <v>0</v>
      </c>
      <c r="N117" s="75">
        <f t="shared" si="10"/>
        <v>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hidden="1" customHeight="1" outlineLevel="2">
      <c r="A118" s="11"/>
      <c r="B118" s="80">
        <f t="shared" ref="B118:M118" si="28">B25*B73</f>
        <v>0</v>
      </c>
      <c r="C118" s="80">
        <f t="shared" si="28"/>
        <v>0</v>
      </c>
      <c r="D118" s="80">
        <f t="shared" si="28"/>
        <v>0</v>
      </c>
      <c r="E118" s="80">
        <f t="shared" si="28"/>
        <v>0</v>
      </c>
      <c r="F118" s="80">
        <f t="shared" si="28"/>
        <v>0</v>
      </c>
      <c r="G118" s="80">
        <f t="shared" si="28"/>
        <v>0</v>
      </c>
      <c r="H118" s="80">
        <f t="shared" si="28"/>
        <v>0</v>
      </c>
      <c r="I118" s="80">
        <f t="shared" si="28"/>
        <v>0</v>
      </c>
      <c r="J118" s="80">
        <f t="shared" si="28"/>
        <v>0</v>
      </c>
      <c r="K118" s="80">
        <f t="shared" si="28"/>
        <v>0</v>
      </c>
      <c r="L118" s="80">
        <f t="shared" si="28"/>
        <v>0</v>
      </c>
      <c r="M118" s="80">
        <f t="shared" si="28"/>
        <v>0</v>
      </c>
      <c r="N118" s="75">
        <f t="shared" si="10"/>
        <v>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 outlineLevel="1" collapsed="1">
      <c r="A119" s="7" t="s">
        <v>216</v>
      </c>
      <c r="B119" s="77">
        <f t="shared" ref="B119:N119" si="29">SUM(B99:B118)</f>
        <v>0</v>
      </c>
      <c r="C119" s="77">
        <f t="shared" si="29"/>
        <v>0</v>
      </c>
      <c r="D119" s="77">
        <f t="shared" si="29"/>
        <v>0</v>
      </c>
      <c r="E119" s="77">
        <f t="shared" si="29"/>
        <v>0</v>
      </c>
      <c r="F119" s="77">
        <f t="shared" si="29"/>
        <v>0</v>
      </c>
      <c r="G119" s="77">
        <f t="shared" si="29"/>
        <v>0</v>
      </c>
      <c r="H119" s="77">
        <f t="shared" si="29"/>
        <v>0</v>
      </c>
      <c r="I119" s="77">
        <f t="shared" si="29"/>
        <v>0</v>
      </c>
      <c r="J119" s="77">
        <f t="shared" si="29"/>
        <v>0</v>
      </c>
      <c r="K119" s="77">
        <f t="shared" si="29"/>
        <v>0</v>
      </c>
      <c r="L119" s="77">
        <f t="shared" si="29"/>
        <v>0</v>
      </c>
      <c r="M119" s="77">
        <f t="shared" si="29"/>
        <v>0</v>
      </c>
      <c r="N119" s="77">
        <f t="shared" si="29"/>
        <v>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 outlineLevel="1">
      <c r="A120" s="78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 outlineLevel="1">
      <c r="A121" s="56" t="s">
        <v>217</v>
      </c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hidden="1" customHeight="1" outlineLevel="2">
      <c r="A122" s="73" t="s">
        <v>203</v>
      </c>
      <c r="B122" s="80">
        <f t="shared" ref="B122:M122" si="30">B29*B75</f>
        <v>0</v>
      </c>
      <c r="C122" s="80">
        <f t="shared" si="30"/>
        <v>0</v>
      </c>
      <c r="D122" s="80">
        <f t="shared" si="30"/>
        <v>0</v>
      </c>
      <c r="E122" s="80">
        <f t="shared" si="30"/>
        <v>0</v>
      </c>
      <c r="F122" s="80">
        <f t="shared" si="30"/>
        <v>0</v>
      </c>
      <c r="G122" s="80">
        <f t="shared" si="30"/>
        <v>0</v>
      </c>
      <c r="H122" s="80">
        <f t="shared" si="30"/>
        <v>0</v>
      </c>
      <c r="I122" s="80">
        <f t="shared" si="30"/>
        <v>0</v>
      </c>
      <c r="J122" s="80">
        <f t="shared" si="30"/>
        <v>0</v>
      </c>
      <c r="K122" s="80">
        <f t="shared" si="30"/>
        <v>0</v>
      </c>
      <c r="L122" s="80">
        <f t="shared" si="30"/>
        <v>0</v>
      </c>
      <c r="M122" s="80">
        <f t="shared" si="30"/>
        <v>0</v>
      </c>
      <c r="N122" s="81">
        <f t="shared" ref="N122:N141" si="32">SUM(B122,C122,D122,E122,F122,G122,H122,I122,J122,K122,L122,M122)</f>
        <v>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hidden="1" customHeight="1" outlineLevel="2">
      <c r="A123" s="73" t="s">
        <v>204</v>
      </c>
      <c r="B123" s="80">
        <f t="shared" ref="B123:M123" si="31">B30*B76</f>
        <v>0</v>
      </c>
      <c r="C123" s="80">
        <f t="shared" si="31"/>
        <v>0</v>
      </c>
      <c r="D123" s="80">
        <f t="shared" si="31"/>
        <v>0</v>
      </c>
      <c r="E123" s="80">
        <f t="shared" si="31"/>
        <v>0</v>
      </c>
      <c r="F123" s="80">
        <f t="shared" si="31"/>
        <v>0</v>
      </c>
      <c r="G123" s="80">
        <f t="shared" si="31"/>
        <v>0</v>
      </c>
      <c r="H123" s="80">
        <f t="shared" si="31"/>
        <v>0</v>
      </c>
      <c r="I123" s="80">
        <f t="shared" si="31"/>
        <v>0</v>
      </c>
      <c r="J123" s="80">
        <f t="shared" si="31"/>
        <v>0</v>
      </c>
      <c r="K123" s="80">
        <f t="shared" si="31"/>
        <v>0</v>
      </c>
      <c r="L123" s="80">
        <f t="shared" si="31"/>
        <v>0</v>
      </c>
      <c r="M123" s="80">
        <f t="shared" si="31"/>
        <v>0</v>
      </c>
      <c r="N123" s="81">
        <f t="shared" si="32"/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hidden="1" customHeight="1" outlineLevel="2">
      <c r="A124" s="73" t="s">
        <v>205</v>
      </c>
      <c r="B124" s="80">
        <f t="shared" ref="B124:M124" si="33">B31*B77</f>
        <v>0</v>
      </c>
      <c r="C124" s="80">
        <f t="shared" si="33"/>
        <v>0</v>
      </c>
      <c r="D124" s="80">
        <f t="shared" si="33"/>
        <v>0</v>
      </c>
      <c r="E124" s="80">
        <f t="shared" si="33"/>
        <v>0</v>
      </c>
      <c r="F124" s="80">
        <f t="shared" si="33"/>
        <v>0</v>
      </c>
      <c r="G124" s="80">
        <f t="shared" si="33"/>
        <v>0</v>
      </c>
      <c r="H124" s="80">
        <f t="shared" si="33"/>
        <v>0</v>
      </c>
      <c r="I124" s="80">
        <f t="shared" si="33"/>
        <v>0</v>
      </c>
      <c r="J124" s="80">
        <f t="shared" si="33"/>
        <v>0</v>
      </c>
      <c r="K124" s="80">
        <f t="shared" si="33"/>
        <v>0</v>
      </c>
      <c r="L124" s="80">
        <f t="shared" si="33"/>
        <v>0</v>
      </c>
      <c r="M124" s="80">
        <f t="shared" si="33"/>
        <v>0</v>
      </c>
      <c r="N124" s="81">
        <f t="shared" si="32"/>
        <v>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hidden="1" customHeight="1" outlineLevel="2">
      <c r="A125" s="73" t="s">
        <v>206</v>
      </c>
      <c r="B125" s="80">
        <f t="shared" ref="B125:M125" si="34">B32*B78</f>
        <v>0</v>
      </c>
      <c r="C125" s="80">
        <f t="shared" si="34"/>
        <v>0</v>
      </c>
      <c r="D125" s="80">
        <f t="shared" si="34"/>
        <v>0</v>
      </c>
      <c r="E125" s="80">
        <f t="shared" si="34"/>
        <v>0</v>
      </c>
      <c r="F125" s="80">
        <f t="shared" si="34"/>
        <v>0</v>
      </c>
      <c r="G125" s="80">
        <f t="shared" si="34"/>
        <v>0</v>
      </c>
      <c r="H125" s="80">
        <f t="shared" si="34"/>
        <v>0</v>
      </c>
      <c r="I125" s="80">
        <f t="shared" si="34"/>
        <v>0</v>
      </c>
      <c r="J125" s="80">
        <f t="shared" si="34"/>
        <v>0</v>
      </c>
      <c r="K125" s="80">
        <f t="shared" si="34"/>
        <v>0</v>
      </c>
      <c r="L125" s="80">
        <f t="shared" si="34"/>
        <v>0</v>
      </c>
      <c r="M125" s="80">
        <f t="shared" si="34"/>
        <v>0</v>
      </c>
      <c r="N125" s="81">
        <f t="shared" si="32"/>
        <v>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hidden="1" customHeight="1" outlineLevel="2">
      <c r="A126" s="73" t="s">
        <v>207</v>
      </c>
      <c r="B126" s="80">
        <f t="shared" ref="B126:M126" si="35">B33*B79</f>
        <v>0</v>
      </c>
      <c r="C126" s="80">
        <f t="shared" si="35"/>
        <v>0</v>
      </c>
      <c r="D126" s="80">
        <f t="shared" si="35"/>
        <v>0</v>
      </c>
      <c r="E126" s="80">
        <f t="shared" si="35"/>
        <v>0</v>
      </c>
      <c r="F126" s="80">
        <f t="shared" si="35"/>
        <v>0</v>
      </c>
      <c r="G126" s="80">
        <f t="shared" si="35"/>
        <v>0</v>
      </c>
      <c r="H126" s="80">
        <f t="shared" si="35"/>
        <v>0</v>
      </c>
      <c r="I126" s="80">
        <f t="shared" si="35"/>
        <v>0</v>
      </c>
      <c r="J126" s="80">
        <f t="shared" si="35"/>
        <v>0</v>
      </c>
      <c r="K126" s="80">
        <f t="shared" si="35"/>
        <v>0</v>
      </c>
      <c r="L126" s="80">
        <f t="shared" si="35"/>
        <v>0</v>
      </c>
      <c r="M126" s="80">
        <f t="shared" si="35"/>
        <v>0</v>
      </c>
      <c r="N126" s="81">
        <f t="shared" si="32"/>
        <v>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hidden="1" customHeight="1" outlineLevel="2">
      <c r="A127" s="73" t="s">
        <v>208</v>
      </c>
      <c r="B127" s="80">
        <f t="shared" ref="B127:M127" si="36">B34*B80</f>
        <v>0</v>
      </c>
      <c r="C127" s="80">
        <f t="shared" si="36"/>
        <v>0</v>
      </c>
      <c r="D127" s="80">
        <f t="shared" si="36"/>
        <v>0</v>
      </c>
      <c r="E127" s="80">
        <f t="shared" si="36"/>
        <v>0</v>
      </c>
      <c r="F127" s="80">
        <f t="shared" si="36"/>
        <v>0</v>
      </c>
      <c r="G127" s="80">
        <f t="shared" si="36"/>
        <v>0</v>
      </c>
      <c r="H127" s="80">
        <f t="shared" si="36"/>
        <v>0</v>
      </c>
      <c r="I127" s="80">
        <f t="shared" si="36"/>
        <v>0</v>
      </c>
      <c r="J127" s="80">
        <f t="shared" si="36"/>
        <v>0</v>
      </c>
      <c r="K127" s="80">
        <f t="shared" si="36"/>
        <v>0</v>
      </c>
      <c r="L127" s="80">
        <f t="shared" si="36"/>
        <v>0</v>
      </c>
      <c r="M127" s="80">
        <f t="shared" si="36"/>
        <v>0</v>
      </c>
      <c r="N127" s="81">
        <f t="shared" si="32"/>
        <v>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hidden="1" customHeight="1" outlineLevel="2">
      <c r="A128" s="11"/>
      <c r="B128" s="80">
        <f t="shared" ref="B128:M128" si="37">B35*B81</f>
        <v>0</v>
      </c>
      <c r="C128" s="80">
        <f t="shared" si="37"/>
        <v>0</v>
      </c>
      <c r="D128" s="80">
        <f t="shared" si="37"/>
        <v>0</v>
      </c>
      <c r="E128" s="80">
        <f t="shared" si="37"/>
        <v>0</v>
      </c>
      <c r="F128" s="80">
        <f t="shared" si="37"/>
        <v>0</v>
      </c>
      <c r="G128" s="80">
        <f t="shared" si="37"/>
        <v>0</v>
      </c>
      <c r="H128" s="80">
        <f t="shared" si="37"/>
        <v>0</v>
      </c>
      <c r="I128" s="80">
        <f t="shared" si="37"/>
        <v>0</v>
      </c>
      <c r="J128" s="80">
        <f t="shared" si="37"/>
        <v>0</v>
      </c>
      <c r="K128" s="80">
        <f t="shared" si="37"/>
        <v>0</v>
      </c>
      <c r="L128" s="80">
        <f t="shared" si="37"/>
        <v>0</v>
      </c>
      <c r="M128" s="80">
        <f t="shared" si="37"/>
        <v>0</v>
      </c>
      <c r="N128" s="81">
        <f t="shared" si="32"/>
        <v>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hidden="1" customHeight="1" outlineLevel="2">
      <c r="A129" s="11"/>
      <c r="B129" s="80">
        <f t="shared" ref="B129:M129" si="38">B36*B82</f>
        <v>0</v>
      </c>
      <c r="C129" s="80">
        <f t="shared" si="38"/>
        <v>0</v>
      </c>
      <c r="D129" s="80">
        <f t="shared" si="38"/>
        <v>0</v>
      </c>
      <c r="E129" s="80">
        <f t="shared" si="38"/>
        <v>0</v>
      </c>
      <c r="F129" s="80">
        <f t="shared" si="38"/>
        <v>0</v>
      </c>
      <c r="G129" s="80">
        <f t="shared" si="38"/>
        <v>0</v>
      </c>
      <c r="H129" s="80">
        <f t="shared" si="38"/>
        <v>0</v>
      </c>
      <c r="I129" s="80">
        <f t="shared" si="38"/>
        <v>0</v>
      </c>
      <c r="J129" s="80">
        <f t="shared" si="38"/>
        <v>0</v>
      </c>
      <c r="K129" s="80">
        <f t="shared" si="38"/>
        <v>0</v>
      </c>
      <c r="L129" s="80">
        <f t="shared" si="38"/>
        <v>0</v>
      </c>
      <c r="M129" s="80">
        <f t="shared" si="38"/>
        <v>0</v>
      </c>
      <c r="N129" s="81">
        <f t="shared" si="32"/>
        <v>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hidden="1" customHeight="1" outlineLevel="2">
      <c r="A130" s="11"/>
      <c r="B130" s="80">
        <f t="shared" ref="B130:M130" si="39">B37*B83</f>
        <v>0</v>
      </c>
      <c r="C130" s="80">
        <f t="shared" si="39"/>
        <v>0</v>
      </c>
      <c r="D130" s="80">
        <f t="shared" si="39"/>
        <v>0</v>
      </c>
      <c r="E130" s="80">
        <f t="shared" si="39"/>
        <v>0</v>
      </c>
      <c r="F130" s="80">
        <f t="shared" si="39"/>
        <v>0</v>
      </c>
      <c r="G130" s="80">
        <f t="shared" si="39"/>
        <v>0</v>
      </c>
      <c r="H130" s="80">
        <f t="shared" si="39"/>
        <v>0</v>
      </c>
      <c r="I130" s="80">
        <f t="shared" si="39"/>
        <v>0</v>
      </c>
      <c r="J130" s="80">
        <f t="shared" si="39"/>
        <v>0</v>
      </c>
      <c r="K130" s="80">
        <f t="shared" si="39"/>
        <v>0</v>
      </c>
      <c r="L130" s="80">
        <f t="shared" si="39"/>
        <v>0</v>
      </c>
      <c r="M130" s="80">
        <f t="shared" si="39"/>
        <v>0</v>
      </c>
      <c r="N130" s="81">
        <f t="shared" si="32"/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hidden="1" customHeight="1" outlineLevel="2">
      <c r="A131" s="11"/>
      <c r="B131" s="80">
        <f t="shared" ref="B131:M131" si="40">B38*B84</f>
        <v>0</v>
      </c>
      <c r="C131" s="80">
        <f t="shared" si="40"/>
        <v>0</v>
      </c>
      <c r="D131" s="80">
        <f t="shared" si="40"/>
        <v>0</v>
      </c>
      <c r="E131" s="80">
        <f t="shared" si="40"/>
        <v>0</v>
      </c>
      <c r="F131" s="80">
        <f t="shared" si="40"/>
        <v>0</v>
      </c>
      <c r="G131" s="80">
        <f t="shared" si="40"/>
        <v>0</v>
      </c>
      <c r="H131" s="80">
        <f t="shared" si="40"/>
        <v>0</v>
      </c>
      <c r="I131" s="80">
        <f t="shared" si="40"/>
        <v>0</v>
      </c>
      <c r="J131" s="80">
        <f t="shared" si="40"/>
        <v>0</v>
      </c>
      <c r="K131" s="80">
        <f t="shared" si="40"/>
        <v>0</v>
      </c>
      <c r="L131" s="80">
        <f t="shared" si="40"/>
        <v>0</v>
      </c>
      <c r="M131" s="80">
        <f t="shared" si="40"/>
        <v>0</v>
      </c>
      <c r="N131" s="81">
        <f t="shared" si="32"/>
        <v>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hidden="1" customHeight="1" outlineLevel="2">
      <c r="A132" s="11"/>
      <c r="B132" s="80">
        <f t="shared" ref="B132:M132" si="41">B39*B85</f>
        <v>0</v>
      </c>
      <c r="C132" s="80">
        <f t="shared" si="41"/>
        <v>0</v>
      </c>
      <c r="D132" s="80">
        <f t="shared" si="41"/>
        <v>0</v>
      </c>
      <c r="E132" s="80">
        <f t="shared" si="41"/>
        <v>0</v>
      </c>
      <c r="F132" s="80">
        <f t="shared" si="41"/>
        <v>0</v>
      </c>
      <c r="G132" s="80">
        <f t="shared" si="41"/>
        <v>0</v>
      </c>
      <c r="H132" s="80">
        <f t="shared" si="41"/>
        <v>0</v>
      </c>
      <c r="I132" s="80">
        <f t="shared" si="41"/>
        <v>0</v>
      </c>
      <c r="J132" s="80">
        <f t="shared" si="41"/>
        <v>0</v>
      </c>
      <c r="K132" s="80">
        <f t="shared" si="41"/>
        <v>0</v>
      </c>
      <c r="L132" s="80">
        <f t="shared" si="41"/>
        <v>0</v>
      </c>
      <c r="M132" s="80">
        <f t="shared" si="41"/>
        <v>0</v>
      </c>
      <c r="N132" s="81">
        <f t="shared" si="32"/>
        <v>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hidden="1" customHeight="1" outlineLevel="2">
      <c r="A133" s="11"/>
      <c r="B133" s="80">
        <f t="shared" ref="B133:M133" si="42">B40*B86</f>
        <v>0</v>
      </c>
      <c r="C133" s="80">
        <f t="shared" si="42"/>
        <v>0</v>
      </c>
      <c r="D133" s="80">
        <f t="shared" si="42"/>
        <v>0</v>
      </c>
      <c r="E133" s="80">
        <f t="shared" si="42"/>
        <v>0</v>
      </c>
      <c r="F133" s="80">
        <f t="shared" si="42"/>
        <v>0</v>
      </c>
      <c r="G133" s="80">
        <f t="shared" si="42"/>
        <v>0</v>
      </c>
      <c r="H133" s="80">
        <f t="shared" si="42"/>
        <v>0</v>
      </c>
      <c r="I133" s="80">
        <f t="shared" si="42"/>
        <v>0</v>
      </c>
      <c r="J133" s="80">
        <f t="shared" si="42"/>
        <v>0</v>
      </c>
      <c r="K133" s="80">
        <f t="shared" si="42"/>
        <v>0</v>
      </c>
      <c r="L133" s="80">
        <f t="shared" si="42"/>
        <v>0</v>
      </c>
      <c r="M133" s="80">
        <f t="shared" si="42"/>
        <v>0</v>
      </c>
      <c r="N133" s="81">
        <f t="shared" si="32"/>
        <v>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hidden="1" customHeight="1" outlineLevel="2">
      <c r="A134" s="11"/>
      <c r="B134" s="80">
        <f t="shared" ref="B134:M134" si="43">B41*B87</f>
        <v>0</v>
      </c>
      <c r="C134" s="80">
        <f t="shared" si="43"/>
        <v>0</v>
      </c>
      <c r="D134" s="80">
        <f t="shared" si="43"/>
        <v>0</v>
      </c>
      <c r="E134" s="80">
        <f t="shared" si="43"/>
        <v>0</v>
      </c>
      <c r="F134" s="80">
        <f t="shared" si="43"/>
        <v>0</v>
      </c>
      <c r="G134" s="80">
        <f t="shared" si="43"/>
        <v>0</v>
      </c>
      <c r="H134" s="80">
        <f t="shared" si="43"/>
        <v>0</v>
      </c>
      <c r="I134" s="80">
        <f t="shared" si="43"/>
        <v>0</v>
      </c>
      <c r="J134" s="80">
        <f t="shared" si="43"/>
        <v>0</v>
      </c>
      <c r="K134" s="80">
        <f t="shared" si="43"/>
        <v>0</v>
      </c>
      <c r="L134" s="80">
        <f t="shared" si="43"/>
        <v>0</v>
      </c>
      <c r="M134" s="80">
        <f t="shared" si="43"/>
        <v>0</v>
      </c>
      <c r="N134" s="81">
        <f t="shared" si="32"/>
        <v>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hidden="1" customHeight="1" outlineLevel="2">
      <c r="A135" s="11"/>
      <c r="B135" s="80">
        <f t="shared" ref="B135:M135" si="44">B42*B88</f>
        <v>0</v>
      </c>
      <c r="C135" s="80">
        <f t="shared" si="44"/>
        <v>0</v>
      </c>
      <c r="D135" s="80">
        <f t="shared" si="44"/>
        <v>0</v>
      </c>
      <c r="E135" s="80">
        <f t="shared" si="44"/>
        <v>0</v>
      </c>
      <c r="F135" s="80">
        <f t="shared" si="44"/>
        <v>0</v>
      </c>
      <c r="G135" s="80">
        <f t="shared" si="44"/>
        <v>0</v>
      </c>
      <c r="H135" s="80">
        <f t="shared" si="44"/>
        <v>0</v>
      </c>
      <c r="I135" s="80">
        <f t="shared" si="44"/>
        <v>0</v>
      </c>
      <c r="J135" s="80">
        <f t="shared" si="44"/>
        <v>0</v>
      </c>
      <c r="K135" s="80">
        <f t="shared" si="44"/>
        <v>0</v>
      </c>
      <c r="L135" s="80">
        <f t="shared" si="44"/>
        <v>0</v>
      </c>
      <c r="M135" s="80">
        <f t="shared" si="44"/>
        <v>0</v>
      </c>
      <c r="N135" s="81">
        <f t="shared" si="32"/>
        <v>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hidden="1" customHeight="1" outlineLevel="2">
      <c r="A136" s="11"/>
      <c r="B136" s="80">
        <f t="shared" ref="B136:M136" si="45">B43*B89</f>
        <v>0</v>
      </c>
      <c r="C136" s="80">
        <f t="shared" si="45"/>
        <v>0</v>
      </c>
      <c r="D136" s="80">
        <f t="shared" si="45"/>
        <v>0</v>
      </c>
      <c r="E136" s="80">
        <f t="shared" si="45"/>
        <v>0</v>
      </c>
      <c r="F136" s="80">
        <f t="shared" si="45"/>
        <v>0</v>
      </c>
      <c r="G136" s="80">
        <f t="shared" si="45"/>
        <v>0</v>
      </c>
      <c r="H136" s="80">
        <f t="shared" si="45"/>
        <v>0</v>
      </c>
      <c r="I136" s="80">
        <f t="shared" si="45"/>
        <v>0</v>
      </c>
      <c r="J136" s="80">
        <f t="shared" si="45"/>
        <v>0</v>
      </c>
      <c r="K136" s="80">
        <f t="shared" si="45"/>
        <v>0</v>
      </c>
      <c r="L136" s="80">
        <f t="shared" si="45"/>
        <v>0</v>
      </c>
      <c r="M136" s="80">
        <f t="shared" si="45"/>
        <v>0</v>
      </c>
      <c r="N136" s="75">
        <f t="shared" si="32"/>
        <v>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hidden="1" customHeight="1" outlineLevel="2">
      <c r="A137" s="11"/>
      <c r="B137" s="80">
        <f t="shared" ref="B137:M137" si="46">B44*B90</f>
        <v>0</v>
      </c>
      <c r="C137" s="80">
        <f t="shared" si="46"/>
        <v>0</v>
      </c>
      <c r="D137" s="80">
        <f t="shared" si="46"/>
        <v>0</v>
      </c>
      <c r="E137" s="80">
        <f t="shared" si="46"/>
        <v>0</v>
      </c>
      <c r="F137" s="80">
        <f t="shared" si="46"/>
        <v>0</v>
      </c>
      <c r="G137" s="80">
        <f t="shared" si="46"/>
        <v>0</v>
      </c>
      <c r="H137" s="80">
        <f t="shared" si="46"/>
        <v>0</v>
      </c>
      <c r="I137" s="80">
        <f t="shared" si="46"/>
        <v>0</v>
      </c>
      <c r="J137" s="80">
        <f t="shared" si="46"/>
        <v>0</v>
      </c>
      <c r="K137" s="80">
        <f t="shared" si="46"/>
        <v>0</v>
      </c>
      <c r="L137" s="80">
        <f t="shared" si="46"/>
        <v>0</v>
      </c>
      <c r="M137" s="80">
        <f t="shared" si="46"/>
        <v>0</v>
      </c>
      <c r="N137" s="75">
        <f t="shared" si="32"/>
        <v>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hidden="1" customHeight="1" outlineLevel="2">
      <c r="A138" s="11"/>
      <c r="B138" s="80">
        <f t="shared" ref="B138:M138" si="47">B45*B91</f>
        <v>0</v>
      </c>
      <c r="C138" s="80">
        <f t="shared" si="47"/>
        <v>0</v>
      </c>
      <c r="D138" s="80">
        <f t="shared" si="47"/>
        <v>0</v>
      </c>
      <c r="E138" s="80">
        <f t="shared" si="47"/>
        <v>0</v>
      </c>
      <c r="F138" s="80">
        <f t="shared" si="47"/>
        <v>0</v>
      </c>
      <c r="G138" s="80">
        <f t="shared" si="47"/>
        <v>0</v>
      </c>
      <c r="H138" s="80">
        <f t="shared" si="47"/>
        <v>0</v>
      </c>
      <c r="I138" s="80">
        <f t="shared" si="47"/>
        <v>0</v>
      </c>
      <c r="J138" s="80">
        <f t="shared" si="47"/>
        <v>0</v>
      </c>
      <c r="K138" s="80">
        <f t="shared" si="47"/>
        <v>0</v>
      </c>
      <c r="L138" s="80">
        <f t="shared" si="47"/>
        <v>0</v>
      </c>
      <c r="M138" s="80">
        <f t="shared" si="47"/>
        <v>0</v>
      </c>
      <c r="N138" s="75">
        <f t="shared" si="32"/>
        <v>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hidden="1" customHeight="1" outlineLevel="2">
      <c r="A139" s="11"/>
      <c r="B139" s="80">
        <f t="shared" ref="B139:M139" si="48">B46*B92</f>
        <v>0</v>
      </c>
      <c r="C139" s="80">
        <f t="shared" si="48"/>
        <v>0</v>
      </c>
      <c r="D139" s="80">
        <f t="shared" si="48"/>
        <v>0</v>
      </c>
      <c r="E139" s="80">
        <f t="shared" si="48"/>
        <v>0</v>
      </c>
      <c r="F139" s="80">
        <f t="shared" si="48"/>
        <v>0</v>
      </c>
      <c r="G139" s="80">
        <f t="shared" si="48"/>
        <v>0</v>
      </c>
      <c r="H139" s="80">
        <f t="shared" si="48"/>
        <v>0</v>
      </c>
      <c r="I139" s="80">
        <f t="shared" si="48"/>
        <v>0</v>
      </c>
      <c r="J139" s="80">
        <f t="shared" si="48"/>
        <v>0</v>
      </c>
      <c r="K139" s="80">
        <f t="shared" si="48"/>
        <v>0</v>
      </c>
      <c r="L139" s="80">
        <f t="shared" si="48"/>
        <v>0</v>
      </c>
      <c r="M139" s="80">
        <f t="shared" si="48"/>
        <v>0</v>
      </c>
      <c r="N139" s="75">
        <f t="shared" si="32"/>
        <v>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hidden="1" customHeight="1" outlineLevel="2">
      <c r="A140" s="11"/>
      <c r="B140" s="80">
        <f t="shared" ref="B140:M140" si="49">B47*B93</f>
        <v>0</v>
      </c>
      <c r="C140" s="80">
        <f t="shared" si="49"/>
        <v>0</v>
      </c>
      <c r="D140" s="80">
        <f t="shared" si="49"/>
        <v>0</v>
      </c>
      <c r="E140" s="80">
        <f t="shared" si="49"/>
        <v>0</v>
      </c>
      <c r="F140" s="80">
        <f t="shared" si="49"/>
        <v>0</v>
      </c>
      <c r="G140" s="80">
        <f t="shared" si="49"/>
        <v>0</v>
      </c>
      <c r="H140" s="80">
        <f t="shared" si="49"/>
        <v>0</v>
      </c>
      <c r="I140" s="80">
        <f t="shared" si="49"/>
        <v>0</v>
      </c>
      <c r="J140" s="80">
        <f t="shared" si="49"/>
        <v>0</v>
      </c>
      <c r="K140" s="80">
        <f t="shared" si="49"/>
        <v>0</v>
      </c>
      <c r="L140" s="80">
        <f t="shared" si="49"/>
        <v>0</v>
      </c>
      <c r="M140" s="80">
        <f t="shared" si="49"/>
        <v>0</v>
      </c>
      <c r="N140" s="75">
        <f t="shared" si="32"/>
        <v>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hidden="1" customHeight="1" outlineLevel="2">
      <c r="A141" s="11"/>
      <c r="B141" s="80">
        <f t="shared" ref="B141:M141" si="50">B48*B94</f>
        <v>0</v>
      </c>
      <c r="C141" s="80">
        <f t="shared" si="50"/>
        <v>0</v>
      </c>
      <c r="D141" s="80">
        <f t="shared" si="50"/>
        <v>0</v>
      </c>
      <c r="E141" s="80">
        <f t="shared" si="50"/>
        <v>0</v>
      </c>
      <c r="F141" s="80">
        <f t="shared" si="50"/>
        <v>0</v>
      </c>
      <c r="G141" s="80">
        <f t="shared" si="50"/>
        <v>0</v>
      </c>
      <c r="H141" s="80">
        <f t="shared" si="50"/>
        <v>0</v>
      </c>
      <c r="I141" s="80">
        <f t="shared" si="50"/>
        <v>0</v>
      </c>
      <c r="J141" s="80">
        <f t="shared" si="50"/>
        <v>0</v>
      </c>
      <c r="K141" s="80">
        <f t="shared" si="50"/>
        <v>0</v>
      </c>
      <c r="L141" s="80">
        <f t="shared" si="50"/>
        <v>0</v>
      </c>
      <c r="M141" s="80">
        <f t="shared" si="50"/>
        <v>0</v>
      </c>
      <c r="N141" s="75">
        <f t="shared" si="32"/>
        <v>0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 outlineLevel="1" collapsed="1">
      <c r="A142" s="7" t="s">
        <v>218</v>
      </c>
      <c r="B142" s="77">
        <f t="shared" ref="B142:N142" si="51">SUM(B122:B141)</f>
        <v>0</v>
      </c>
      <c r="C142" s="77">
        <f t="shared" si="51"/>
        <v>0</v>
      </c>
      <c r="D142" s="77">
        <f t="shared" si="51"/>
        <v>0</v>
      </c>
      <c r="E142" s="77">
        <f t="shared" si="51"/>
        <v>0</v>
      </c>
      <c r="F142" s="77">
        <f t="shared" si="51"/>
        <v>0</v>
      </c>
      <c r="G142" s="77">
        <f t="shared" si="51"/>
        <v>0</v>
      </c>
      <c r="H142" s="77">
        <f t="shared" si="51"/>
        <v>0</v>
      </c>
      <c r="I142" s="77">
        <f t="shared" si="51"/>
        <v>0</v>
      </c>
      <c r="J142" s="77">
        <f t="shared" si="51"/>
        <v>0</v>
      </c>
      <c r="K142" s="77">
        <f t="shared" si="51"/>
        <v>0</v>
      </c>
      <c r="L142" s="77">
        <f t="shared" si="51"/>
        <v>0</v>
      </c>
      <c r="M142" s="77">
        <f t="shared" si="51"/>
        <v>0</v>
      </c>
      <c r="N142" s="77">
        <f t="shared" si="51"/>
        <v>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 outlineLevel="1">
      <c r="A143" s="78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82" t="s">
        <v>219</v>
      </c>
      <c r="B144" s="83">
        <f t="shared" ref="B144:N144" si="52">B119+B142</f>
        <v>0</v>
      </c>
      <c r="C144" s="83">
        <f t="shared" si="52"/>
        <v>0</v>
      </c>
      <c r="D144" s="83">
        <f t="shared" si="52"/>
        <v>0</v>
      </c>
      <c r="E144" s="83">
        <f t="shared" si="52"/>
        <v>0</v>
      </c>
      <c r="F144" s="83">
        <f t="shared" si="52"/>
        <v>0</v>
      </c>
      <c r="G144" s="83">
        <f t="shared" si="52"/>
        <v>0</v>
      </c>
      <c r="H144" s="83">
        <f t="shared" si="52"/>
        <v>0</v>
      </c>
      <c r="I144" s="83">
        <f t="shared" si="52"/>
        <v>0</v>
      </c>
      <c r="J144" s="83">
        <f t="shared" si="52"/>
        <v>0</v>
      </c>
      <c r="K144" s="83">
        <f t="shared" si="52"/>
        <v>0</v>
      </c>
      <c r="L144" s="83">
        <f t="shared" si="52"/>
        <v>0</v>
      </c>
      <c r="M144" s="83">
        <f t="shared" si="52"/>
        <v>0</v>
      </c>
      <c r="N144" s="83">
        <f t="shared" si="52"/>
        <v>0</v>
      </c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ht="12.75" customHeight="1">
      <c r="A145" s="85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ht="11.25" customHeight="1">
      <c r="A146" s="88" t="s">
        <v>220</v>
      </c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>
      <c r="A147" s="3" t="s">
        <v>1</v>
      </c>
      <c r="B147" s="3" t="s">
        <v>2</v>
      </c>
      <c r="C147" s="3" t="s">
        <v>3</v>
      </c>
      <c r="D147" s="3" t="s">
        <v>4</v>
      </c>
      <c r="E147" s="3" t="s">
        <v>5</v>
      </c>
      <c r="F147" s="3" t="s">
        <v>6</v>
      </c>
      <c r="G147" s="3" t="s">
        <v>7</v>
      </c>
      <c r="H147" s="3" t="s">
        <v>8</v>
      </c>
      <c r="I147" s="3" t="s">
        <v>9</v>
      </c>
      <c r="J147" s="3" t="s">
        <v>10</v>
      </c>
      <c r="K147" s="3" t="s">
        <v>11</v>
      </c>
      <c r="L147" s="3" t="s">
        <v>12</v>
      </c>
      <c r="M147" s="3" t="s">
        <v>13</v>
      </c>
      <c r="N147" s="3" t="s">
        <v>14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90" t="s">
        <v>221</v>
      </c>
      <c r="B148" s="91">
        <f>SUM(B149:B153)</f>
        <v>0</v>
      </c>
      <c r="C148" s="91">
        <f t="shared" ref="C148:M148" si="53">C149+C150+C151+C152+C153</f>
        <v>0</v>
      </c>
      <c r="D148" s="91">
        <f t="shared" si="53"/>
        <v>0</v>
      </c>
      <c r="E148" s="91">
        <f t="shared" si="53"/>
        <v>0</v>
      </c>
      <c r="F148" s="91">
        <f t="shared" si="53"/>
        <v>0</v>
      </c>
      <c r="G148" s="91">
        <f t="shared" si="53"/>
        <v>0</v>
      </c>
      <c r="H148" s="91">
        <f t="shared" si="53"/>
        <v>0</v>
      </c>
      <c r="I148" s="91">
        <f t="shared" si="53"/>
        <v>0</v>
      </c>
      <c r="J148" s="91">
        <f t="shared" si="53"/>
        <v>0</v>
      </c>
      <c r="K148" s="91">
        <f t="shared" si="53"/>
        <v>0</v>
      </c>
      <c r="L148" s="91">
        <f t="shared" si="53"/>
        <v>0</v>
      </c>
      <c r="M148" s="91">
        <f t="shared" si="53"/>
        <v>0</v>
      </c>
      <c r="N148" s="91">
        <f>B148</f>
        <v>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 outlineLevel="2">
      <c r="A149" s="48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 outlineLevel="2">
      <c r="A150" s="48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 outlineLevel="2">
      <c r="A151" s="48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 outlineLevel="2">
      <c r="A152" s="48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 outlineLevel="2">
      <c r="A153" s="48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82" t="s">
        <v>222</v>
      </c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7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48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48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48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48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48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7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48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7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48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7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48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48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7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48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82" t="s">
        <v>223</v>
      </c>
      <c r="B170" s="95">
        <f t="shared" ref="B170:N170" si="54">B155+B161+B163+B165+B168</f>
        <v>0</v>
      </c>
      <c r="C170" s="95">
        <f t="shared" si="54"/>
        <v>0</v>
      </c>
      <c r="D170" s="95">
        <f t="shared" si="54"/>
        <v>0</v>
      </c>
      <c r="E170" s="95">
        <f t="shared" si="54"/>
        <v>0</v>
      </c>
      <c r="F170" s="95">
        <f t="shared" si="54"/>
        <v>0</v>
      </c>
      <c r="G170" s="95">
        <f t="shared" si="54"/>
        <v>0</v>
      </c>
      <c r="H170" s="95">
        <f t="shared" si="54"/>
        <v>0</v>
      </c>
      <c r="I170" s="95">
        <f t="shared" si="54"/>
        <v>0</v>
      </c>
      <c r="J170" s="95">
        <f t="shared" si="54"/>
        <v>0</v>
      </c>
      <c r="K170" s="95">
        <f t="shared" si="54"/>
        <v>0</v>
      </c>
      <c r="L170" s="95">
        <f t="shared" si="54"/>
        <v>0</v>
      </c>
      <c r="M170" s="95">
        <f t="shared" si="54"/>
        <v>0</v>
      </c>
      <c r="N170" s="95">
        <f t="shared" si="54"/>
        <v>0</v>
      </c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ht="24.0" customHeight="1">
      <c r="A171" s="90" t="s">
        <v>224</v>
      </c>
      <c r="B171" s="91">
        <f t="shared" ref="B171:M171" si="55">B172+B173+B174+B175+B176</f>
        <v>0</v>
      </c>
      <c r="C171" s="91">
        <f t="shared" si="55"/>
        <v>0</v>
      </c>
      <c r="D171" s="91">
        <f t="shared" si="55"/>
        <v>0</v>
      </c>
      <c r="E171" s="91">
        <f t="shared" si="55"/>
        <v>0</v>
      </c>
      <c r="F171" s="91">
        <f t="shared" si="55"/>
        <v>0</v>
      </c>
      <c r="G171" s="91">
        <f t="shared" si="55"/>
        <v>0</v>
      </c>
      <c r="H171" s="91">
        <f t="shared" si="55"/>
        <v>0</v>
      </c>
      <c r="I171" s="91">
        <f t="shared" si="55"/>
        <v>0</v>
      </c>
      <c r="J171" s="91">
        <f t="shared" si="55"/>
        <v>0</v>
      </c>
      <c r="K171" s="91">
        <f t="shared" si="55"/>
        <v>0</v>
      </c>
      <c r="L171" s="91">
        <f t="shared" si="55"/>
        <v>0</v>
      </c>
      <c r="M171" s="91">
        <f t="shared" si="55"/>
        <v>0</v>
      </c>
      <c r="N171" s="91">
        <f>N148+N144-N155</f>
        <v>0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 outlineLevel="2">
      <c r="A172" s="48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 outlineLevel="2">
      <c r="A173" s="48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 outlineLevel="2">
      <c r="A174" s="48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 outlineLevel="2">
      <c r="A175" s="48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 outlineLevel="2">
      <c r="A176" s="48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 outlineLevelRow="2"/>
  <cols>
    <col customWidth="1" min="1" max="1" width="47.0"/>
    <col customWidth="1" min="2" max="13" width="15.29"/>
    <col customWidth="1" min="14" max="14" width="20.14"/>
    <col customWidth="1" min="15" max="16" width="9.14"/>
    <col customWidth="1" min="17" max="26" width="8.71"/>
  </cols>
  <sheetData>
    <row r="1" ht="11.25" customHeight="1">
      <c r="A1" s="96" t="s">
        <v>225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75" customHeight="1">
      <c r="A2" s="3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31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 outlineLevel="1">
      <c r="A3" s="97" t="s">
        <v>226</v>
      </c>
      <c r="B3" s="72"/>
      <c r="C3" s="72"/>
      <c r="D3" s="72"/>
      <c r="E3" s="72"/>
      <c r="F3" s="72"/>
      <c r="G3" s="72"/>
      <c r="H3" s="56"/>
      <c r="I3" s="56"/>
      <c r="J3" s="56"/>
      <c r="K3" s="56"/>
      <c r="L3" s="56"/>
      <c r="M3" s="56"/>
      <c r="N3" s="5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 outlineLevel="2">
      <c r="A4" s="73" t="s">
        <v>203</v>
      </c>
      <c r="B4" s="74">
        <f>'Бюджет-продаж'!B6+'Бюджет-продаж'!B29</f>
        <v>0</v>
      </c>
      <c r="C4" s="74">
        <f>'Бюджет-продаж'!C6+'Бюджет-продаж'!C29</f>
        <v>0</v>
      </c>
      <c r="D4" s="74">
        <f>'Бюджет-продаж'!D6+'Бюджет-продаж'!D29</f>
        <v>0</v>
      </c>
      <c r="E4" s="74">
        <f>'Бюджет-продаж'!E6+'Бюджет-продаж'!E29</f>
        <v>0</v>
      </c>
      <c r="F4" s="74">
        <f>'Бюджет-продаж'!F6+'Бюджет-продаж'!F29</f>
        <v>0</v>
      </c>
      <c r="G4" s="74">
        <f>'Бюджет-продаж'!G6+'Бюджет-продаж'!G29</f>
        <v>0</v>
      </c>
      <c r="H4" s="74">
        <f>'Бюджет-продаж'!H6+'Бюджет-продаж'!H29</f>
        <v>0</v>
      </c>
      <c r="I4" s="74">
        <f>'Бюджет-продаж'!I6+'Бюджет-продаж'!I29</f>
        <v>0</v>
      </c>
      <c r="J4" s="74">
        <f>'Бюджет-продаж'!J6+'Бюджет-продаж'!J29</f>
        <v>0</v>
      </c>
      <c r="K4" s="74">
        <f>'Бюджет-продаж'!K6+'Бюджет-продаж'!K29</f>
        <v>0</v>
      </c>
      <c r="L4" s="74">
        <f>'Бюджет-продаж'!L6+'Бюджет-продаж'!L29</f>
        <v>0</v>
      </c>
      <c r="M4" s="74">
        <f>'Бюджет-продаж'!M6+'Бюджет-продаж'!M29</f>
        <v>0</v>
      </c>
      <c r="N4" s="75">
        <f t="shared" ref="N4:N23" si="1">SUM(B4,C4,D4,E4,F4,G4,H4,I4,J4,K4,L4,M4)</f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 outlineLevel="2">
      <c r="A5" s="73" t="s">
        <v>204</v>
      </c>
      <c r="B5" s="74">
        <f>'Бюджет-продаж'!B7+'Бюджет-продаж'!B30</f>
        <v>0</v>
      </c>
      <c r="C5" s="74">
        <f>'Бюджет-продаж'!C7+'Бюджет-продаж'!C30</f>
        <v>0</v>
      </c>
      <c r="D5" s="74">
        <f>'Бюджет-продаж'!D7+'Бюджет-продаж'!D30</f>
        <v>0</v>
      </c>
      <c r="E5" s="74">
        <f>'Бюджет-продаж'!E7+'Бюджет-продаж'!E30</f>
        <v>0</v>
      </c>
      <c r="F5" s="74">
        <f>'Бюджет-продаж'!F7+'Бюджет-продаж'!F30</f>
        <v>0</v>
      </c>
      <c r="G5" s="74">
        <f>'Бюджет-продаж'!G7+'Бюджет-продаж'!G30</f>
        <v>0</v>
      </c>
      <c r="H5" s="74">
        <f>'Бюджет-продаж'!H7+'Бюджет-продаж'!H30</f>
        <v>0</v>
      </c>
      <c r="I5" s="74">
        <f>'Бюджет-продаж'!I7+'Бюджет-продаж'!I30</f>
        <v>0</v>
      </c>
      <c r="J5" s="74">
        <f>'Бюджет-продаж'!J7+'Бюджет-продаж'!J30</f>
        <v>0</v>
      </c>
      <c r="K5" s="74">
        <f>'Бюджет-продаж'!K7+'Бюджет-продаж'!K30</f>
        <v>0</v>
      </c>
      <c r="L5" s="74">
        <f>'Бюджет-продаж'!L7+'Бюджет-продаж'!L30</f>
        <v>0</v>
      </c>
      <c r="M5" s="74">
        <f>'Бюджет-продаж'!M7+'Бюджет-продаж'!M30</f>
        <v>0</v>
      </c>
      <c r="N5" s="75">
        <f t="shared" si="1"/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 outlineLevel="2">
      <c r="A6" s="73" t="s">
        <v>205</v>
      </c>
      <c r="B6" s="74">
        <f>'Бюджет-продаж'!B8+'Бюджет-продаж'!B31</f>
        <v>0</v>
      </c>
      <c r="C6" s="74">
        <f>'Бюджет-продаж'!C8+'Бюджет-продаж'!C31</f>
        <v>0</v>
      </c>
      <c r="D6" s="74">
        <f>'Бюджет-продаж'!D8+'Бюджет-продаж'!D31</f>
        <v>0</v>
      </c>
      <c r="E6" s="74">
        <f>'Бюджет-продаж'!E8+'Бюджет-продаж'!E31</f>
        <v>0</v>
      </c>
      <c r="F6" s="74">
        <f>'Бюджет-продаж'!F8+'Бюджет-продаж'!F31</f>
        <v>0</v>
      </c>
      <c r="G6" s="74">
        <f>'Бюджет-продаж'!G8+'Бюджет-продаж'!G31</f>
        <v>0</v>
      </c>
      <c r="H6" s="74">
        <f>'Бюджет-продаж'!H8+'Бюджет-продаж'!H31</f>
        <v>0</v>
      </c>
      <c r="I6" s="74">
        <f>'Бюджет-продаж'!I8+'Бюджет-продаж'!I31</f>
        <v>0</v>
      </c>
      <c r="J6" s="74">
        <f>'Бюджет-продаж'!J8+'Бюджет-продаж'!J31</f>
        <v>0</v>
      </c>
      <c r="K6" s="74">
        <f>'Бюджет-продаж'!K8+'Бюджет-продаж'!K31</f>
        <v>0</v>
      </c>
      <c r="L6" s="74">
        <f>'Бюджет-продаж'!L8+'Бюджет-продаж'!L31</f>
        <v>0</v>
      </c>
      <c r="M6" s="74">
        <f>'Бюджет-продаж'!M8+'Бюджет-продаж'!M31</f>
        <v>0</v>
      </c>
      <c r="N6" s="75">
        <f t="shared" si="1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 outlineLevel="2">
      <c r="A7" s="73" t="s">
        <v>206</v>
      </c>
      <c r="B7" s="74">
        <f>'Бюджет-продаж'!B9+'Бюджет-продаж'!B32</f>
        <v>0</v>
      </c>
      <c r="C7" s="74">
        <f>'Бюджет-продаж'!C9+'Бюджет-продаж'!C32</f>
        <v>0</v>
      </c>
      <c r="D7" s="74">
        <f>'Бюджет-продаж'!D9+'Бюджет-продаж'!D32</f>
        <v>0</v>
      </c>
      <c r="E7" s="74">
        <f>'Бюджет-продаж'!E9+'Бюджет-продаж'!E32</f>
        <v>0</v>
      </c>
      <c r="F7" s="74">
        <f>'Бюджет-продаж'!F9+'Бюджет-продаж'!F32</f>
        <v>0</v>
      </c>
      <c r="G7" s="74">
        <f>'Бюджет-продаж'!G9+'Бюджет-продаж'!G32</f>
        <v>0</v>
      </c>
      <c r="H7" s="74">
        <f>'Бюджет-продаж'!H9+'Бюджет-продаж'!H32</f>
        <v>0</v>
      </c>
      <c r="I7" s="74">
        <f>'Бюджет-продаж'!I9+'Бюджет-продаж'!I32</f>
        <v>0</v>
      </c>
      <c r="J7" s="74">
        <f>'Бюджет-продаж'!J9+'Бюджет-продаж'!J32</f>
        <v>0</v>
      </c>
      <c r="K7" s="74">
        <f>'Бюджет-продаж'!K9+'Бюджет-продаж'!K32</f>
        <v>0</v>
      </c>
      <c r="L7" s="74">
        <f>'Бюджет-продаж'!L9+'Бюджет-продаж'!L32</f>
        <v>0</v>
      </c>
      <c r="M7" s="74">
        <f>'Бюджет-продаж'!M9+'Бюджет-продаж'!M32</f>
        <v>0</v>
      </c>
      <c r="N7" s="75">
        <f t="shared" si="1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 outlineLevel="2">
      <c r="A8" s="73" t="s">
        <v>207</v>
      </c>
      <c r="B8" s="74">
        <f>'Бюджет-продаж'!B10+'Бюджет-продаж'!B33</f>
        <v>0</v>
      </c>
      <c r="C8" s="74">
        <f>'Бюджет-продаж'!C10+'Бюджет-продаж'!C33</f>
        <v>0</v>
      </c>
      <c r="D8" s="74">
        <f>'Бюджет-продаж'!D10+'Бюджет-продаж'!D33</f>
        <v>0</v>
      </c>
      <c r="E8" s="74">
        <f>'Бюджет-продаж'!E10+'Бюджет-продаж'!E33</f>
        <v>0</v>
      </c>
      <c r="F8" s="74">
        <f>'Бюджет-продаж'!F10+'Бюджет-продаж'!F33</f>
        <v>0</v>
      </c>
      <c r="G8" s="74">
        <f>'Бюджет-продаж'!G10+'Бюджет-продаж'!G33</f>
        <v>0</v>
      </c>
      <c r="H8" s="74">
        <f>'Бюджет-продаж'!H10+'Бюджет-продаж'!H33</f>
        <v>0</v>
      </c>
      <c r="I8" s="74">
        <f>'Бюджет-продаж'!I10+'Бюджет-продаж'!I33</f>
        <v>0</v>
      </c>
      <c r="J8" s="74">
        <f>'Бюджет-продаж'!J10+'Бюджет-продаж'!J33</f>
        <v>0</v>
      </c>
      <c r="K8" s="74">
        <f>'Бюджет-продаж'!K10+'Бюджет-продаж'!K33</f>
        <v>0</v>
      </c>
      <c r="L8" s="74">
        <f>'Бюджет-продаж'!L10+'Бюджет-продаж'!L33</f>
        <v>0</v>
      </c>
      <c r="M8" s="74">
        <f>'Бюджет-продаж'!M10+'Бюджет-продаж'!M33</f>
        <v>0</v>
      </c>
      <c r="N8" s="75">
        <f t="shared" si="1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 outlineLevel="2">
      <c r="A9" s="73" t="s">
        <v>208</v>
      </c>
      <c r="B9" s="74">
        <f>'Бюджет-продаж'!B11+'Бюджет-продаж'!B34</f>
        <v>0</v>
      </c>
      <c r="C9" s="74">
        <f>'Бюджет-продаж'!C11+'Бюджет-продаж'!C34</f>
        <v>0</v>
      </c>
      <c r="D9" s="74">
        <f>'Бюджет-продаж'!D11+'Бюджет-продаж'!D34</f>
        <v>0</v>
      </c>
      <c r="E9" s="74">
        <f>'Бюджет-продаж'!E11+'Бюджет-продаж'!E34</f>
        <v>0</v>
      </c>
      <c r="F9" s="74">
        <f>'Бюджет-продаж'!F11+'Бюджет-продаж'!F34</f>
        <v>0</v>
      </c>
      <c r="G9" s="74">
        <f>'Бюджет-продаж'!G11+'Бюджет-продаж'!G34</f>
        <v>0</v>
      </c>
      <c r="H9" s="74">
        <f>'Бюджет-продаж'!H11+'Бюджет-продаж'!H34</f>
        <v>0</v>
      </c>
      <c r="I9" s="74">
        <f>'Бюджет-продаж'!I11+'Бюджет-продаж'!I34</f>
        <v>0</v>
      </c>
      <c r="J9" s="74">
        <f>'Бюджет-продаж'!J11+'Бюджет-продаж'!J34</f>
        <v>0</v>
      </c>
      <c r="K9" s="74">
        <f>'Бюджет-продаж'!K11+'Бюджет-продаж'!K34</f>
        <v>0</v>
      </c>
      <c r="L9" s="74">
        <f>'Бюджет-продаж'!L11+'Бюджет-продаж'!L34</f>
        <v>0</v>
      </c>
      <c r="M9" s="74">
        <f>'Бюджет-продаж'!M11+'Бюджет-продаж'!M34</f>
        <v>0</v>
      </c>
      <c r="N9" s="75">
        <f t="shared" si="1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 outlineLevel="2">
      <c r="A10" s="11"/>
      <c r="B10" s="74">
        <f>'Бюджет-продаж'!B12+'Бюджет-продаж'!B35</f>
        <v>0</v>
      </c>
      <c r="C10" s="74">
        <f>'Бюджет-продаж'!C12+'Бюджет-продаж'!C35</f>
        <v>0</v>
      </c>
      <c r="D10" s="74">
        <f>'Бюджет-продаж'!D12+'Бюджет-продаж'!D35</f>
        <v>0</v>
      </c>
      <c r="E10" s="74">
        <f>'Бюджет-продаж'!E12+'Бюджет-продаж'!E35</f>
        <v>0</v>
      </c>
      <c r="F10" s="74">
        <f>'Бюджет-продаж'!F12+'Бюджет-продаж'!F35</f>
        <v>0</v>
      </c>
      <c r="G10" s="74">
        <f>'Бюджет-продаж'!G12+'Бюджет-продаж'!G35</f>
        <v>0</v>
      </c>
      <c r="H10" s="74">
        <f>'Бюджет-продаж'!H12+'Бюджет-продаж'!H35</f>
        <v>0</v>
      </c>
      <c r="I10" s="74">
        <f>'Бюджет-продаж'!I12+'Бюджет-продаж'!I35</f>
        <v>0</v>
      </c>
      <c r="J10" s="74">
        <f>'Бюджет-продаж'!J12+'Бюджет-продаж'!J35</f>
        <v>0</v>
      </c>
      <c r="K10" s="74">
        <f>'Бюджет-продаж'!K12+'Бюджет-продаж'!K35</f>
        <v>0</v>
      </c>
      <c r="L10" s="74">
        <f>'Бюджет-продаж'!L12+'Бюджет-продаж'!L35</f>
        <v>0</v>
      </c>
      <c r="M10" s="74">
        <f>'Бюджет-продаж'!M12+'Бюджет-продаж'!M35</f>
        <v>0</v>
      </c>
      <c r="N10" s="75">
        <f t="shared" si="1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 outlineLevel="2">
      <c r="A11" s="11"/>
      <c r="B11" s="74">
        <f>'Бюджет-продаж'!B13+'Бюджет-продаж'!B36</f>
        <v>0</v>
      </c>
      <c r="C11" s="74">
        <f>'Бюджет-продаж'!C13+'Бюджет-продаж'!C36</f>
        <v>0</v>
      </c>
      <c r="D11" s="74">
        <f>'Бюджет-продаж'!D13+'Бюджет-продаж'!D36</f>
        <v>0</v>
      </c>
      <c r="E11" s="74">
        <f>'Бюджет-продаж'!E13+'Бюджет-продаж'!E36</f>
        <v>0</v>
      </c>
      <c r="F11" s="74">
        <f>'Бюджет-продаж'!F13+'Бюджет-продаж'!F36</f>
        <v>0</v>
      </c>
      <c r="G11" s="74">
        <f>'Бюджет-продаж'!G13+'Бюджет-продаж'!G36</f>
        <v>0</v>
      </c>
      <c r="H11" s="74">
        <f>'Бюджет-продаж'!H13+'Бюджет-продаж'!H36</f>
        <v>0</v>
      </c>
      <c r="I11" s="74">
        <f>'Бюджет-продаж'!I13+'Бюджет-продаж'!I36</f>
        <v>0</v>
      </c>
      <c r="J11" s="74">
        <f>'Бюджет-продаж'!J13+'Бюджет-продаж'!J36</f>
        <v>0</v>
      </c>
      <c r="K11" s="74">
        <f>'Бюджет-продаж'!K13+'Бюджет-продаж'!K36</f>
        <v>0</v>
      </c>
      <c r="L11" s="74">
        <f>'Бюджет-продаж'!L13+'Бюджет-продаж'!L36</f>
        <v>0</v>
      </c>
      <c r="M11" s="74">
        <f>'Бюджет-продаж'!M13+'Бюджет-продаж'!M36</f>
        <v>0</v>
      </c>
      <c r="N11" s="75">
        <f t="shared" si="1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 outlineLevel="2">
      <c r="A12" s="11"/>
      <c r="B12" s="74">
        <f>'Бюджет-продаж'!B14+'Бюджет-продаж'!B37</f>
        <v>0</v>
      </c>
      <c r="C12" s="74">
        <f>'Бюджет-продаж'!C14+'Бюджет-продаж'!C37</f>
        <v>0</v>
      </c>
      <c r="D12" s="74">
        <f>'Бюджет-продаж'!D14+'Бюджет-продаж'!D37</f>
        <v>0</v>
      </c>
      <c r="E12" s="74">
        <f>'Бюджет-продаж'!E14+'Бюджет-продаж'!E37</f>
        <v>0</v>
      </c>
      <c r="F12" s="74">
        <f>'Бюджет-продаж'!F14+'Бюджет-продаж'!F37</f>
        <v>0</v>
      </c>
      <c r="G12" s="74">
        <f>'Бюджет-продаж'!G14+'Бюджет-продаж'!G37</f>
        <v>0</v>
      </c>
      <c r="H12" s="74">
        <f>'Бюджет-продаж'!H14+'Бюджет-продаж'!H37</f>
        <v>0</v>
      </c>
      <c r="I12" s="74">
        <f>'Бюджет-продаж'!I14+'Бюджет-продаж'!I37</f>
        <v>0</v>
      </c>
      <c r="J12" s="74">
        <f>'Бюджет-продаж'!J14+'Бюджет-продаж'!J37</f>
        <v>0</v>
      </c>
      <c r="K12" s="74">
        <f>'Бюджет-продаж'!K14+'Бюджет-продаж'!K37</f>
        <v>0</v>
      </c>
      <c r="L12" s="74">
        <f>'Бюджет-продаж'!L14+'Бюджет-продаж'!L37</f>
        <v>0</v>
      </c>
      <c r="M12" s="74">
        <f>'Бюджет-продаж'!M14+'Бюджет-продаж'!M37</f>
        <v>0</v>
      </c>
      <c r="N12" s="75">
        <f t="shared" si="1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 outlineLevel="2">
      <c r="A13" s="11"/>
      <c r="B13" s="74">
        <f>'Бюджет-продаж'!B15+'Бюджет-продаж'!B38</f>
        <v>0</v>
      </c>
      <c r="C13" s="74">
        <f>'Бюджет-продаж'!C15+'Бюджет-продаж'!C38</f>
        <v>0</v>
      </c>
      <c r="D13" s="74">
        <f>'Бюджет-продаж'!D15+'Бюджет-продаж'!D38</f>
        <v>0</v>
      </c>
      <c r="E13" s="74">
        <f>'Бюджет-продаж'!E15+'Бюджет-продаж'!E38</f>
        <v>0</v>
      </c>
      <c r="F13" s="74">
        <f>'Бюджет-продаж'!F15+'Бюджет-продаж'!F38</f>
        <v>0</v>
      </c>
      <c r="G13" s="74">
        <f>'Бюджет-продаж'!G15+'Бюджет-продаж'!G38</f>
        <v>0</v>
      </c>
      <c r="H13" s="74">
        <f>'Бюджет-продаж'!H15+'Бюджет-продаж'!H38</f>
        <v>0</v>
      </c>
      <c r="I13" s="74">
        <f>'Бюджет-продаж'!I15+'Бюджет-продаж'!I38</f>
        <v>0</v>
      </c>
      <c r="J13" s="74">
        <f>'Бюджет-продаж'!J15+'Бюджет-продаж'!J38</f>
        <v>0</v>
      </c>
      <c r="K13" s="74">
        <f>'Бюджет-продаж'!K15+'Бюджет-продаж'!K38</f>
        <v>0</v>
      </c>
      <c r="L13" s="74">
        <f>'Бюджет-продаж'!L15+'Бюджет-продаж'!L38</f>
        <v>0</v>
      </c>
      <c r="M13" s="74">
        <f>'Бюджет-продаж'!M15+'Бюджет-продаж'!M38</f>
        <v>0</v>
      </c>
      <c r="N13" s="75">
        <f t="shared" si="1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2">
      <c r="A14" s="11"/>
      <c r="B14" s="74">
        <f>'Бюджет-продаж'!B16+'Бюджет-продаж'!B39</f>
        <v>0</v>
      </c>
      <c r="C14" s="74">
        <f>'Бюджет-продаж'!C16+'Бюджет-продаж'!C39</f>
        <v>0</v>
      </c>
      <c r="D14" s="74">
        <f>'Бюджет-продаж'!D16+'Бюджет-продаж'!D39</f>
        <v>0</v>
      </c>
      <c r="E14" s="74">
        <f>'Бюджет-продаж'!E16+'Бюджет-продаж'!E39</f>
        <v>0</v>
      </c>
      <c r="F14" s="74">
        <f>'Бюджет-продаж'!F16+'Бюджет-продаж'!F39</f>
        <v>0</v>
      </c>
      <c r="G14" s="74">
        <f>'Бюджет-продаж'!G16+'Бюджет-продаж'!G39</f>
        <v>0</v>
      </c>
      <c r="H14" s="74">
        <f>'Бюджет-продаж'!H16+'Бюджет-продаж'!H39</f>
        <v>0</v>
      </c>
      <c r="I14" s="74">
        <f>'Бюджет-продаж'!I16+'Бюджет-продаж'!I39</f>
        <v>0</v>
      </c>
      <c r="J14" s="74">
        <f>'Бюджет-продаж'!J16+'Бюджет-продаж'!J39</f>
        <v>0</v>
      </c>
      <c r="K14" s="74">
        <f>'Бюджет-продаж'!K16+'Бюджет-продаж'!K39</f>
        <v>0</v>
      </c>
      <c r="L14" s="74">
        <f>'Бюджет-продаж'!L16+'Бюджет-продаж'!L39</f>
        <v>0</v>
      </c>
      <c r="M14" s="74">
        <f>'Бюджет-продаж'!M16+'Бюджет-продаж'!M39</f>
        <v>0</v>
      </c>
      <c r="N14" s="75">
        <f t="shared" si="1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outlineLevel="2">
      <c r="A15" s="11"/>
      <c r="B15" s="74">
        <f>'Бюджет-продаж'!B17+'Бюджет-продаж'!B40</f>
        <v>0</v>
      </c>
      <c r="C15" s="74">
        <f>'Бюджет-продаж'!C17+'Бюджет-продаж'!C40</f>
        <v>0</v>
      </c>
      <c r="D15" s="74">
        <f>'Бюджет-продаж'!D17+'Бюджет-продаж'!D40</f>
        <v>0</v>
      </c>
      <c r="E15" s="74">
        <f>'Бюджет-продаж'!E17+'Бюджет-продаж'!E40</f>
        <v>0</v>
      </c>
      <c r="F15" s="74">
        <f>'Бюджет-продаж'!F17+'Бюджет-продаж'!F40</f>
        <v>0</v>
      </c>
      <c r="G15" s="74">
        <f>'Бюджет-продаж'!G17+'Бюджет-продаж'!G40</f>
        <v>0</v>
      </c>
      <c r="H15" s="74">
        <f>'Бюджет-продаж'!H17+'Бюджет-продаж'!H40</f>
        <v>0</v>
      </c>
      <c r="I15" s="74">
        <f>'Бюджет-продаж'!I17+'Бюджет-продаж'!I40</f>
        <v>0</v>
      </c>
      <c r="J15" s="74">
        <f>'Бюджет-продаж'!J17+'Бюджет-продаж'!J40</f>
        <v>0</v>
      </c>
      <c r="K15" s="74">
        <f>'Бюджет-продаж'!K17+'Бюджет-продаж'!K40</f>
        <v>0</v>
      </c>
      <c r="L15" s="74">
        <f>'Бюджет-продаж'!L17+'Бюджет-продаж'!L40</f>
        <v>0</v>
      </c>
      <c r="M15" s="74">
        <f>'Бюджет-продаж'!M17+'Бюджет-продаж'!M40</f>
        <v>0</v>
      </c>
      <c r="N15" s="75">
        <f t="shared" si="1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outlineLevel="2">
      <c r="A16" s="11"/>
      <c r="B16" s="74">
        <f>'Бюджет-продаж'!B18+'Бюджет-продаж'!B41</f>
        <v>0</v>
      </c>
      <c r="C16" s="74">
        <f>'Бюджет-продаж'!C18+'Бюджет-продаж'!C41</f>
        <v>0</v>
      </c>
      <c r="D16" s="74">
        <f>'Бюджет-продаж'!D18+'Бюджет-продаж'!D41</f>
        <v>0</v>
      </c>
      <c r="E16" s="74">
        <f>'Бюджет-продаж'!E18+'Бюджет-продаж'!E41</f>
        <v>0</v>
      </c>
      <c r="F16" s="74">
        <f>'Бюджет-продаж'!F18+'Бюджет-продаж'!F41</f>
        <v>0</v>
      </c>
      <c r="G16" s="74">
        <f>'Бюджет-продаж'!G18+'Бюджет-продаж'!G41</f>
        <v>0</v>
      </c>
      <c r="H16" s="74">
        <f>'Бюджет-продаж'!H18+'Бюджет-продаж'!H41</f>
        <v>0</v>
      </c>
      <c r="I16" s="74">
        <f>'Бюджет-продаж'!I18+'Бюджет-продаж'!I41</f>
        <v>0</v>
      </c>
      <c r="J16" s="74">
        <f>'Бюджет-продаж'!J18+'Бюджет-продаж'!J41</f>
        <v>0</v>
      </c>
      <c r="K16" s="74">
        <f>'Бюджет-продаж'!K18+'Бюджет-продаж'!K41</f>
        <v>0</v>
      </c>
      <c r="L16" s="74">
        <f>'Бюджет-продаж'!L18+'Бюджет-продаж'!L41</f>
        <v>0</v>
      </c>
      <c r="M16" s="74">
        <f>'Бюджет-продаж'!M18+'Бюджет-продаж'!M41</f>
        <v>0</v>
      </c>
      <c r="N16" s="75">
        <f t="shared" si="1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2">
      <c r="A17" s="11"/>
      <c r="B17" s="74">
        <f>'Бюджет-продаж'!B19+'Бюджет-продаж'!B42</f>
        <v>0</v>
      </c>
      <c r="C17" s="74">
        <f>'Бюджет-продаж'!C19+'Бюджет-продаж'!C42</f>
        <v>0</v>
      </c>
      <c r="D17" s="74">
        <f>'Бюджет-продаж'!D19+'Бюджет-продаж'!D42</f>
        <v>0</v>
      </c>
      <c r="E17" s="74">
        <f>'Бюджет-продаж'!E19+'Бюджет-продаж'!E42</f>
        <v>0</v>
      </c>
      <c r="F17" s="74">
        <f>'Бюджет-продаж'!F19+'Бюджет-продаж'!F42</f>
        <v>0</v>
      </c>
      <c r="G17" s="74">
        <f>'Бюджет-продаж'!G19+'Бюджет-продаж'!G42</f>
        <v>0</v>
      </c>
      <c r="H17" s="74">
        <f>'Бюджет-продаж'!H19+'Бюджет-продаж'!H42</f>
        <v>0</v>
      </c>
      <c r="I17" s="74">
        <f>'Бюджет-продаж'!I19+'Бюджет-продаж'!I42</f>
        <v>0</v>
      </c>
      <c r="J17" s="74">
        <f>'Бюджет-продаж'!J19+'Бюджет-продаж'!J42</f>
        <v>0</v>
      </c>
      <c r="K17" s="74">
        <f>'Бюджет-продаж'!K19+'Бюджет-продаж'!K42</f>
        <v>0</v>
      </c>
      <c r="L17" s="74">
        <f>'Бюджет-продаж'!L19+'Бюджет-продаж'!L42</f>
        <v>0</v>
      </c>
      <c r="M17" s="74">
        <f>'Бюджет-продаж'!M19+'Бюджет-продаж'!M42</f>
        <v>0</v>
      </c>
      <c r="N17" s="75">
        <f t="shared" si="1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outlineLevel="2">
      <c r="A18" s="11"/>
      <c r="B18" s="74">
        <f>'Бюджет-продаж'!B20+'Бюджет-продаж'!B43</f>
        <v>0</v>
      </c>
      <c r="C18" s="74">
        <f>'Бюджет-продаж'!C20+'Бюджет-продаж'!C43</f>
        <v>0</v>
      </c>
      <c r="D18" s="74">
        <f>'Бюджет-продаж'!D20+'Бюджет-продаж'!D43</f>
        <v>0</v>
      </c>
      <c r="E18" s="74">
        <f>'Бюджет-продаж'!E20+'Бюджет-продаж'!E43</f>
        <v>0</v>
      </c>
      <c r="F18" s="74">
        <f>'Бюджет-продаж'!F20+'Бюджет-продаж'!F43</f>
        <v>0</v>
      </c>
      <c r="G18" s="74">
        <f>'Бюджет-продаж'!G20+'Бюджет-продаж'!G43</f>
        <v>0</v>
      </c>
      <c r="H18" s="74">
        <f>'Бюджет-продаж'!H20+'Бюджет-продаж'!H43</f>
        <v>0</v>
      </c>
      <c r="I18" s="74">
        <f>'Бюджет-продаж'!I20+'Бюджет-продаж'!I43</f>
        <v>0</v>
      </c>
      <c r="J18" s="74">
        <f>'Бюджет-продаж'!J20+'Бюджет-продаж'!J43</f>
        <v>0</v>
      </c>
      <c r="K18" s="74">
        <f>'Бюджет-продаж'!K20+'Бюджет-продаж'!K43</f>
        <v>0</v>
      </c>
      <c r="L18" s="74">
        <f>'Бюджет-продаж'!L20+'Бюджет-продаж'!L43</f>
        <v>0</v>
      </c>
      <c r="M18" s="74">
        <f>'Бюджет-продаж'!M20+'Бюджет-продаж'!M43</f>
        <v>0</v>
      </c>
      <c r="N18" s="75">
        <f t="shared" si="1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 outlineLevel="2">
      <c r="A19" s="11"/>
      <c r="B19" s="74">
        <f>'Бюджет-продаж'!B21+'Бюджет-продаж'!B44</f>
        <v>0</v>
      </c>
      <c r="C19" s="74">
        <f>'Бюджет-продаж'!C21+'Бюджет-продаж'!C44</f>
        <v>0</v>
      </c>
      <c r="D19" s="74">
        <f>'Бюджет-продаж'!D21+'Бюджет-продаж'!D44</f>
        <v>0</v>
      </c>
      <c r="E19" s="74">
        <f>'Бюджет-продаж'!E21+'Бюджет-продаж'!E44</f>
        <v>0</v>
      </c>
      <c r="F19" s="74">
        <f>'Бюджет-продаж'!F21+'Бюджет-продаж'!F44</f>
        <v>0</v>
      </c>
      <c r="G19" s="74">
        <f>'Бюджет-продаж'!G21+'Бюджет-продаж'!G44</f>
        <v>0</v>
      </c>
      <c r="H19" s="74">
        <f>'Бюджет-продаж'!H21+'Бюджет-продаж'!H44</f>
        <v>0</v>
      </c>
      <c r="I19" s="74">
        <f>'Бюджет-продаж'!I21+'Бюджет-продаж'!I44</f>
        <v>0</v>
      </c>
      <c r="J19" s="74">
        <f>'Бюджет-продаж'!J21+'Бюджет-продаж'!J44</f>
        <v>0</v>
      </c>
      <c r="K19" s="74">
        <f>'Бюджет-продаж'!K21+'Бюджет-продаж'!K44</f>
        <v>0</v>
      </c>
      <c r="L19" s="74">
        <f>'Бюджет-продаж'!L21+'Бюджет-продаж'!L44</f>
        <v>0</v>
      </c>
      <c r="M19" s="74">
        <f>'Бюджет-продаж'!M21+'Бюджет-продаж'!M44</f>
        <v>0</v>
      </c>
      <c r="N19" s="75">
        <f t="shared" si="1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 outlineLevel="2">
      <c r="A20" s="11"/>
      <c r="B20" s="74">
        <f>'Бюджет-продаж'!B22+'Бюджет-продаж'!B45</f>
        <v>0</v>
      </c>
      <c r="C20" s="74">
        <f>'Бюджет-продаж'!C22+'Бюджет-продаж'!C45</f>
        <v>0</v>
      </c>
      <c r="D20" s="74">
        <f>'Бюджет-продаж'!D22+'Бюджет-продаж'!D45</f>
        <v>0</v>
      </c>
      <c r="E20" s="74">
        <f>'Бюджет-продаж'!E22+'Бюджет-продаж'!E45</f>
        <v>0</v>
      </c>
      <c r="F20" s="74">
        <f>'Бюджет-продаж'!F22+'Бюджет-продаж'!F45</f>
        <v>0</v>
      </c>
      <c r="G20" s="74">
        <f>'Бюджет-продаж'!G22+'Бюджет-продаж'!G45</f>
        <v>0</v>
      </c>
      <c r="H20" s="74">
        <f>'Бюджет-продаж'!H22+'Бюджет-продаж'!H45</f>
        <v>0</v>
      </c>
      <c r="I20" s="74">
        <f>'Бюджет-продаж'!I22+'Бюджет-продаж'!I45</f>
        <v>0</v>
      </c>
      <c r="J20" s="74">
        <f>'Бюджет-продаж'!J22+'Бюджет-продаж'!J45</f>
        <v>0</v>
      </c>
      <c r="K20" s="74">
        <f>'Бюджет-продаж'!K22+'Бюджет-продаж'!K45</f>
        <v>0</v>
      </c>
      <c r="L20" s="74">
        <f>'Бюджет-продаж'!L22+'Бюджет-продаж'!L45</f>
        <v>0</v>
      </c>
      <c r="M20" s="74">
        <f>'Бюджет-продаж'!M22+'Бюджет-продаж'!M45</f>
        <v>0</v>
      </c>
      <c r="N20" s="75">
        <f t="shared" si="1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 outlineLevel="2">
      <c r="A21" s="11"/>
      <c r="B21" s="74">
        <f>'Бюджет-продаж'!B23+'Бюджет-продаж'!B46</f>
        <v>0</v>
      </c>
      <c r="C21" s="74">
        <f>'Бюджет-продаж'!C23+'Бюджет-продаж'!C46</f>
        <v>0</v>
      </c>
      <c r="D21" s="74">
        <f>'Бюджет-продаж'!D23+'Бюджет-продаж'!D46</f>
        <v>0</v>
      </c>
      <c r="E21" s="74">
        <f>'Бюджет-продаж'!E23+'Бюджет-продаж'!E46</f>
        <v>0</v>
      </c>
      <c r="F21" s="74">
        <f>'Бюджет-продаж'!F23+'Бюджет-продаж'!F46</f>
        <v>0</v>
      </c>
      <c r="G21" s="74">
        <f>'Бюджет-продаж'!G23+'Бюджет-продаж'!G46</f>
        <v>0</v>
      </c>
      <c r="H21" s="74">
        <f>'Бюджет-продаж'!H23+'Бюджет-продаж'!H46</f>
        <v>0</v>
      </c>
      <c r="I21" s="74">
        <f>'Бюджет-продаж'!I23+'Бюджет-продаж'!I46</f>
        <v>0</v>
      </c>
      <c r="J21" s="74">
        <f>'Бюджет-продаж'!J23+'Бюджет-продаж'!J46</f>
        <v>0</v>
      </c>
      <c r="K21" s="74">
        <f>'Бюджет-продаж'!K23+'Бюджет-продаж'!K46</f>
        <v>0</v>
      </c>
      <c r="L21" s="74">
        <f>'Бюджет-продаж'!L23+'Бюджет-продаж'!L46</f>
        <v>0</v>
      </c>
      <c r="M21" s="74">
        <f>'Бюджет-продаж'!M23+'Бюджет-продаж'!M46</f>
        <v>0</v>
      </c>
      <c r="N21" s="75">
        <f t="shared" si="1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 outlineLevel="2">
      <c r="A22" s="11"/>
      <c r="B22" s="74">
        <f>'Бюджет-продаж'!B24+'Бюджет-продаж'!B47</f>
        <v>0</v>
      </c>
      <c r="C22" s="74">
        <f>'Бюджет-продаж'!C24+'Бюджет-продаж'!C47</f>
        <v>0</v>
      </c>
      <c r="D22" s="74">
        <f>'Бюджет-продаж'!D24+'Бюджет-продаж'!D47</f>
        <v>0</v>
      </c>
      <c r="E22" s="74">
        <f>'Бюджет-продаж'!E24+'Бюджет-продаж'!E47</f>
        <v>0</v>
      </c>
      <c r="F22" s="74">
        <f>'Бюджет-продаж'!F24+'Бюджет-продаж'!F47</f>
        <v>0</v>
      </c>
      <c r="G22" s="74">
        <f>'Бюджет-продаж'!G24+'Бюджет-продаж'!G47</f>
        <v>0</v>
      </c>
      <c r="H22" s="74">
        <f>'Бюджет-продаж'!H24+'Бюджет-продаж'!H47</f>
        <v>0</v>
      </c>
      <c r="I22" s="74">
        <f>'Бюджет-продаж'!I24+'Бюджет-продаж'!I47</f>
        <v>0</v>
      </c>
      <c r="J22" s="74">
        <f>'Бюджет-продаж'!J24+'Бюджет-продаж'!J47</f>
        <v>0</v>
      </c>
      <c r="K22" s="74">
        <f>'Бюджет-продаж'!K24+'Бюджет-продаж'!K47</f>
        <v>0</v>
      </c>
      <c r="L22" s="74">
        <f>'Бюджет-продаж'!L24+'Бюджет-продаж'!L47</f>
        <v>0</v>
      </c>
      <c r="M22" s="74">
        <f>'Бюджет-продаж'!M24+'Бюджет-продаж'!M47</f>
        <v>0</v>
      </c>
      <c r="N22" s="75">
        <f t="shared" si="1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 outlineLevel="2">
      <c r="A23" s="11"/>
      <c r="B23" s="74">
        <f>'Бюджет-продаж'!B25+'Бюджет-продаж'!B48</f>
        <v>0</v>
      </c>
      <c r="C23" s="74">
        <f>'Бюджет-продаж'!C25+'Бюджет-продаж'!C48</f>
        <v>0</v>
      </c>
      <c r="D23" s="74">
        <f>'Бюджет-продаж'!D25+'Бюджет-продаж'!D48</f>
        <v>0</v>
      </c>
      <c r="E23" s="74">
        <f>'Бюджет-продаж'!E25+'Бюджет-продаж'!E48</f>
        <v>0</v>
      </c>
      <c r="F23" s="74">
        <f>'Бюджет-продаж'!F25+'Бюджет-продаж'!F48</f>
        <v>0</v>
      </c>
      <c r="G23" s="74">
        <f>'Бюджет-продаж'!G25+'Бюджет-продаж'!G48</f>
        <v>0</v>
      </c>
      <c r="H23" s="74">
        <f>'Бюджет-продаж'!H25+'Бюджет-продаж'!H48</f>
        <v>0</v>
      </c>
      <c r="I23" s="74">
        <f>'Бюджет-продаж'!I25+'Бюджет-продаж'!I48</f>
        <v>0</v>
      </c>
      <c r="J23" s="74">
        <f>'Бюджет-продаж'!J25+'Бюджет-продаж'!J48</f>
        <v>0</v>
      </c>
      <c r="K23" s="74">
        <f>'Бюджет-продаж'!K25+'Бюджет-продаж'!K48</f>
        <v>0</v>
      </c>
      <c r="L23" s="74">
        <f>'Бюджет-продаж'!L25+'Бюджет-продаж'!L48</f>
        <v>0</v>
      </c>
      <c r="M23" s="74">
        <f>'Бюджет-продаж'!M25+'Бюджет-продаж'!M48</f>
        <v>0</v>
      </c>
      <c r="N23" s="75">
        <f t="shared" si="1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 outlineLevel="1">
      <c r="A24" s="76" t="s">
        <v>227</v>
      </c>
      <c r="B24" s="77">
        <f t="shared" ref="B24:N24" si="2">SUM(B4:B22)</f>
        <v>0</v>
      </c>
      <c r="C24" s="77">
        <f t="shared" si="2"/>
        <v>0</v>
      </c>
      <c r="D24" s="77">
        <f t="shared" si="2"/>
        <v>0</v>
      </c>
      <c r="E24" s="77">
        <f t="shared" si="2"/>
        <v>0</v>
      </c>
      <c r="F24" s="77">
        <f t="shared" si="2"/>
        <v>0</v>
      </c>
      <c r="G24" s="77">
        <f t="shared" si="2"/>
        <v>0</v>
      </c>
      <c r="H24" s="77">
        <f t="shared" si="2"/>
        <v>0</v>
      </c>
      <c r="I24" s="77">
        <f t="shared" si="2"/>
        <v>0</v>
      </c>
      <c r="J24" s="77">
        <f t="shared" si="2"/>
        <v>0</v>
      </c>
      <c r="K24" s="77">
        <f t="shared" si="2"/>
        <v>0</v>
      </c>
      <c r="L24" s="77">
        <f t="shared" si="2"/>
        <v>0</v>
      </c>
      <c r="M24" s="77">
        <f t="shared" si="2"/>
        <v>0</v>
      </c>
      <c r="N24" s="77">
        <f t="shared" si="2"/>
        <v>0</v>
      </c>
      <c r="O24" s="2"/>
      <c r="P24" s="1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 outlineLevel="1">
      <c r="A27" s="97" t="s">
        <v>228</v>
      </c>
      <c r="B27" s="72"/>
      <c r="C27" s="72"/>
      <c r="D27" s="72"/>
      <c r="E27" s="72"/>
      <c r="F27" s="72"/>
      <c r="G27" s="72"/>
      <c r="H27" s="56"/>
      <c r="I27" s="56"/>
      <c r="J27" s="56"/>
      <c r="K27" s="56"/>
      <c r="L27" s="56"/>
      <c r="M27" s="56"/>
      <c r="N27" s="5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 outlineLevel="2">
      <c r="A28" s="73" t="s">
        <v>203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N48" si="3">SUM(B28,C28,D28,E28,F28,G28,H28,I28,J28,K28,L28,M28)</f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 outlineLevel="2">
      <c r="A29" s="73" t="s">
        <v>204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5">
        <f t="shared" si="3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 outlineLevel="2">
      <c r="A30" s="73" t="s">
        <v>205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5">
        <f t="shared" si="3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 outlineLevel="2">
      <c r="A31" s="73" t="s">
        <v>206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5">
        <f t="shared" si="3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 outlineLevel="2">
      <c r="A32" s="73" t="s">
        <v>207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5">
        <f t="shared" si="3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 outlineLevel="2">
      <c r="A33" s="73" t="s">
        <v>208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5">
        <f t="shared" si="3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 outlineLevel="2">
      <c r="A34" s="11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5">
        <f t="shared" si="3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 outlineLevel="2">
      <c r="A35" s="11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5">
        <f t="shared" si="3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 outlineLevel="2">
      <c r="A36" s="11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5">
        <f t="shared" si="3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 outlineLevel="2">
      <c r="A37" s="11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5">
        <f t="shared" si="3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 outlineLevel="2">
      <c r="A38" s="11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5">
        <f t="shared" si="3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 outlineLevel="2">
      <c r="A39" s="11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5">
        <f t="shared" si="3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 outlineLevel="2">
      <c r="A40" s="11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5">
        <f t="shared" si="3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 outlineLevel="2">
      <c r="A41" s="11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5">
        <f t="shared" si="3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 outlineLevel="2">
      <c r="A42" s="11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5">
        <f t="shared" si="3"/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 outlineLevel="2">
      <c r="A43" s="11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5">
        <f t="shared" si="3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 outlineLevel="2">
      <c r="A44" s="11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5">
        <f t="shared" si="3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 outlineLevel="2">
      <c r="A45" s="11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5">
        <f t="shared" si="3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 outlineLevel="2">
      <c r="A46" s="11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5">
        <f t="shared" si="3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 outlineLevel="2">
      <c r="A47" s="11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5">
        <f t="shared" si="3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 outlineLevel="1">
      <c r="A48" s="76" t="s">
        <v>229</v>
      </c>
      <c r="B48" s="77">
        <f t="shared" ref="B48:M48" si="4">SUM(B28:B47)</f>
        <v>0</v>
      </c>
      <c r="C48" s="77">
        <f t="shared" si="4"/>
        <v>0</v>
      </c>
      <c r="D48" s="77">
        <f t="shared" si="4"/>
        <v>0</v>
      </c>
      <c r="E48" s="77">
        <f t="shared" si="4"/>
        <v>0</v>
      </c>
      <c r="F48" s="77">
        <f t="shared" si="4"/>
        <v>0</v>
      </c>
      <c r="G48" s="77">
        <f t="shared" si="4"/>
        <v>0</v>
      </c>
      <c r="H48" s="77">
        <f t="shared" si="4"/>
        <v>0</v>
      </c>
      <c r="I48" s="77">
        <f t="shared" si="4"/>
        <v>0</v>
      </c>
      <c r="J48" s="77">
        <f t="shared" si="4"/>
        <v>0</v>
      </c>
      <c r="K48" s="77">
        <f t="shared" si="4"/>
        <v>0</v>
      </c>
      <c r="L48" s="77">
        <f t="shared" si="4"/>
        <v>0</v>
      </c>
      <c r="M48" s="77">
        <f t="shared" si="4"/>
        <v>0</v>
      </c>
      <c r="N48" s="75">
        <f t="shared" si="3"/>
        <v>0</v>
      </c>
      <c r="O48" s="2"/>
      <c r="P48" s="1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 outlineLevelRow="2"/>
  <cols>
    <col customWidth="1" min="1" max="1" width="47.0"/>
    <col customWidth="1" min="2" max="14" width="15.29"/>
    <col customWidth="1" min="15" max="15" width="20.14"/>
    <col customWidth="1" min="16" max="17" width="9.14"/>
    <col customWidth="1" min="18" max="27" width="8.71"/>
  </cols>
  <sheetData>
    <row r="1" ht="11.25" customHeight="1">
      <c r="A1" s="96" t="s">
        <v>230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4.75" customHeight="1">
      <c r="A2" s="3" t="s">
        <v>1</v>
      </c>
      <c r="B2" s="98" t="s">
        <v>231</v>
      </c>
      <c r="C2" s="21" t="s">
        <v>2</v>
      </c>
      <c r="D2" s="21" t="s">
        <v>3</v>
      </c>
      <c r="E2" s="21" t="s">
        <v>4</v>
      </c>
      <c r="F2" s="21" t="s">
        <v>5</v>
      </c>
      <c r="G2" s="21" t="s">
        <v>6</v>
      </c>
      <c r="H2" s="21" t="s">
        <v>7</v>
      </c>
      <c r="I2" s="21" t="s">
        <v>8</v>
      </c>
      <c r="J2" s="21" t="s">
        <v>9</v>
      </c>
      <c r="K2" s="21" t="s">
        <v>10</v>
      </c>
      <c r="L2" s="21" t="s">
        <v>11</v>
      </c>
      <c r="M2" s="21" t="s">
        <v>12</v>
      </c>
      <c r="N2" s="21" t="s">
        <v>13</v>
      </c>
      <c r="O2" s="31" t="s">
        <v>14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2.75" customHeight="1" outlineLevel="1">
      <c r="A3" s="97" t="s">
        <v>232</v>
      </c>
      <c r="B3" s="72"/>
      <c r="C3" s="72"/>
      <c r="D3" s="72"/>
      <c r="E3" s="72"/>
      <c r="F3" s="72"/>
      <c r="G3" s="72"/>
      <c r="H3" s="72"/>
      <c r="I3" s="56"/>
      <c r="J3" s="56"/>
      <c r="K3" s="56"/>
      <c r="L3" s="56"/>
      <c r="M3" s="56"/>
      <c r="N3" s="56"/>
      <c r="O3" s="5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customHeight="1" outlineLevel="2">
      <c r="A4" s="73" t="s">
        <v>203</v>
      </c>
      <c r="B4" s="74"/>
      <c r="C4" s="99">
        <f>B4+'Бюджет производства'!B4-'Бюджет-продаж'!B6-'Бюджет-продаж'!B29</f>
        <v>0</v>
      </c>
      <c r="D4" s="99">
        <f>C4+'Бюджет производства'!C4-'Бюджет-продаж'!C6-'Бюджет-продаж'!C29</f>
        <v>0</v>
      </c>
      <c r="E4" s="99">
        <f>D4+'Бюджет производства'!D4-'Бюджет-продаж'!D6-'Бюджет-продаж'!D29</f>
        <v>0</v>
      </c>
      <c r="F4" s="99">
        <f>E4+'Бюджет производства'!E4-'Бюджет-продаж'!E6-'Бюджет-продаж'!E29</f>
        <v>0</v>
      </c>
      <c r="G4" s="99">
        <f>F4+'Бюджет производства'!F4-'Бюджет-продаж'!F6-'Бюджет-продаж'!F29</f>
        <v>0</v>
      </c>
      <c r="H4" s="99">
        <f>G4+'Бюджет производства'!G4-'Бюджет-продаж'!G6-'Бюджет-продаж'!G29</f>
        <v>0</v>
      </c>
      <c r="I4" s="99">
        <f>H4+'Бюджет производства'!H4-'Бюджет-продаж'!H6-'Бюджет-продаж'!H29</f>
        <v>0</v>
      </c>
      <c r="J4" s="99">
        <f>I4+'Бюджет производства'!I4-'Бюджет-продаж'!I6-'Бюджет-продаж'!I29</f>
        <v>0</v>
      </c>
      <c r="K4" s="99">
        <f>J4+'Бюджет производства'!J4-'Бюджет-продаж'!J6-'Бюджет-продаж'!J29</f>
        <v>0</v>
      </c>
      <c r="L4" s="99">
        <f>K4+'Бюджет производства'!K4-'Бюджет-продаж'!K6-'Бюджет-продаж'!K29</f>
        <v>0</v>
      </c>
      <c r="M4" s="99">
        <f>L4+'Бюджет производства'!L4-'Бюджет-продаж'!L6-'Бюджет-продаж'!L29</f>
        <v>0</v>
      </c>
      <c r="N4" s="99">
        <f>M4+'Бюджет производства'!M4-'Бюджет-продаж'!M6-'Бюджет-продаж'!M29</f>
        <v>0</v>
      </c>
      <c r="O4" s="5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2.75" customHeight="1" outlineLevel="2">
      <c r="A5" s="73" t="s">
        <v>204</v>
      </c>
      <c r="B5" s="74"/>
      <c r="C5" s="99">
        <f>B5+'Бюджет производства'!B5-'Бюджет-продаж'!B7-'Бюджет-продаж'!B30</f>
        <v>0</v>
      </c>
      <c r="D5" s="99">
        <f>C5+'Бюджет производства'!C5-'Бюджет-продаж'!C7-'Бюджет-продаж'!C30</f>
        <v>0</v>
      </c>
      <c r="E5" s="99">
        <f>D5+'Бюджет производства'!D5-'Бюджет-продаж'!D7-'Бюджет-продаж'!D30</f>
        <v>0</v>
      </c>
      <c r="F5" s="99">
        <f>E5+'Бюджет производства'!E5-'Бюджет-продаж'!E7-'Бюджет-продаж'!E30</f>
        <v>0</v>
      </c>
      <c r="G5" s="99">
        <f>F5+'Бюджет производства'!F5-'Бюджет-продаж'!F7-'Бюджет-продаж'!F30</f>
        <v>0</v>
      </c>
      <c r="H5" s="99">
        <f>G5+'Бюджет производства'!G5-'Бюджет-продаж'!G7-'Бюджет-продаж'!G30</f>
        <v>0</v>
      </c>
      <c r="I5" s="99">
        <f>H5+'Бюджет производства'!H5-'Бюджет-продаж'!H7-'Бюджет-продаж'!H30</f>
        <v>0</v>
      </c>
      <c r="J5" s="99">
        <f>I5+'Бюджет производства'!I5-'Бюджет-продаж'!I7-'Бюджет-продаж'!I30</f>
        <v>0</v>
      </c>
      <c r="K5" s="99">
        <f>J5+'Бюджет производства'!J5-'Бюджет-продаж'!J7-'Бюджет-продаж'!J30</f>
        <v>0</v>
      </c>
      <c r="L5" s="99">
        <f>K5+'Бюджет производства'!K5-'Бюджет-продаж'!K7-'Бюджет-продаж'!K30</f>
        <v>0</v>
      </c>
      <c r="M5" s="99">
        <f>L5+'Бюджет производства'!L5-'Бюджет-продаж'!L7-'Бюджет-продаж'!L30</f>
        <v>0</v>
      </c>
      <c r="N5" s="99">
        <f>M5+'Бюджет производства'!M5-'Бюджет-продаж'!M7-'Бюджет-продаж'!M30</f>
        <v>0</v>
      </c>
      <c r="O5" s="5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2.75" customHeight="1" outlineLevel="2">
      <c r="A6" s="73" t="s">
        <v>205</v>
      </c>
      <c r="B6" s="74"/>
      <c r="C6" s="99">
        <f>B6+'Бюджет производства'!B6-'Бюджет-продаж'!B8-'Бюджет-продаж'!B31</f>
        <v>0</v>
      </c>
      <c r="D6" s="99">
        <f>C6+'Бюджет производства'!C6-'Бюджет-продаж'!C8-'Бюджет-продаж'!C31</f>
        <v>0</v>
      </c>
      <c r="E6" s="99">
        <f>D6+'Бюджет производства'!D6-'Бюджет-продаж'!D8-'Бюджет-продаж'!D31</f>
        <v>0</v>
      </c>
      <c r="F6" s="99">
        <f>E6+'Бюджет производства'!E6-'Бюджет-продаж'!E8-'Бюджет-продаж'!E31</f>
        <v>0</v>
      </c>
      <c r="G6" s="99">
        <f>F6+'Бюджет производства'!F6-'Бюджет-продаж'!F8-'Бюджет-продаж'!F31</f>
        <v>0</v>
      </c>
      <c r="H6" s="99">
        <f>G6+'Бюджет производства'!G6-'Бюджет-продаж'!G8-'Бюджет-продаж'!G31</f>
        <v>0</v>
      </c>
      <c r="I6" s="99">
        <f>H6+'Бюджет производства'!H6-'Бюджет-продаж'!H8-'Бюджет-продаж'!H31</f>
        <v>0</v>
      </c>
      <c r="J6" s="99">
        <f>I6+'Бюджет производства'!I6-'Бюджет-продаж'!I8-'Бюджет-продаж'!I31</f>
        <v>0</v>
      </c>
      <c r="K6" s="99">
        <f>J6+'Бюджет производства'!J6-'Бюджет-продаж'!J8-'Бюджет-продаж'!J31</f>
        <v>0</v>
      </c>
      <c r="L6" s="99">
        <f>K6+'Бюджет производства'!K6-'Бюджет-продаж'!K8-'Бюджет-продаж'!K31</f>
        <v>0</v>
      </c>
      <c r="M6" s="99">
        <f>L6+'Бюджет производства'!L6-'Бюджет-продаж'!L8-'Бюджет-продаж'!L31</f>
        <v>0</v>
      </c>
      <c r="N6" s="99">
        <f>M6+'Бюджет производства'!M6-'Бюджет-продаж'!M8-'Бюджет-продаж'!M31</f>
        <v>0</v>
      </c>
      <c r="O6" s="5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2.75" customHeight="1" outlineLevel="2">
      <c r="A7" s="73" t="s">
        <v>206</v>
      </c>
      <c r="B7" s="74"/>
      <c r="C7" s="99">
        <f>B7+'Бюджет производства'!B7-'Бюджет-продаж'!B9-'Бюджет-продаж'!B32</f>
        <v>0</v>
      </c>
      <c r="D7" s="99">
        <f>C7+'Бюджет производства'!C7-'Бюджет-продаж'!C9-'Бюджет-продаж'!C32</f>
        <v>0</v>
      </c>
      <c r="E7" s="99">
        <f>D7+'Бюджет производства'!D7-'Бюджет-продаж'!D9-'Бюджет-продаж'!D32</f>
        <v>0</v>
      </c>
      <c r="F7" s="99">
        <f>E7+'Бюджет производства'!E7-'Бюджет-продаж'!E9-'Бюджет-продаж'!E32</f>
        <v>0</v>
      </c>
      <c r="G7" s="99">
        <f>F7+'Бюджет производства'!F7-'Бюджет-продаж'!F9-'Бюджет-продаж'!F32</f>
        <v>0</v>
      </c>
      <c r="H7" s="99">
        <f>G7+'Бюджет производства'!G7-'Бюджет-продаж'!G9-'Бюджет-продаж'!G32</f>
        <v>0</v>
      </c>
      <c r="I7" s="99">
        <f>H7+'Бюджет производства'!H7-'Бюджет-продаж'!H9-'Бюджет-продаж'!H32</f>
        <v>0</v>
      </c>
      <c r="J7" s="99">
        <f>I7+'Бюджет производства'!I7-'Бюджет-продаж'!I9-'Бюджет-продаж'!I32</f>
        <v>0</v>
      </c>
      <c r="K7" s="99">
        <f>J7+'Бюджет производства'!J7-'Бюджет-продаж'!J9-'Бюджет-продаж'!J32</f>
        <v>0</v>
      </c>
      <c r="L7" s="99">
        <f>K7+'Бюджет производства'!K7-'Бюджет-продаж'!K9-'Бюджет-продаж'!K32</f>
        <v>0</v>
      </c>
      <c r="M7" s="99">
        <f>L7+'Бюджет производства'!L7-'Бюджет-продаж'!L9-'Бюджет-продаж'!L32</f>
        <v>0</v>
      </c>
      <c r="N7" s="99">
        <f>M7+'Бюджет производства'!M7-'Бюджет-продаж'!M9-'Бюджет-продаж'!M32</f>
        <v>0</v>
      </c>
      <c r="O7" s="56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2.75" customHeight="1" outlineLevel="2">
      <c r="A8" s="73" t="s">
        <v>207</v>
      </c>
      <c r="B8" s="74"/>
      <c r="C8" s="99">
        <f>B8+'Бюджет производства'!B8-'Бюджет-продаж'!B10-'Бюджет-продаж'!B33</f>
        <v>0</v>
      </c>
      <c r="D8" s="99">
        <f>C8+'Бюджет производства'!C8-'Бюджет-продаж'!C10-'Бюджет-продаж'!C33</f>
        <v>0</v>
      </c>
      <c r="E8" s="99">
        <f>D8+'Бюджет производства'!D8-'Бюджет-продаж'!D10-'Бюджет-продаж'!D33</f>
        <v>0</v>
      </c>
      <c r="F8" s="99">
        <f>E8+'Бюджет производства'!E8-'Бюджет-продаж'!E10-'Бюджет-продаж'!E33</f>
        <v>0</v>
      </c>
      <c r="G8" s="99">
        <f>F8+'Бюджет производства'!F8-'Бюджет-продаж'!F10-'Бюджет-продаж'!F33</f>
        <v>0</v>
      </c>
      <c r="H8" s="99">
        <f>G8+'Бюджет производства'!G8-'Бюджет-продаж'!G10-'Бюджет-продаж'!G33</f>
        <v>0</v>
      </c>
      <c r="I8" s="99">
        <f>H8+'Бюджет производства'!H8-'Бюджет-продаж'!H10-'Бюджет-продаж'!H33</f>
        <v>0</v>
      </c>
      <c r="J8" s="99">
        <f>I8+'Бюджет производства'!I8-'Бюджет-продаж'!I10-'Бюджет-продаж'!I33</f>
        <v>0</v>
      </c>
      <c r="K8" s="99">
        <f>J8+'Бюджет производства'!J8-'Бюджет-продаж'!J10-'Бюджет-продаж'!J33</f>
        <v>0</v>
      </c>
      <c r="L8" s="99">
        <f>K8+'Бюджет производства'!K8-'Бюджет-продаж'!K10-'Бюджет-продаж'!K33</f>
        <v>0</v>
      </c>
      <c r="M8" s="99">
        <f>L8+'Бюджет производства'!L8-'Бюджет-продаж'!L10-'Бюджет-продаж'!L33</f>
        <v>0</v>
      </c>
      <c r="N8" s="99">
        <f>M8+'Бюджет производства'!M8-'Бюджет-продаж'!M10-'Бюджет-продаж'!M33</f>
        <v>0</v>
      </c>
      <c r="O8" s="5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2.75" customHeight="1" outlineLevel="2">
      <c r="A9" s="73" t="s">
        <v>208</v>
      </c>
      <c r="B9" s="74"/>
      <c r="C9" s="99">
        <f>B9+'Бюджет производства'!B9-'Бюджет-продаж'!B11-'Бюджет-продаж'!B34</f>
        <v>0</v>
      </c>
      <c r="D9" s="99">
        <f>C9+'Бюджет производства'!C9-'Бюджет-продаж'!C11-'Бюджет-продаж'!C34</f>
        <v>0</v>
      </c>
      <c r="E9" s="99">
        <f>D9+'Бюджет производства'!D9-'Бюджет-продаж'!D11-'Бюджет-продаж'!D34</f>
        <v>0</v>
      </c>
      <c r="F9" s="99">
        <f>E9+'Бюджет производства'!E9-'Бюджет-продаж'!E11-'Бюджет-продаж'!E34</f>
        <v>0</v>
      </c>
      <c r="G9" s="99">
        <f>F9+'Бюджет производства'!F9-'Бюджет-продаж'!F11-'Бюджет-продаж'!F34</f>
        <v>0</v>
      </c>
      <c r="H9" s="99">
        <f>G9+'Бюджет производства'!G9-'Бюджет-продаж'!G11-'Бюджет-продаж'!G34</f>
        <v>0</v>
      </c>
      <c r="I9" s="99">
        <f>H9+'Бюджет производства'!H9-'Бюджет-продаж'!H11-'Бюджет-продаж'!H34</f>
        <v>0</v>
      </c>
      <c r="J9" s="99">
        <f>I9+'Бюджет производства'!I9-'Бюджет-продаж'!I11-'Бюджет-продаж'!I34</f>
        <v>0</v>
      </c>
      <c r="K9" s="99">
        <f>J9+'Бюджет производства'!J9-'Бюджет-продаж'!J11-'Бюджет-продаж'!J34</f>
        <v>0</v>
      </c>
      <c r="L9" s="99">
        <f>K9+'Бюджет производства'!K9-'Бюджет-продаж'!K11-'Бюджет-продаж'!K34</f>
        <v>0</v>
      </c>
      <c r="M9" s="99">
        <f>L9+'Бюджет производства'!L9-'Бюджет-продаж'!L11-'Бюджет-продаж'!L34</f>
        <v>0</v>
      </c>
      <c r="N9" s="99">
        <f>M9+'Бюджет производства'!M9-'Бюджет-продаж'!M11-'Бюджет-продаж'!M34</f>
        <v>0</v>
      </c>
      <c r="O9" s="5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2.75" customHeight="1" outlineLevel="2">
      <c r="A10" s="11"/>
      <c r="B10" s="74"/>
      <c r="C10" s="99">
        <f>B10+'Бюджет производства'!B10-'Бюджет-продаж'!B12-'Бюджет-продаж'!B35</f>
        <v>0</v>
      </c>
      <c r="D10" s="99">
        <f>C10+'Бюджет производства'!C10-'Бюджет-продаж'!C12-'Бюджет-продаж'!C35</f>
        <v>0</v>
      </c>
      <c r="E10" s="99">
        <f>D10+'Бюджет производства'!D10-'Бюджет-продаж'!D12-'Бюджет-продаж'!D35</f>
        <v>0</v>
      </c>
      <c r="F10" s="99">
        <f>E10+'Бюджет производства'!E10-'Бюджет-продаж'!E12-'Бюджет-продаж'!E35</f>
        <v>0</v>
      </c>
      <c r="G10" s="99">
        <f>F10+'Бюджет производства'!F10-'Бюджет-продаж'!F12-'Бюджет-продаж'!F35</f>
        <v>0</v>
      </c>
      <c r="H10" s="99">
        <f>G10+'Бюджет производства'!G10-'Бюджет-продаж'!G12-'Бюджет-продаж'!G35</f>
        <v>0</v>
      </c>
      <c r="I10" s="99">
        <f>H10+'Бюджет производства'!H10-'Бюджет-продаж'!H12-'Бюджет-продаж'!H35</f>
        <v>0</v>
      </c>
      <c r="J10" s="99">
        <f>I10+'Бюджет производства'!I10-'Бюджет-продаж'!I12-'Бюджет-продаж'!I35</f>
        <v>0</v>
      </c>
      <c r="K10" s="99">
        <f>J10+'Бюджет производства'!J10-'Бюджет-продаж'!J12-'Бюджет-продаж'!J35</f>
        <v>0</v>
      </c>
      <c r="L10" s="99">
        <f>K10+'Бюджет производства'!K10-'Бюджет-продаж'!K12-'Бюджет-продаж'!K35</f>
        <v>0</v>
      </c>
      <c r="M10" s="99">
        <f>L10+'Бюджет производства'!L10-'Бюджет-продаж'!L12-'Бюджет-продаж'!L35</f>
        <v>0</v>
      </c>
      <c r="N10" s="99">
        <f>M10+'Бюджет производства'!M10-'Бюджет-продаж'!M12-'Бюджет-продаж'!M35</f>
        <v>0</v>
      </c>
      <c r="O10" s="5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2.75" customHeight="1" outlineLevel="2">
      <c r="A11" s="11"/>
      <c r="B11" s="74"/>
      <c r="C11" s="99">
        <f>B11+'Бюджет производства'!B11-'Бюджет-продаж'!B13-'Бюджет-продаж'!B36</f>
        <v>0</v>
      </c>
      <c r="D11" s="99">
        <f>C11+'Бюджет производства'!C11-'Бюджет-продаж'!C13-'Бюджет-продаж'!C36</f>
        <v>0</v>
      </c>
      <c r="E11" s="99">
        <f>D11+'Бюджет производства'!D11-'Бюджет-продаж'!D13-'Бюджет-продаж'!D36</f>
        <v>0</v>
      </c>
      <c r="F11" s="99">
        <f>E11+'Бюджет производства'!E11-'Бюджет-продаж'!E13-'Бюджет-продаж'!E36</f>
        <v>0</v>
      </c>
      <c r="G11" s="99">
        <f>F11+'Бюджет производства'!F11-'Бюджет-продаж'!F13-'Бюджет-продаж'!F36</f>
        <v>0</v>
      </c>
      <c r="H11" s="99">
        <f>G11+'Бюджет производства'!G11-'Бюджет-продаж'!G13-'Бюджет-продаж'!G36</f>
        <v>0</v>
      </c>
      <c r="I11" s="99">
        <f>H11+'Бюджет производства'!H11-'Бюджет-продаж'!H13-'Бюджет-продаж'!H36</f>
        <v>0</v>
      </c>
      <c r="J11" s="99">
        <f>I11+'Бюджет производства'!I11-'Бюджет-продаж'!I13-'Бюджет-продаж'!I36</f>
        <v>0</v>
      </c>
      <c r="K11" s="99">
        <f>J11+'Бюджет производства'!J11-'Бюджет-продаж'!J13-'Бюджет-продаж'!J36</f>
        <v>0</v>
      </c>
      <c r="L11" s="99">
        <f>K11+'Бюджет производства'!K11-'Бюджет-продаж'!K13-'Бюджет-продаж'!K36</f>
        <v>0</v>
      </c>
      <c r="M11" s="99">
        <f>L11+'Бюджет производства'!L11-'Бюджет-продаж'!L13-'Бюджет-продаж'!L36</f>
        <v>0</v>
      </c>
      <c r="N11" s="99">
        <f>M11+'Бюджет производства'!M11-'Бюджет-продаж'!M13-'Бюджет-продаж'!M36</f>
        <v>0</v>
      </c>
      <c r="O11" s="5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2.75" customHeight="1" outlineLevel="2">
      <c r="A12" s="11"/>
      <c r="B12" s="74"/>
      <c r="C12" s="99">
        <f>B12+'Бюджет производства'!B12-'Бюджет-продаж'!B14-'Бюджет-продаж'!B37</f>
        <v>0</v>
      </c>
      <c r="D12" s="99">
        <f>C12+'Бюджет производства'!C12-'Бюджет-продаж'!C14-'Бюджет-продаж'!C37</f>
        <v>0</v>
      </c>
      <c r="E12" s="99">
        <f>D12+'Бюджет производства'!D12-'Бюджет-продаж'!D14-'Бюджет-продаж'!D37</f>
        <v>0</v>
      </c>
      <c r="F12" s="99">
        <f>E12+'Бюджет производства'!E12-'Бюджет-продаж'!E14-'Бюджет-продаж'!E37</f>
        <v>0</v>
      </c>
      <c r="G12" s="99">
        <f>F12+'Бюджет производства'!F12-'Бюджет-продаж'!F14-'Бюджет-продаж'!F37</f>
        <v>0</v>
      </c>
      <c r="H12" s="99">
        <f>G12+'Бюджет производства'!G12-'Бюджет-продаж'!G14-'Бюджет-продаж'!G37</f>
        <v>0</v>
      </c>
      <c r="I12" s="99">
        <f>H12+'Бюджет производства'!H12-'Бюджет-продаж'!H14-'Бюджет-продаж'!H37</f>
        <v>0</v>
      </c>
      <c r="J12" s="99">
        <f>I12+'Бюджет производства'!I12-'Бюджет-продаж'!I14-'Бюджет-продаж'!I37</f>
        <v>0</v>
      </c>
      <c r="K12" s="99">
        <f>J12+'Бюджет производства'!J12-'Бюджет-продаж'!J14-'Бюджет-продаж'!J37</f>
        <v>0</v>
      </c>
      <c r="L12" s="99">
        <f>K12+'Бюджет производства'!K12-'Бюджет-продаж'!K14-'Бюджет-продаж'!K37</f>
        <v>0</v>
      </c>
      <c r="M12" s="99">
        <f>L12+'Бюджет производства'!L12-'Бюджет-продаж'!L14-'Бюджет-продаж'!L37</f>
        <v>0</v>
      </c>
      <c r="N12" s="99">
        <f>M12+'Бюджет производства'!M12-'Бюджет-продаж'!M14-'Бюджет-продаж'!M37</f>
        <v>0</v>
      </c>
      <c r="O12" s="5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2.75" customHeight="1" outlineLevel="2">
      <c r="A13" s="11"/>
      <c r="B13" s="74"/>
      <c r="C13" s="99">
        <f>B13+'Бюджет производства'!B13-'Бюджет-продаж'!B15-'Бюджет-продаж'!B38</f>
        <v>0</v>
      </c>
      <c r="D13" s="99">
        <f>C13+'Бюджет производства'!C13-'Бюджет-продаж'!C15-'Бюджет-продаж'!C38</f>
        <v>0</v>
      </c>
      <c r="E13" s="99">
        <f>D13+'Бюджет производства'!D13-'Бюджет-продаж'!D15-'Бюджет-продаж'!D38</f>
        <v>0</v>
      </c>
      <c r="F13" s="99">
        <f>E13+'Бюджет производства'!E13-'Бюджет-продаж'!E15-'Бюджет-продаж'!E38</f>
        <v>0</v>
      </c>
      <c r="G13" s="99">
        <f>F13+'Бюджет производства'!F13-'Бюджет-продаж'!F15-'Бюджет-продаж'!F38</f>
        <v>0</v>
      </c>
      <c r="H13" s="99">
        <f>G13+'Бюджет производства'!G13-'Бюджет-продаж'!G15-'Бюджет-продаж'!G38</f>
        <v>0</v>
      </c>
      <c r="I13" s="99">
        <f>H13+'Бюджет производства'!H13-'Бюджет-продаж'!H15-'Бюджет-продаж'!H38</f>
        <v>0</v>
      </c>
      <c r="J13" s="99">
        <f>I13+'Бюджет производства'!I13-'Бюджет-продаж'!I15-'Бюджет-продаж'!I38</f>
        <v>0</v>
      </c>
      <c r="K13" s="99">
        <f>J13+'Бюджет производства'!J13-'Бюджет-продаж'!J15-'Бюджет-продаж'!J38</f>
        <v>0</v>
      </c>
      <c r="L13" s="99">
        <f>K13+'Бюджет производства'!K13-'Бюджет-продаж'!K15-'Бюджет-продаж'!K38</f>
        <v>0</v>
      </c>
      <c r="M13" s="99">
        <f>L13+'Бюджет производства'!L13-'Бюджет-продаж'!L15-'Бюджет-продаж'!L38</f>
        <v>0</v>
      </c>
      <c r="N13" s="99">
        <f>M13+'Бюджет производства'!M13-'Бюджет-продаж'!M15-'Бюджет-продаж'!M38</f>
        <v>0</v>
      </c>
      <c r="O13" s="5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2.75" customHeight="1" outlineLevel="2">
      <c r="A14" s="11"/>
      <c r="B14" s="74"/>
      <c r="C14" s="99">
        <f>B14+'Бюджет производства'!B14-'Бюджет-продаж'!B16-'Бюджет-продаж'!B39</f>
        <v>0</v>
      </c>
      <c r="D14" s="99">
        <f>C14+'Бюджет производства'!C14-'Бюджет-продаж'!C16-'Бюджет-продаж'!C39</f>
        <v>0</v>
      </c>
      <c r="E14" s="99">
        <f>D14+'Бюджет производства'!D14-'Бюджет-продаж'!D16-'Бюджет-продаж'!D39</f>
        <v>0</v>
      </c>
      <c r="F14" s="99">
        <f>E14+'Бюджет производства'!E14-'Бюджет-продаж'!E16-'Бюджет-продаж'!E39</f>
        <v>0</v>
      </c>
      <c r="G14" s="99">
        <f>F14+'Бюджет производства'!F14-'Бюджет-продаж'!F16-'Бюджет-продаж'!F39</f>
        <v>0</v>
      </c>
      <c r="H14" s="99">
        <f>G14+'Бюджет производства'!G14-'Бюджет-продаж'!G16-'Бюджет-продаж'!G39</f>
        <v>0</v>
      </c>
      <c r="I14" s="99">
        <f>H14+'Бюджет производства'!H14-'Бюджет-продаж'!H16-'Бюджет-продаж'!H39</f>
        <v>0</v>
      </c>
      <c r="J14" s="99">
        <f>I14+'Бюджет производства'!I14-'Бюджет-продаж'!I16-'Бюджет-продаж'!I39</f>
        <v>0</v>
      </c>
      <c r="K14" s="99">
        <f>J14+'Бюджет производства'!J14-'Бюджет-продаж'!J16-'Бюджет-продаж'!J39</f>
        <v>0</v>
      </c>
      <c r="L14" s="99">
        <f>K14+'Бюджет производства'!K14-'Бюджет-продаж'!K16-'Бюджет-продаж'!K39</f>
        <v>0</v>
      </c>
      <c r="M14" s="99">
        <f>L14+'Бюджет производства'!L14-'Бюджет-продаж'!L16-'Бюджет-продаж'!L39</f>
        <v>0</v>
      </c>
      <c r="N14" s="99">
        <f>M14+'Бюджет производства'!M14-'Бюджет-продаж'!M16-'Бюджет-продаж'!M39</f>
        <v>0</v>
      </c>
      <c r="O14" s="5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2.75" customHeight="1" outlineLevel="2">
      <c r="A15" s="11"/>
      <c r="B15" s="74"/>
      <c r="C15" s="99">
        <f>B15+'Бюджет производства'!B15-'Бюджет-продаж'!B17-'Бюджет-продаж'!B40</f>
        <v>0</v>
      </c>
      <c r="D15" s="99">
        <f>C15+'Бюджет производства'!C15-'Бюджет-продаж'!C17-'Бюджет-продаж'!C40</f>
        <v>0</v>
      </c>
      <c r="E15" s="99">
        <f>D15+'Бюджет производства'!D15-'Бюджет-продаж'!D17-'Бюджет-продаж'!D40</f>
        <v>0</v>
      </c>
      <c r="F15" s="99">
        <f>E15+'Бюджет производства'!E15-'Бюджет-продаж'!E17-'Бюджет-продаж'!E40</f>
        <v>0</v>
      </c>
      <c r="G15" s="99">
        <f>F15+'Бюджет производства'!F15-'Бюджет-продаж'!F17-'Бюджет-продаж'!F40</f>
        <v>0</v>
      </c>
      <c r="H15" s="99">
        <f>G15+'Бюджет производства'!G15-'Бюджет-продаж'!G17-'Бюджет-продаж'!G40</f>
        <v>0</v>
      </c>
      <c r="I15" s="99">
        <f>H15+'Бюджет производства'!H15-'Бюджет-продаж'!H17-'Бюджет-продаж'!H40</f>
        <v>0</v>
      </c>
      <c r="J15" s="99">
        <f>I15+'Бюджет производства'!I15-'Бюджет-продаж'!I17-'Бюджет-продаж'!I40</f>
        <v>0</v>
      </c>
      <c r="K15" s="99">
        <f>J15+'Бюджет производства'!J15-'Бюджет-продаж'!J17-'Бюджет-продаж'!J40</f>
        <v>0</v>
      </c>
      <c r="L15" s="99">
        <f>K15+'Бюджет производства'!K15-'Бюджет-продаж'!K17-'Бюджет-продаж'!K40</f>
        <v>0</v>
      </c>
      <c r="M15" s="99">
        <f>L15+'Бюджет производства'!L15-'Бюджет-продаж'!L17-'Бюджет-продаж'!L40</f>
        <v>0</v>
      </c>
      <c r="N15" s="99">
        <f>M15+'Бюджет производства'!M15-'Бюджет-продаж'!M17-'Бюджет-продаж'!M40</f>
        <v>0</v>
      </c>
      <c r="O15" s="5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2.75" customHeight="1" outlineLevel="2">
      <c r="A16" s="11"/>
      <c r="B16" s="74"/>
      <c r="C16" s="99">
        <f>B16+'Бюджет производства'!B16-'Бюджет-продаж'!B18-'Бюджет-продаж'!B41</f>
        <v>0</v>
      </c>
      <c r="D16" s="99">
        <f>C16+'Бюджет производства'!C16-'Бюджет-продаж'!C18-'Бюджет-продаж'!C41</f>
        <v>0</v>
      </c>
      <c r="E16" s="99">
        <f>D16+'Бюджет производства'!D16-'Бюджет-продаж'!D18-'Бюджет-продаж'!D41</f>
        <v>0</v>
      </c>
      <c r="F16" s="99">
        <f>E16+'Бюджет производства'!E16-'Бюджет-продаж'!E18-'Бюджет-продаж'!E41</f>
        <v>0</v>
      </c>
      <c r="G16" s="99">
        <f>F16+'Бюджет производства'!F16-'Бюджет-продаж'!F18-'Бюджет-продаж'!F41</f>
        <v>0</v>
      </c>
      <c r="H16" s="99">
        <f>G16+'Бюджет производства'!G16-'Бюджет-продаж'!G18-'Бюджет-продаж'!G41</f>
        <v>0</v>
      </c>
      <c r="I16" s="99">
        <f>H16+'Бюджет производства'!H16-'Бюджет-продаж'!H18-'Бюджет-продаж'!H41</f>
        <v>0</v>
      </c>
      <c r="J16" s="99">
        <f>I16+'Бюджет производства'!I16-'Бюджет-продаж'!I18-'Бюджет-продаж'!I41</f>
        <v>0</v>
      </c>
      <c r="K16" s="99">
        <f>J16+'Бюджет производства'!J16-'Бюджет-продаж'!J18-'Бюджет-продаж'!J41</f>
        <v>0</v>
      </c>
      <c r="L16" s="99">
        <f>K16+'Бюджет производства'!K16-'Бюджет-продаж'!K18-'Бюджет-продаж'!K41</f>
        <v>0</v>
      </c>
      <c r="M16" s="99">
        <f>L16+'Бюджет производства'!L16-'Бюджет-продаж'!L18-'Бюджет-продаж'!L41</f>
        <v>0</v>
      </c>
      <c r="N16" s="99">
        <f>M16+'Бюджет производства'!M16-'Бюджет-продаж'!M18-'Бюджет-продаж'!M41</f>
        <v>0</v>
      </c>
      <c r="O16" s="5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2.75" customHeight="1" outlineLevel="2">
      <c r="A17" s="11"/>
      <c r="B17" s="74"/>
      <c r="C17" s="99">
        <f>B17+'Бюджет производства'!B17-'Бюджет-продаж'!B19-'Бюджет-продаж'!B42</f>
        <v>0</v>
      </c>
      <c r="D17" s="99">
        <f>C17+'Бюджет производства'!C17-'Бюджет-продаж'!C19-'Бюджет-продаж'!C42</f>
        <v>0</v>
      </c>
      <c r="E17" s="99">
        <f>D17+'Бюджет производства'!D17-'Бюджет-продаж'!D19-'Бюджет-продаж'!D42</f>
        <v>0</v>
      </c>
      <c r="F17" s="99">
        <f>E17+'Бюджет производства'!E17-'Бюджет-продаж'!E19-'Бюджет-продаж'!E42</f>
        <v>0</v>
      </c>
      <c r="G17" s="99">
        <f>F17+'Бюджет производства'!F17-'Бюджет-продаж'!F19-'Бюджет-продаж'!F42</f>
        <v>0</v>
      </c>
      <c r="H17" s="99">
        <f>G17+'Бюджет производства'!G17-'Бюджет-продаж'!G19-'Бюджет-продаж'!G42</f>
        <v>0</v>
      </c>
      <c r="I17" s="99">
        <f>H17+'Бюджет производства'!H17-'Бюджет-продаж'!H19-'Бюджет-продаж'!H42</f>
        <v>0</v>
      </c>
      <c r="J17" s="99">
        <f>I17+'Бюджет производства'!I17-'Бюджет-продаж'!I19-'Бюджет-продаж'!I42</f>
        <v>0</v>
      </c>
      <c r="K17" s="99">
        <f>J17+'Бюджет производства'!J17-'Бюджет-продаж'!J19-'Бюджет-продаж'!J42</f>
        <v>0</v>
      </c>
      <c r="L17" s="99">
        <f>K17+'Бюджет производства'!K17-'Бюджет-продаж'!K19-'Бюджет-продаж'!K42</f>
        <v>0</v>
      </c>
      <c r="M17" s="99">
        <f>L17+'Бюджет производства'!L17-'Бюджет-продаж'!L19-'Бюджет-продаж'!L42</f>
        <v>0</v>
      </c>
      <c r="N17" s="99">
        <f>M17+'Бюджет производства'!M17-'Бюджет-продаж'!M19-'Бюджет-продаж'!M42</f>
        <v>0</v>
      </c>
      <c r="O17" s="5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2.75" customHeight="1" outlineLevel="2">
      <c r="A18" s="11"/>
      <c r="B18" s="74"/>
      <c r="C18" s="99">
        <f>B18+'Бюджет производства'!B18-'Бюджет-продаж'!B20-'Бюджет-продаж'!B43</f>
        <v>0</v>
      </c>
      <c r="D18" s="99">
        <f>C18+'Бюджет производства'!C18-'Бюджет-продаж'!C20-'Бюджет-продаж'!C43</f>
        <v>0</v>
      </c>
      <c r="E18" s="99">
        <f>D18+'Бюджет производства'!D18-'Бюджет-продаж'!D20-'Бюджет-продаж'!D43</f>
        <v>0</v>
      </c>
      <c r="F18" s="99">
        <f>E18+'Бюджет производства'!E18-'Бюджет-продаж'!E20-'Бюджет-продаж'!E43</f>
        <v>0</v>
      </c>
      <c r="G18" s="99">
        <f>F18+'Бюджет производства'!F18-'Бюджет-продаж'!F20-'Бюджет-продаж'!F43</f>
        <v>0</v>
      </c>
      <c r="H18" s="99">
        <f>G18+'Бюджет производства'!G18-'Бюджет-продаж'!G20-'Бюджет-продаж'!G43</f>
        <v>0</v>
      </c>
      <c r="I18" s="99">
        <f>H18+'Бюджет производства'!H18-'Бюджет-продаж'!H20-'Бюджет-продаж'!H43</f>
        <v>0</v>
      </c>
      <c r="J18" s="99">
        <f>I18+'Бюджет производства'!I18-'Бюджет-продаж'!I20-'Бюджет-продаж'!I43</f>
        <v>0</v>
      </c>
      <c r="K18" s="99">
        <f>J18+'Бюджет производства'!J18-'Бюджет-продаж'!J20-'Бюджет-продаж'!J43</f>
        <v>0</v>
      </c>
      <c r="L18" s="99">
        <f>K18+'Бюджет производства'!K18-'Бюджет-продаж'!K20-'Бюджет-продаж'!K43</f>
        <v>0</v>
      </c>
      <c r="M18" s="99">
        <f>L18+'Бюджет производства'!L18-'Бюджет-продаж'!L20-'Бюджет-продаж'!L43</f>
        <v>0</v>
      </c>
      <c r="N18" s="99">
        <f>M18+'Бюджет производства'!M18-'Бюджет-продаж'!M20-'Бюджет-продаж'!M43</f>
        <v>0</v>
      </c>
      <c r="O18" s="7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2.75" customHeight="1" outlineLevel="2">
      <c r="A19" s="11"/>
      <c r="B19" s="74"/>
      <c r="C19" s="99">
        <f>B19+'Бюджет производства'!B19-'Бюджет-продаж'!B21-'Бюджет-продаж'!B44</f>
        <v>0</v>
      </c>
      <c r="D19" s="99">
        <f>C19+'Бюджет производства'!C19-'Бюджет-продаж'!C21-'Бюджет-продаж'!C44</f>
        <v>0</v>
      </c>
      <c r="E19" s="99">
        <f>D19+'Бюджет производства'!D19-'Бюджет-продаж'!D21-'Бюджет-продаж'!D44</f>
        <v>0</v>
      </c>
      <c r="F19" s="99">
        <f>E19+'Бюджет производства'!E19-'Бюджет-продаж'!E21-'Бюджет-продаж'!E44</f>
        <v>0</v>
      </c>
      <c r="G19" s="99">
        <f>F19+'Бюджет производства'!F19-'Бюджет-продаж'!F21-'Бюджет-продаж'!F44</f>
        <v>0</v>
      </c>
      <c r="H19" s="99">
        <f>G19+'Бюджет производства'!G19-'Бюджет-продаж'!G21-'Бюджет-продаж'!G44</f>
        <v>0</v>
      </c>
      <c r="I19" s="99">
        <f>H19+'Бюджет производства'!H19-'Бюджет-продаж'!H21-'Бюджет-продаж'!H44</f>
        <v>0</v>
      </c>
      <c r="J19" s="99">
        <f>I19+'Бюджет производства'!I19-'Бюджет-продаж'!I21-'Бюджет-продаж'!I44</f>
        <v>0</v>
      </c>
      <c r="K19" s="99">
        <f>J19+'Бюджет производства'!J19-'Бюджет-продаж'!J21-'Бюджет-продаж'!J44</f>
        <v>0</v>
      </c>
      <c r="L19" s="99">
        <f>K19+'Бюджет производства'!K19-'Бюджет-продаж'!K21-'Бюджет-продаж'!K44</f>
        <v>0</v>
      </c>
      <c r="M19" s="99">
        <f>L19+'Бюджет производства'!L19-'Бюджет-продаж'!L21-'Бюджет-продаж'!L44</f>
        <v>0</v>
      </c>
      <c r="N19" s="99">
        <f>M19+'Бюджет производства'!M19-'Бюджет-продаж'!M21-'Бюджет-продаж'!M44</f>
        <v>0</v>
      </c>
      <c r="O19" s="7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2.75" customHeight="1" outlineLevel="2">
      <c r="A20" s="11"/>
      <c r="B20" s="74"/>
      <c r="C20" s="99">
        <f>B20+'Бюджет производства'!B20-'Бюджет-продаж'!B22-'Бюджет-продаж'!B45</f>
        <v>0</v>
      </c>
      <c r="D20" s="99">
        <f>C20+'Бюджет производства'!C20-'Бюджет-продаж'!C22-'Бюджет-продаж'!C45</f>
        <v>0</v>
      </c>
      <c r="E20" s="99">
        <f>D20+'Бюджет производства'!D20-'Бюджет-продаж'!D22-'Бюджет-продаж'!D45</f>
        <v>0</v>
      </c>
      <c r="F20" s="99">
        <f>E20+'Бюджет производства'!E20-'Бюджет-продаж'!E22-'Бюджет-продаж'!E45</f>
        <v>0</v>
      </c>
      <c r="G20" s="99">
        <f>F20+'Бюджет производства'!F20-'Бюджет-продаж'!F22-'Бюджет-продаж'!F45</f>
        <v>0</v>
      </c>
      <c r="H20" s="99">
        <f>G20+'Бюджет производства'!G20-'Бюджет-продаж'!G22-'Бюджет-продаж'!G45</f>
        <v>0</v>
      </c>
      <c r="I20" s="99">
        <f>H20+'Бюджет производства'!H20-'Бюджет-продаж'!H22-'Бюджет-продаж'!H45</f>
        <v>0</v>
      </c>
      <c r="J20" s="99">
        <f>I20+'Бюджет производства'!I20-'Бюджет-продаж'!I22-'Бюджет-продаж'!I45</f>
        <v>0</v>
      </c>
      <c r="K20" s="99">
        <f>J20+'Бюджет производства'!J20-'Бюджет-продаж'!J22-'Бюджет-продаж'!J45</f>
        <v>0</v>
      </c>
      <c r="L20" s="99">
        <f>K20+'Бюджет производства'!K20-'Бюджет-продаж'!K22-'Бюджет-продаж'!K45</f>
        <v>0</v>
      </c>
      <c r="M20" s="99">
        <f>L20+'Бюджет производства'!L20-'Бюджет-продаж'!L22-'Бюджет-продаж'!L45</f>
        <v>0</v>
      </c>
      <c r="N20" s="99">
        <f>M20+'Бюджет производства'!M20-'Бюджет-продаж'!M22-'Бюджет-продаж'!M45</f>
        <v>0</v>
      </c>
      <c r="O20" s="7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2.75" customHeight="1" outlineLevel="2">
      <c r="A21" s="11"/>
      <c r="B21" s="74"/>
      <c r="C21" s="99">
        <f>B21+'Бюджет производства'!B21-'Бюджет-продаж'!B23-'Бюджет-продаж'!B46</f>
        <v>0</v>
      </c>
      <c r="D21" s="99">
        <f>C21+'Бюджет производства'!C21-'Бюджет-продаж'!C23-'Бюджет-продаж'!C46</f>
        <v>0</v>
      </c>
      <c r="E21" s="99">
        <f>D21+'Бюджет производства'!D21-'Бюджет-продаж'!D23-'Бюджет-продаж'!D46</f>
        <v>0</v>
      </c>
      <c r="F21" s="99">
        <f>E21+'Бюджет производства'!E21-'Бюджет-продаж'!E23-'Бюджет-продаж'!E46</f>
        <v>0</v>
      </c>
      <c r="G21" s="99">
        <f>F21+'Бюджет производства'!F21-'Бюджет-продаж'!F23-'Бюджет-продаж'!F46</f>
        <v>0</v>
      </c>
      <c r="H21" s="99">
        <f>G21+'Бюджет производства'!G21-'Бюджет-продаж'!G23-'Бюджет-продаж'!G46</f>
        <v>0</v>
      </c>
      <c r="I21" s="99">
        <f>H21+'Бюджет производства'!H21-'Бюджет-продаж'!H23-'Бюджет-продаж'!H46</f>
        <v>0</v>
      </c>
      <c r="J21" s="99">
        <f>I21+'Бюджет производства'!I21-'Бюджет-продаж'!I23-'Бюджет-продаж'!I46</f>
        <v>0</v>
      </c>
      <c r="K21" s="99">
        <f>J21+'Бюджет производства'!J21-'Бюджет-продаж'!J23-'Бюджет-продаж'!J46</f>
        <v>0</v>
      </c>
      <c r="L21" s="99">
        <f>K21+'Бюджет производства'!K21-'Бюджет-продаж'!K23-'Бюджет-продаж'!K46</f>
        <v>0</v>
      </c>
      <c r="M21" s="99">
        <f>L21+'Бюджет производства'!L21-'Бюджет-продаж'!L23-'Бюджет-продаж'!L46</f>
        <v>0</v>
      </c>
      <c r="N21" s="99">
        <f>M21+'Бюджет производства'!M21-'Бюджет-продаж'!M23-'Бюджет-продаж'!M46</f>
        <v>0</v>
      </c>
      <c r="O21" s="7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2.75" customHeight="1" outlineLevel="2">
      <c r="A22" s="11"/>
      <c r="B22" s="74"/>
      <c r="C22" s="99">
        <f>B22+'Бюджет производства'!B22-'Бюджет-продаж'!B24-'Бюджет-продаж'!B47</f>
        <v>0</v>
      </c>
      <c r="D22" s="99">
        <f>C22+'Бюджет производства'!C22-'Бюджет-продаж'!C24-'Бюджет-продаж'!C47</f>
        <v>0</v>
      </c>
      <c r="E22" s="99">
        <f>D22+'Бюджет производства'!D22-'Бюджет-продаж'!D24-'Бюджет-продаж'!D47</f>
        <v>0</v>
      </c>
      <c r="F22" s="99">
        <f>E22+'Бюджет производства'!E22-'Бюджет-продаж'!E24-'Бюджет-продаж'!E47</f>
        <v>0</v>
      </c>
      <c r="G22" s="99">
        <f>F22+'Бюджет производства'!F22-'Бюджет-продаж'!F24-'Бюджет-продаж'!F47</f>
        <v>0</v>
      </c>
      <c r="H22" s="99">
        <f>G22+'Бюджет производства'!G22-'Бюджет-продаж'!G24-'Бюджет-продаж'!G47</f>
        <v>0</v>
      </c>
      <c r="I22" s="99">
        <f>H22+'Бюджет производства'!H22-'Бюджет-продаж'!H24-'Бюджет-продаж'!H47</f>
        <v>0</v>
      </c>
      <c r="J22" s="99">
        <f>I22+'Бюджет производства'!I22-'Бюджет-продаж'!I24-'Бюджет-продаж'!I47</f>
        <v>0</v>
      </c>
      <c r="K22" s="99">
        <f>J22+'Бюджет производства'!J22-'Бюджет-продаж'!J24-'Бюджет-продаж'!J47</f>
        <v>0</v>
      </c>
      <c r="L22" s="99">
        <f>K22+'Бюджет производства'!K22-'Бюджет-продаж'!K24-'Бюджет-продаж'!K47</f>
        <v>0</v>
      </c>
      <c r="M22" s="99">
        <f>L22+'Бюджет производства'!L22-'Бюджет-продаж'!L24-'Бюджет-продаж'!L47</f>
        <v>0</v>
      </c>
      <c r="N22" s="99">
        <f>M22+'Бюджет производства'!M22-'Бюджет-продаж'!M24-'Бюджет-продаж'!M47</f>
        <v>0</v>
      </c>
      <c r="O22" s="7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2.75" customHeight="1" outlineLevel="2">
      <c r="A23" s="11"/>
      <c r="B23" s="74"/>
      <c r="C23" s="99">
        <f>B23+'Бюджет производства'!B23-'Бюджет-продаж'!B25-'Бюджет-продаж'!B48</f>
        <v>0</v>
      </c>
      <c r="D23" s="99">
        <f>C23+'Бюджет производства'!C23-'Бюджет-продаж'!C25-'Бюджет-продаж'!C48</f>
        <v>0</v>
      </c>
      <c r="E23" s="99">
        <f>D23+'Бюджет производства'!D23-'Бюджет-продаж'!D25-'Бюджет-продаж'!D48</f>
        <v>0</v>
      </c>
      <c r="F23" s="99">
        <f>E23+'Бюджет производства'!E23-'Бюджет-продаж'!E25-'Бюджет-продаж'!E48</f>
        <v>0</v>
      </c>
      <c r="G23" s="99">
        <f>F23+'Бюджет производства'!F23-'Бюджет-продаж'!F25-'Бюджет-продаж'!F48</f>
        <v>0</v>
      </c>
      <c r="H23" s="99">
        <f>G23+'Бюджет производства'!G23-'Бюджет-продаж'!G25-'Бюджет-продаж'!G48</f>
        <v>0</v>
      </c>
      <c r="I23" s="99">
        <f>H23+'Бюджет производства'!H23-'Бюджет-продаж'!H25-'Бюджет-продаж'!H48</f>
        <v>0</v>
      </c>
      <c r="J23" s="99">
        <f>I23+'Бюджет производства'!I23-'Бюджет-продаж'!I25-'Бюджет-продаж'!I48</f>
        <v>0</v>
      </c>
      <c r="K23" s="99">
        <f>J23+'Бюджет производства'!J23-'Бюджет-продаж'!J25-'Бюджет-продаж'!J48</f>
        <v>0</v>
      </c>
      <c r="L23" s="99">
        <f>K23+'Бюджет производства'!K23-'Бюджет-продаж'!K25-'Бюджет-продаж'!K48</f>
        <v>0</v>
      </c>
      <c r="M23" s="99">
        <f>L23+'Бюджет производства'!L23-'Бюджет-продаж'!L25-'Бюджет-продаж'!L48</f>
        <v>0</v>
      </c>
      <c r="N23" s="99">
        <f>M23+'Бюджет производства'!M23-'Бюджет-продаж'!M25-'Бюджет-продаж'!M48</f>
        <v>0</v>
      </c>
      <c r="O23" s="7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2.75" customHeight="1" outlineLevel="1">
      <c r="A24" s="76" t="s">
        <v>227</v>
      </c>
      <c r="B24" s="77"/>
      <c r="C24" s="77">
        <f t="shared" ref="C24:O24" si="1">SUM(C4:C22)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2"/>
      <c r="Q24" s="1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2.75" customHeight="1" outlineLevel="1">
      <c r="A27" s="97" t="s">
        <v>233</v>
      </c>
      <c r="B27" s="72"/>
      <c r="C27" s="72"/>
      <c r="D27" s="72"/>
      <c r="E27" s="72"/>
      <c r="F27" s="72"/>
      <c r="G27" s="72"/>
      <c r="H27" s="72"/>
      <c r="I27" s="56"/>
      <c r="J27" s="56"/>
      <c r="K27" s="56"/>
      <c r="L27" s="56"/>
      <c r="M27" s="56"/>
      <c r="N27" s="56"/>
      <c r="O27" s="5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2.75" customHeight="1" outlineLevel="2">
      <c r="A28" s="73" t="s">
        <v>203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 t="str">
        <f t="shared" ref="O28:O47" si="2">IFERROR(AVERAGE(C28,D28,E28,F28,G28,H28,I28,J28,K28,L28,M28,N28),)</f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2.75" customHeight="1" outlineLevel="2">
      <c r="A29" s="73" t="s">
        <v>204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 t="str">
        <f t="shared" si="2"/>
        <v/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2.75" customHeight="1" outlineLevel="2">
      <c r="A30" s="73" t="s">
        <v>205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 t="str">
        <f t="shared" si="2"/>
        <v/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2.75" customHeight="1" outlineLevel="2">
      <c r="A31" s="73" t="s">
        <v>206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5" t="str">
        <f t="shared" si="2"/>
        <v/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2.75" customHeight="1" outlineLevel="2">
      <c r="A32" s="73" t="s">
        <v>207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 t="str">
        <f t="shared" si="2"/>
        <v/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2.75" customHeight="1" outlineLevel="2">
      <c r="A33" s="73" t="s">
        <v>208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 t="str">
        <f t="shared" si="2"/>
        <v/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2.75" customHeight="1" outlineLevel="2">
      <c r="A34" s="11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5" t="str">
        <f t="shared" si="2"/>
        <v/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2.75" customHeight="1" outlineLevel="2">
      <c r="A35" s="11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 t="str">
        <f t="shared" si="2"/>
        <v/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2.75" customHeight="1" outlineLevel="2">
      <c r="A36" s="11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5" t="str">
        <f t="shared" si="2"/>
        <v/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2.75" customHeight="1" outlineLevel="2">
      <c r="A37" s="11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5" t="str">
        <f t="shared" si="2"/>
        <v/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2.75" customHeight="1" outlineLevel="2">
      <c r="A38" s="11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 t="str">
        <f t="shared" si="2"/>
        <v/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2.75" customHeight="1" outlineLevel="2">
      <c r="A39" s="11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5" t="str">
        <f t="shared" si="2"/>
        <v/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2.75" customHeight="1" outlineLevel="2">
      <c r="A40" s="11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 t="str">
        <f t="shared" si="2"/>
        <v/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2.75" customHeight="1" outlineLevel="2">
      <c r="A41" s="11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 t="str">
        <f t="shared" si="2"/>
        <v/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2.75" customHeight="1" outlineLevel="2">
      <c r="A42" s="11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5" t="str">
        <f t="shared" si="2"/>
        <v/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2.75" customHeight="1" outlineLevel="2">
      <c r="A43" s="11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 t="str">
        <f t="shared" si="2"/>
        <v/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2.75" customHeight="1" outlineLevel="2">
      <c r="A44" s="11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 t="str">
        <f t="shared" si="2"/>
        <v/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2.75" customHeight="1" outlineLevel="2">
      <c r="A45" s="11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 t="str">
        <f t="shared" si="2"/>
        <v/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2.75" customHeight="1" outlineLevel="2">
      <c r="A46" s="11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5" t="str">
        <f t="shared" si="2"/>
        <v/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2.75" customHeight="1" outlineLevel="2">
      <c r="A47" s="11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5" t="str">
        <f t="shared" si="2"/>
        <v/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2.75" customHeight="1" outlineLevel="1">
      <c r="A48" s="100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2"/>
      <c r="P48" s="2"/>
      <c r="Q48" s="1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2.75" customHeight="1" outlineLevel="1">
      <c r="A50" s="97" t="s">
        <v>234</v>
      </c>
      <c r="B50" s="72"/>
      <c r="C50" s="72"/>
      <c r="D50" s="72"/>
      <c r="E50" s="72"/>
      <c r="F50" s="72"/>
      <c r="G50" s="72"/>
      <c r="H50" s="72"/>
      <c r="I50" s="56"/>
      <c r="J50" s="56"/>
      <c r="K50" s="56"/>
      <c r="L50" s="56"/>
      <c r="M50" s="56"/>
      <c r="N50" s="56"/>
      <c r="O50" s="5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2.75" customHeight="1" outlineLevel="2">
      <c r="A51" s="73" t="s">
        <v>203</v>
      </c>
      <c r="B51" s="74">
        <f t="shared" ref="B51:N51" si="3">B4*B28/1000</f>
        <v>0</v>
      </c>
      <c r="C51" s="99">
        <f t="shared" si="3"/>
        <v>0</v>
      </c>
      <c r="D51" s="99">
        <f t="shared" si="3"/>
        <v>0</v>
      </c>
      <c r="E51" s="99">
        <f t="shared" si="3"/>
        <v>0</v>
      </c>
      <c r="F51" s="99">
        <f t="shared" si="3"/>
        <v>0</v>
      </c>
      <c r="G51" s="99">
        <f t="shared" si="3"/>
        <v>0</v>
      </c>
      <c r="H51" s="99">
        <f t="shared" si="3"/>
        <v>0</v>
      </c>
      <c r="I51" s="99">
        <f t="shared" si="3"/>
        <v>0</v>
      </c>
      <c r="J51" s="99">
        <f t="shared" si="3"/>
        <v>0</v>
      </c>
      <c r="K51" s="99">
        <f t="shared" si="3"/>
        <v>0</v>
      </c>
      <c r="L51" s="99">
        <f t="shared" si="3"/>
        <v>0</v>
      </c>
      <c r="M51" s="99">
        <f t="shared" si="3"/>
        <v>0</v>
      </c>
      <c r="N51" s="99">
        <f t="shared" si="3"/>
        <v>0</v>
      </c>
      <c r="O51" s="5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2.75" customHeight="1" outlineLevel="2">
      <c r="A52" s="73" t="s">
        <v>204</v>
      </c>
      <c r="B52" s="74">
        <f t="shared" ref="B52:N52" si="4">B5*B29/1000</f>
        <v>0</v>
      </c>
      <c r="C52" s="99">
        <f t="shared" si="4"/>
        <v>0</v>
      </c>
      <c r="D52" s="99">
        <f t="shared" si="4"/>
        <v>0</v>
      </c>
      <c r="E52" s="99">
        <f t="shared" si="4"/>
        <v>0</v>
      </c>
      <c r="F52" s="99">
        <f t="shared" si="4"/>
        <v>0</v>
      </c>
      <c r="G52" s="99">
        <f t="shared" si="4"/>
        <v>0</v>
      </c>
      <c r="H52" s="99">
        <f t="shared" si="4"/>
        <v>0</v>
      </c>
      <c r="I52" s="99">
        <f t="shared" si="4"/>
        <v>0</v>
      </c>
      <c r="J52" s="99">
        <f t="shared" si="4"/>
        <v>0</v>
      </c>
      <c r="K52" s="99">
        <f t="shared" si="4"/>
        <v>0</v>
      </c>
      <c r="L52" s="99">
        <f t="shared" si="4"/>
        <v>0</v>
      </c>
      <c r="M52" s="99">
        <f t="shared" si="4"/>
        <v>0</v>
      </c>
      <c r="N52" s="99">
        <f t="shared" si="4"/>
        <v>0</v>
      </c>
      <c r="O52" s="5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2.75" customHeight="1" outlineLevel="2">
      <c r="A53" s="73" t="s">
        <v>205</v>
      </c>
      <c r="B53" s="74">
        <f t="shared" ref="B53:N53" si="5">B6*B30/1000</f>
        <v>0</v>
      </c>
      <c r="C53" s="99">
        <f t="shared" si="5"/>
        <v>0</v>
      </c>
      <c r="D53" s="99">
        <f t="shared" si="5"/>
        <v>0</v>
      </c>
      <c r="E53" s="99">
        <f t="shared" si="5"/>
        <v>0</v>
      </c>
      <c r="F53" s="99">
        <f t="shared" si="5"/>
        <v>0</v>
      </c>
      <c r="G53" s="99">
        <f t="shared" si="5"/>
        <v>0</v>
      </c>
      <c r="H53" s="99">
        <f t="shared" si="5"/>
        <v>0</v>
      </c>
      <c r="I53" s="99">
        <f t="shared" si="5"/>
        <v>0</v>
      </c>
      <c r="J53" s="99">
        <f t="shared" si="5"/>
        <v>0</v>
      </c>
      <c r="K53" s="99">
        <f t="shared" si="5"/>
        <v>0</v>
      </c>
      <c r="L53" s="99">
        <f t="shared" si="5"/>
        <v>0</v>
      </c>
      <c r="M53" s="99">
        <f t="shared" si="5"/>
        <v>0</v>
      </c>
      <c r="N53" s="99">
        <f t="shared" si="5"/>
        <v>0</v>
      </c>
      <c r="O53" s="5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2.75" customHeight="1" outlineLevel="2">
      <c r="A54" s="73" t="s">
        <v>206</v>
      </c>
      <c r="B54" s="74">
        <f t="shared" ref="B54:N54" si="6">B7*B31/1000</f>
        <v>0</v>
      </c>
      <c r="C54" s="99">
        <f t="shared" si="6"/>
        <v>0</v>
      </c>
      <c r="D54" s="99">
        <f t="shared" si="6"/>
        <v>0</v>
      </c>
      <c r="E54" s="99">
        <f t="shared" si="6"/>
        <v>0</v>
      </c>
      <c r="F54" s="99">
        <f t="shared" si="6"/>
        <v>0</v>
      </c>
      <c r="G54" s="99">
        <f t="shared" si="6"/>
        <v>0</v>
      </c>
      <c r="H54" s="99">
        <f t="shared" si="6"/>
        <v>0</v>
      </c>
      <c r="I54" s="99">
        <f t="shared" si="6"/>
        <v>0</v>
      </c>
      <c r="J54" s="99">
        <f t="shared" si="6"/>
        <v>0</v>
      </c>
      <c r="K54" s="99">
        <f t="shared" si="6"/>
        <v>0</v>
      </c>
      <c r="L54" s="99">
        <f t="shared" si="6"/>
        <v>0</v>
      </c>
      <c r="M54" s="99">
        <f t="shared" si="6"/>
        <v>0</v>
      </c>
      <c r="N54" s="99">
        <f t="shared" si="6"/>
        <v>0</v>
      </c>
      <c r="O54" s="5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2.75" customHeight="1" outlineLevel="2">
      <c r="A55" s="73" t="s">
        <v>207</v>
      </c>
      <c r="B55" s="74">
        <f t="shared" ref="B55:N55" si="7">B8*B32/1000</f>
        <v>0</v>
      </c>
      <c r="C55" s="99">
        <f t="shared" si="7"/>
        <v>0</v>
      </c>
      <c r="D55" s="99">
        <f t="shared" si="7"/>
        <v>0</v>
      </c>
      <c r="E55" s="99">
        <f t="shared" si="7"/>
        <v>0</v>
      </c>
      <c r="F55" s="99">
        <f t="shared" si="7"/>
        <v>0</v>
      </c>
      <c r="G55" s="99">
        <f t="shared" si="7"/>
        <v>0</v>
      </c>
      <c r="H55" s="99">
        <f t="shared" si="7"/>
        <v>0</v>
      </c>
      <c r="I55" s="99">
        <f t="shared" si="7"/>
        <v>0</v>
      </c>
      <c r="J55" s="99">
        <f t="shared" si="7"/>
        <v>0</v>
      </c>
      <c r="K55" s="99">
        <f t="shared" si="7"/>
        <v>0</v>
      </c>
      <c r="L55" s="99">
        <f t="shared" si="7"/>
        <v>0</v>
      </c>
      <c r="M55" s="99">
        <f t="shared" si="7"/>
        <v>0</v>
      </c>
      <c r="N55" s="99">
        <f t="shared" si="7"/>
        <v>0</v>
      </c>
      <c r="O55" s="5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2.75" customHeight="1" outlineLevel="2">
      <c r="A56" s="73" t="s">
        <v>208</v>
      </c>
      <c r="B56" s="74">
        <f t="shared" ref="B56:N56" si="8">B9*B33/1000</f>
        <v>0</v>
      </c>
      <c r="C56" s="99">
        <f t="shared" si="8"/>
        <v>0</v>
      </c>
      <c r="D56" s="99">
        <f t="shared" si="8"/>
        <v>0</v>
      </c>
      <c r="E56" s="99">
        <f t="shared" si="8"/>
        <v>0</v>
      </c>
      <c r="F56" s="99">
        <f t="shared" si="8"/>
        <v>0</v>
      </c>
      <c r="G56" s="99">
        <f t="shared" si="8"/>
        <v>0</v>
      </c>
      <c r="H56" s="99">
        <f t="shared" si="8"/>
        <v>0</v>
      </c>
      <c r="I56" s="99">
        <f t="shared" si="8"/>
        <v>0</v>
      </c>
      <c r="J56" s="99">
        <f t="shared" si="8"/>
        <v>0</v>
      </c>
      <c r="K56" s="99">
        <f t="shared" si="8"/>
        <v>0</v>
      </c>
      <c r="L56" s="99">
        <f t="shared" si="8"/>
        <v>0</v>
      </c>
      <c r="M56" s="99">
        <f t="shared" si="8"/>
        <v>0</v>
      </c>
      <c r="N56" s="99">
        <f t="shared" si="8"/>
        <v>0</v>
      </c>
      <c r="O56" s="5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2.75" customHeight="1" outlineLevel="2">
      <c r="A57" s="11"/>
      <c r="B57" s="74">
        <f t="shared" ref="B57:N57" si="9">B10*B34/1000</f>
        <v>0</v>
      </c>
      <c r="C57" s="99">
        <f t="shared" si="9"/>
        <v>0</v>
      </c>
      <c r="D57" s="99">
        <f t="shared" si="9"/>
        <v>0</v>
      </c>
      <c r="E57" s="99">
        <f t="shared" si="9"/>
        <v>0</v>
      </c>
      <c r="F57" s="99">
        <f t="shared" si="9"/>
        <v>0</v>
      </c>
      <c r="G57" s="99">
        <f t="shared" si="9"/>
        <v>0</v>
      </c>
      <c r="H57" s="99">
        <f t="shared" si="9"/>
        <v>0</v>
      </c>
      <c r="I57" s="99">
        <f t="shared" si="9"/>
        <v>0</v>
      </c>
      <c r="J57" s="99">
        <f t="shared" si="9"/>
        <v>0</v>
      </c>
      <c r="K57" s="99">
        <f t="shared" si="9"/>
        <v>0</v>
      </c>
      <c r="L57" s="99">
        <f t="shared" si="9"/>
        <v>0</v>
      </c>
      <c r="M57" s="99">
        <f t="shared" si="9"/>
        <v>0</v>
      </c>
      <c r="N57" s="99">
        <f t="shared" si="9"/>
        <v>0</v>
      </c>
      <c r="O57" s="5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2.75" customHeight="1" outlineLevel="2">
      <c r="A58" s="11"/>
      <c r="B58" s="74">
        <f t="shared" ref="B58:N58" si="10">B11*B35/1000</f>
        <v>0</v>
      </c>
      <c r="C58" s="99">
        <f t="shared" si="10"/>
        <v>0</v>
      </c>
      <c r="D58" s="99">
        <f t="shared" si="10"/>
        <v>0</v>
      </c>
      <c r="E58" s="99">
        <f t="shared" si="10"/>
        <v>0</v>
      </c>
      <c r="F58" s="99">
        <f t="shared" si="10"/>
        <v>0</v>
      </c>
      <c r="G58" s="99">
        <f t="shared" si="10"/>
        <v>0</v>
      </c>
      <c r="H58" s="99">
        <f t="shared" si="10"/>
        <v>0</v>
      </c>
      <c r="I58" s="99">
        <f t="shared" si="10"/>
        <v>0</v>
      </c>
      <c r="J58" s="99">
        <f t="shared" si="10"/>
        <v>0</v>
      </c>
      <c r="K58" s="99">
        <f t="shared" si="10"/>
        <v>0</v>
      </c>
      <c r="L58" s="99">
        <f t="shared" si="10"/>
        <v>0</v>
      </c>
      <c r="M58" s="99">
        <f t="shared" si="10"/>
        <v>0</v>
      </c>
      <c r="N58" s="99">
        <f t="shared" si="10"/>
        <v>0</v>
      </c>
      <c r="O58" s="5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2.75" customHeight="1" outlineLevel="2">
      <c r="A59" s="11"/>
      <c r="B59" s="74">
        <f t="shared" ref="B59:N59" si="11">B12*B36/1000</f>
        <v>0</v>
      </c>
      <c r="C59" s="99">
        <f t="shared" si="11"/>
        <v>0</v>
      </c>
      <c r="D59" s="99">
        <f t="shared" si="11"/>
        <v>0</v>
      </c>
      <c r="E59" s="99">
        <f t="shared" si="11"/>
        <v>0</v>
      </c>
      <c r="F59" s="99">
        <f t="shared" si="11"/>
        <v>0</v>
      </c>
      <c r="G59" s="99">
        <f t="shared" si="11"/>
        <v>0</v>
      </c>
      <c r="H59" s="99">
        <f t="shared" si="11"/>
        <v>0</v>
      </c>
      <c r="I59" s="99">
        <f t="shared" si="11"/>
        <v>0</v>
      </c>
      <c r="J59" s="99">
        <f t="shared" si="11"/>
        <v>0</v>
      </c>
      <c r="K59" s="99">
        <f t="shared" si="11"/>
        <v>0</v>
      </c>
      <c r="L59" s="99">
        <f t="shared" si="11"/>
        <v>0</v>
      </c>
      <c r="M59" s="99">
        <f t="shared" si="11"/>
        <v>0</v>
      </c>
      <c r="N59" s="99">
        <f t="shared" si="11"/>
        <v>0</v>
      </c>
      <c r="O59" s="5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2.75" customHeight="1" outlineLevel="2">
      <c r="A60" s="11"/>
      <c r="B60" s="74">
        <f t="shared" ref="B60:N60" si="12">B13*B37/1000</f>
        <v>0</v>
      </c>
      <c r="C60" s="99">
        <f t="shared" si="12"/>
        <v>0</v>
      </c>
      <c r="D60" s="99">
        <f t="shared" si="12"/>
        <v>0</v>
      </c>
      <c r="E60" s="99">
        <f t="shared" si="12"/>
        <v>0</v>
      </c>
      <c r="F60" s="99">
        <f t="shared" si="12"/>
        <v>0</v>
      </c>
      <c r="G60" s="99">
        <f t="shared" si="12"/>
        <v>0</v>
      </c>
      <c r="H60" s="99">
        <f t="shared" si="12"/>
        <v>0</v>
      </c>
      <c r="I60" s="99">
        <f t="shared" si="12"/>
        <v>0</v>
      </c>
      <c r="J60" s="99">
        <f t="shared" si="12"/>
        <v>0</v>
      </c>
      <c r="K60" s="99">
        <f t="shared" si="12"/>
        <v>0</v>
      </c>
      <c r="L60" s="99">
        <f t="shared" si="12"/>
        <v>0</v>
      </c>
      <c r="M60" s="99">
        <f t="shared" si="12"/>
        <v>0</v>
      </c>
      <c r="N60" s="99">
        <f t="shared" si="12"/>
        <v>0</v>
      </c>
      <c r="O60" s="5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2.75" customHeight="1" outlineLevel="2">
      <c r="A61" s="11"/>
      <c r="B61" s="74">
        <f t="shared" ref="B61:N61" si="13">B14*B38/1000</f>
        <v>0</v>
      </c>
      <c r="C61" s="99">
        <f t="shared" si="13"/>
        <v>0</v>
      </c>
      <c r="D61" s="99">
        <f t="shared" si="13"/>
        <v>0</v>
      </c>
      <c r="E61" s="99">
        <f t="shared" si="13"/>
        <v>0</v>
      </c>
      <c r="F61" s="99">
        <f t="shared" si="13"/>
        <v>0</v>
      </c>
      <c r="G61" s="99">
        <f t="shared" si="13"/>
        <v>0</v>
      </c>
      <c r="H61" s="99">
        <f t="shared" si="13"/>
        <v>0</v>
      </c>
      <c r="I61" s="99">
        <f t="shared" si="13"/>
        <v>0</v>
      </c>
      <c r="J61" s="99">
        <f t="shared" si="13"/>
        <v>0</v>
      </c>
      <c r="K61" s="99">
        <f t="shared" si="13"/>
        <v>0</v>
      </c>
      <c r="L61" s="99">
        <f t="shared" si="13"/>
        <v>0</v>
      </c>
      <c r="M61" s="99">
        <f t="shared" si="13"/>
        <v>0</v>
      </c>
      <c r="N61" s="99">
        <f t="shared" si="13"/>
        <v>0</v>
      </c>
      <c r="O61" s="5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2.75" customHeight="1" outlineLevel="2">
      <c r="A62" s="11"/>
      <c r="B62" s="74">
        <f t="shared" ref="B62:N62" si="14">B15*B39/1000</f>
        <v>0</v>
      </c>
      <c r="C62" s="99">
        <f t="shared" si="14"/>
        <v>0</v>
      </c>
      <c r="D62" s="99">
        <f t="shared" si="14"/>
        <v>0</v>
      </c>
      <c r="E62" s="99">
        <f t="shared" si="14"/>
        <v>0</v>
      </c>
      <c r="F62" s="99">
        <f t="shared" si="14"/>
        <v>0</v>
      </c>
      <c r="G62" s="99">
        <f t="shared" si="14"/>
        <v>0</v>
      </c>
      <c r="H62" s="99">
        <f t="shared" si="14"/>
        <v>0</v>
      </c>
      <c r="I62" s="99">
        <f t="shared" si="14"/>
        <v>0</v>
      </c>
      <c r="J62" s="99">
        <f t="shared" si="14"/>
        <v>0</v>
      </c>
      <c r="K62" s="99">
        <f t="shared" si="14"/>
        <v>0</v>
      </c>
      <c r="L62" s="99">
        <f t="shared" si="14"/>
        <v>0</v>
      </c>
      <c r="M62" s="99">
        <f t="shared" si="14"/>
        <v>0</v>
      </c>
      <c r="N62" s="99">
        <f t="shared" si="14"/>
        <v>0</v>
      </c>
      <c r="O62" s="5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2.75" customHeight="1" outlineLevel="2">
      <c r="A63" s="11"/>
      <c r="B63" s="74">
        <f t="shared" ref="B63:N63" si="15">B16*B40/1000</f>
        <v>0</v>
      </c>
      <c r="C63" s="99">
        <f t="shared" si="15"/>
        <v>0</v>
      </c>
      <c r="D63" s="99">
        <f t="shared" si="15"/>
        <v>0</v>
      </c>
      <c r="E63" s="99">
        <f t="shared" si="15"/>
        <v>0</v>
      </c>
      <c r="F63" s="99">
        <f t="shared" si="15"/>
        <v>0</v>
      </c>
      <c r="G63" s="99">
        <f t="shared" si="15"/>
        <v>0</v>
      </c>
      <c r="H63" s="99">
        <f t="shared" si="15"/>
        <v>0</v>
      </c>
      <c r="I63" s="99">
        <f t="shared" si="15"/>
        <v>0</v>
      </c>
      <c r="J63" s="99">
        <f t="shared" si="15"/>
        <v>0</v>
      </c>
      <c r="K63" s="99">
        <f t="shared" si="15"/>
        <v>0</v>
      </c>
      <c r="L63" s="99">
        <f t="shared" si="15"/>
        <v>0</v>
      </c>
      <c r="M63" s="99">
        <f t="shared" si="15"/>
        <v>0</v>
      </c>
      <c r="N63" s="99">
        <f t="shared" si="15"/>
        <v>0</v>
      </c>
      <c r="O63" s="5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2.75" customHeight="1" outlineLevel="2">
      <c r="A64" s="11"/>
      <c r="B64" s="74">
        <f t="shared" ref="B64:N64" si="16">B17*B41/1000</f>
        <v>0</v>
      </c>
      <c r="C64" s="99">
        <f t="shared" si="16"/>
        <v>0</v>
      </c>
      <c r="D64" s="99">
        <f t="shared" si="16"/>
        <v>0</v>
      </c>
      <c r="E64" s="99">
        <f t="shared" si="16"/>
        <v>0</v>
      </c>
      <c r="F64" s="99">
        <f t="shared" si="16"/>
        <v>0</v>
      </c>
      <c r="G64" s="99">
        <f t="shared" si="16"/>
        <v>0</v>
      </c>
      <c r="H64" s="99">
        <f t="shared" si="16"/>
        <v>0</v>
      </c>
      <c r="I64" s="99">
        <f t="shared" si="16"/>
        <v>0</v>
      </c>
      <c r="J64" s="99">
        <f t="shared" si="16"/>
        <v>0</v>
      </c>
      <c r="K64" s="99">
        <f t="shared" si="16"/>
        <v>0</v>
      </c>
      <c r="L64" s="99">
        <f t="shared" si="16"/>
        <v>0</v>
      </c>
      <c r="M64" s="99">
        <f t="shared" si="16"/>
        <v>0</v>
      </c>
      <c r="N64" s="99">
        <f t="shared" si="16"/>
        <v>0</v>
      </c>
      <c r="O64" s="5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2.75" customHeight="1" outlineLevel="2">
      <c r="A65" s="11"/>
      <c r="B65" s="74">
        <f t="shared" ref="B65:N65" si="17">B18*B42/1000</f>
        <v>0</v>
      </c>
      <c r="C65" s="99">
        <f t="shared" si="17"/>
        <v>0</v>
      </c>
      <c r="D65" s="99">
        <f t="shared" si="17"/>
        <v>0</v>
      </c>
      <c r="E65" s="99">
        <f t="shared" si="17"/>
        <v>0</v>
      </c>
      <c r="F65" s="99">
        <f t="shared" si="17"/>
        <v>0</v>
      </c>
      <c r="G65" s="99">
        <f t="shared" si="17"/>
        <v>0</v>
      </c>
      <c r="H65" s="99">
        <f t="shared" si="17"/>
        <v>0</v>
      </c>
      <c r="I65" s="99">
        <f t="shared" si="17"/>
        <v>0</v>
      </c>
      <c r="J65" s="99">
        <f t="shared" si="17"/>
        <v>0</v>
      </c>
      <c r="K65" s="99">
        <f t="shared" si="17"/>
        <v>0</v>
      </c>
      <c r="L65" s="99">
        <f t="shared" si="17"/>
        <v>0</v>
      </c>
      <c r="M65" s="99">
        <f t="shared" si="17"/>
        <v>0</v>
      </c>
      <c r="N65" s="99">
        <f t="shared" si="17"/>
        <v>0</v>
      </c>
      <c r="O65" s="7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2.75" customHeight="1" outlineLevel="2">
      <c r="A66" s="11"/>
      <c r="B66" s="74">
        <f t="shared" ref="B66:N66" si="18">B19*B43/1000</f>
        <v>0</v>
      </c>
      <c r="C66" s="99">
        <f t="shared" si="18"/>
        <v>0</v>
      </c>
      <c r="D66" s="99">
        <f t="shared" si="18"/>
        <v>0</v>
      </c>
      <c r="E66" s="99">
        <f t="shared" si="18"/>
        <v>0</v>
      </c>
      <c r="F66" s="99">
        <f t="shared" si="18"/>
        <v>0</v>
      </c>
      <c r="G66" s="99">
        <f t="shared" si="18"/>
        <v>0</v>
      </c>
      <c r="H66" s="99">
        <f t="shared" si="18"/>
        <v>0</v>
      </c>
      <c r="I66" s="99">
        <f t="shared" si="18"/>
        <v>0</v>
      </c>
      <c r="J66" s="99">
        <f t="shared" si="18"/>
        <v>0</v>
      </c>
      <c r="K66" s="99">
        <f t="shared" si="18"/>
        <v>0</v>
      </c>
      <c r="L66" s="99">
        <f t="shared" si="18"/>
        <v>0</v>
      </c>
      <c r="M66" s="99">
        <f t="shared" si="18"/>
        <v>0</v>
      </c>
      <c r="N66" s="99">
        <f t="shared" si="18"/>
        <v>0</v>
      </c>
      <c r="O66" s="7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2.75" customHeight="1" outlineLevel="2">
      <c r="A67" s="11"/>
      <c r="B67" s="74">
        <f t="shared" ref="B67:N67" si="19">B20*B44/1000</f>
        <v>0</v>
      </c>
      <c r="C67" s="99">
        <f t="shared" si="19"/>
        <v>0</v>
      </c>
      <c r="D67" s="99">
        <f t="shared" si="19"/>
        <v>0</v>
      </c>
      <c r="E67" s="99">
        <f t="shared" si="19"/>
        <v>0</v>
      </c>
      <c r="F67" s="99">
        <f t="shared" si="19"/>
        <v>0</v>
      </c>
      <c r="G67" s="99">
        <f t="shared" si="19"/>
        <v>0</v>
      </c>
      <c r="H67" s="99">
        <f t="shared" si="19"/>
        <v>0</v>
      </c>
      <c r="I67" s="99">
        <f t="shared" si="19"/>
        <v>0</v>
      </c>
      <c r="J67" s="99">
        <f t="shared" si="19"/>
        <v>0</v>
      </c>
      <c r="K67" s="99">
        <f t="shared" si="19"/>
        <v>0</v>
      </c>
      <c r="L67" s="99">
        <f t="shared" si="19"/>
        <v>0</v>
      </c>
      <c r="M67" s="99">
        <f t="shared" si="19"/>
        <v>0</v>
      </c>
      <c r="N67" s="99">
        <f t="shared" si="19"/>
        <v>0</v>
      </c>
      <c r="O67" s="7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2.75" customHeight="1" outlineLevel="2">
      <c r="A68" s="11"/>
      <c r="B68" s="74">
        <f t="shared" ref="B68:N68" si="20">B21*B45/1000</f>
        <v>0</v>
      </c>
      <c r="C68" s="99">
        <f t="shared" si="20"/>
        <v>0</v>
      </c>
      <c r="D68" s="99">
        <f t="shared" si="20"/>
        <v>0</v>
      </c>
      <c r="E68" s="99">
        <f t="shared" si="20"/>
        <v>0</v>
      </c>
      <c r="F68" s="99">
        <f t="shared" si="20"/>
        <v>0</v>
      </c>
      <c r="G68" s="99">
        <f t="shared" si="20"/>
        <v>0</v>
      </c>
      <c r="H68" s="99">
        <f t="shared" si="20"/>
        <v>0</v>
      </c>
      <c r="I68" s="99">
        <f t="shared" si="20"/>
        <v>0</v>
      </c>
      <c r="J68" s="99">
        <f t="shared" si="20"/>
        <v>0</v>
      </c>
      <c r="K68" s="99">
        <f t="shared" si="20"/>
        <v>0</v>
      </c>
      <c r="L68" s="99">
        <f t="shared" si="20"/>
        <v>0</v>
      </c>
      <c r="M68" s="99">
        <f t="shared" si="20"/>
        <v>0</v>
      </c>
      <c r="N68" s="99">
        <f t="shared" si="20"/>
        <v>0</v>
      </c>
      <c r="O68" s="7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2.75" customHeight="1" outlineLevel="2">
      <c r="A69" s="11"/>
      <c r="B69" s="74">
        <f t="shared" ref="B69:N69" si="21">B22*B46/1000</f>
        <v>0</v>
      </c>
      <c r="C69" s="99">
        <f t="shared" si="21"/>
        <v>0</v>
      </c>
      <c r="D69" s="99">
        <f t="shared" si="21"/>
        <v>0</v>
      </c>
      <c r="E69" s="99">
        <f t="shared" si="21"/>
        <v>0</v>
      </c>
      <c r="F69" s="99">
        <f t="shared" si="21"/>
        <v>0</v>
      </c>
      <c r="G69" s="99">
        <f t="shared" si="21"/>
        <v>0</v>
      </c>
      <c r="H69" s="99">
        <f t="shared" si="21"/>
        <v>0</v>
      </c>
      <c r="I69" s="99">
        <f t="shared" si="21"/>
        <v>0</v>
      </c>
      <c r="J69" s="99">
        <f t="shared" si="21"/>
        <v>0</v>
      </c>
      <c r="K69" s="99">
        <f t="shared" si="21"/>
        <v>0</v>
      </c>
      <c r="L69" s="99">
        <f t="shared" si="21"/>
        <v>0</v>
      </c>
      <c r="M69" s="99">
        <f t="shared" si="21"/>
        <v>0</v>
      </c>
      <c r="N69" s="99">
        <f t="shared" si="21"/>
        <v>0</v>
      </c>
      <c r="O69" s="7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2.75" customHeight="1" outlineLevel="2">
      <c r="A70" s="11"/>
      <c r="B70" s="74">
        <f t="shared" ref="B70:N70" si="22">B23*B47/1000</f>
        <v>0</v>
      </c>
      <c r="C70" s="99">
        <f t="shared" si="22"/>
        <v>0</v>
      </c>
      <c r="D70" s="99">
        <f t="shared" si="22"/>
        <v>0</v>
      </c>
      <c r="E70" s="99">
        <f t="shared" si="22"/>
        <v>0</v>
      </c>
      <c r="F70" s="99">
        <f t="shared" si="22"/>
        <v>0</v>
      </c>
      <c r="G70" s="99">
        <f t="shared" si="22"/>
        <v>0</v>
      </c>
      <c r="H70" s="99">
        <f t="shared" si="22"/>
        <v>0</v>
      </c>
      <c r="I70" s="99">
        <f t="shared" si="22"/>
        <v>0</v>
      </c>
      <c r="J70" s="99">
        <f t="shared" si="22"/>
        <v>0</v>
      </c>
      <c r="K70" s="99">
        <f t="shared" si="22"/>
        <v>0</v>
      </c>
      <c r="L70" s="99">
        <f t="shared" si="22"/>
        <v>0</v>
      </c>
      <c r="M70" s="99">
        <f t="shared" si="22"/>
        <v>0</v>
      </c>
      <c r="N70" s="99">
        <f t="shared" si="22"/>
        <v>0</v>
      </c>
      <c r="O70" s="7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2.75" customHeight="1" outlineLevel="1">
      <c r="A71" s="76" t="s">
        <v>235</v>
      </c>
      <c r="B71" s="103">
        <f t="shared" ref="B71:O71" si="23">SUM(B51:B70)</f>
        <v>0</v>
      </c>
      <c r="C71" s="103">
        <f t="shared" si="23"/>
        <v>0</v>
      </c>
      <c r="D71" s="103">
        <f t="shared" si="23"/>
        <v>0</v>
      </c>
      <c r="E71" s="103">
        <f t="shared" si="23"/>
        <v>0</v>
      </c>
      <c r="F71" s="103">
        <f t="shared" si="23"/>
        <v>0</v>
      </c>
      <c r="G71" s="103">
        <f t="shared" si="23"/>
        <v>0</v>
      </c>
      <c r="H71" s="103">
        <f t="shared" si="23"/>
        <v>0</v>
      </c>
      <c r="I71" s="103">
        <f t="shared" si="23"/>
        <v>0</v>
      </c>
      <c r="J71" s="103">
        <f t="shared" si="23"/>
        <v>0</v>
      </c>
      <c r="K71" s="103">
        <f t="shared" si="23"/>
        <v>0</v>
      </c>
      <c r="L71" s="103">
        <f t="shared" si="23"/>
        <v>0</v>
      </c>
      <c r="M71" s="103">
        <f t="shared" si="23"/>
        <v>0</v>
      </c>
      <c r="N71" s="103">
        <f t="shared" si="23"/>
        <v>0</v>
      </c>
      <c r="O71" s="2">
        <f t="shared" si="23"/>
        <v>0</v>
      </c>
      <c r="P71" s="2"/>
      <c r="Q71" s="1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1.25" customHeight="1">
      <c r="A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660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51.71"/>
    <col customWidth="1" min="2" max="3" width="12.86"/>
    <col customWidth="1" min="4" max="15" width="13.57"/>
    <col customWidth="1" min="16" max="16" width="14.0"/>
    <col customWidth="1" min="17" max="26" width="8.71"/>
  </cols>
  <sheetData>
    <row r="1" ht="11.25" customHeight="1">
      <c r="A1" s="89" t="s">
        <v>236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2"/>
      <c r="R1" s="2"/>
      <c r="S1" s="2"/>
      <c r="T1" s="2"/>
      <c r="U1" s="2"/>
      <c r="V1" s="2"/>
      <c r="W1" s="2"/>
      <c r="X1" s="2"/>
      <c r="Y1" s="2"/>
      <c r="Z1" s="2"/>
    </row>
    <row r="2" ht="12.0" customHeight="1">
      <c r="A2" s="89"/>
      <c r="B2" s="89"/>
      <c r="C2" s="89"/>
      <c r="D2" s="104">
        <v>31.0</v>
      </c>
      <c r="E2" s="104">
        <v>28.0</v>
      </c>
      <c r="F2" s="104">
        <v>31.0</v>
      </c>
      <c r="G2" s="104">
        <v>30.0</v>
      </c>
      <c r="H2" s="104">
        <v>31.0</v>
      </c>
      <c r="I2" s="104">
        <v>30.0</v>
      </c>
      <c r="J2" s="104">
        <v>31.0</v>
      </c>
      <c r="K2" s="104">
        <v>31.0</v>
      </c>
      <c r="L2" s="104">
        <v>30.0</v>
      </c>
      <c r="M2" s="104">
        <v>31.0</v>
      </c>
      <c r="N2" s="104">
        <v>30.0</v>
      </c>
      <c r="O2" s="104">
        <v>31.0</v>
      </c>
      <c r="P2" s="89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3" t="s">
        <v>237</v>
      </c>
      <c r="B3" s="3"/>
      <c r="C3" s="3"/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68" t="s">
        <v>200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105"/>
      <c r="O4" s="105"/>
      <c r="P4" s="105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106" t="s">
        <v>238</v>
      </c>
      <c r="B5" s="107" t="s">
        <v>239</v>
      </c>
      <c r="C5" s="108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 outlineLevel="1">
      <c r="A6" s="109" t="s">
        <v>240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77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 outlineLevel="1">
      <c r="A7" s="73" t="s">
        <v>241</v>
      </c>
      <c r="B7" s="110"/>
      <c r="C7" s="110"/>
      <c r="D7" s="110">
        <f>'Исх.данные-произв'!$C8*'Бюджет производства'!B$4+'Бюджет производства'!B$5*'Исх.данные-произв'!$D8+'Исх.данные-произв'!$E$8*'Бюджет производства'!B$6+'Бюджет производства'!B$7*'Исх.данные-произв'!$F8+'Исх.данные-произв'!$G8*'Бюджет производства'!B$8+'Бюджет производства'!B$9*'Исх.данные-произв'!$H8</f>
        <v>0</v>
      </c>
      <c r="E7" s="110">
        <f>'Исх.данные-произв'!$C8*'Бюджет производства'!C$4+'Бюджет производства'!C$5*'Исх.данные-произв'!$D8+'Исх.данные-произв'!$E$8*'Бюджет производства'!C$6+'Бюджет производства'!C$7*'Исх.данные-произв'!$F8+'Исх.данные-произв'!$G8*'Бюджет производства'!C$8+'Бюджет производства'!C$9*'Исх.данные-произв'!$H8</f>
        <v>0</v>
      </c>
      <c r="F7" s="110">
        <f>'Исх.данные-произв'!$C8*'Бюджет производства'!D$4+'Бюджет производства'!D$5*'Исх.данные-произв'!$D8+'Исх.данные-произв'!$E$8*'Бюджет производства'!D$6+'Бюджет производства'!D$7*'Исх.данные-произв'!$F8+'Исх.данные-произв'!$G8*'Бюджет производства'!D$8+'Бюджет производства'!D$9*'Исх.данные-произв'!$H8</f>
        <v>0</v>
      </c>
      <c r="G7" s="110">
        <f>'Исх.данные-произв'!$C8*'Бюджет производства'!E$4+'Бюджет производства'!E$5*'Исх.данные-произв'!$D8+'Исх.данные-произв'!$E$8*'Бюджет производства'!E$6+'Бюджет производства'!E$7*'Исх.данные-произв'!$F8+'Исх.данные-произв'!$G8*'Бюджет производства'!E$8+'Бюджет производства'!E$9*'Исх.данные-произв'!$H8</f>
        <v>0</v>
      </c>
      <c r="H7" s="110">
        <f>'Исх.данные-произв'!$C8*'Бюджет производства'!F$4+'Бюджет производства'!F$5*'Исх.данные-произв'!$D8+'Исх.данные-произв'!$E$8*'Бюджет производства'!F$6+'Бюджет производства'!F$7*'Исх.данные-произв'!$F8+'Исх.данные-произв'!$G8*'Бюджет производства'!F$8+'Бюджет производства'!F$9*'Исх.данные-произв'!$H8</f>
        <v>0</v>
      </c>
      <c r="I7" s="110">
        <f>'Исх.данные-произв'!$C8*'Бюджет производства'!G$4+'Бюджет производства'!G$5*'Исх.данные-произв'!$D8+'Исх.данные-произв'!$E$8*'Бюджет производства'!G$6+'Бюджет производства'!G$7*'Исх.данные-произв'!$F8+'Исх.данные-произв'!$G8*'Бюджет производства'!G$8+'Бюджет производства'!G$9*'Исх.данные-произв'!$H8</f>
        <v>0</v>
      </c>
      <c r="J7" s="110">
        <f>'Исх.данные-произв'!$C8*'Бюджет производства'!H$4+'Бюджет производства'!H$5*'Исх.данные-произв'!$D8+'Исх.данные-произв'!$E$8*'Бюджет производства'!H$6+'Бюджет производства'!H$7*'Исх.данные-произв'!$F8+'Исх.данные-произв'!$G8*'Бюджет производства'!H$8+'Бюджет производства'!H$9*'Исх.данные-произв'!$H8</f>
        <v>0</v>
      </c>
      <c r="K7" s="110">
        <f>'Исх.данные-произв'!$C8*'Бюджет производства'!I$4+'Бюджет производства'!I$5*'Исх.данные-произв'!$D8+'Исх.данные-произв'!$E$8*'Бюджет производства'!I$6+'Бюджет производства'!I$7*'Исх.данные-произв'!$F8+'Исх.данные-произв'!$G8*'Бюджет производства'!I$8+'Бюджет производства'!I$9*'Исх.данные-произв'!$H8</f>
        <v>0</v>
      </c>
      <c r="L7" s="110">
        <f>'Исх.данные-произв'!$C8*'Бюджет производства'!J$4+'Бюджет производства'!J$5*'Исх.данные-произв'!$D8+'Исх.данные-произв'!$E$8*'Бюджет производства'!J$6+'Бюджет производства'!J$7*'Исх.данные-произв'!$F8+'Исх.данные-произв'!$G8*'Бюджет производства'!J$8+'Бюджет производства'!J$9*'Исх.данные-произв'!$H8</f>
        <v>0</v>
      </c>
      <c r="M7" s="110">
        <f>'Исх.данные-произв'!$C8*'Бюджет производства'!K$4+'Бюджет производства'!K$5*'Исх.данные-произв'!$D8+'Исх.данные-произв'!$E$8*'Бюджет производства'!K$6+'Бюджет производства'!K$7*'Исх.данные-произв'!$F8+'Исх.данные-произв'!$G8*'Бюджет производства'!K$8+'Бюджет производства'!K$9*'Исх.данные-произв'!$H8</f>
        <v>0</v>
      </c>
      <c r="N7" s="110">
        <f>'Исх.данные-произв'!$C8*'Бюджет производства'!L$4+'Бюджет производства'!L$5*'Исх.данные-произв'!$D8+'Исх.данные-произв'!$E$8*'Бюджет производства'!L$6+'Бюджет производства'!L$7*'Исх.данные-произв'!$F8+'Исх.данные-произв'!$G8*'Бюджет производства'!L$8+'Бюджет производства'!L$9*'Исх.данные-произв'!$H8</f>
        <v>0</v>
      </c>
      <c r="O7" s="110">
        <f>'Исх.данные-произв'!$C8*'Бюджет производства'!M$4+'Бюджет производства'!M$5*'Исх.данные-произв'!$D8+'Исх.данные-произв'!$E$8*'Бюджет производства'!M$6+'Бюджет производства'!M$7*'Исх.данные-произв'!$F8+'Исх.данные-произв'!$G8*'Бюджет производства'!M$8+'Бюджет производства'!M$9*'Исх.данные-произв'!$H8</f>
        <v>0</v>
      </c>
      <c r="P7" s="103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 outlineLevel="1">
      <c r="A8" s="73" t="s">
        <v>242</v>
      </c>
      <c r="B8" s="110"/>
      <c r="C8" s="110"/>
      <c r="D8" s="110">
        <f>'Исх.данные-произв'!$C9*'Бюджет производства'!B$4+'Бюджет производства'!B$5*'Исх.данные-произв'!$D9+'Исх.данные-произв'!$E$8*'Бюджет производства'!B$6+'Бюджет производства'!B$7*'Исх.данные-произв'!$F9+'Исх.данные-произв'!$G9*'Бюджет производства'!B$8+'Бюджет производства'!B$9*'Исх.данные-произв'!$H9</f>
        <v>0</v>
      </c>
      <c r="E8" s="110">
        <f>'Исх.данные-произв'!$C9*'Бюджет производства'!C$4+'Бюджет производства'!C$5*'Исх.данные-произв'!$D9+'Исх.данные-произв'!$E$8*'Бюджет производства'!C$6+'Бюджет производства'!C$7*'Исх.данные-произв'!$F9+'Исх.данные-произв'!$G9*'Бюджет производства'!C$8+'Бюджет производства'!C$9*'Исх.данные-произв'!$H9</f>
        <v>0</v>
      </c>
      <c r="F8" s="110">
        <f>'Исх.данные-произв'!$C9*'Бюджет производства'!D$4+'Бюджет производства'!D$5*'Исх.данные-произв'!$D9+'Исх.данные-произв'!$E$8*'Бюджет производства'!D$6+'Бюджет производства'!D$7*'Исх.данные-произв'!$F9+'Исх.данные-произв'!$G9*'Бюджет производства'!D$8+'Бюджет производства'!D$9*'Исх.данные-произв'!$H9</f>
        <v>0</v>
      </c>
      <c r="G8" s="110">
        <f>'Исх.данные-произв'!$C9*'Бюджет производства'!E$4+'Бюджет производства'!E$5*'Исх.данные-произв'!$D9+'Исх.данные-произв'!$E$8*'Бюджет производства'!E$6+'Бюджет производства'!E$7*'Исх.данные-произв'!$F9+'Исх.данные-произв'!$G9*'Бюджет производства'!E$8+'Бюджет производства'!E$9*'Исх.данные-произв'!$H9</f>
        <v>0</v>
      </c>
      <c r="H8" s="110">
        <f>'Исх.данные-произв'!$C9*'Бюджет производства'!F$4+'Бюджет производства'!F$5*'Исх.данные-произв'!$D9+'Исх.данные-произв'!$E$8*'Бюджет производства'!F$6+'Бюджет производства'!F$7*'Исх.данные-произв'!$F9+'Исх.данные-произв'!$G9*'Бюджет производства'!F$8+'Бюджет производства'!F$9*'Исх.данные-произв'!$H9</f>
        <v>0</v>
      </c>
      <c r="I8" s="110">
        <f>'Исх.данные-произв'!$C9*'Бюджет производства'!G$4+'Бюджет производства'!G$5*'Исх.данные-произв'!$D9+'Исх.данные-произв'!$E$8*'Бюджет производства'!G$6+'Бюджет производства'!G$7*'Исх.данные-произв'!$F9+'Исх.данные-произв'!$G9*'Бюджет производства'!G$8+'Бюджет производства'!G$9*'Исх.данные-произв'!$H9</f>
        <v>0</v>
      </c>
      <c r="J8" s="110">
        <f>'Исх.данные-произв'!$C9*'Бюджет производства'!H$4+'Бюджет производства'!H$5*'Исх.данные-произв'!$D9+'Исх.данные-произв'!$E$8*'Бюджет производства'!H$6+'Бюджет производства'!H$7*'Исх.данные-произв'!$F9+'Исх.данные-произв'!$G9*'Бюджет производства'!H$8+'Бюджет производства'!H$9*'Исх.данные-произв'!$H9</f>
        <v>0</v>
      </c>
      <c r="K8" s="110">
        <f>'Исх.данные-произв'!$C9*'Бюджет производства'!I$4+'Бюджет производства'!I$5*'Исх.данные-произв'!$D9+'Исх.данные-произв'!$E$8*'Бюджет производства'!I$6+'Бюджет производства'!I$7*'Исх.данные-произв'!$F9+'Исх.данные-произв'!$G9*'Бюджет производства'!I$8+'Бюджет производства'!I$9*'Исх.данные-произв'!$H9</f>
        <v>0</v>
      </c>
      <c r="L8" s="110">
        <f>'Исх.данные-произв'!$C9*'Бюджет производства'!J$4+'Бюджет производства'!J$5*'Исх.данные-произв'!$D9+'Исх.данные-произв'!$E$8*'Бюджет производства'!J$6+'Бюджет производства'!J$7*'Исх.данные-произв'!$F9+'Исх.данные-произв'!$G9*'Бюджет производства'!J$8+'Бюджет производства'!J$9*'Исх.данные-произв'!$H9</f>
        <v>0</v>
      </c>
      <c r="M8" s="110">
        <f>'Исх.данные-произв'!$C9*'Бюджет производства'!K$4+'Бюджет производства'!K$5*'Исх.данные-произв'!$D9+'Исх.данные-произв'!$E$8*'Бюджет производства'!K$6+'Бюджет производства'!K$7*'Исх.данные-произв'!$F9+'Исх.данные-произв'!$G9*'Бюджет производства'!K$8+'Бюджет производства'!K$9*'Исх.данные-произв'!$H9</f>
        <v>0</v>
      </c>
      <c r="N8" s="110">
        <f>'Исх.данные-произв'!$C9*'Бюджет производства'!L$4+'Бюджет производства'!L$5*'Исх.данные-произв'!$D9+'Исх.данные-произв'!$E$8*'Бюджет производства'!L$6+'Бюджет производства'!L$7*'Исх.данные-произв'!$F9+'Исх.данные-произв'!$G9*'Бюджет производства'!L$8+'Бюджет производства'!L$9*'Исх.данные-произв'!$H9</f>
        <v>0</v>
      </c>
      <c r="O8" s="110">
        <f>'Исх.данные-произв'!$C9*'Бюджет производства'!M$4+'Бюджет производства'!M$5*'Исх.данные-произв'!$D9+'Исх.данные-произв'!$E$8*'Бюджет производства'!M$6+'Бюджет производства'!M$7*'Исх.данные-произв'!$F9+'Исх.данные-произв'!$G9*'Бюджет производства'!M$8+'Бюджет производства'!M$9*'Исх.данные-произв'!$H9</f>
        <v>0</v>
      </c>
      <c r="P8" s="103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 outlineLevel="1">
      <c r="A9" s="73" t="s">
        <v>243</v>
      </c>
      <c r="B9" s="110"/>
      <c r="C9" s="110"/>
      <c r="D9" s="110">
        <f>'Исх.данные-произв'!$C10*'Бюджет производства'!B$4+'Бюджет производства'!B$5*'Исх.данные-произв'!$D10+'Исх.данные-произв'!$E$8*'Бюджет производства'!B$6+'Бюджет производства'!B$7*'Исх.данные-произв'!$F10+'Исх.данные-произв'!$G10*'Бюджет производства'!B$8+'Бюджет производства'!B$9*'Исх.данные-произв'!$H10</f>
        <v>0</v>
      </c>
      <c r="E9" s="110">
        <f>'Исх.данные-произв'!$C10*'Бюджет производства'!C$4+'Бюджет производства'!C$5*'Исх.данные-произв'!$D10+'Исх.данные-произв'!$E$8*'Бюджет производства'!C$6+'Бюджет производства'!C$7*'Исх.данные-произв'!$F10+'Исх.данные-произв'!$G10*'Бюджет производства'!C$8+'Бюджет производства'!C$9*'Исх.данные-произв'!$H10</f>
        <v>0</v>
      </c>
      <c r="F9" s="110">
        <f>'Исх.данные-произв'!$C10*'Бюджет производства'!D$4+'Бюджет производства'!D$5*'Исх.данные-произв'!$D10+'Исх.данные-произв'!$E$8*'Бюджет производства'!D$6+'Бюджет производства'!D$7*'Исх.данные-произв'!$F10+'Исх.данные-произв'!$G10*'Бюджет производства'!D$8+'Бюджет производства'!D$9*'Исх.данные-произв'!$H10</f>
        <v>0</v>
      </c>
      <c r="G9" s="110">
        <f>'Исх.данные-произв'!$C10*'Бюджет производства'!E$4+'Бюджет производства'!E$5*'Исх.данные-произв'!$D10+'Исх.данные-произв'!$E$8*'Бюджет производства'!E$6+'Бюджет производства'!E$7*'Исх.данные-произв'!$F10+'Исх.данные-произв'!$G10*'Бюджет производства'!E$8+'Бюджет производства'!E$9*'Исх.данные-произв'!$H10</f>
        <v>0</v>
      </c>
      <c r="H9" s="110">
        <f>'Исх.данные-произв'!$C10*'Бюджет производства'!F$4+'Бюджет производства'!F$5*'Исх.данные-произв'!$D10+'Исх.данные-произв'!$E$8*'Бюджет производства'!F$6+'Бюджет производства'!F$7*'Исх.данные-произв'!$F10+'Исх.данные-произв'!$G10*'Бюджет производства'!F$8+'Бюджет производства'!F$9*'Исх.данные-произв'!$H10</f>
        <v>0</v>
      </c>
      <c r="I9" s="110">
        <f>'Исх.данные-произв'!$C10*'Бюджет производства'!G$4+'Бюджет производства'!G$5*'Исх.данные-произв'!$D10+'Исх.данные-произв'!$E$8*'Бюджет производства'!G$6+'Бюджет производства'!G$7*'Исх.данные-произв'!$F10+'Исх.данные-произв'!$G10*'Бюджет производства'!G$8+'Бюджет производства'!G$9*'Исх.данные-произв'!$H10</f>
        <v>0</v>
      </c>
      <c r="J9" s="110">
        <f>'Исх.данные-произв'!$C10*'Бюджет производства'!H$4+'Бюджет производства'!H$5*'Исх.данные-произв'!$D10+'Исх.данные-произв'!$E$8*'Бюджет производства'!H$6+'Бюджет производства'!H$7*'Исх.данные-произв'!$F10+'Исх.данные-произв'!$G10*'Бюджет производства'!H$8+'Бюджет производства'!H$9*'Исх.данные-произв'!$H10</f>
        <v>0</v>
      </c>
      <c r="K9" s="110">
        <f>'Исх.данные-произв'!$C10*'Бюджет производства'!I$4+'Бюджет производства'!I$5*'Исх.данные-произв'!$D10+'Исх.данные-произв'!$E$8*'Бюджет производства'!I$6+'Бюджет производства'!I$7*'Исх.данные-произв'!$F10+'Исх.данные-произв'!$G10*'Бюджет производства'!I$8+'Бюджет производства'!I$9*'Исх.данные-произв'!$H10</f>
        <v>0</v>
      </c>
      <c r="L9" s="110">
        <f>'Исх.данные-произв'!$C10*'Бюджет производства'!J$4+'Бюджет производства'!J$5*'Исх.данные-произв'!$D10+'Исх.данные-произв'!$E$8*'Бюджет производства'!J$6+'Бюджет производства'!J$7*'Исх.данные-произв'!$F10+'Исх.данные-произв'!$G10*'Бюджет производства'!J$8+'Бюджет производства'!J$9*'Исх.данные-произв'!$H10</f>
        <v>0</v>
      </c>
      <c r="M9" s="110">
        <f>'Исх.данные-произв'!$C10*'Бюджет производства'!K$4+'Бюджет производства'!K$5*'Исх.данные-произв'!$D10+'Исх.данные-произв'!$E$8*'Бюджет производства'!K$6+'Бюджет производства'!K$7*'Исх.данные-произв'!$F10+'Исх.данные-произв'!$G10*'Бюджет производства'!K$8+'Бюджет производства'!K$9*'Исх.данные-произв'!$H10</f>
        <v>0</v>
      </c>
      <c r="N9" s="110">
        <f>'Исх.данные-произв'!$C10*'Бюджет производства'!L$4+'Бюджет производства'!L$5*'Исх.данные-произв'!$D10+'Исх.данные-произв'!$E$8*'Бюджет производства'!L$6+'Бюджет производства'!L$7*'Исх.данные-произв'!$F10+'Исх.данные-произв'!$G10*'Бюджет производства'!L$8+'Бюджет производства'!L$9*'Исх.данные-произв'!$H10</f>
        <v>0</v>
      </c>
      <c r="O9" s="110">
        <f>'Исх.данные-произв'!$C10*'Бюджет производства'!M$4+'Бюджет производства'!M$5*'Исх.данные-произв'!$D10+'Исх.данные-произв'!$E$8*'Бюджет производства'!M$6+'Бюджет производства'!M$7*'Исх.данные-произв'!$F10+'Исх.данные-произв'!$G10*'Бюджет производства'!M$8+'Бюджет производства'!M$9*'Исх.данные-произв'!$H10</f>
        <v>0</v>
      </c>
      <c r="P9" s="103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 outlineLevel="1">
      <c r="A10" s="73" t="s">
        <v>244</v>
      </c>
      <c r="B10" s="111"/>
      <c r="C10" s="110"/>
      <c r="D10" s="110">
        <f>'Исх.данные-произв'!$C11*'Бюджет производства'!B$4+'Бюджет производства'!B$5*'Исх.данные-произв'!$D11+'Исх.данные-произв'!$E$8*'Бюджет производства'!B$6+'Бюджет производства'!B$7*'Исх.данные-произв'!$F11+'Исх.данные-произв'!$G11*'Бюджет производства'!B$8+'Бюджет производства'!B$9*'Исх.данные-произв'!$H11</f>
        <v>0</v>
      </c>
      <c r="E10" s="110">
        <f>'Исх.данные-произв'!$C11*'Бюджет производства'!C$4+'Бюджет производства'!C$5*'Исх.данные-произв'!$D11+'Исх.данные-произв'!$E$8*'Бюджет производства'!C$6+'Бюджет производства'!C$7*'Исх.данные-произв'!$F11+'Исх.данные-произв'!$G11*'Бюджет производства'!C$8+'Бюджет производства'!C$9*'Исх.данные-произв'!$H11</f>
        <v>0</v>
      </c>
      <c r="F10" s="110">
        <f>'Исх.данные-произв'!$C11*'Бюджет производства'!D$4+'Бюджет производства'!D$5*'Исх.данные-произв'!$D11+'Исх.данные-произв'!$E$8*'Бюджет производства'!D$6+'Бюджет производства'!D$7*'Исх.данные-произв'!$F11+'Исх.данные-произв'!$G11*'Бюджет производства'!D$8+'Бюджет производства'!D$9*'Исх.данные-произв'!$H11</f>
        <v>0</v>
      </c>
      <c r="G10" s="110">
        <f>'Исх.данные-произв'!$C11*'Бюджет производства'!E$4+'Бюджет производства'!E$5*'Исх.данные-произв'!$D11+'Исх.данные-произв'!$E$8*'Бюджет производства'!E$6+'Бюджет производства'!E$7*'Исх.данные-произв'!$F11+'Исх.данные-произв'!$G11*'Бюджет производства'!E$8+'Бюджет производства'!E$9*'Исх.данные-произв'!$H11</f>
        <v>0</v>
      </c>
      <c r="H10" s="110">
        <f>'Исх.данные-произв'!$C11*'Бюджет производства'!F$4+'Бюджет производства'!F$5*'Исх.данные-произв'!$D11+'Исх.данные-произв'!$E$8*'Бюджет производства'!F$6+'Бюджет производства'!F$7*'Исх.данные-произв'!$F11+'Исх.данные-произв'!$G11*'Бюджет производства'!F$8+'Бюджет производства'!F$9*'Исх.данные-произв'!$H11</f>
        <v>0</v>
      </c>
      <c r="I10" s="110">
        <f>'Исх.данные-произв'!$C11*'Бюджет производства'!G$4+'Бюджет производства'!G$5*'Исх.данные-произв'!$D11+'Исх.данные-произв'!$E$8*'Бюджет производства'!G$6+'Бюджет производства'!G$7*'Исх.данные-произв'!$F11+'Исх.данные-произв'!$G11*'Бюджет производства'!G$8+'Бюджет производства'!G$9*'Исх.данные-произв'!$H11</f>
        <v>0</v>
      </c>
      <c r="J10" s="110">
        <f>'Исх.данные-произв'!$C11*'Бюджет производства'!H$4+'Бюджет производства'!H$5*'Исх.данные-произв'!$D11+'Исх.данные-произв'!$E$8*'Бюджет производства'!H$6+'Бюджет производства'!H$7*'Исх.данные-произв'!$F11+'Исх.данные-произв'!$G11*'Бюджет производства'!H$8+'Бюджет производства'!H$9*'Исх.данные-произв'!$H11</f>
        <v>0</v>
      </c>
      <c r="K10" s="110">
        <f>'Исх.данные-произв'!$C11*'Бюджет производства'!I$4+'Бюджет производства'!I$5*'Исх.данные-произв'!$D11+'Исх.данные-произв'!$E$8*'Бюджет производства'!I$6+'Бюджет производства'!I$7*'Исх.данные-произв'!$F11+'Исх.данные-произв'!$G11*'Бюджет производства'!I$8+'Бюджет производства'!I$9*'Исх.данные-произв'!$H11</f>
        <v>0</v>
      </c>
      <c r="L10" s="110">
        <f>'Исх.данные-произв'!$C11*'Бюджет производства'!J$4+'Бюджет производства'!J$5*'Исх.данные-произв'!$D11+'Исх.данные-произв'!$E$8*'Бюджет производства'!J$6+'Бюджет производства'!J$7*'Исх.данные-произв'!$F11+'Исх.данные-произв'!$G11*'Бюджет производства'!J$8+'Бюджет производства'!J$9*'Исх.данные-произв'!$H11</f>
        <v>0</v>
      </c>
      <c r="M10" s="110">
        <f>'Исх.данные-произв'!$C11*'Бюджет производства'!K$4+'Бюджет производства'!K$5*'Исх.данные-произв'!$D11+'Исх.данные-произв'!$E$8*'Бюджет производства'!K$6+'Бюджет производства'!K$7*'Исх.данные-произв'!$F11+'Исх.данные-произв'!$G11*'Бюджет производства'!K$8+'Бюджет производства'!K$9*'Исх.данные-произв'!$H11</f>
        <v>0</v>
      </c>
      <c r="N10" s="110">
        <f>'Исх.данные-произв'!$C11*'Бюджет производства'!L$4+'Бюджет производства'!L$5*'Исх.данные-произв'!$D11+'Исх.данные-произв'!$E$8*'Бюджет производства'!L$6+'Бюджет производства'!L$7*'Исх.данные-произв'!$F11+'Исх.данные-произв'!$G11*'Бюджет производства'!L$8+'Бюджет производства'!L$9*'Исх.данные-произв'!$H11</f>
        <v>0</v>
      </c>
      <c r="O10" s="110">
        <f>'Исх.данные-произв'!$C11*'Бюджет производства'!M$4+'Бюджет производства'!M$5*'Исх.данные-произв'!$D11+'Исх.данные-произв'!$E$8*'Бюджет производства'!M$6+'Бюджет производства'!M$7*'Исх.данные-произв'!$F11+'Исх.данные-произв'!$G11*'Бюджет производства'!M$8+'Бюджет производства'!M$9*'Исх.данные-произв'!$H11</f>
        <v>0</v>
      </c>
      <c r="P10" s="103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 outlineLevel="1">
      <c r="A11" s="73" t="s">
        <v>245</v>
      </c>
      <c r="B11" s="110"/>
      <c r="C11" s="110"/>
      <c r="D11" s="110">
        <f>'Исх.данные-произв'!$C12*'Бюджет производства'!B$4+'Бюджет производства'!B$5*'Исх.данные-произв'!$D12+'Исх.данные-произв'!$E$8*'Бюджет производства'!B$6+'Бюджет производства'!B$7*'Исх.данные-произв'!$F12+'Исх.данные-произв'!$G12*'Бюджет производства'!B$8+'Бюджет производства'!B$9*'Исх.данные-произв'!$H12</f>
        <v>0</v>
      </c>
      <c r="E11" s="110">
        <f>'Исх.данные-произв'!$C12*'Бюджет производства'!C$4+'Бюджет производства'!C$5*'Исх.данные-произв'!$D12+'Исх.данные-произв'!$E$8*'Бюджет производства'!C$6+'Бюджет производства'!C$7*'Исх.данные-произв'!$F12+'Исх.данные-произв'!$G12*'Бюджет производства'!C$8+'Бюджет производства'!C$9*'Исх.данные-произв'!$H12</f>
        <v>0</v>
      </c>
      <c r="F11" s="110">
        <f>'Исх.данные-произв'!$C12*'Бюджет производства'!D$4+'Бюджет производства'!D$5*'Исх.данные-произв'!$D12+'Исх.данные-произв'!$E$8*'Бюджет производства'!D$6+'Бюджет производства'!D$7*'Исх.данные-произв'!$F12+'Исх.данные-произв'!$G12*'Бюджет производства'!D$8+'Бюджет производства'!D$9*'Исх.данные-произв'!$H12</f>
        <v>0</v>
      </c>
      <c r="G11" s="110">
        <f>'Исх.данные-произв'!$C12*'Бюджет производства'!E$4+'Бюджет производства'!E$5*'Исх.данные-произв'!$D12+'Исх.данные-произв'!$E$8*'Бюджет производства'!E$6+'Бюджет производства'!E$7*'Исх.данные-произв'!$F12+'Исх.данные-произв'!$G12*'Бюджет производства'!E$8+'Бюджет производства'!E$9*'Исх.данные-произв'!$H12</f>
        <v>0</v>
      </c>
      <c r="H11" s="110">
        <f>'Исх.данные-произв'!$C12*'Бюджет производства'!F$4+'Бюджет производства'!F$5*'Исх.данные-произв'!$D12+'Исх.данные-произв'!$E$8*'Бюджет производства'!F$6+'Бюджет производства'!F$7*'Исх.данные-произв'!$F12+'Исх.данные-произв'!$G12*'Бюджет производства'!F$8+'Бюджет производства'!F$9*'Исх.данные-произв'!$H12</f>
        <v>0</v>
      </c>
      <c r="I11" s="110">
        <f>'Исх.данные-произв'!$C12*'Бюджет производства'!G$4+'Бюджет производства'!G$5*'Исх.данные-произв'!$D12+'Исх.данные-произв'!$E$8*'Бюджет производства'!G$6+'Бюджет производства'!G$7*'Исх.данные-произв'!$F12+'Исх.данные-произв'!$G12*'Бюджет производства'!G$8+'Бюджет производства'!G$9*'Исх.данные-произв'!$H12</f>
        <v>0</v>
      </c>
      <c r="J11" s="110">
        <f>'Исх.данные-произв'!$C12*'Бюджет производства'!H$4+'Бюджет производства'!H$5*'Исх.данные-произв'!$D12+'Исх.данные-произв'!$E$8*'Бюджет производства'!H$6+'Бюджет производства'!H$7*'Исх.данные-произв'!$F12+'Исх.данные-произв'!$G12*'Бюджет производства'!H$8+'Бюджет производства'!H$9*'Исх.данные-произв'!$H12</f>
        <v>0</v>
      </c>
      <c r="K11" s="110">
        <f>'Исх.данные-произв'!$C12*'Бюджет производства'!I$4+'Бюджет производства'!I$5*'Исх.данные-произв'!$D12+'Исх.данные-произв'!$E$8*'Бюджет производства'!I$6+'Бюджет производства'!I$7*'Исх.данные-произв'!$F12+'Исх.данные-произв'!$G12*'Бюджет производства'!I$8+'Бюджет производства'!I$9*'Исх.данные-произв'!$H12</f>
        <v>0</v>
      </c>
      <c r="L11" s="110">
        <f>'Исх.данные-произв'!$C12*'Бюджет производства'!J$4+'Бюджет производства'!J$5*'Исх.данные-произв'!$D12+'Исх.данные-произв'!$E$8*'Бюджет производства'!J$6+'Бюджет производства'!J$7*'Исх.данные-произв'!$F12+'Исх.данные-произв'!$G12*'Бюджет производства'!J$8+'Бюджет производства'!J$9*'Исх.данные-произв'!$H12</f>
        <v>0</v>
      </c>
      <c r="M11" s="110">
        <f>'Исх.данные-произв'!$C12*'Бюджет производства'!K$4+'Бюджет производства'!K$5*'Исх.данные-произв'!$D12+'Исх.данные-произв'!$E$8*'Бюджет производства'!K$6+'Бюджет производства'!K$7*'Исх.данные-произв'!$F12+'Исх.данные-произв'!$G12*'Бюджет производства'!K$8+'Бюджет производства'!K$9*'Исх.данные-произв'!$H12</f>
        <v>0</v>
      </c>
      <c r="N11" s="110">
        <f>'Исх.данные-произв'!$C12*'Бюджет производства'!L$4+'Бюджет производства'!L$5*'Исх.данные-произв'!$D12+'Исх.данные-произв'!$E$8*'Бюджет производства'!L$6+'Бюджет производства'!L$7*'Исх.данные-произв'!$F12+'Исх.данные-произв'!$G12*'Бюджет производства'!L$8+'Бюджет производства'!L$9*'Исх.данные-произв'!$H12</f>
        <v>0</v>
      </c>
      <c r="O11" s="110">
        <f>'Исх.данные-произв'!$C12*'Бюджет производства'!M$4+'Бюджет производства'!M$5*'Исх.данные-произв'!$D12+'Исх.данные-произв'!$E$8*'Бюджет производства'!M$6+'Бюджет производства'!M$7*'Исх.данные-произв'!$F12+'Исх.данные-произв'!$G12*'Бюджет производства'!M$8+'Бюджет производства'!M$9*'Исх.данные-произв'!$H12</f>
        <v>0</v>
      </c>
      <c r="P11" s="10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 outlineLevel="1">
      <c r="A12" s="73" t="s">
        <v>246</v>
      </c>
      <c r="B12" s="110"/>
      <c r="C12" s="110"/>
      <c r="D12" s="110">
        <f>'Исх.данные-произв'!$C13*'Бюджет производства'!B$4+'Бюджет производства'!B$5*'Исх.данные-произв'!$D13+'Исх.данные-произв'!$E$8*'Бюджет производства'!B$6+'Бюджет производства'!B$7*'Исх.данные-произв'!$F13+'Исх.данные-произв'!$G13*'Бюджет производства'!B$8+'Бюджет производства'!B$9*'Исх.данные-произв'!$H13</f>
        <v>0</v>
      </c>
      <c r="E12" s="110">
        <f>'Исх.данные-произв'!$C13*'Бюджет производства'!C$4+'Бюджет производства'!C$5*'Исх.данные-произв'!$D13+'Исх.данные-произв'!$E$8*'Бюджет производства'!C$6+'Бюджет производства'!C$7*'Исх.данные-произв'!$F13+'Исх.данные-произв'!$G13*'Бюджет производства'!C$8+'Бюджет производства'!C$9*'Исх.данные-произв'!$H13</f>
        <v>0</v>
      </c>
      <c r="F12" s="110">
        <f>'Исх.данные-произв'!$C13*'Бюджет производства'!D$4+'Бюджет производства'!D$5*'Исх.данные-произв'!$D13+'Исх.данные-произв'!$E$8*'Бюджет производства'!D$6+'Бюджет производства'!D$7*'Исх.данные-произв'!$F13+'Исх.данные-произв'!$G13*'Бюджет производства'!D$8+'Бюджет производства'!D$9*'Исх.данные-произв'!$H13</f>
        <v>0</v>
      </c>
      <c r="G12" s="110">
        <f>'Исх.данные-произв'!$C13*'Бюджет производства'!E$4+'Бюджет производства'!E$5*'Исх.данные-произв'!$D13+'Исх.данные-произв'!$E$8*'Бюджет производства'!E$6+'Бюджет производства'!E$7*'Исх.данные-произв'!$F13+'Исх.данные-произв'!$G13*'Бюджет производства'!E$8+'Бюджет производства'!E$9*'Исх.данные-произв'!$H13</f>
        <v>0</v>
      </c>
      <c r="H12" s="110">
        <f>'Исх.данные-произв'!$C13*'Бюджет производства'!F$4+'Бюджет производства'!F$5*'Исх.данные-произв'!$D13+'Исх.данные-произв'!$E$8*'Бюджет производства'!F$6+'Бюджет производства'!F$7*'Исх.данные-произв'!$F13+'Исх.данные-произв'!$G13*'Бюджет производства'!F$8+'Бюджет производства'!F$9*'Исх.данные-произв'!$H13</f>
        <v>0</v>
      </c>
      <c r="I12" s="110">
        <f>'Исх.данные-произв'!$C13*'Бюджет производства'!G$4+'Бюджет производства'!G$5*'Исх.данные-произв'!$D13+'Исх.данные-произв'!$E$8*'Бюджет производства'!G$6+'Бюджет производства'!G$7*'Исх.данные-произв'!$F13+'Исх.данные-произв'!$G13*'Бюджет производства'!G$8+'Бюджет производства'!G$9*'Исх.данные-произв'!$H13</f>
        <v>0</v>
      </c>
      <c r="J12" s="110">
        <f>'Исх.данные-произв'!$C13*'Бюджет производства'!H$4+'Бюджет производства'!H$5*'Исх.данные-произв'!$D13+'Исх.данные-произв'!$E$8*'Бюджет производства'!H$6+'Бюджет производства'!H$7*'Исх.данные-произв'!$F13+'Исх.данные-произв'!$G13*'Бюджет производства'!H$8+'Бюджет производства'!H$9*'Исх.данные-произв'!$H13</f>
        <v>0</v>
      </c>
      <c r="K12" s="110">
        <f>'Исх.данные-произв'!$C13*'Бюджет производства'!I$4+'Бюджет производства'!I$5*'Исх.данные-произв'!$D13+'Исх.данные-произв'!$E$8*'Бюджет производства'!I$6+'Бюджет производства'!I$7*'Исх.данные-произв'!$F13+'Исх.данные-произв'!$G13*'Бюджет производства'!I$8+'Бюджет производства'!I$9*'Исх.данные-произв'!$H13</f>
        <v>0</v>
      </c>
      <c r="L12" s="110">
        <f>'Исх.данные-произв'!$C13*'Бюджет производства'!J$4+'Бюджет производства'!J$5*'Исх.данные-произв'!$D13+'Исх.данные-произв'!$E$8*'Бюджет производства'!J$6+'Бюджет производства'!J$7*'Исх.данные-произв'!$F13+'Исх.данные-произв'!$G13*'Бюджет производства'!J$8+'Бюджет производства'!J$9*'Исх.данные-произв'!$H13</f>
        <v>0</v>
      </c>
      <c r="M12" s="110">
        <f>'Исх.данные-произв'!$C13*'Бюджет производства'!K$4+'Бюджет производства'!K$5*'Исх.данные-произв'!$D13+'Исх.данные-произв'!$E$8*'Бюджет производства'!K$6+'Бюджет производства'!K$7*'Исх.данные-произв'!$F13+'Исх.данные-произв'!$G13*'Бюджет производства'!K$8+'Бюджет производства'!K$9*'Исх.данные-произв'!$H13</f>
        <v>0</v>
      </c>
      <c r="N12" s="110">
        <f>'Исх.данные-произв'!$C13*'Бюджет производства'!L$4+'Бюджет производства'!L$5*'Исх.данные-произв'!$D13+'Исх.данные-произв'!$E$8*'Бюджет производства'!L$6+'Бюджет производства'!L$7*'Исх.данные-произв'!$F13+'Исх.данные-произв'!$G13*'Бюджет производства'!L$8+'Бюджет производства'!L$9*'Исх.данные-произв'!$H13</f>
        <v>0</v>
      </c>
      <c r="O12" s="110">
        <f>'Исх.данные-произв'!$C13*'Бюджет производства'!M$4+'Бюджет производства'!M$5*'Исх.данные-произв'!$D13+'Исх.данные-произв'!$E$8*'Бюджет производства'!M$6+'Бюджет производства'!M$7*'Исх.данные-произв'!$F13+'Исх.данные-произв'!$G13*'Бюджет производства'!M$8+'Бюджет производства'!M$9*'Исх.данные-произв'!$H13</f>
        <v>0</v>
      </c>
      <c r="P12" s="10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 outlineLevel="1">
      <c r="A13" s="73" t="s">
        <v>247</v>
      </c>
      <c r="B13" s="110"/>
      <c r="C13" s="110"/>
      <c r="D13" s="110">
        <f>'Исх.данные-произв'!$C14*'Бюджет производства'!B$4+'Бюджет производства'!B$5*'Исх.данные-произв'!$D14+'Исх.данные-произв'!$E$8*'Бюджет производства'!B$6+'Бюджет производства'!B$7*'Исх.данные-произв'!$F14+'Исх.данные-произв'!$G14*'Бюджет производства'!B$8+'Бюджет производства'!B$9*'Исх.данные-произв'!$H14</f>
        <v>0</v>
      </c>
      <c r="E13" s="110">
        <f>'Исх.данные-произв'!$C14*'Бюджет производства'!C$4+'Бюджет производства'!C$5*'Исх.данные-произв'!$D14+'Исх.данные-произв'!$E$8*'Бюджет производства'!C$6+'Бюджет производства'!C$7*'Исх.данные-произв'!$F14+'Исх.данные-произв'!$G14*'Бюджет производства'!C$8+'Бюджет производства'!C$9*'Исх.данные-произв'!$H14</f>
        <v>0</v>
      </c>
      <c r="F13" s="110">
        <f>'Исх.данные-произв'!$C14*'Бюджет производства'!D$4+'Бюджет производства'!D$5*'Исх.данные-произв'!$D14+'Исх.данные-произв'!$E$8*'Бюджет производства'!D$6+'Бюджет производства'!D$7*'Исх.данные-произв'!$F14+'Исх.данные-произв'!$G14*'Бюджет производства'!D$8+'Бюджет производства'!D$9*'Исх.данные-произв'!$H14</f>
        <v>0</v>
      </c>
      <c r="G13" s="110">
        <f>'Исх.данные-произв'!$C14*'Бюджет производства'!E$4+'Бюджет производства'!E$5*'Исх.данные-произв'!$D14+'Исх.данные-произв'!$E$8*'Бюджет производства'!E$6+'Бюджет производства'!E$7*'Исх.данные-произв'!$F14+'Исх.данные-произв'!$G14*'Бюджет производства'!E$8+'Бюджет производства'!E$9*'Исх.данные-произв'!$H14</f>
        <v>0</v>
      </c>
      <c r="H13" s="110">
        <f>'Исх.данные-произв'!$C14*'Бюджет производства'!F$4+'Бюджет производства'!F$5*'Исх.данные-произв'!$D14+'Исх.данные-произв'!$E$8*'Бюджет производства'!F$6+'Бюджет производства'!F$7*'Исх.данные-произв'!$F14+'Исх.данные-произв'!$G14*'Бюджет производства'!F$8+'Бюджет производства'!F$9*'Исх.данные-произв'!$H14</f>
        <v>0</v>
      </c>
      <c r="I13" s="110">
        <f>'Исх.данные-произв'!$C14*'Бюджет производства'!G$4+'Бюджет производства'!G$5*'Исх.данные-произв'!$D14+'Исх.данные-произв'!$E$8*'Бюджет производства'!G$6+'Бюджет производства'!G$7*'Исх.данные-произв'!$F14+'Исх.данные-произв'!$G14*'Бюджет производства'!G$8+'Бюджет производства'!G$9*'Исх.данные-произв'!$H14</f>
        <v>0</v>
      </c>
      <c r="J13" s="110">
        <f>'Исх.данные-произв'!$C14*'Бюджет производства'!H$4+'Бюджет производства'!H$5*'Исх.данные-произв'!$D14+'Исх.данные-произв'!$E$8*'Бюджет производства'!H$6+'Бюджет производства'!H$7*'Исх.данные-произв'!$F14+'Исх.данные-произв'!$G14*'Бюджет производства'!H$8+'Бюджет производства'!H$9*'Исх.данные-произв'!$H14</f>
        <v>0</v>
      </c>
      <c r="K13" s="110">
        <f>'Исх.данные-произв'!$C14*'Бюджет производства'!I$4+'Бюджет производства'!I$5*'Исх.данные-произв'!$D14+'Исх.данные-произв'!$E$8*'Бюджет производства'!I$6+'Бюджет производства'!I$7*'Исх.данные-произв'!$F14+'Исх.данные-произв'!$G14*'Бюджет производства'!I$8+'Бюджет производства'!I$9*'Исх.данные-произв'!$H14</f>
        <v>0</v>
      </c>
      <c r="L13" s="110">
        <f>'Исх.данные-произв'!$C14*'Бюджет производства'!J$4+'Бюджет производства'!J$5*'Исх.данные-произв'!$D14+'Исх.данные-произв'!$E$8*'Бюджет производства'!J$6+'Бюджет производства'!J$7*'Исх.данные-произв'!$F14+'Исх.данные-произв'!$G14*'Бюджет производства'!J$8+'Бюджет производства'!J$9*'Исх.данные-произв'!$H14</f>
        <v>0</v>
      </c>
      <c r="M13" s="110">
        <f>'Исх.данные-произв'!$C14*'Бюджет производства'!K$4+'Бюджет производства'!K$5*'Исх.данные-произв'!$D14+'Исх.данные-произв'!$E$8*'Бюджет производства'!K$6+'Бюджет производства'!K$7*'Исх.данные-произв'!$F14+'Исх.данные-произв'!$G14*'Бюджет производства'!K$8+'Бюджет производства'!K$9*'Исх.данные-произв'!$H14</f>
        <v>0</v>
      </c>
      <c r="N13" s="110">
        <f>'Исх.данные-произв'!$C14*'Бюджет производства'!L$4+'Бюджет производства'!L$5*'Исх.данные-произв'!$D14+'Исх.данные-произв'!$E$8*'Бюджет производства'!L$6+'Бюджет производства'!L$7*'Исх.данные-произв'!$F14+'Исх.данные-произв'!$G14*'Бюджет производства'!L$8+'Бюджет производства'!L$9*'Исх.данные-произв'!$H14</f>
        <v>0</v>
      </c>
      <c r="O13" s="110">
        <f>'Исх.данные-произв'!$C14*'Бюджет производства'!M$4+'Бюджет производства'!M$5*'Исх.данные-произв'!$D14+'Исх.данные-произв'!$E$8*'Бюджет производства'!M$6+'Бюджет производства'!M$7*'Исх.данные-произв'!$F14+'Исх.данные-произв'!$G14*'Бюджет производства'!M$8+'Бюджет производства'!M$9*'Исх.данные-произв'!$H14</f>
        <v>0</v>
      </c>
      <c r="P13" s="10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1">
      <c r="A14" s="73" t="s">
        <v>248</v>
      </c>
      <c r="B14" s="110"/>
      <c r="C14" s="110"/>
      <c r="D14" s="110">
        <f>'Исх.данные-произв'!$C15*'Бюджет производства'!B$4+'Бюджет производства'!B$5*'Исх.данные-произв'!$D15+'Исх.данные-произв'!$E$8*'Бюджет производства'!B$6+'Бюджет производства'!B$7*'Исх.данные-произв'!$F15+'Исх.данные-произв'!$G15*'Бюджет производства'!B$8+'Бюджет производства'!B$9*'Исх.данные-произв'!$H15</f>
        <v>0</v>
      </c>
      <c r="E14" s="110">
        <f>'Исх.данные-произв'!$C15*'Бюджет производства'!C$4+'Бюджет производства'!C$5*'Исх.данные-произв'!$D15+'Исх.данные-произв'!$E$8*'Бюджет производства'!C$6+'Бюджет производства'!C$7*'Исх.данные-произв'!$F15+'Исх.данные-произв'!$G15*'Бюджет производства'!C$8+'Бюджет производства'!C$9*'Исх.данные-произв'!$H15</f>
        <v>0</v>
      </c>
      <c r="F14" s="110">
        <f>'Исх.данные-произв'!$C15*'Бюджет производства'!D$4+'Бюджет производства'!D$5*'Исх.данные-произв'!$D15+'Исх.данные-произв'!$E$8*'Бюджет производства'!D$6+'Бюджет производства'!D$7*'Исх.данные-произв'!$F15+'Исх.данные-произв'!$G15*'Бюджет производства'!D$8+'Бюджет производства'!D$9*'Исх.данные-произв'!$H15</f>
        <v>0</v>
      </c>
      <c r="G14" s="110">
        <f>'Исх.данные-произв'!$C15*'Бюджет производства'!E$4+'Бюджет производства'!E$5*'Исх.данные-произв'!$D15+'Исх.данные-произв'!$E$8*'Бюджет производства'!E$6+'Бюджет производства'!E$7*'Исх.данные-произв'!$F15+'Исх.данные-произв'!$G15*'Бюджет производства'!E$8+'Бюджет производства'!E$9*'Исх.данные-произв'!$H15</f>
        <v>0</v>
      </c>
      <c r="H14" s="110">
        <f>'Исх.данные-произв'!$C15*'Бюджет производства'!F$4+'Бюджет производства'!F$5*'Исх.данные-произв'!$D15+'Исх.данные-произв'!$E$8*'Бюджет производства'!F$6+'Бюджет производства'!F$7*'Исх.данные-произв'!$F15+'Исх.данные-произв'!$G15*'Бюджет производства'!F$8+'Бюджет производства'!F$9*'Исх.данные-произв'!$H15</f>
        <v>0</v>
      </c>
      <c r="I14" s="110">
        <f>'Исх.данные-произв'!$C15*'Бюджет производства'!G$4+'Бюджет производства'!G$5*'Исх.данные-произв'!$D15+'Исх.данные-произв'!$E$8*'Бюджет производства'!G$6+'Бюджет производства'!G$7*'Исх.данные-произв'!$F15+'Исх.данные-произв'!$G15*'Бюджет производства'!G$8+'Бюджет производства'!G$9*'Исх.данные-произв'!$H15</f>
        <v>0</v>
      </c>
      <c r="J14" s="110">
        <f>'Исх.данные-произв'!$C15*'Бюджет производства'!H$4+'Бюджет производства'!H$5*'Исх.данные-произв'!$D15+'Исх.данные-произв'!$E$8*'Бюджет производства'!H$6+'Бюджет производства'!H$7*'Исх.данные-произв'!$F15+'Исх.данные-произв'!$G15*'Бюджет производства'!H$8+'Бюджет производства'!H$9*'Исх.данные-произв'!$H15</f>
        <v>0</v>
      </c>
      <c r="K14" s="110">
        <f>'Исх.данные-произв'!$C15*'Бюджет производства'!I$4+'Бюджет производства'!I$5*'Исх.данные-произв'!$D15+'Исх.данные-произв'!$E$8*'Бюджет производства'!I$6+'Бюджет производства'!I$7*'Исх.данные-произв'!$F15+'Исх.данные-произв'!$G15*'Бюджет производства'!I$8+'Бюджет производства'!I$9*'Исх.данные-произв'!$H15</f>
        <v>0</v>
      </c>
      <c r="L14" s="110">
        <f>'Исх.данные-произв'!$C15*'Бюджет производства'!J$4+'Бюджет производства'!J$5*'Исх.данные-произв'!$D15+'Исх.данные-произв'!$E$8*'Бюджет производства'!J$6+'Бюджет производства'!J$7*'Исх.данные-произв'!$F15+'Исх.данные-произв'!$G15*'Бюджет производства'!J$8+'Бюджет производства'!J$9*'Исх.данные-произв'!$H15</f>
        <v>0</v>
      </c>
      <c r="M14" s="110">
        <f>'Исх.данные-произв'!$C15*'Бюджет производства'!K$4+'Бюджет производства'!K$5*'Исх.данные-произв'!$D15+'Исх.данные-произв'!$E$8*'Бюджет производства'!K$6+'Бюджет производства'!K$7*'Исх.данные-произв'!$F15+'Исх.данные-произв'!$G15*'Бюджет производства'!K$8+'Бюджет производства'!K$9*'Исх.данные-произв'!$H15</f>
        <v>0</v>
      </c>
      <c r="N14" s="110">
        <f>'Исх.данные-произв'!$C15*'Бюджет производства'!L$4+'Бюджет производства'!L$5*'Исх.данные-произв'!$D15+'Исх.данные-произв'!$E$8*'Бюджет производства'!L$6+'Бюджет производства'!L$7*'Исх.данные-произв'!$F15+'Исх.данные-произв'!$G15*'Бюджет производства'!L$8+'Бюджет производства'!L$9*'Исх.данные-произв'!$H15</f>
        <v>0</v>
      </c>
      <c r="O14" s="110">
        <f>'Исх.данные-произв'!$C15*'Бюджет производства'!M$4+'Бюджет производства'!M$5*'Исх.данные-произв'!$D15+'Исх.данные-произв'!$E$8*'Бюджет производства'!M$6+'Бюджет производства'!M$7*'Исх.данные-произв'!$F15+'Исх.данные-произв'!$G15*'Бюджет производства'!M$8+'Бюджет производства'!M$9*'Исх.данные-произв'!$H15</f>
        <v>0</v>
      </c>
      <c r="P14" s="10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outlineLevel="1">
      <c r="A15" s="73" t="s">
        <v>249</v>
      </c>
      <c r="B15" s="110"/>
      <c r="C15" s="110"/>
      <c r="D15" s="110">
        <f>'Исх.данные-произв'!$C16*'Бюджет производства'!B$4+'Бюджет производства'!B$5*'Исх.данные-произв'!$D16+'Исх.данные-произв'!$E$8*'Бюджет производства'!B$6+'Бюджет производства'!B$7*'Исх.данные-произв'!$F16+'Исх.данные-произв'!$G16*'Бюджет производства'!B$8+'Бюджет производства'!B$9*'Исх.данные-произв'!$H16</f>
        <v>0</v>
      </c>
      <c r="E15" s="110">
        <f>'Исх.данные-произв'!$C16*'Бюджет производства'!C$4+'Бюджет производства'!C$5*'Исх.данные-произв'!$D16+'Исх.данные-произв'!$E$8*'Бюджет производства'!C$6+'Бюджет производства'!C$7*'Исх.данные-произв'!$F16+'Исх.данные-произв'!$G16*'Бюджет производства'!C$8+'Бюджет производства'!C$9*'Исх.данные-произв'!$H16</f>
        <v>0</v>
      </c>
      <c r="F15" s="110">
        <f>'Исх.данные-произв'!$C16*'Бюджет производства'!D$4+'Бюджет производства'!D$5*'Исх.данные-произв'!$D16+'Исх.данные-произв'!$E$8*'Бюджет производства'!D$6+'Бюджет производства'!D$7*'Исх.данные-произв'!$F16+'Исх.данные-произв'!$G16*'Бюджет производства'!D$8+'Бюджет производства'!D$9*'Исх.данные-произв'!$H16</f>
        <v>0</v>
      </c>
      <c r="G15" s="110">
        <f>'Исх.данные-произв'!$C16*'Бюджет производства'!E$4+'Бюджет производства'!E$5*'Исх.данные-произв'!$D16+'Исх.данные-произв'!$E$8*'Бюджет производства'!E$6+'Бюджет производства'!E$7*'Исх.данные-произв'!$F16+'Исх.данные-произв'!$G16*'Бюджет производства'!E$8+'Бюджет производства'!E$9*'Исх.данные-произв'!$H16</f>
        <v>0</v>
      </c>
      <c r="H15" s="110">
        <f>'Исх.данные-произв'!$C16*'Бюджет производства'!F$4+'Бюджет производства'!F$5*'Исх.данные-произв'!$D16+'Исх.данные-произв'!$E$8*'Бюджет производства'!F$6+'Бюджет производства'!F$7*'Исх.данные-произв'!$F16+'Исх.данные-произв'!$G16*'Бюджет производства'!F$8+'Бюджет производства'!F$9*'Исх.данные-произв'!$H16</f>
        <v>0</v>
      </c>
      <c r="I15" s="110">
        <f>'Исх.данные-произв'!$C16*'Бюджет производства'!G$4+'Бюджет производства'!G$5*'Исх.данные-произв'!$D16+'Исх.данные-произв'!$E$8*'Бюджет производства'!G$6+'Бюджет производства'!G$7*'Исх.данные-произв'!$F16+'Исх.данные-произв'!$G16*'Бюджет производства'!G$8+'Бюджет производства'!G$9*'Исх.данные-произв'!$H16</f>
        <v>0</v>
      </c>
      <c r="J15" s="110">
        <f>'Исх.данные-произв'!$C16*'Бюджет производства'!H$4+'Бюджет производства'!H$5*'Исх.данные-произв'!$D16+'Исх.данные-произв'!$E$8*'Бюджет производства'!H$6+'Бюджет производства'!H$7*'Исх.данные-произв'!$F16+'Исх.данные-произв'!$G16*'Бюджет производства'!H$8+'Бюджет производства'!H$9*'Исх.данные-произв'!$H16</f>
        <v>0</v>
      </c>
      <c r="K15" s="110">
        <f>'Исх.данные-произв'!$C16*'Бюджет производства'!I$4+'Бюджет производства'!I$5*'Исх.данные-произв'!$D16+'Исх.данные-произв'!$E$8*'Бюджет производства'!I$6+'Бюджет производства'!I$7*'Исх.данные-произв'!$F16+'Исх.данные-произв'!$G16*'Бюджет производства'!I$8+'Бюджет производства'!I$9*'Исх.данные-произв'!$H16</f>
        <v>0</v>
      </c>
      <c r="L15" s="110">
        <f>'Исх.данные-произв'!$C16*'Бюджет производства'!J$4+'Бюджет производства'!J$5*'Исх.данные-произв'!$D16+'Исх.данные-произв'!$E$8*'Бюджет производства'!J$6+'Бюджет производства'!J$7*'Исх.данные-произв'!$F16+'Исх.данные-произв'!$G16*'Бюджет производства'!J$8+'Бюджет производства'!J$9*'Исх.данные-произв'!$H16</f>
        <v>0</v>
      </c>
      <c r="M15" s="110">
        <f>'Исх.данные-произв'!$C16*'Бюджет производства'!K$4+'Бюджет производства'!K$5*'Исх.данные-произв'!$D16+'Исх.данные-произв'!$E$8*'Бюджет производства'!K$6+'Бюджет производства'!K$7*'Исх.данные-произв'!$F16+'Исх.данные-произв'!$G16*'Бюджет производства'!K$8+'Бюджет производства'!K$9*'Исх.данные-произв'!$H16</f>
        <v>0</v>
      </c>
      <c r="N15" s="110">
        <f>'Исх.данные-произв'!$C16*'Бюджет производства'!L$4+'Бюджет производства'!L$5*'Исх.данные-произв'!$D16+'Исх.данные-произв'!$E$8*'Бюджет производства'!L$6+'Бюджет производства'!L$7*'Исх.данные-произв'!$F16+'Исх.данные-произв'!$G16*'Бюджет производства'!L$8+'Бюджет производства'!L$9*'Исх.данные-произв'!$H16</f>
        <v>0</v>
      </c>
      <c r="O15" s="110">
        <f>'Исх.данные-произв'!$C16*'Бюджет производства'!M$4+'Бюджет производства'!M$5*'Исх.данные-произв'!$D16+'Исх.данные-произв'!$E$8*'Бюджет производства'!M$6+'Бюджет производства'!M$7*'Исх.данные-произв'!$F16+'Исх.данные-произв'!$G16*'Бюджет производства'!M$8+'Бюджет производства'!M$9*'Исх.данные-произв'!$H16</f>
        <v>0</v>
      </c>
      <c r="P15" s="10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outlineLevel="1">
      <c r="A16" s="73" t="s">
        <v>250</v>
      </c>
      <c r="B16" s="110"/>
      <c r="C16" s="110"/>
      <c r="D16" s="110">
        <f>'Исх.данные-произв'!$C17*'Бюджет производства'!B$4+'Бюджет производства'!B$5*'Исх.данные-произв'!$D17+'Исх.данные-произв'!$E$8*'Бюджет производства'!B$6+'Бюджет производства'!B$7*'Исх.данные-произв'!$F17+'Исх.данные-произв'!$G17*'Бюджет производства'!B$8+'Бюджет производства'!B$9*'Исх.данные-произв'!$H17</f>
        <v>0</v>
      </c>
      <c r="E16" s="110">
        <f>'Исх.данные-произв'!$C17*'Бюджет производства'!C$4+'Бюджет производства'!C$5*'Исх.данные-произв'!$D17+'Исх.данные-произв'!$E$8*'Бюджет производства'!C$6+'Бюджет производства'!C$7*'Исх.данные-произв'!$F17+'Исх.данные-произв'!$G17*'Бюджет производства'!C$8+'Бюджет производства'!C$9*'Исх.данные-произв'!$H17</f>
        <v>0</v>
      </c>
      <c r="F16" s="110">
        <f>'Исх.данные-произв'!$C17*'Бюджет производства'!D$4+'Бюджет производства'!D$5*'Исх.данные-произв'!$D17+'Исх.данные-произв'!$E$8*'Бюджет производства'!D$6+'Бюджет производства'!D$7*'Исх.данные-произв'!$F17+'Исх.данные-произв'!$G17*'Бюджет производства'!D$8+'Бюджет производства'!D$9*'Исх.данные-произв'!$H17</f>
        <v>0</v>
      </c>
      <c r="G16" s="110">
        <f>'Исх.данные-произв'!$C17*'Бюджет производства'!E$4+'Бюджет производства'!E$5*'Исх.данные-произв'!$D17+'Исх.данные-произв'!$E$8*'Бюджет производства'!E$6+'Бюджет производства'!E$7*'Исх.данные-произв'!$F17+'Исх.данные-произв'!$G17*'Бюджет производства'!E$8+'Бюджет производства'!E$9*'Исх.данные-произв'!$H17</f>
        <v>0</v>
      </c>
      <c r="H16" s="110">
        <f>'Исх.данные-произв'!$C17*'Бюджет производства'!F$4+'Бюджет производства'!F$5*'Исх.данные-произв'!$D17+'Исх.данные-произв'!$E$8*'Бюджет производства'!F$6+'Бюджет производства'!F$7*'Исх.данные-произв'!$F17+'Исх.данные-произв'!$G17*'Бюджет производства'!F$8+'Бюджет производства'!F$9*'Исх.данные-произв'!$H17</f>
        <v>0</v>
      </c>
      <c r="I16" s="110">
        <f>'Исх.данные-произв'!$C17*'Бюджет производства'!G$4+'Бюджет производства'!G$5*'Исх.данные-произв'!$D17+'Исх.данные-произв'!$E$8*'Бюджет производства'!G$6+'Бюджет производства'!G$7*'Исх.данные-произв'!$F17+'Исх.данные-произв'!$G17*'Бюджет производства'!G$8+'Бюджет производства'!G$9*'Исх.данные-произв'!$H17</f>
        <v>0</v>
      </c>
      <c r="J16" s="110">
        <f>'Исх.данные-произв'!$C17*'Бюджет производства'!H$4+'Бюджет производства'!H$5*'Исх.данные-произв'!$D17+'Исх.данные-произв'!$E$8*'Бюджет производства'!H$6+'Бюджет производства'!H$7*'Исх.данные-произв'!$F17+'Исх.данные-произв'!$G17*'Бюджет производства'!H$8+'Бюджет производства'!H$9*'Исх.данные-произв'!$H17</f>
        <v>0</v>
      </c>
      <c r="K16" s="110">
        <f>'Исх.данные-произв'!$C17*'Бюджет производства'!I$4+'Бюджет производства'!I$5*'Исх.данные-произв'!$D17+'Исх.данные-произв'!$E$8*'Бюджет производства'!I$6+'Бюджет производства'!I$7*'Исх.данные-произв'!$F17+'Исх.данные-произв'!$G17*'Бюджет производства'!I$8+'Бюджет производства'!I$9*'Исх.данные-произв'!$H17</f>
        <v>0</v>
      </c>
      <c r="L16" s="110">
        <f>'Исх.данные-произв'!$C17*'Бюджет производства'!J$4+'Бюджет производства'!J$5*'Исх.данные-произв'!$D17+'Исх.данные-произв'!$E$8*'Бюджет производства'!J$6+'Бюджет производства'!J$7*'Исх.данные-произв'!$F17+'Исх.данные-произв'!$G17*'Бюджет производства'!J$8+'Бюджет производства'!J$9*'Исх.данные-произв'!$H17</f>
        <v>0</v>
      </c>
      <c r="M16" s="110">
        <f>'Исх.данные-произв'!$C17*'Бюджет производства'!K$4+'Бюджет производства'!K$5*'Исх.данные-произв'!$D17+'Исх.данные-произв'!$E$8*'Бюджет производства'!K$6+'Бюджет производства'!K$7*'Исх.данные-произв'!$F17+'Исх.данные-произв'!$G17*'Бюджет производства'!K$8+'Бюджет производства'!K$9*'Исх.данные-произв'!$H17</f>
        <v>0</v>
      </c>
      <c r="N16" s="110">
        <f>'Исх.данные-произв'!$C17*'Бюджет производства'!L$4+'Бюджет производства'!L$5*'Исх.данные-произв'!$D17+'Исх.данные-произв'!$E$8*'Бюджет производства'!L$6+'Бюджет производства'!L$7*'Исх.данные-произв'!$F17+'Исх.данные-произв'!$G17*'Бюджет производства'!L$8+'Бюджет производства'!L$9*'Исх.данные-произв'!$H17</f>
        <v>0</v>
      </c>
      <c r="O16" s="110">
        <f>'Исх.данные-произв'!$C17*'Бюджет производства'!M$4+'Бюджет производства'!M$5*'Исх.данные-произв'!$D17+'Исх.данные-произв'!$E$8*'Бюджет производства'!M$6+'Бюджет производства'!M$7*'Исх.данные-произв'!$F17+'Исх.данные-произв'!$G17*'Бюджет производства'!M$8+'Бюджет производства'!M$9*'Исх.данные-произв'!$H17</f>
        <v>0</v>
      </c>
      <c r="P16" s="10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73" t="s">
        <v>251</v>
      </c>
      <c r="B17" s="110"/>
      <c r="C17" s="110"/>
      <c r="D17" s="110">
        <f>'Исх.данные-произв'!$C18*'Бюджет производства'!B$4+'Бюджет производства'!B$5*'Исх.данные-произв'!$D18+'Исх.данные-произв'!$E$8*'Бюджет производства'!B$6+'Бюджет производства'!B$7*'Исх.данные-произв'!$F18+'Исх.данные-произв'!$G18*'Бюджет производства'!B$8+'Бюджет производства'!B$9*'Исх.данные-произв'!$H18</f>
        <v>0</v>
      </c>
      <c r="E17" s="110">
        <f>'Исх.данные-произв'!$C18*'Бюджет производства'!C$4+'Бюджет производства'!C$5*'Исх.данные-произв'!$D18+'Исх.данные-произв'!$E$8*'Бюджет производства'!C$6+'Бюджет производства'!C$7*'Исх.данные-произв'!$F18+'Исх.данные-произв'!$G18*'Бюджет производства'!C$8+'Бюджет производства'!C$9*'Исх.данные-произв'!$H18</f>
        <v>0</v>
      </c>
      <c r="F17" s="110">
        <f>'Исх.данные-произв'!$C18*'Бюджет производства'!D$4+'Бюджет производства'!D$5*'Исх.данные-произв'!$D18+'Исх.данные-произв'!$E$8*'Бюджет производства'!D$6+'Бюджет производства'!D$7*'Исх.данные-произв'!$F18+'Исх.данные-произв'!$G18*'Бюджет производства'!D$8+'Бюджет производства'!D$9*'Исх.данные-произв'!$H18</f>
        <v>0</v>
      </c>
      <c r="G17" s="110">
        <f>'Исх.данные-произв'!$C18*'Бюджет производства'!E$4+'Бюджет производства'!E$5*'Исх.данные-произв'!$D18+'Исх.данные-произв'!$E$8*'Бюджет производства'!E$6+'Бюджет производства'!E$7*'Исх.данные-произв'!$F18+'Исх.данные-произв'!$G18*'Бюджет производства'!E$8+'Бюджет производства'!E$9*'Исх.данные-произв'!$H18</f>
        <v>0</v>
      </c>
      <c r="H17" s="110">
        <f>'Исх.данные-произв'!$C18*'Бюджет производства'!F$4+'Бюджет производства'!F$5*'Исх.данные-произв'!$D18+'Исх.данные-произв'!$E$8*'Бюджет производства'!F$6+'Бюджет производства'!F$7*'Исх.данные-произв'!$F18+'Исх.данные-произв'!$G18*'Бюджет производства'!F$8+'Бюджет производства'!F$9*'Исх.данные-произв'!$H18</f>
        <v>0</v>
      </c>
      <c r="I17" s="110">
        <f>'Исх.данные-произв'!$C18*'Бюджет производства'!G$4+'Бюджет производства'!G$5*'Исх.данные-произв'!$D18+'Исх.данные-произв'!$E$8*'Бюджет производства'!G$6+'Бюджет производства'!G$7*'Исх.данные-произв'!$F18+'Исх.данные-произв'!$G18*'Бюджет производства'!G$8+'Бюджет производства'!G$9*'Исх.данные-произв'!$H18</f>
        <v>0</v>
      </c>
      <c r="J17" s="110">
        <f>'Исх.данные-произв'!$C18*'Бюджет производства'!H$4+'Бюджет производства'!H$5*'Исх.данные-произв'!$D18+'Исх.данные-произв'!$E$8*'Бюджет производства'!H$6+'Бюджет производства'!H$7*'Исх.данные-произв'!$F18+'Исх.данные-произв'!$G18*'Бюджет производства'!H$8+'Бюджет производства'!H$9*'Исх.данные-произв'!$H18</f>
        <v>0</v>
      </c>
      <c r="K17" s="110">
        <f>'Исх.данные-произв'!$C18*'Бюджет производства'!I$4+'Бюджет производства'!I$5*'Исх.данные-произв'!$D18+'Исх.данные-произв'!$E$8*'Бюджет производства'!I$6+'Бюджет производства'!I$7*'Исх.данные-произв'!$F18+'Исх.данные-произв'!$G18*'Бюджет производства'!I$8+'Бюджет производства'!I$9*'Исх.данные-произв'!$H18</f>
        <v>0</v>
      </c>
      <c r="L17" s="110">
        <f>'Исх.данные-произв'!$C18*'Бюджет производства'!J$4+'Бюджет производства'!J$5*'Исх.данные-произв'!$D18+'Исх.данные-произв'!$E$8*'Бюджет производства'!J$6+'Бюджет производства'!J$7*'Исх.данные-произв'!$F18+'Исх.данные-произв'!$G18*'Бюджет производства'!J$8+'Бюджет производства'!J$9*'Исх.данные-произв'!$H18</f>
        <v>0</v>
      </c>
      <c r="M17" s="110">
        <f>'Исх.данные-произв'!$C18*'Бюджет производства'!K$4+'Бюджет производства'!K$5*'Исх.данные-произв'!$D18+'Исх.данные-произв'!$E$8*'Бюджет производства'!K$6+'Бюджет производства'!K$7*'Исх.данные-произв'!$F18+'Исх.данные-произв'!$G18*'Бюджет производства'!K$8+'Бюджет производства'!K$9*'Исх.данные-произв'!$H18</f>
        <v>0</v>
      </c>
      <c r="N17" s="110">
        <f>'Исх.данные-произв'!$C18*'Бюджет производства'!L$4+'Бюджет производства'!L$5*'Исх.данные-произв'!$D18+'Исх.данные-произв'!$E$8*'Бюджет производства'!L$6+'Бюджет производства'!L$7*'Исх.данные-произв'!$F18+'Исх.данные-произв'!$G18*'Бюджет производства'!L$8+'Бюджет производства'!L$9*'Исх.данные-произв'!$H18</f>
        <v>0</v>
      </c>
      <c r="O17" s="110">
        <f>'Исх.данные-произв'!$C18*'Бюджет производства'!M$4+'Бюджет производства'!M$5*'Исх.данные-произв'!$D18+'Исх.данные-произв'!$E$8*'Бюджет производства'!M$6+'Бюджет производства'!M$7*'Исх.данные-произв'!$F18+'Исх.данные-произв'!$G18*'Бюджет производства'!M$8+'Бюджет производства'!M$9*'Исх.данные-произв'!$H18</f>
        <v>0</v>
      </c>
      <c r="P17" s="10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outlineLevel="1">
      <c r="A18" s="73" t="s">
        <v>252</v>
      </c>
      <c r="B18" s="110"/>
      <c r="C18" s="110"/>
      <c r="D18" s="110">
        <f>'Исх.данные-произв'!$C19*'Бюджет производства'!B$4+'Бюджет производства'!B$5*'Исх.данные-произв'!$D19+'Исх.данные-произв'!$E$8*'Бюджет производства'!B$6+'Бюджет производства'!B$7*'Исх.данные-произв'!$F19+'Исх.данные-произв'!$G19*'Бюджет производства'!B$8+'Бюджет производства'!B$9*'Исх.данные-произв'!$H19</f>
        <v>0</v>
      </c>
      <c r="E18" s="110">
        <f>'Исх.данные-произв'!$C19*'Бюджет производства'!C$4+'Бюджет производства'!C$5*'Исх.данные-произв'!$D19+'Исх.данные-произв'!$E$8*'Бюджет производства'!C$6+'Бюджет производства'!C$7*'Исх.данные-произв'!$F19+'Исх.данные-произв'!$G19*'Бюджет производства'!C$8+'Бюджет производства'!C$9*'Исх.данные-произв'!$H19</f>
        <v>0</v>
      </c>
      <c r="F18" s="110">
        <f>'Исх.данные-произв'!$C19*'Бюджет производства'!D$4+'Бюджет производства'!D$5*'Исх.данные-произв'!$D19+'Исх.данные-произв'!$E$8*'Бюджет производства'!D$6+'Бюджет производства'!D$7*'Исх.данные-произв'!$F19+'Исх.данные-произв'!$G19*'Бюджет производства'!D$8+'Бюджет производства'!D$9*'Исх.данные-произв'!$H19</f>
        <v>0</v>
      </c>
      <c r="G18" s="110">
        <f>'Исх.данные-произв'!$C19*'Бюджет производства'!E$4+'Бюджет производства'!E$5*'Исх.данные-произв'!$D19+'Исх.данные-произв'!$E$8*'Бюджет производства'!E$6+'Бюджет производства'!E$7*'Исх.данные-произв'!$F19+'Исх.данные-произв'!$G19*'Бюджет производства'!E$8+'Бюджет производства'!E$9*'Исх.данные-произв'!$H19</f>
        <v>0</v>
      </c>
      <c r="H18" s="110">
        <f>'Исх.данные-произв'!$C19*'Бюджет производства'!F$4+'Бюджет производства'!F$5*'Исх.данные-произв'!$D19+'Исх.данные-произв'!$E$8*'Бюджет производства'!F$6+'Бюджет производства'!F$7*'Исх.данные-произв'!$F19+'Исх.данные-произв'!$G19*'Бюджет производства'!F$8+'Бюджет производства'!F$9*'Исх.данные-произв'!$H19</f>
        <v>0</v>
      </c>
      <c r="I18" s="110">
        <f>'Исх.данные-произв'!$C19*'Бюджет производства'!G$4+'Бюджет производства'!G$5*'Исх.данные-произв'!$D19+'Исх.данные-произв'!$E$8*'Бюджет производства'!G$6+'Бюджет производства'!G$7*'Исх.данные-произв'!$F19+'Исх.данные-произв'!$G19*'Бюджет производства'!G$8+'Бюджет производства'!G$9*'Исх.данные-произв'!$H19</f>
        <v>0</v>
      </c>
      <c r="J18" s="110">
        <f>'Исх.данные-произв'!$C19*'Бюджет производства'!H$4+'Бюджет производства'!H$5*'Исх.данные-произв'!$D19+'Исх.данные-произв'!$E$8*'Бюджет производства'!H$6+'Бюджет производства'!H$7*'Исх.данные-произв'!$F19+'Исх.данные-произв'!$G19*'Бюджет производства'!H$8+'Бюджет производства'!H$9*'Исх.данные-произв'!$H19</f>
        <v>0</v>
      </c>
      <c r="K18" s="110">
        <f>'Исх.данные-произв'!$C19*'Бюджет производства'!I$4+'Бюджет производства'!I$5*'Исх.данные-произв'!$D19+'Исх.данные-произв'!$E$8*'Бюджет производства'!I$6+'Бюджет производства'!I$7*'Исх.данные-произв'!$F19+'Исх.данные-произв'!$G19*'Бюджет производства'!I$8+'Бюджет производства'!I$9*'Исх.данные-произв'!$H19</f>
        <v>0</v>
      </c>
      <c r="L18" s="110">
        <f>'Исх.данные-произв'!$C19*'Бюджет производства'!J$4+'Бюджет производства'!J$5*'Исх.данные-произв'!$D19+'Исх.данные-произв'!$E$8*'Бюджет производства'!J$6+'Бюджет производства'!J$7*'Исх.данные-произв'!$F19+'Исх.данные-произв'!$G19*'Бюджет производства'!J$8+'Бюджет производства'!J$9*'Исх.данные-произв'!$H19</f>
        <v>0</v>
      </c>
      <c r="M18" s="110">
        <f>'Исх.данные-произв'!$C19*'Бюджет производства'!K$4+'Бюджет производства'!K$5*'Исх.данные-произв'!$D19+'Исх.данные-произв'!$E$8*'Бюджет производства'!K$6+'Бюджет производства'!K$7*'Исх.данные-произв'!$F19+'Исх.данные-произв'!$G19*'Бюджет производства'!K$8+'Бюджет производства'!K$9*'Исх.данные-произв'!$H19</f>
        <v>0</v>
      </c>
      <c r="N18" s="110">
        <f>'Исх.данные-произв'!$C19*'Бюджет производства'!L$4+'Бюджет производства'!L$5*'Исх.данные-произв'!$D19+'Исх.данные-произв'!$E$8*'Бюджет производства'!L$6+'Бюджет производства'!L$7*'Исх.данные-произв'!$F19+'Исх.данные-произв'!$G19*'Бюджет производства'!L$8+'Бюджет производства'!L$9*'Исх.данные-произв'!$H19</f>
        <v>0</v>
      </c>
      <c r="O18" s="110">
        <f>'Исх.данные-произв'!$C19*'Бюджет производства'!M$4+'Бюджет производства'!M$5*'Исх.данные-произв'!$D19+'Исх.данные-произв'!$E$8*'Бюджет производства'!M$6+'Бюджет производства'!M$7*'Исх.данные-произв'!$F19+'Исх.данные-произв'!$G19*'Бюджет производства'!M$8+'Бюджет производства'!M$9*'Исх.данные-произв'!$H19</f>
        <v>0</v>
      </c>
      <c r="P18" s="10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 outlineLevel="1">
      <c r="A19" s="73" t="s">
        <v>253</v>
      </c>
      <c r="B19" s="110"/>
      <c r="C19" s="110"/>
      <c r="D19" s="110">
        <f>'Исх.данные-произв'!$C20*'Бюджет производства'!B$4+'Бюджет производства'!B$5*'Исх.данные-произв'!$D20+'Исх.данные-произв'!$E$8*'Бюджет производства'!B$6+'Бюджет производства'!B$7*'Исх.данные-произв'!$F20+'Исх.данные-произв'!$G20*'Бюджет производства'!B$8+'Бюджет производства'!B$9*'Исх.данные-произв'!$H20</f>
        <v>0</v>
      </c>
      <c r="E19" s="110">
        <f>'Исх.данные-произв'!$C20*'Бюджет производства'!C$4+'Бюджет производства'!C$5*'Исх.данные-произв'!$D20+'Исх.данные-произв'!$E$8*'Бюджет производства'!C$6+'Бюджет производства'!C$7*'Исх.данные-произв'!$F20+'Исх.данные-произв'!$G20*'Бюджет производства'!C$8+'Бюджет производства'!C$9*'Исх.данные-произв'!$H20</f>
        <v>0</v>
      </c>
      <c r="F19" s="110">
        <f>'Исх.данные-произв'!$C20*'Бюджет производства'!D$4+'Бюджет производства'!D$5*'Исх.данные-произв'!$D20+'Исх.данные-произв'!$E$8*'Бюджет производства'!D$6+'Бюджет производства'!D$7*'Исх.данные-произв'!$F20+'Исх.данные-произв'!$G20*'Бюджет производства'!D$8+'Бюджет производства'!D$9*'Исх.данные-произв'!$H20</f>
        <v>0</v>
      </c>
      <c r="G19" s="110">
        <f>'Исх.данные-произв'!$C20*'Бюджет производства'!E$4+'Бюджет производства'!E$5*'Исх.данные-произв'!$D20+'Исх.данные-произв'!$E$8*'Бюджет производства'!E$6+'Бюджет производства'!E$7*'Исх.данные-произв'!$F20+'Исх.данные-произв'!$G20*'Бюджет производства'!E$8+'Бюджет производства'!E$9*'Исх.данные-произв'!$H20</f>
        <v>0</v>
      </c>
      <c r="H19" s="110">
        <f>'Исх.данные-произв'!$C20*'Бюджет производства'!F$4+'Бюджет производства'!F$5*'Исх.данные-произв'!$D20+'Исх.данные-произв'!$E$8*'Бюджет производства'!F$6+'Бюджет производства'!F$7*'Исх.данные-произв'!$F20+'Исх.данные-произв'!$G20*'Бюджет производства'!F$8+'Бюджет производства'!F$9*'Исх.данные-произв'!$H20</f>
        <v>0</v>
      </c>
      <c r="I19" s="110">
        <f>'Исх.данные-произв'!$C20*'Бюджет производства'!G$4+'Бюджет производства'!G$5*'Исх.данные-произв'!$D20+'Исх.данные-произв'!$E$8*'Бюджет производства'!G$6+'Бюджет производства'!G$7*'Исх.данные-произв'!$F20+'Исх.данные-произв'!$G20*'Бюджет производства'!G$8+'Бюджет производства'!G$9*'Исх.данные-произв'!$H20</f>
        <v>0</v>
      </c>
      <c r="J19" s="110">
        <f>'Исх.данные-произв'!$C20*'Бюджет производства'!H$4+'Бюджет производства'!H$5*'Исх.данные-произв'!$D20+'Исх.данные-произв'!$E$8*'Бюджет производства'!H$6+'Бюджет производства'!H$7*'Исх.данные-произв'!$F20+'Исх.данные-произв'!$G20*'Бюджет производства'!H$8+'Бюджет производства'!H$9*'Исх.данные-произв'!$H20</f>
        <v>0</v>
      </c>
      <c r="K19" s="110">
        <f>'Исх.данные-произв'!$C20*'Бюджет производства'!I$4+'Бюджет производства'!I$5*'Исх.данные-произв'!$D20+'Исх.данные-произв'!$E$8*'Бюджет производства'!I$6+'Бюджет производства'!I$7*'Исх.данные-произв'!$F20+'Исх.данные-произв'!$G20*'Бюджет производства'!I$8+'Бюджет производства'!I$9*'Исх.данные-произв'!$H20</f>
        <v>0</v>
      </c>
      <c r="L19" s="110">
        <f>'Исх.данные-произв'!$C20*'Бюджет производства'!J$4+'Бюджет производства'!J$5*'Исх.данные-произв'!$D20+'Исх.данные-произв'!$E$8*'Бюджет производства'!J$6+'Бюджет производства'!J$7*'Исх.данные-произв'!$F20+'Исх.данные-произв'!$G20*'Бюджет производства'!J$8+'Бюджет производства'!J$9*'Исх.данные-произв'!$H20</f>
        <v>0</v>
      </c>
      <c r="M19" s="110">
        <f>'Исх.данные-произв'!$C20*'Бюджет производства'!K$4+'Бюджет производства'!K$5*'Исх.данные-произв'!$D20+'Исх.данные-произв'!$E$8*'Бюджет производства'!K$6+'Бюджет производства'!K$7*'Исх.данные-произв'!$F20+'Исх.данные-произв'!$G20*'Бюджет производства'!K$8+'Бюджет производства'!K$9*'Исх.данные-произв'!$H20</f>
        <v>0</v>
      </c>
      <c r="N19" s="110">
        <f>'Исх.данные-произв'!$C20*'Бюджет производства'!L$4+'Бюджет производства'!L$5*'Исх.данные-произв'!$D20+'Исх.данные-произв'!$E$8*'Бюджет производства'!L$6+'Бюджет производства'!L$7*'Исх.данные-произв'!$F20+'Исх.данные-произв'!$G20*'Бюджет производства'!L$8+'Бюджет производства'!L$9*'Исх.данные-произв'!$H20</f>
        <v>0</v>
      </c>
      <c r="O19" s="110">
        <f>'Исх.данные-произв'!$C20*'Бюджет производства'!M$4+'Бюджет производства'!M$5*'Исх.данные-произв'!$D20+'Исх.данные-произв'!$E$8*'Бюджет производства'!M$6+'Бюджет производства'!M$7*'Исх.данные-произв'!$F20+'Исх.данные-произв'!$G20*'Бюджет производства'!M$8+'Бюджет производства'!M$9*'Исх.данные-произв'!$H20</f>
        <v>0</v>
      </c>
      <c r="P19" s="10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 outlineLevel="1">
      <c r="A20" s="73" t="s">
        <v>254</v>
      </c>
      <c r="B20" s="110"/>
      <c r="C20" s="110"/>
      <c r="D20" s="110">
        <f>'Исх.данные-произв'!$C21*'Бюджет производства'!B$4+'Бюджет производства'!B$5*'Исх.данные-произв'!$D21+'Исх.данные-произв'!$E$8*'Бюджет производства'!B$6+'Бюджет производства'!B$7*'Исх.данные-произв'!$F21+'Исх.данные-произв'!$G21*'Бюджет производства'!B$8+'Бюджет производства'!B$9*'Исх.данные-произв'!$H21</f>
        <v>0</v>
      </c>
      <c r="E20" s="110">
        <f>'Исх.данные-произв'!$C21*'Бюджет производства'!C$4+'Бюджет производства'!C$5*'Исх.данные-произв'!$D21+'Исх.данные-произв'!$E$8*'Бюджет производства'!C$6+'Бюджет производства'!C$7*'Исх.данные-произв'!$F21+'Исх.данные-произв'!$G21*'Бюджет производства'!C$8+'Бюджет производства'!C$9*'Исх.данные-произв'!$H21</f>
        <v>0</v>
      </c>
      <c r="F20" s="110">
        <f>'Исх.данные-произв'!$C21*'Бюджет производства'!D$4+'Бюджет производства'!D$5*'Исх.данные-произв'!$D21+'Исх.данные-произв'!$E$8*'Бюджет производства'!D$6+'Бюджет производства'!D$7*'Исх.данные-произв'!$F21+'Исх.данные-произв'!$G21*'Бюджет производства'!D$8+'Бюджет производства'!D$9*'Исх.данные-произв'!$H21</f>
        <v>0</v>
      </c>
      <c r="G20" s="110">
        <f>'Исх.данные-произв'!$C21*'Бюджет производства'!E$4+'Бюджет производства'!E$5*'Исх.данные-произв'!$D21+'Исх.данные-произв'!$E$8*'Бюджет производства'!E$6+'Бюджет производства'!E$7*'Исх.данные-произв'!$F21+'Исх.данные-произв'!$G21*'Бюджет производства'!E$8+'Бюджет производства'!E$9*'Исх.данные-произв'!$H21</f>
        <v>0</v>
      </c>
      <c r="H20" s="110">
        <f>'Исх.данные-произв'!$C21*'Бюджет производства'!F$4+'Бюджет производства'!F$5*'Исх.данные-произв'!$D21+'Исх.данные-произв'!$E$8*'Бюджет производства'!F$6+'Бюджет производства'!F$7*'Исх.данные-произв'!$F21+'Исх.данные-произв'!$G21*'Бюджет производства'!F$8+'Бюджет производства'!F$9*'Исх.данные-произв'!$H21</f>
        <v>0</v>
      </c>
      <c r="I20" s="110">
        <f>'Исх.данные-произв'!$C21*'Бюджет производства'!G$4+'Бюджет производства'!G$5*'Исх.данные-произв'!$D21+'Исх.данные-произв'!$E$8*'Бюджет производства'!G$6+'Бюджет производства'!G$7*'Исх.данные-произв'!$F21+'Исх.данные-произв'!$G21*'Бюджет производства'!G$8+'Бюджет производства'!G$9*'Исх.данные-произв'!$H21</f>
        <v>0</v>
      </c>
      <c r="J20" s="110">
        <f>'Исх.данные-произв'!$C21*'Бюджет производства'!H$4+'Бюджет производства'!H$5*'Исх.данные-произв'!$D21+'Исх.данные-произв'!$E$8*'Бюджет производства'!H$6+'Бюджет производства'!H$7*'Исх.данные-произв'!$F21+'Исх.данные-произв'!$G21*'Бюджет производства'!H$8+'Бюджет производства'!H$9*'Исх.данные-произв'!$H21</f>
        <v>0</v>
      </c>
      <c r="K20" s="110">
        <f>'Исх.данные-произв'!$C21*'Бюджет производства'!I$4+'Бюджет производства'!I$5*'Исх.данные-произв'!$D21+'Исх.данные-произв'!$E$8*'Бюджет производства'!I$6+'Бюджет производства'!I$7*'Исх.данные-произв'!$F21+'Исх.данные-произв'!$G21*'Бюджет производства'!I$8+'Бюджет производства'!I$9*'Исх.данные-произв'!$H21</f>
        <v>0</v>
      </c>
      <c r="L20" s="110">
        <f>'Исх.данные-произв'!$C21*'Бюджет производства'!J$4+'Бюджет производства'!J$5*'Исх.данные-произв'!$D21+'Исх.данные-произв'!$E$8*'Бюджет производства'!J$6+'Бюджет производства'!J$7*'Исх.данные-произв'!$F21+'Исх.данные-произв'!$G21*'Бюджет производства'!J$8+'Бюджет производства'!J$9*'Исх.данные-произв'!$H21</f>
        <v>0</v>
      </c>
      <c r="M20" s="110">
        <f>'Исх.данные-произв'!$C21*'Бюджет производства'!K$4+'Бюджет производства'!K$5*'Исх.данные-произв'!$D21+'Исх.данные-произв'!$E$8*'Бюджет производства'!K$6+'Бюджет производства'!K$7*'Исх.данные-произв'!$F21+'Исх.данные-произв'!$G21*'Бюджет производства'!K$8+'Бюджет производства'!K$9*'Исх.данные-произв'!$H21</f>
        <v>0</v>
      </c>
      <c r="N20" s="110">
        <f>'Исх.данные-произв'!$C21*'Бюджет производства'!L$4+'Бюджет производства'!L$5*'Исх.данные-произв'!$D21+'Исх.данные-произв'!$E$8*'Бюджет производства'!L$6+'Бюджет производства'!L$7*'Исх.данные-произв'!$F21+'Исх.данные-произв'!$G21*'Бюджет производства'!L$8+'Бюджет производства'!L$9*'Исх.данные-произв'!$H21</f>
        <v>0</v>
      </c>
      <c r="O20" s="110">
        <f>'Исх.данные-произв'!$C21*'Бюджет производства'!M$4+'Бюджет производства'!M$5*'Исх.данные-произв'!$D21+'Исх.данные-произв'!$E$8*'Бюджет производства'!M$6+'Бюджет производства'!M$7*'Исх.данные-произв'!$F21+'Исх.данные-произв'!$G21*'Бюджет производства'!M$8+'Бюджет производства'!M$9*'Исх.данные-произв'!$H21</f>
        <v>0</v>
      </c>
      <c r="P20" s="10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 outlineLevel="1">
      <c r="A21" s="73" t="s">
        <v>255</v>
      </c>
      <c r="B21" s="110"/>
      <c r="C21" s="110"/>
      <c r="D21" s="110">
        <f>'Исх.данные-произв'!$C22*'Бюджет производства'!B$4+'Бюджет производства'!B$5*'Исх.данные-произв'!$D22+'Исх.данные-произв'!$E$8*'Бюджет производства'!B$6+'Бюджет производства'!B$7*'Исх.данные-произв'!$F22+'Исх.данные-произв'!$G22*'Бюджет производства'!B$8+'Бюджет производства'!B$9*'Исх.данные-произв'!$H22</f>
        <v>0</v>
      </c>
      <c r="E21" s="110">
        <f>'Исх.данные-произв'!$C22*'Бюджет производства'!C$4+'Бюджет производства'!C$5*'Исх.данные-произв'!$D22+'Исх.данные-произв'!$E$8*'Бюджет производства'!C$6+'Бюджет производства'!C$7*'Исх.данные-произв'!$F22+'Исх.данные-произв'!$G22*'Бюджет производства'!C$8+'Бюджет производства'!C$9*'Исх.данные-произв'!$H22</f>
        <v>0</v>
      </c>
      <c r="F21" s="110">
        <f>'Исх.данные-произв'!$C22*'Бюджет производства'!D$4+'Бюджет производства'!D$5*'Исх.данные-произв'!$D22+'Исх.данные-произв'!$E$8*'Бюджет производства'!D$6+'Бюджет производства'!D$7*'Исх.данные-произв'!$F22+'Исх.данные-произв'!$G22*'Бюджет производства'!D$8+'Бюджет производства'!D$9*'Исх.данные-произв'!$H22</f>
        <v>0</v>
      </c>
      <c r="G21" s="110">
        <f>'Исх.данные-произв'!$C22*'Бюджет производства'!E$4+'Бюджет производства'!E$5*'Исх.данные-произв'!$D22+'Исх.данные-произв'!$E$8*'Бюджет производства'!E$6+'Бюджет производства'!E$7*'Исх.данные-произв'!$F22+'Исх.данные-произв'!$G22*'Бюджет производства'!E$8+'Бюджет производства'!E$9*'Исх.данные-произв'!$H22</f>
        <v>0</v>
      </c>
      <c r="H21" s="110">
        <f>'Исх.данные-произв'!$C22*'Бюджет производства'!F$4+'Бюджет производства'!F$5*'Исх.данные-произв'!$D22+'Исх.данные-произв'!$E$8*'Бюджет производства'!F$6+'Бюджет производства'!F$7*'Исх.данные-произв'!$F22+'Исх.данные-произв'!$G22*'Бюджет производства'!F$8+'Бюджет производства'!F$9*'Исх.данные-произв'!$H22</f>
        <v>0</v>
      </c>
      <c r="I21" s="110">
        <f>'Исх.данные-произв'!$C22*'Бюджет производства'!G$4+'Бюджет производства'!G$5*'Исх.данные-произв'!$D22+'Исх.данные-произв'!$E$8*'Бюджет производства'!G$6+'Бюджет производства'!G$7*'Исх.данные-произв'!$F22+'Исх.данные-произв'!$G22*'Бюджет производства'!G$8+'Бюджет производства'!G$9*'Исх.данные-произв'!$H22</f>
        <v>0</v>
      </c>
      <c r="J21" s="110">
        <f>'Исх.данные-произв'!$C22*'Бюджет производства'!H$4+'Бюджет производства'!H$5*'Исх.данные-произв'!$D22+'Исх.данные-произв'!$E$8*'Бюджет производства'!H$6+'Бюджет производства'!H$7*'Исх.данные-произв'!$F22+'Исх.данные-произв'!$G22*'Бюджет производства'!H$8+'Бюджет производства'!H$9*'Исх.данные-произв'!$H22</f>
        <v>0</v>
      </c>
      <c r="K21" s="110">
        <f>'Исх.данные-произв'!$C22*'Бюджет производства'!I$4+'Бюджет производства'!I$5*'Исх.данные-произв'!$D22+'Исх.данные-произв'!$E$8*'Бюджет производства'!I$6+'Бюджет производства'!I$7*'Исх.данные-произв'!$F22+'Исх.данные-произв'!$G22*'Бюджет производства'!I$8+'Бюджет производства'!I$9*'Исх.данные-произв'!$H22</f>
        <v>0</v>
      </c>
      <c r="L21" s="110">
        <f>'Исх.данные-произв'!$C22*'Бюджет производства'!J$4+'Бюджет производства'!J$5*'Исх.данные-произв'!$D22+'Исх.данные-произв'!$E$8*'Бюджет производства'!J$6+'Бюджет производства'!J$7*'Исх.данные-произв'!$F22+'Исх.данные-произв'!$G22*'Бюджет производства'!J$8+'Бюджет производства'!J$9*'Исх.данные-произв'!$H22</f>
        <v>0</v>
      </c>
      <c r="M21" s="110">
        <f>'Исх.данные-произв'!$C22*'Бюджет производства'!K$4+'Бюджет производства'!K$5*'Исх.данные-произв'!$D22+'Исх.данные-произв'!$E$8*'Бюджет производства'!K$6+'Бюджет производства'!K$7*'Исх.данные-произв'!$F22+'Исх.данные-произв'!$G22*'Бюджет производства'!K$8+'Бюджет производства'!K$9*'Исх.данные-произв'!$H22</f>
        <v>0</v>
      </c>
      <c r="N21" s="110">
        <f>'Исх.данные-произв'!$C22*'Бюджет производства'!L$4+'Бюджет производства'!L$5*'Исх.данные-произв'!$D22+'Исх.данные-произв'!$E$8*'Бюджет производства'!L$6+'Бюджет производства'!L$7*'Исх.данные-произв'!$F22+'Исх.данные-произв'!$G22*'Бюджет производства'!L$8+'Бюджет производства'!L$9*'Исх.данные-произв'!$H22</f>
        <v>0</v>
      </c>
      <c r="O21" s="110">
        <f>'Исх.данные-произв'!$C22*'Бюджет производства'!M$4+'Бюджет производства'!M$5*'Исх.данные-произв'!$D22+'Исх.данные-произв'!$E$8*'Бюджет производства'!M$6+'Бюджет производства'!M$7*'Исх.данные-произв'!$F22+'Исх.данные-произв'!$G22*'Бюджет производства'!M$8+'Бюджет производства'!M$9*'Исх.данные-произв'!$H22</f>
        <v>0</v>
      </c>
      <c r="P21" s="10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 outlineLevel="1">
      <c r="A22" s="11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0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 outlineLevel="1">
      <c r="A23" s="109" t="s">
        <v>256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77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 outlineLevel="1">
      <c r="A24" s="73" t="s">
        <v>257</v>
      </c>
      <c r="B24" s="110"/>
      <c r="C24" s="110"/>
      <c r="D24" s="110">
        <f>'Исх.данные-произв'!$C25*'Бюджет производства'!B$4+'Бюджет производства'!B$5*'Исх.данные-произв'!$D25+'Исх.данные-произв'!$E$8*'Бюджет производства'!B$6+'Бюджет производства'!B$7*'Исх.данные-произв'!$F25+'Исх.данные-произв'!$G25*'Бюджет производства'!B$8+'Бюджет производства'!B$9*'Исх.данные-произв'!$H25</f>
        <v>0</v>
      </c>
      <c r="E24" s="110">
        <f>'Исх.данные-произв'!$C25*'Бюджет производства'!C$4+'Бюджет производства'!C$5*'Исх.данные-произв'!$D25+'Исх.данные-произв'!$E$8*'Бюджет производства'!C$6+'Бюджет производства'!C$7*'Исх.данные-произв'!$F25+'Исх.данные-произв'!$G25*'Бюджет производства'!C$8+'Бюджет производства'!C$9*'Исх.данные-произв'!$H25</f>
        <v>0</v>
      </c>
      <c r="F24" s="110">
        <f>'Исх.данные-произв'!$C25*'Бюджет производства'!D$4+'Бюджет производства'!D$5*'Исх.данные-произв'!$D25+'Исх.данные-произв'!$E$8*'Бюджет производства'!D$6+'Бюджет производства'!D$7*'Исх.данные-произв'!$F25+'Исх.данные-произв'!$G25*'Бюджет производства'!D$8+'Бюджет производства'!D$9*'Исх.данные-произв'!$H25</f>
        <v>0</v>
      </c>
      <c r="G24" s="110">
        <f>'Исх.данные-произв'!$C25*'Бюджет производства'!E$4+'Бюджет производства'!E$5*'Исх.данные-произв'!$D25+'Исх.данные-произв'!$E$8*'Бюджет производства'!E$6+'Бюджет производства'!E$7*'Исх.данные-произв'!$F25+'Исх.данные-произв'!$G25*'Бюджет производства'!E$8+'Бюджет производства'!E$9*'Исх.данные-произв'!$H25</f>
        <v>0</v>
      </c>
      <c r="H24" s="110">
        <f>'Исх.данные-произв'!$C25*'Бюджет производства'!F$4+'Бюджет производства'!F$5*'Исх.данные-произв'!$D25+'Исх.данные-произв'!$E$8*'Бюджет производства'!F$6+'Бюджет производства'!F$7*'Исх.данные-произв'!$F25+'Исх.данные-произв'!$G25*'Бюджет производства'!F$8+'Бюджет производства'!F$9*'Исх.данные-произв'!$H25</f>
        <v>0</v>
      </c>
      <c r="I24" s="110">
        <f>'Исх.данные-произв'!$C25*'Бюджет производства'!G$4+'Бюджет производства'!G$5*'Исх.данные-произв'!$D25+'Исх.данные-произв'!$E$8*'Бюджет производства'!G$6+'Бюджет производства'!G$7*'Исх.данные-произв'!$F25+'Исх.данные-произв'!$G25*'Бюджет производства'!G$8+'Бюджет производства'!G$9*'Исх.данные-произв'!$H25</f>
        <v>0</v>
      </c>
      <c r="J24" s="110">
        <f>'Исх.данные-произв'!$C25*'Бюджет производства'!H$4+'Бюджет производства'!H$5*'Исх.данные-произв'!$D25+'Исх.данные-произв'!$E$8*'Бюджет производства'!H$6+'Бюджет производства'!H$7*'Исх.данные-произв'!$F25+'Исх.данные-произв'!$G25*'Бюджет производства'!H$8+'Бюджет производства'!H$9*'Исх.данные-произв'!$H25</f>
        <v>0</v>
      </c>
      <c r="K24" s="110">
        <f>'Исх.данные-произв'!$C25*'Бюджет производства'!I$4+'Бюджет производства'!I$5*'Исх.данные-произв'!$D25+'Исх.данные-произв'!$E$8*'Бюджет производства'!I$6+'Бюджет производства'!I$7*'Исх.данные-произв'!$F25+'Исх.данные-произв'!$G25*'Бюджет производства'!I$8+'Бюджет производства'!I$9*'Исх.данные-произв'!$H25</f>
        <v>0</v>
      </c>
      <c r="L24" s="110">
        <f>'Исх.данные-произв'!$C25*'Бюджет производства'!J$4+'Бюджет производства'!J$5*'Исх.данные-произв'!$D25+'Исх.данные-произв'!$E$8*'Бюджет производства'!J$6+'Бюджет производства'!J$7*'Исх.данные-произв'!$F25+'Исх.данные-произв'!$G25*'Бюджет производства'!J$8+'Бюджет производства'!J$9*'Исх.данные-произв'!$H25</f>
        <v>0</v>
      </c>
      <c r="M24" s="110">
        <f>'Исх.данные-произв'!$C25*'Бюджет производства'!K$4+'Бюджет производства'!K$5*'Исх.данные-произв'!$D25+'Исх.данные-произв'!$E$8*'Бюджет производства'!K$6+'Бюджет производства'!K$7*'Исх.данные-произв'!$F25+'Исх.данные-произв'!$G25*'Бюджет производства'!K$8+'Бюджет производства'!K$9*'Исх.данные-произв'!$H25</f>
        <v>0</v>
      </c>
      <c r="N24" s="110">
        <f>'Исх.данные-произв'!$C25*'Бюджет производства'!L$4+'Бюджет производства'!L$5*'Исх.данные-произв'!$D25+'Исх.данные-произв'!$E$8*'Бюджет производства'!L$6+'Бюджет производства'!L$7*'Исх.данные-произв'!$F25+'Исх.данные-произв'!$G25*'Бюджет производства'!L$8+'Бюджет производства'!L$9*'Исх.данные-произв'!$H25</f>
        <v>0</v>
      </c>
      <c r="O24" s="110">
        <f>'Исх.данные-произв'!$C25*'Бюджет производства'!M$4+'Бюджет производства'!M$5*'Исх.данные-произв'!$D25+'Исх.данные-произв'!$E$8*'Бюджет производства'!M$6+'Бюджет производства'!M$7*'Исх.данные-произв'!$F25+'Исх.данные-произв'!$G25*'Бюджет производства'!M$8+'Бюджет производства'!M$9*'Исх.данные-произв'!$H25</f>
        <v>0</v>
      </c>
      <c r="P24" s="103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 outlineLevel="1">
      <c r="A25" s="73" t="s">
        <v>258</v>
      </c>
      <c r="B25" s="111"/>
      <c r="C25" s="110"/>
      <c r="D25" s="110">
        <f>'Исх.данные-произв'!$C26*'Бюджет производства'!B$4+'Бюджет производства'!B$5*'Исх.данные-произв'!$D26+'Исх.данные-произв'!$E$8*'Бюджет производства'!B$6+'Бюджет производства'!B$7*'Исх.данные-произв'!$F26+'Исх.данные-произв'!$G26*'Бюджет производства'!B$8+'Бюджет производства'!B$9*'Исх.данные-произв'!$H26</f>
        <v>0</v>
      </c>
      <c r="E25" s="110">
        <f>'Исх.данные-произв'!$C26*'Бюджет производства'!C$4+'Бюджет производства'!C$5*'Исх.данные-произв'!$D26+'Исх.данные-произв'!$E$8*'Бюджет производства'!C$6+'Бюджет производства'!C$7*'Исх.данные-произв'!$F26+'Исх.данные-произв'!$G26*'Бюджет производства'!C$8+'Бюджет производства'!C$9*'Исх.данные-произв'!$H26</f>
        <v>0</v>
      </c>
      <c r="F25" s="110">
        <f>'Исх.данные-произв'!$C26*'Бюджет производства'!D$4+'Бюджет производства'!D$5*'Исх.данные-произв'!$D26+'Исх.данные-произв'!$E$8*'Бюджет производства'!D$6+'Бюджет производства'!D$7*'Исх.данные-произв'!$F26+'Исх.данные-произв'!$G26*'Бюджет производства'!D$8+'Бюджет производства'!D$9*'Исх.данные-произв'!$H26</f>
        <v>0</v>
      </c>
      <c r="G25" s="110">
        <f>'Исх.данные-произв'!$C26*'Бюджет производства'!E$4+'Бюджет производства'!E$5*'Исх.данные-произв'!$D26+'Исх.данные-произв'!$E$8*'Бюджет производства'!E$6+'Бюджет производства'!E$7*'Исх.данные-произв'!$F26+'Исх.данные-произв'!$G26*'Бюджет производства'!E$8+'Бюджет производства'!E$9*'Исх.данные-произв'!$H26</f>
        <v>0</v>
      </c>
      <c r="H25" s="110">
        <f>'Исх.данные-произв'!$C26*'Бюджет производства'!F$4+'Бюджет производства'!F$5*'Исх.данные-произв'!$D26+'Исх.данные-произв'!$E$8*'Бюджет производства'!F$6+'Бюджет производства'!F$7*'Исх.данные-произв'!$F26+'Исх.данные-произв'!$G26*'Бюджет производства'!F$8+'Бюджет производства'!F$9*'Исх.данные-произв'!$H26</f>
        <v>0</v>
      </c>
      <c r="I25" s="110">
        <f>'Исх.данные-произв'!$C26*'Бюджет производства'!G$4+'Бюджет производства'!G$5*'Исх.данные-произв'!$D26+'Исх.данные-произв'!$E$8*'Бюджет производства'!G$6+'Бюджет производства'!G$7*'Исх.данные-произв'!$F26+'Исх.данные-произв'!$G26*'Бюджет производства'!G$8+'Бюджет производства'!G$9*'Исх.данные-произв'!$H26</f>
        <v>0</v>
      </c>
      <c r="J25" s="110">
        <f>'Исх.данные-произв'!$C26*'Бюджет производства'!H$4+'Бюджет производства'!H$5*'Исх.данные-произв'!$D26+'Исх.данные-произв'!$E$8*'Бюджет производства'!H$6+'Бюджет производства'!H$7*'Исх.данные-произв'!$F26+'Исх.данные-произв'!$G26*'Бюджет производства'!H$8+'Бюджет производства'!H$9*'Исх.данные-произв'!$H26</f>
        <v>0</v>
      </c>
      <c r="K25" s="110">
        <f>'Исх.данные-произв'!$C26*'Бюджет производства'!I$4+'Бюджет производства'!I$5*'Исх.данные-произв'!$D26+'Исх.данные-произв'!$E$8*'Бюджет производства'!I$6+'Бюджет производства'!I$7*'Исх.данные-произв'!$F26+'Исх.данные-произв'!$G26*'Бюджет производства'!I$8+'Бюджет производства'!I$9*'Исх.данные-произв'!$H26</f>
        <v>0</v>
      </c>
      <c r="L25" s="110">
        <f>'Исх.данные-произв'!$C26*'Бюджет производства'!J$4+'Бюджет производства'!J$5*'Исх.данные-произв'!$D26+'Исх.данные-произв'!$E$8*'Бюджет производства'!J$6+'Бюджет производства'!J$7*'Исх.данные-произв'!$F26+'Исх.данные-произв'!$G26*'Бюджет производства'!J$8+'Бюджет производства'!J$9*'Исх.данные-произв'!$H26</f>
        <v>0</v>
      </c>
      <c r="M25" s="110">
        <f>'Исх.данные-произв'!$C26*'Бюджет производства'!K$4+'Бюджет производства'!K$5*'Исх.данные-произв'!$D26+'Исх.данные-произв'!$E$8*'Бюджет производства'!K$6+'Бюджет производства'!K$7*'Исх.данные-произв'!$F26+'Исх.данные-произв'!$G26*'Бюджет производства'!K$8+'Бюджет производства'!K$9*'Исх.данные-произв'!$H26</f>
        <v>0</v>
      </c>
      <c r="N25" s="110">
        <f>'Исх.данные-произв'!$C26*'Бюджет производства'!L$4+'Бюджет производства'!L$5*'Исх.данные-произв'!$D26+'Исх.данные-произв'!$E$8*'Бюджет производства'!L$6+'Бюджет производства'!L$7*'Исх.данные-произв'!$F26+'Исх.данные-произв'!$G26*'Бюджет производства'!L$8+'Бюджет производства'!L$9*'Исх.данные-произв'!$H26</f>
        <v>0</v>
      </c>
      <c r="O25" s="110">
        <f>'Исх.данные-произв'!$C26*'Бюджет производства'!M$4+'Бюджет производства'!M$5*'Исх.данные-произв'!$D26+'Исх.данные-произв'!$E$8*'Бюджет производства'!M$6+'Бюджет производства'!M$7*'Исх.данные-произв'!$F26+'Исх.данные-произв'!$G26*'Бюджет производства'!M$8+'Бюджет производства'!M$9*'Исх.данные-произв'!$H26</f>
        <v>0</v>
      </c>
      <c r="P25" s="103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 outlineLevel="1">
      <c r="A26" s="73" t="s">
        <v>259</v>
      </c>
      <c r="B26" s="111"/>
      <c r="C26" s="110"/>
      <c r="D26" s="110">
        <f>'Исх.данные-произв'!$C27*'Бюджет производства'!B$4+'Бюджет производства'!B$5*'Исх.данные-произв'!$D27+'Исх.данные-произв'!$E$8*'Бюджет производства'!B$6+'Бюджет производства'!B$7*'Исх.данные-произв'!$F27+'Исх.данные-произв'!$G27*'Бюджет производства'!B$8+'Бюджет производства'!B$9*'Исх.данные-произв'!$H27</f>
        <v>0</v>
      </c>
      <c r="E26" s="110">
        <f>'Исх.данные-произв'!$C27*'Бюджет производства'!C$4+'Бюджет производства'!C$5*'Исх.данные-произв'!$D27+'Исх.данные-произв'!$E$8*'Бюджет производства'!C$6+'Бюджет производства'!C$7*'Исх.данные-произв'!$F27+'Исх.данные-произв'!$G27*'Бюджет производства'!C$8+'Бюджет производства'!C$9*'Исх.данные-произв'!$H27</f>
        <v>0</v>
      </c>
      <c r="F26" s="110">
        <f>'Исх.данные-произв'!$C27*'Бюджет производства'!D$4+'Бюджет производства'!D$5*'Исх.данные-произв'!$D27+'Исх.данные-произв'!$E$8*'Бюджет производства'!D$6+'Бюджет производства'!D$7*'Исх.данные-произв'!$F27+'Исх.данные-произв'!$G27*'Бюджет производства'!D$8+'Бюджет производства'!D$9*'Исх.данные-произв'!$H27</f>
        <v>0</v>
      </c>
      <c r="G26" s="110">
        <f>'Исх.данные-произв'!$C27*'Бюджет производства'!E$4+'Бюджет производства'!E$5*'Исх.данные-произв'!$D27+'Исх.данные-произв'!$E$8*'Бюджет производства'!E$6+'Бюджет производства'!E$7*'Исх.данные-произв'!$F27+'Исх.данные-произв'!$G27*'Бюджет производства'!E$8+'Бюджет производства'!E$9*'Исх.данные-произв'!$H27</f>
        <v>0</v>
      </c>
      <c r="H26" s="110">
        <f>'Исх.данные-произв'!$C27*'Бюджет производства'!F$4+'Бюджет производства'!F$5*'Исх.данные-произв'!$D27+'Исх.данные-произв'!$E$8*'Бюджет производства'!F$6+'Бюджет производства'!F$7*'Исх.данные-произв'!$F27+'Исх.данные-произв'!$G27*'Бюджет производства'!F$8+'Бюджет производства'!F$9*'Исх.данные-произв'!$H27</f>
        <v>0</v>
      </c>
      <c r="I26" s="110">
        <f>'Исх.данные-произв'!$C27*'Бюджет производства'!G$4+'Бюджет производства'!G$5*'Исх.данные-произв'!$D27+'Исх.данные-произв'!$E$8*'Бюджет производства'!G$6+'Бюджет производства'!G$7*'Исх.данные-произв'!$F27+'Исх.данные-произв'!$G27*'Бюджет производства'!G$8+'Бюджет производства'!G$9*'Исх.данные-произв'!$H27</f>
        <v>0</v>
      </c>
      <c r="J26" s="110">
        <f>'Исх.данные-произв'!$C27*'Бюджет производства'!H$4+'Бюджет производства'!H$5*'Исх.данные-произв'!$D27+'Исх.данные-произв'!$E$8*'Бюджет производства'!H$6+'Бюджет производства'!H$7*'Исх.данные-произв'!$F27+'Исх.данные-произв'!$G27*'Бюджет производства'!H$8+'Бюджет производства'!H$9*'Исх.данные-произв'!$H27</f>
        <v>0</v>
      </c>
      <c r="K26" s="110">
        <f>'Исх.данные-произв'!$C27*'Бюджет производства'!I$4+'Бюджет производства'!I$5*'Исх.данные-произв'!$D27+'Исх.данные-произв'!$E$8*'Бюджет производства'!I$6+'Бюджет производства'!I$7*'Исх.данные-произв'!$F27+'Исх.данные-произв'!$G27*'Бюджет производства'!I$8+'Бюджет производства'!I$9*'Исх.данные-произв'!$H27</f>
        <v>0</v>
      </c>
      <c r="L26" s="110">
        <f>'Исх.данные-произв'!$C27*'Бюджет производства'!J$4+'Бюджет производства'!J$5*'Исх.данные-произв'!$D27+'Исх.данные-произв'!$E$8*'Бюджет производства'!J$6+'Бюджет производства'!J$7*'Исх.данные-произв'!$F27+'Исх.данные-произв'!$G27*'Бюджет производства'!J$8+'Бюджет производства'!J$9*'Исх.данные-произв'!$H27</f>
        <v>0</v>
      </c>
      <c r="M26" s="110">
        <f>'Исх.данные-произв'!$C27*'Бюджет производства'!K$4+'Бюджет производства'!K$5*'Исх.данные-произв'!$D27+'Исх.данные-произв'!$E$8*'Бюджет производства'!K$6+'Бюджет производства'!K$7*'Исх.данные-произв'!$F27+'Исх.данные-произв'!$G27*'Бюджет производства'!K$8+'Бюджет производства'!K$9*'Исх.данные-произв'!$H27</f>
        <v>0</v>
      </c>
      <c r="N26" s="110">
        <f>'Исх.данные-произв'!$C27*'Бюджет производства'!L$4+'Бюджет производства'!L$5*'Исх.данные-произв'!$D27+'Исх.данные-произв'!$E$8*'Бюджет производства'!L$6+'Бюджет производства'!L$7*'Исх.данные-произв'!$F27+'Исх.данные-произв'!$G27*'Бюджет производства'!L$8+'Бюджет производства'!L$9*'Исх.данные-произв'!$H27</f>
        <v>0</v>
      </c>
      <c r="O26" s="110">
        <f>'Исх.данные-произв'!$C27*'Бюджет производства'!M$4+'Бюджет производства'!M$5*'Исх.данные-произв'!$D27+'Исх.данные-произв'!$E$8*'Бюджет производства'!M$6+'Бюджет производства'!M$7*'Исх.данные-произв'!$F27+'Исх.данные-произв'!$G27*'Бюджет производства'!M$8+'Бюджет производства'!M$9*'Исх.данные-произв'!$H27</f>
        <v>0</v>
      </c>
      <c r="P26" s="103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 outlineLevel="1">
      <c r="A27" s="73" t="s">
        <v>260</v>
      </c>
      <c r="B27" s="111"/>
      <c r="C27" s="110"/>
      <c r="D27" s="110">
        <f>'Исх.данные-произв'!$C28*'Бюджет производства'!B$4+'Бюджет производства'!B$5*'Исх.данные-произв'!$D28+'Исх.данные-произв'!$E$8*'Бюджет производства'!B$6+'Бюджет производства'!B$7*'Исх.данные-произв'!$F28+'Исх.данные-произв'!$G28*'Бюджет производства'!B$8+'Бюджет производства'!B$9*'Исх.данные-произв'!$H28</f>
        <v>0</v>
      </c>
      <c r="E27" s="110">
        <f>'Исх.данные-произв'!$C28*'Бюджет производства'!C$4+'Бюджет производства'!C$5*'Исх.данные-произв'!$D28+'Исх.данные-произв'!$E$8*'Бюджет производства'!C$6+'Бюджет производства'!C$7*'Исх.данные-произв'!$F28+'Исх.данные-произв'!$G28*'Бюджет производства'!C$8+'Бюджет производства'!C$9*'Исх.данные-произв'!$H28</f>
        <v>0</v>
      </c>
      <c r="F27" s="110">
        <f>'Исх.данные-произв'!$C28*'Бюджет производства'!D$4+'Бюджет производства'!D$5*'Исх.данные-произв'!$D28+'Исх.данные-произв'!$E$8*'Бюджет производства'!D$6+'Бюджет производства'!D$7*'Исх.данные-произв'!$F28+'Исх.данные-произв'!$G28*'Бюджет производства'!D$8+'Бюджет производства'!D$9*'Исх.данные-произв'!$H28</f>
        <v>0</v>
      </c>
      <c r="G27" s="110">
        <f>'Исх.данные-произв'!$C28*'Бюджет производства'!E$4+'Бюджет производства'!E$5*'Исх.данные-произв'!$D28+'Исх.данные-произв'!$E$8*'Бюджет производства'!E$6+'Бюджет производства'!E$7*'Исх.данные-произв'!$F28+'Исх.данные-произв'!$G28*'Бюджет производства'!E$8+'Бюджет производства'!E$9*'Исх.данные-произв'!$H28</f>
        <v>0</v>
      </c>
      <c r="H27" s="110">
        <f>'Исх.данные-произв'!$C28*'Бюджет производства'!F$4+'Бюджет производства'!F$5*'Исх.данные-произв'!$D28+'Исх.данные-произв'!$E$8*'Бюджет производства'!F$6+'Бюджет производства'!F$7*'Исх.данные-произв'!$F28+'Исх.данные-произв'!$G28*'Бюджет производства'!F$8+'Бюджет производства'!F$9*'Исх.данные-произв'!$H28</f>
        <v>0</v>
      </c>
      <c r="I27" s="110">
        <f>'Исх.данные-произв'!$C28*'Бюджет производства'!G$4+'Бюджет производства'!G$5*'Исх.данные-произв'!$D28+'Исх.данные-произв'!$E$8*'Бюджет производства'!G$6+'Бюджет производства'!G$7*'Исх.данные-произв'!$F28+'Исх.данные-произв'!$G28*'Бюджет производства'!G$8+'Бюджет производства'!G$9*'Исх.данные-произв'!$H28</f>
        <v>0</v>
      </c>
      <c r="J27" s="110">
        <f>'Исх.данные-произв'!$C28*'Бюджет производства'!H$4+'Бюджет производства'!H$5*'Исх.данные-произв'!$D28+'Исх.данные-произв'!$E$8*'Бюджет производства'!H$6+'Бюджет производства'!H$7*'Исх.данные-произв'!$F28+'Исх.данные-произв'!$G28*'Бюджет производства'!H$8+'Бюджет производства'!H$9*'Исх.данные-произв'!$H28</f>
        <v>0</v>
      </c>
      <c r="K27" s="110">
        <f>'Исх.данные-произв'!$C28*'Бюджет производства'!I$4+'Бюджет производства'!I$5*'Исх.данные-произв'!$D28+'Исх.данные-произв'!$E$8*'Бюджет производства'!I$6+'Бюджет производства'!I$7*'Исх.данные-произв'!$F28+'Исх.данные-произв'!$G28*'Бюджет производства'!I$8+'Бюджет производства'!I$9*'Исх.данные-произв'!$H28</f>
        <v>0</v>
      </c>
      <c r="L27" s="110">
        <f>'Исх.данные-произв'!$C28*'Бюджет производства'!J$4+'Бюджет производства'!J$5*'Исх.данные-произв'!$D28+'Исх.данные-произв'!$E$8*'Бюджет производства'!J$6+'Бюджет производства'!J$7*'Исх.данные-произв'!$F28+'Исх.данные-произв'!$G28*'Бюджет производства'!J$8+'Бюджет производства'!J$9*'Исх.данные-произв'!$H28</f>
        <v>0</v>
      </c>
      <c r="M27" s="110">
        <f>'Исх.данные-произв'!$C28*'Бюджет производства'!K$4+'Бюджет производства'!K$5*'Исх.данные-произв'!$D28+'Исх.данные-произв'!$E$8*'Бюджет производства'!K$6+'Бюджет производства'!K$7*'Исх.данные-произв'!$F28+'Исх.данные-произв'!$G28*'Бюджет производства'!K$8+'Бюджет производства'!K$9*'Исх.данные-произв'!$H28</f>
        <v>0</v>
      </c>
      <c r="N27" s="110">
        <f>'Исх.данные-произв'!$C28*'Бюджет производства'!L$4+'Бюджет производства'!L$5*'Исх.данные-произв'!$D28+'Исх.данные-произв'!$E$8*'Бюджет производства'!L$6+'Бюджет производства'!L$7*'Исх.данные-произв'!$F28+'Исх.данные-произв'!$G28*'Бюджет производства'!L$8+'Бюджет производства'!L$9*'Исх.данные-произв'!$H28</f>
        <v>0</v>
      </c>
      <c r="O27" s="110">
        <f>'Исх.данные-произв'!$C28*'Бюджет производства'!M$4+'Бюджет производства'!M$5*'Исх.данные-произв'!$D28+'Исх.данные-произв'!$E$8*'Бюджет производства'!M$6+'Бюджет производства'!M$7*'Исх.данные-произв'!$F28+'Исх.данные-произв'!$G28*'Бюджет производства'!M$8+'Бюджет производства'!M$9*'Исх.данные-произв'!$H28</f>
        <v>0</v>
      </c>
      <c r="P27" s="103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 outlineLevel="1">
      <c r="A28" s="73" t="s">
        <v>261</v>
      </c>
      <c r="B28" s="111"/>
      <c r="C28" s="110"/>
      <c r="D28" s="110">
        <f>'Исх.данные-произв'!$C29*'Бюджет производства'!B$4+'Бюджет производства'!B$5*'Исх.данные-произв'!$D29+'Исх.данные-произв'!$E$8*'Бюджет производства'!B$6+'Бюджет производства'!B$7*'Исх.данные-произв'!$F29+'Исх.данные-произв'!$G29*'Бюджет производства'!B$8+'Бюджет производства'!B$9*'Исх.данные-произв'!$H29</f>
        <v>0</v>
      </c>
      <c r="E28" s="110">
        <f>'Исх.данные-произв'!$C29*'Бюджет производства'!C$4+'Бюджет производства'!C$5*'Исх.данные-произв'!$D29+'Исх.данные-произв'!$E$8*'Бюджет производства'!C$6+'Бюджет производства'!C$7*'Исх.данные-произв'!$F29+'Исх.данные-произв'!$G29*'Бюджет производства'!C$8+'Бюджет производства'!C$9*'Исх.данные-произв'!$H29</f>
        <v>0</v>
      </c>
      <c r="F28" s="110">
        <f>'Исх.данные-произв'!$C29*'Бюджет производства'!D$4+'Бюджет производства'!D$5*'Исх.данные-произв'!$D29+'Исх.данные-произв'!$E$8*'Бюджет производства'!D$6+'Бюджет производства'!D$7*'Исх.данные-произв'!$F29+'Исх.данные-произв'!$G29*'Бюджет производства'!D$8+'Бюджет производства'!D$9*'Исх.данные-произв'!$H29</f>
        <v>0</v>
      </c>
      <c r="G28" s="110">
        <f>'Исх.данные-произв'!$C29*'Бюджет производства'!E$4+'Бюджет производства'!E$5*'Исх.данные-произв'!$D29+'Исх.данные-произв'!$E$8*'Бюджет производства'!E$6+'Бюджет производства'!E$7*'Исх.данные-произв'!$F29+'Исх.данные-произв'!$G29*'Бюджет производства'!E$8+'Бюджет производства'!E$9*'Исх.данные-произв'!$H29</f>
        <v>0</v>
      </c>
      <c r="H28" s="110">
        <f>'Исх.данные-произв'!$C29*'Бюджет производства'!F$4+'Бюджет производства'!F$5*'Исх.данные-произв'!$D29+'Исх.данные-произв'!$E$8*'Бюджет производства'!F$6+'Бюджет производства'!F$7*'Исх.данные-произв'!$F29+'Исх.данные-произв'!$G29*'Бюджет производства'!F$8+'Бюджет производства'!F$9*'Исх.данные-произв'!$H29</f>
        <v>0</v>
      </c>
      <c r="I28" s="110">
        <f>'Исх.данные-произв'!$C29*'Бюджет производства'!G$4+'Бюджет производства'!G$5*'Исх.данные-произв'!$D29+'Исх.данные-произв'!$E$8*'Бюджет производства'!G$6+'Бюджет производства'!G$7*'Исх.данные-произв'!$F29+'Исх.данные-произв'!$G29*'Бюджет производства'!G$8+'Бюджет производства'!G$9*'Исх.данные-произв'!$H29</f>
        <v>0</v>
      </c>
      <c r="J28" s="110">
        <f>'Исх.данные-произв'!$C29*'Бюджет производства'!H$4+'Бюджет производства'!H$5*'Исх.данные-произв'!$D29+'Исх.данные-произв'!$E$8*'Бюджет производства'!H$6+'Бюджет производства'!H$7*'Исх.данные-произв'!$F29+'Исх.данные-произв'!$G29*'Бюджет производства'!H$8+'Бюджет производства'!H$9*'Исх.данные-произв'!$H29</f>
        <v>0</v>
      </c>
      <c r="K28" s="110">
        <f>'Исх.данные-произв'!$C29*'Бюджет производства'!I$4+'Бюджет производства'!I$5*'Исх.данные-произв'!$D29+'Исх.данные-произв'!$E$8*'Бюджет производства'!I$6+'Бюджет производства'!I$7*'Исх.данные-произв'!$F29+'Исх.данные-произв'!$G29*'Бюджет производства'!I$8+'Бюджет производства'!I$9*'Исх.данные-произв'!$H29</f>
        <v>0</v>
      </c>
      <c r="L28" s="110">
        <f>'Исх.данные-произв'!$C29*'Бюджет производства'!J$4+'Бюджет производства'!J$5*'Исх.данные-произв'!$D29+'Исх.данные-произв'!$E$8*'Бюджет производства'!J$6+'Бюджет производства'!J$7*'Исх.данные-произв'!$F29+'Исх.данные-произв'!$G29*'Бюджет производства'!J$8+'Бюджет производства'!J$9*'Исх.данные-произв'!$H29</f>
        <v>0</v>
      </c>
      <c r="M28" s="110">
        <f>'Исх.данные-произв'!$C29*'Бюджет производства'!K$4+'Бюджет производства'!K$5*'Исх.данные-произв'!$D29+'Исх.данные-произв'!$E$8*'Бюджет производства'!K$6+'Бюджет производства'!K$7*'Исх.данные-произв'!$F29+'Исх.данные-произв'!$G29*'Бюджет производства'!K$8+'Бюджет производства'!K$9*'Исх.данные-произв'!$H29</f>
        <v>0</v>
      </c>
      <c r="N28" s="110">
        <f>'Исх.данные-произв'!$C29*'Бюджет производства'!L$4+'Бюджет производства'!L$5*'Исх.данные-произв'!$D29+'Исх.данные-произв'!$E$8*'Бюджет производства'!L$6+'Бюджет производства'!L$7*'Исх.данные-произв'!$F29+'Исх.данные-произв'!$G29*'Бюджет производства'!L$8+'Бюджет производства'!L$9*'Исх.данные-произв'!$H29</f>
        <v>0</v>
      </c>
      <c r="O28" s="110">
        <f>'Исх.данные-произв'!$C29*'Бюджет производства'!M$4+'Бюджет производства'!M$5*'Исх.данные-произв'!$D29+'Исх.данные-произв'!$E$8*'Бюджет производства'!M$6+'Бюджет производства'!M$7*'Исх.данные-произв'!$F29+'Исх.данные-произв'!$G29*'Бюджет производства'!M$8+'Бюджет производства'!M$9*'Исх.данные-произв'!$H29</f>
        <v>0</v>
      </c>
      <c r="P28" s="103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 outlineLevel="1">
      <c r="A29" s="73" t="s">
        <v>262</v>
      </c>
      <c r="B29" s="111"/>
      <c r="C29" s="110"/>
      <c r="D29" s="110">
        <f>'Исх.данные-произв'!$C30*'Бюджет производства'!B$4+'Бюджет производства'!B$5*'Исх.данные-произв'!$D30+'Исх.данные-произв'!$E$8*'Бюджет производства'!B$6+'Бюджет производства'!B$7*'Исх.данные-произв'!$F30+'Исх.данные-произв'!$G30*'Бюджет производства'!B$8+'Бюджет производства'!B$9*'Исх.данные-произв'!$H30</f>
        <v>0</v>
      </c>
      <c r="E29" s="110">
        <f>'Исх.данные-произв'!$C30*'Бюджет производства'!C$4+'Бюджет производства'!C$5*'Исх.данные-произв'!$D30+'Исх.данные-произв'!$E$8*'Бюджет производства'!C$6+'Бюджет производства'!C$7*'Исх.данные-произв'!$F30+'Исх.данные-произв'!$G30*'Бюджет производства'!C$8+'Бюджет производства'!C$9*'Исх.данные-произв'!$H30</f>
        <v>0</v>
      </c>
      <c r="F29" s="110">
        <f>'Исх.данные-произв'!$C30*'Бюджет производства'!D$4+'Бюджет производства'!D$5*'Исх.данные-произв'!$D30+'Исх.данные-произв'!$E$8*'Бюджет производства'!D$6+'Бюджет производства'!D$7*'Исх.данные-произв'!$F30+'Исх.данные-произв'!$G30*'Бюджет производства'!D$8+'Бюджет производства'!D$9*'Исх.данные-произв'!$H30</f>
        <v>0</v>
      </c>
      <c r="G29" s="110">
        <f>'Исх.данные-произв'!$C30*'Бюджет производства'!E$4+'Бюджет производства'!E$5*'Исх.данные-произв'!$D30+'Исх.данные-произв'!$E$8*'Бюджет производства'!E$6+'Бюджет производства'!E$7*'Исх.данные-произв'!$F30+'Исх.данные-произв'!$G30*'Бюджет производства'!E$8+'Бюджет производства'!E$9*'Исх.данные-произв'!$H30</f>
        <v>0</v>
      </c>
      <c r="H29" s="110">
        <f>'Исх.данные-произв'!$C30*'Бюджет производства'!F$4+'Бюджет производства'!F$5*'Исх.данные-произв'!$D30+'Исх.данные-произв'!$E$8*'Бюджет производства'!F$6+'Бюджет производства'!F$7*'Исх.данные-произв'!$F30+'Исх.данные-произв'!$G30*'Бюджет производства'!F$8+'Бюджет производства'!F$9*'Исх.данные-произв'!$H30</f>
        <v>0</v>
      </c>
      <c r="I29" s="110">
        <f>'Исх.данные-произв'!$C30*'Бюджет производства'!G$4+'Бюджет производства'!G$5*'Исх.данные-произв'!$D30+'Исх.данные-произв'!$E$8*'Бюджет производства'!G$6+'Бюджет производства'!G$7*'Исх.данные-произв'!$F30+'Исх.данные-произв'!$G30*'Бюджет производства'!G$8+'Бюджет производства'!G$9*'Исх.данные-произв'!$H30</f>
        <v>0</v>
      </c>
      <c r="J29" s="110">
        <f>'Исх.данные-произв'!$C30*'Бюджет производства'!H$4+'Бюджет производства'!H$5*'Исх.данные-произв'!$D30+'Исх.данные-произв'!$E$8*'Бюджет производства'!H$6+'Бюджет производства'!H$7*'Исх.данные-произв'!$F30+'Исх.данные-произв'!$G30*'Бюджет производства'!H$8+'Бюджет производства'!H$9*'Исх.данные-произв'!$H30</f>
        <v>0</v>
      </c>
      <c r="K29" s="110">
        <f>'Исх.данные-произв'!$C30*'Бюджет производства'!I$4+'Бюджет производства'!I$5*'Исх.данные-произв'!$D30+'Исх.данные-произв'!$E$8*'Бюджет производства'!I$6+'Бюджет производства'!I$7*'Исх.данные-произв'!$F30+'Исх.данные-произв'!$G30*'Бюджет производства'!I$8+'Бюджет производства'!I$9*'Исх.данные-произв'!$H30</f>
        <v>0</v>
      </c>
      <c r="L29" s="110">
        <f>'Исх.данные-произв'!$C30*'Бюджет производства'!J$4+'Бюджет производства'!J$5*'Исх.данные-произв'!$D30+'Исх.данные-произв'!$E$8*'Бюджет производства'!J$6+'Бюджет производства'!J$7*'Исх.данные-произв'!$F30+'Исх.данные-произв'!$G30*'Бюджет производства'!J$8+'Бюджет производства'!J$9*'Исх.данные-произв'!$H30</f>
        <v>0</v>
      </c>
      <c r="M29" s="110">
        <f>'Исх.данные-произв'!$C30*'Бюджет производства'!K$4+'Бюджет производства'!K$5*'Исх.данные-произв'!$D30+'Исх.данные-произв'!$E$8*'Бюджет производства'!K$6+'Бюджет производства'!K$7*'Исх.данные-произв'!$F30+'Исх.данные-произв'!$G30*'Бюджет производства'!K$8+'Бюджет производства'!K$9*'Исх.данные-произв'!$H30</f>
        <v>0</v>
      </c>
      <c r="N29" s="110">
        <f>'Исх.данные-произв'!$C30*'Бюджет производства'!L$4+'Бюджет производства'!L$5*'Исх.данные-произв'!$D30+'Исх.данные-произв'!$E$8*'Бюджет производства'!L$6+'Бюджет производства'!L$7*'Исх.данные-произв'!$F30+'Исх.данные-произв'!$G30*'Бюджет производства'!L$8+'Бюджет производства'!L$9*'Исх.данные-произв'!$H30</f>
        <v>0</v>
      </c>
      <c r="O29" s="110">
        <f>'Исх.данные-произв'!$C30*'Бюджет производства'!M$4+'Бюджет производства'!M$5*'Исх.данные-произв'!$D30+'Исх.данные-произв'!$E$8*'Бюджет производства'!M$6+'Бюджет производства'!M$7*'Исх.данные-произв'!$F30+'Исх.данные-произв'!$G30*'Бюджет производства'!M$8+'Бюджет производства'!M$9*'Исх.данные-произв'!$H30</f>
        <v>0</v>
      </c>
      <c r="P29" s="103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 outlineLevel="1">
      <c r="A30" s="73" t="s">
        <v>263</v>
      </c>
      <c r="B30" s="111"/>
      <c r="C30" s="110"/>
      <c r="D30" s="110">
        <f>'Исх.данные-произв'!$C31*'Бюджет производства'!B$4+'Бюджет производства'!B$5*'Исх.данные-произв'!$D31+'Исх.данные-произв'!$E$8*'Бюджет производства'!B$6+'Бюджет производства'!B$7*'Исх.данные-произв'!$F31+'Исх.данные-произв'!$G31*'Бюджет производства'!B$8+'Бюджет производства'!B$9*'Исх.данные-произв'!$H31</f>
        <v>0</v>
      </c>
      <c r="E30" s="110">
        <f>'Исх.данные-произв'!$C31*'Бюджет производства'!C$4+'Бюджет производства'!C$5*'Исх.данные-произв'!$D31+'Исх.данные-произв'!$E$8*'Бюджет производства'!C$6+'Бюджет производства'!C$7*'Исх.данные-произв'!$F31+'Исх.данные-произв'!$G31*'Бюджет производства'!C$8+'Бюджет производства'!C$9*'Исх.данные-произв'!$H31</f>
        <v>0</v>
      </c>
      <c r="F30" s="110">
        <f>'Исх.данные-произв'!$C31*'Бюджет производства'!D$4+'Бюджет производства'!D$5*'Исх.данные-произв'!$D31+'Исх.данные-произв'!$E$8*'Бюджет производства'!D$6+'Бюджет производства'!D$7*'Исх.данные-произв'!$F31+'Исх.данные-произв'!$G31*'Бюджет производства'!D$8+'Бюджет производства'!D$9*'Исх.данные-произв'!$H31</f>
        <v>0</v>
      </c>
      <c r="G30" s="110">
        <f>'Исх.данные-произв'!$C31*'Бюджет производства'!E$4+'Бюджет производства'!E$5*'Исх.данные-произв'!$D31+'Исх.данные-произв'!$E$8*'Бюджет производства'!E$6+'Бюджет производства'!E$7*'Исх.данные-произв'!$F31+'Исх.данные-произв'!$G31*'Бюджет производства'!E$8+'Бюджет производства'!E$9*'Исх.данные-произв'!$H31</f>
        <v>0</v>
      </c>
      <c r="H30" s="110">
        <f>'Исх.данные-произв'!$C31*'Бюджет производства'!F$4+'Бюджет производства'!F$5*'Исх.данные-произв'!$D31+'Исх.данные-произв'!$E$8*'Бюджет производства'!F$6+'Бюджет производства'!F$7*'Исх.данные-произв'!$F31+'Исх.данные-произв'!$G31*'Бюджет производства'!F$8+'Бюджет производства'!F$9*'Исх.данные-произв'!$H31</f>
        <v>0</v>
      </c>
      <c r="I30" s="110">
        <f>'Исх.данные-произв'!$C31*'Бюджет производства'!G$4+'Бюджет производства'!G$5*'Исх.данные-произв'!$D31+'Исх.данные-произв'!$E$8*'Бюджет производства'!G$6+'Бюджет производства'!G$7*'Исх.данные-произв'!$F31+'Исх.данные-произв'!$G31*'Бюджет производства'!G$8+'Бюджет производства'!G$9*'Исх.данные-произв'!$H31</f>
        <v>0</v>
      </c>
      <c r="J30" s="110">
        <f>'Исх.данные-произв'!$C31*'Бюджет производства'!H$4+'Бюджет производства'!H$5*'Исх.данные-произв'!$D31+'Исх.данные-произв'!$E$8*'Бюджет производства'!H$6+'Бюджет производства'!H$7*'Исх.данные-произв'!$F31+'Исх.данные-произв'!$G31*'Бюджет производства'!H$8+'Бюджет производства'!H$9*'Исх.данные-произв'!$H31</f>
        <v>0</v>
      </c>
      <c r="K30" s="110">
        <f>'Исх.данные-произв'!$C31*'Бюджет производства'!I$4+'Бюджет производства'!I$5*'Исх.данные-произв'!$D31+'Исх.данные-произв'!$E$8*'Бюджет производства'!I$6+'Бюджет производства'!I$7*'Исх.данные-произв'!$F31+'Исх.данные-произв'!$G31*'Бюджет производства'!I$8+'Бюджет производства'!I$9*'Исх.данные-произв'!$H31</f>
        <v>0</v>
      </c>
      <c r="L30" s="110">
        <f>'Исх.данные-произв'!$C31*'Бюджет производства'!J$4+'Бюджет производства'!J$5*'Исх.данные-произв'!$D31+'Исх.данные-произв'!$E$8*'Бюджет производства'!J$6+'Бюджет производства'!J$7*'Исх.данные-произв'!$F31+'Исх.данные-произв'!$G31*'Бюджет производства'!J$8+'Бюджет производства'!J$9*'Исх.данные-произв'!$H31</f>
        <v>0</v>
      </c>
      <c r="M30" s="110">
        <f>'Исх.данные-произв'!$C31*'Бюджет производства'!K$4+'Бюджет производства'!K$5*'Исх.данные-произв'!$D31+'Исх.данные-произв'!$E$8*'Бюджет производства'!K$6+'Бюджет производства'!K$7*'Исх.данные-произв'!$F31+'Исх.данные-произв'!$G31*'Бюджет производства'!K$8+'Бюджет производства'!K$9*'Исх.данные-произв'!$H31</f>
        <v>0</v>
      </c>
      <c r="N30" s="110">
        <f>'Исх.данные-произв'!$C31*'Бюджет производства'!L$4+'Бюджет производства'!L$5*'Исх.данные-произв'!$D31+'Исх.данные-произв'!$E$8*'Бюджет производства'!L$6+'Бюджет производства'!L$7*'Исх.данные-произв'!$F31+'Исх.данные-произв'!$G31*'Бюджет производства'!L$8+'Бюджет производства'!L$9*'Исх.данные-произв'!$H31</f>
        <v>0</v>
      </c>
      <c r="O30" s="110">
        <f>'Исх.данные-произв'!$C31*'Бюджет производства'!M$4+'Бюджет производства'!M$5*'Исх.данные-произв'!$D31+'Исх.данные-произв'!$E$8*'Бюджет производства'!M$6+'Бюджет производства'!M$7*'Исх.данные-произв'!$F31+'Исх.данные-произв'!$G31*'Бюджет производства'!M$8+'Бюджет производства'!M$9*'Исх.данные-произв'!$H31</f>
        <v>0</v>
      </c>
      <c r="P30" s="103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 outlineLevel="1">
      <c r="A31" s="73" t="s">
        <v>264</v>
      </c>
      <c r="B31" s="111"/>
      <c r="C31" s="110"/>
      <c r="D31" s="110">
        <f>'Исх.данные-произв'!$C32*'Бюджет производства'!B$4+'Бюджет производства'!B$5*'Исх.данные-произв'!$D32+'Исх.данные-произв'!$E$8*'Бюджет производства'!B$6+'Бюджет производства'!B$7*'Исх.данные-произв'!$F32+'Исх.данные-произв'!$G32*'Бюджет производства'!B$8+'Бюджет производства'!B$9*'Исх.данные-произв'!$H32</f>
        <v>0</v>
      </c>
      <c r="E31" s="110">
        <f>'Исх.данные-произв'!$C32*'Бюджет производства'!C$4+'Бюджет производства'!C$5*'Исх.данные-произв'!$D32+'Исх.данные-произв'!$E$8*'Бюджет производства'!C$6+'Бюджет производства'!C$7*'Исх.данные-произв'!$F32+'Исх.данные-произв'!$G32*'Бюджет производства'!C$8+'Бюджет производства'!C$9*'Исх.данные-произв'!$H32</f>
        <v>0</v>
      </c>
      <c r="F31" s="110">
        <f>'Исх.данные-произв'!$C32*'Бюджет производства'!D$4+'Бюджет производства'!D$5*'Исх.данные-произв'!$D32+'Исх.данные-произв'!$E$8*'Бюджет производства'!D$6+'Бюджет производства'!D$7*'Исх.данные-произв'!$F32+'Исх.данные-произв'!$G32*'Бюджет производства'!D$8+'Бюджет производства'!D$9*'Исх.данные-произв'!$H32</f>
        <v>0</v>
      </c>
      <c r="G31" s="110">
        <f>'Исх.данные-произв'!$C32*'Бюджет производства'!E$4+'Бюджет производства'!E$5*'Исх.данные-произв'!$D32+'Исх.данные-произв'!$E$8*'Бюджет производства'!E$6+'Бюджет производства'!E$7*'Исх.данные-произв'!$F32+'Исх.данные-произв'!$G32*'Бюджет производства'!E$8+'Бюджет производства'!E$9*'Исх.данные-произв'!$H32</f>
        <v>0</v>
      </c>
      <c r="H31" s="110">
        <f>'Исх.данные-произв'!$C32*'Бюджет производства'!F$4+'Бюджет производства'!F$5*'Исх.данные-произв'!$D32+'Исх.данные-произв'!$E$8*'Бюджет производства'!F$6+'Бюджет производства'!F$7*'Исх.данные-произв'!$F32+'Исх.данные-произв'!$G32*'Бюджет производства'!F$8+'Бюджет производства'!F$9*'Исх.данные-произв'!$H32</f>
        <v>0</v>
      </c>
      <c r="I31" s="110">
        <f>'Исх.данные-произв'!$C32*'Бюджет производства'!G$4+'Бюджет производства'!G$5*'Исх.данные-произв'!$D32+'Исх.данные-произв'!$E$8*'Бюджет производства'!G$6+'Бюджет производства'!G$7*'Исх.данные-произв'!$F32+'Исх.данные-произв'!$G32*'Бюджет производства'!G$8+'Бюджет производства'!G$9*'Исх.данные-произв'!$H32</f>
        <v>0</v>
      </c>
      <c r="J31" s="110">
        <f>'Исх.данные-произв'!$C32*'Бюджет производства'!H$4+'Бюджет производства'!H$5*'Исх.данные-произв'!$D32+'Исх.данные-произв'!$E$8*'Бюджет производства'!H$6+'Бюджет производства'!H$7*'Исх.данные-произв'!$F32+'Исх.данные-произв'!$G32*'Бюджет производства'!H$8+'Бюджет производства'!H$9*'Исх.данные-произв'!$H32</f>
        <v>0</v>
      </c>
      <c r="K31" s="110">
        <f>'Исх.данные-произв'!$C32*'Бюджет производства'!I$4+'Бюджет производства'!I$5*'Исх.данные-произв'!$D32+'Исх.данные-произв'!$E$8*'Бюджет производства'!I$6+'Бюджет производства'!I$7*'Исх.данные-произв'!$F32+'Исх.данные-произв'!$G32*'Бюджет производства'!I$8+'Бюджет производства'!I$9*'Исх.данные-произв'!$H32</f>
        <v>0</v>
      </c>
      <c r="L31" s="110">
        <f>'Исх.данные-произв'!$C32*'Бюджет производства'!J$4+'Бюджет производства'!J$5*'Исх.данные-произв'!$D32+'Исх.данные-произв'!$E$8*'Бюджет производства'!J$6+'Бюджет производства'!J$7*'Исх.данные-произв'!$F32+'Исх.данные-произв'!$G32*'Бюджет производства'!J$8+'Бюджет производства'!J$9*'Исх.данные-произв'!$H32</f>
        <v>0</v>
      </c>
      <c r="M31" s="110">
        <f>'Исх.данные-произв'!$C32*'Бюджет производства'!K$4+'Бюджет производства'!K$5*'Исх.данные-произв'!$D32+'Исх.данные-произв'!$E$8*'Бюджет производства'!K$6+'Бюджет производства'!K$7*'Исх.данные-произв'!$F32+'Исх.данные-произв'!$G32*'Бюджет производства'!K$8+'Бюджет производства'!K$9*'Исх.данные-произв'!$H32</f>
        <v>0</v>
      </c>
      <c r="N31" s="110">
        <f>'Исх.данные-произв'!$C32*'Бюджет производства'!L$4+'Бюджет производства'!L$5*'Исх.данные-произв'!$D32+'Исх.данные-произв'!$E$8*'Бюджет производства'!L$6+'Бюджет производства'!L$7*'Исх.данные-произв'!$F32+'Исх.данные-произв'!$G32*'Бюджет производства'!L$8+'Бюджет производства'!L$9*'Исх.данные-произв'!$H32</f>
        <v>0</v>
      </c>
      <c r="O31" s="110">
        <f>'Исх.данные-произв'!$C32*'Бюджет производства'!M$4+'Бюджет производства'!M$5*'Исх.данные-произв'!$D32+'Исх.данные-произв'!$E$8*'Бюджет производства'!M$6+'Бюджет производства'!M$7*'Исх.данные-произв'!$F32+'Исх.данные-произв'!$G32*'Бюджет производства'!M$8+'Бюджет производства'!M$9*'Исх.данные-произв'!$H32</f>
        <v>0</v>
      </c>
      <c r="P31" s="103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 outlineLevel="1">
      <c r="A32" s="73" t="s">
        <v>265</v>
      </c>
      <c r="B32" s="111"/>
      <c r="C32" s="110"/>
      <c r="D32" s="110">
        <f>'Исх.данные-произв'!$C33*'Бюджет производства'!B$4+'Бюджет производства'!B$5*'Исх.данные-произв'!$D33+'Исх.данные-произв'!$E$8*'Бюджет производства'!B$6+'Бюджет производства'!B$7*'Исх.данные-произв'!$F33+'Исх.данные-произв'!$G33*'Бюджет производства'!B$8+'Бюджет производства'!B$9*'Исх.данные-произв'!$H33</f>
        <v>0</v>
      </c>
      <c r="E32" s="110">
        <f>'Исх.данные-произв'!$C33*'Бюджет производства'!C$4+'Бюджет производства'!C$5*'Исх.данные-произв'!$D33+'Исх.данные-произв'!$E$8*'Бюджет производства'!C$6+'Бюджет производства'!C$7*'Исх.данные-произв'!$F33+'Исх.данные-произв'!$G33*'Бюджет производства'!C$8+'Бюджет производства'!C$9*'Исх.данные-произв'!$H33</f>
        <v>0</v>
      </c>
      <c r="F32" s="110">
        <f>'Исх.данные-произв'!$C33*'Бюджет производства'!D$4+'Бюджет производства'!D$5*'Исх.данные-произв'!$D33+'Исх.данные-произв'!$E$8*'Бюджет производства'!D$6+'Бюджет производства'!D$7*'Исх.данные-произв'!$F33+'Исх.данные-произв'!$G33*'Бюджет производства'!D$8+'Бюджет производства'!D$9*'Исх.данные-произв'!$H33</f>
        <v>0</v>
      </c>
      <c r="G32" s="110">
        <f>'Исх.данные-произв'!$C33*'Бюджет производства'!E$4+'Бюджет производства'!E$5*'Исх.данные-произв'!$D33+'Исх.данные-произв'!$E$8*'Бюджет производства'!E$6+'Бюджет производства'!E$7*'Исх.данные-произв'!$F33+'Исх.данные-произв'!$G33*'Бюджет производства'!E$8+'Бюджет производства'!E$9*'Исх.данные-произв'!$H33</f>
        <v>0</v>
      </c>
      <c r="H32" s="110">
        <f>'Исх.данные-произв'!$C33*'Бюджет производства'!F$4+'Бюджет производства'!F$5*'Исх.данные-произв'!$D33+'Исх.данные-произв'!$E$8*'Бюджет производства'!F$6+'Бюджет производства'!F$7*'Исх.данные-произв'!$F33+'Исх.данные-произв'!$G33*'Бюджет производства'!F$8+'Бюджет производства'!F$9*'Исх.данные-произв'!$H33</f>
        <v>0</v>
      </c>
      <c r="I32" s="110">
        <f>'Исх.данные-произв'!$C33*'Бюджет производства'!G$4+'Бюджет производства'!G$5*'Исх.данные-произв'!$D33+'Исх.данные-произв'!$E$8*'Бюджет производства'!G$6+'Бюджет производства'!G$7*'Исх.данные-произв'!$F33+'Исх.данные-произв'!$G33*'Бюджет производства'!G$8+'Бюджет производства'!G$9*'Исх.данные-произв'!$H33</f>
        <v>0</v>
      </c>
      <c r="J32" s="110">
        <f>'Исх.данные-произв'!$C33*'Бюджет производства'!H$4+'Бюджет производства'!H$5*'Исх.данные-произв'!$D33+'Исх.данные-произв'!$E$8*'Бюджет производства'!H$6+'Бюджет производства'!H$7*'Исх.данные-произв'!$F33+'Исх.данные-произв'!$G33*'Бюджет производства'!H$8+'Бюджет производства'!H$9*'Исх.данные-произв'!$H33</f>
        <v>0</v>
      </c>
      <c r="K32" s="110">
        <f>'Исх.данные-произв'!$C33*'Бюджет производства'!I$4+'Бюджет производства'!I$5*'Исх.данные-произв'!$D33+'Исх.данные-произв'!$E$8*'Бюджет производства'!I$6+'Бюджет производства'!I$7*'Исх.данные-произв'!$F33+'Исх.данные-произв'!$G33*'Бюджет производства'!I$8+'Бюджет производства'!I$9*'Исх.данные-произв'!$H33</f>
        <v>0</v>
      </c>
      <c r="L32" s="110">
        <f>'Исх.данные-произв'!$C33*'Бюджет производства'!J$4+'Бюджет производства'!J$5*'Исх.данные-произв'!$D33+'Исх.данные-произв'!$E$8*'Бюджет производства'!J$6+'Бюджет производства'!J$7*'Исх.данные-произв'!$F33+'Исх.данные-произв'!$G33*'Бюджет производства'!J$8+'Бюджет производства'!J$9*'Исх.данные-произв'!$H33</f>
        <v>0</v>
      </c>
      <c r="M32" s="110">
        <f>'Исх.данные-произв'!$C33*'Бюджет производства'!K$4+'Бюджет производства'!K$5*'Исх.данные-произв'!$D33+'Исх.данные-произв'!$E$8*'Бюджет производства'!K$6+'Бюджет производства'!K$7*'Исх.данные-произв'!$F33+'Исх.данные-произв'!$G33*'Бюджет производства'!K$8+'Бюджет производства'!K$9*'Исх.данные-произв'!$H33</f>
        <v>0</v>
      </c>
      <c r="N32" s="110">
        <f>'Исх.данные-произв'!$C33*'Бюджет производства'!L$4+'Бюджет производства'!L$5*'Исх.данные-произв'!$D33+'Исх.данные-произв'!$E$8*'Бюджет производства'!L$6+'Бюджет производства'!L$7*'Исх.данные-произв'!$F33+'Исх.данные-произв'!$G33*'Бюджет производства'!L$8+'Бюджет производства'!L$9*'Исх.данные-произв'!$H33</f>
        <v>0</v>
      </c>
      <c r="O32" s="110">
        <f>'Исх.данные-произв'!$C33*'Бюджет производства'!M$4+'Бюджет производства'!M$5*'Исх.данные-произв'!$D33+'Исх.данные-произв'!$E$8*'Бюджет производства'!M$6+'Бюджет производства'!M$7*'Исх.данные-произв'!$F33+'Исх.данные-произв'!$G33*'Бюджет производства'!M$8+'Бюджет производства'!M$9*'Исх.данные-произв'!$H33</f>
        <v>0</v>
      </c>
      <c r="P32" s="103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 outlineLevel="1">
      <c r="A33" s="73" t="s">
        <v>266</v>
      </c>
      <c r="B33" s="111"/>
      <c r="C33" s="110"/>
      <c r="D33" s="110">
        <f>'Исх.данные-произв'!$C34*'Бюджет производства'!B$4+'Бюджет производства'!B$5*'Исх.данные-произв'!$D34+'Исх.данные-произв'!$E$8*'Бюджет производства'!B$6+'Бюджет производства'!B$7*'Исх.данные-произв'!$F34+'Исх.данные-произв'!$G34*'Бюджет производства'!B$8+'Бюджет производства'!B$9*'Исх.данные-произв'!$H34</f>
        <v>0</v>
      </c>
      <c r="E33" s="110">
        <f>'Исх.данные-произв'!$C34*'Бюджет производства'!C$4+'Бюджет производства'!C$5*'Исх.данные-произв'!$D34+'Исх.данные-произв'!$E$8*'Бюджет производства'!C$6+'Бюджет производства'!C$7*'Исх.данные-произв'!$F34+'Исх.данные-произв'!$G34*'Бюджет производства'!C$8+'Бюджет производства'!C$9*'Исх.данные-произв'!$H34</f>
        <v>0</v>
      </c>
      <c r="F33" s="110">
        <f>'Исх.данные-произв'!$C34*'Бюджет производства'!D$4+'Бюджет производства'!D$5*'Исх.данные-произв'!$D34+'Исх.данные-произв'!$E$8*'Бюджет производства'!D$6+'Бюджет производства'!D$7*'Исх.данные-произв'!$F34+'Исх.данные-произв'!$G34*'Бюджет производства'!D$8+'Бюджет производства'!D$9*'Исх.данные-произв'!$H34</f>
        <v>0</v>
      </c>
      <c r="G33" s="110">
        <f>'Исх.данные-произв'!$C34*'Бюджет производства'!E$4+'Бюджет производства'!E$5*'Исх.данные-произв'!$D34+'Исх.данные-произв'!$E$8*'Бюджет производства'!E$6+'Бюджет производства'!E$7*'Исх.данные-произв'!$F34+'Исх.данные-произв'!$G34*'Бюджет производства'!E$8+'Бюджет производства'!E$9*'Исх.данные-произв'!$H34</f>
        <v>0</v>
      </c>
      <c r="H33" s="110">
        <f>'Исх.данные-произв'!$C34*'Бюджет производства'!F$4+'Бюджет производства'!F$5*'Исх.данные-произв'!$D34+'Исх.данные-произв'!$E$8*'Бюджет производства'!F$6+'Бюджет производства'!F$7*'Исх.данные-произв'!$F34+'Исх.данные-произв'!$G34*'Бюджет производства'!F$8+'Бюджет производства'!F$9*'Исх.данные-произв'!$H34</f>
        <v>0</v>
      </c>
      <c r="I33" s="110">
        <f>'Исх.данные-произв'!$C34*'Бюджет производства'!G$4+'Бюджет производства'!G$5*'Исх.данные-произв'!$D34+'Исх.данные-произв'!$E$8*'Бюджет производства'!G$6+'Бюджет производства'!G$7*'Исх.данные-произв'!$F34+'Исх.данные-произв'!$G34*'Бюджет производства'!G$8+'Бюджет производства'!G$9*'Исх.данные-произв'!$H34</f>
        <v>0</v>
      </c>
      <c r="J33" s="110">
        <f>'Исх.данные-произв'!$C34*'Бюджет производства'!H$4+'Бюджет производства'!H$5*'Исх.данные-произв'!$D34+'Исх.данные-произв'!$E$8*'Бюджет производства'!H$6+'Бюджет производства'!H$7*'Исх.данные-произв'!$F34+'Исх.данные-произв'!$G34*'Бюджет производства'!H$8+'Бюджет производства'!H$9*'Исх.данные-произв'!$H34</f>
        <v>0</v>
      </c>
      <c r="K33" s="110">
        <f>'Исх.данные-произв'!$C34*'Бюджет производства'!I$4+'Бюджет производства'!I$5*'Исх.данные-произв'!$D34+'Исх.данные-произв'!$E$8*'Бюджет производства'!I$6+'Бюджет производства'!I$7*'Исх.данные-произв'!$F34+'Исх.данные-произв'!$G34*'Бюджет производства'!I$8+'Бюджет производства'!I$9*'Исх.данные-произв'!$H34</f>
        <v>0</v>
      </c>
      <c r="L33" s="110">
        <f>'Исх.данные-произв'!$C34*'Бюджет производства'!J$4+'Бюджет производства'!J$5*'Исх.данные-произв'!$D34+'Исх.данные-произв'!$E$8*'Бюджет производства'!J$6+'Бюджет производства'!J$7*'Исх.данные-произв'!$F34+'Исх.данные-произв'!$G34*'Бюджет производства'!J$8+'Бюджет производства'!J$9*'Исх.данные-произв'!$H34</f>
        <v>0</v>
      </c>
      <c r="M33" s="110">
        <f>'Исх.данные-произв'!$C34*'Бюджет производства'!K$4+'Бюджет производства'!K$5*'Исх.данные-произв'!$D34+'Исх.данные-произв'!$E$8*'Бюджет производства'!K$6+'Бюджет производства'!K$7*'Исх.данные-произв'!$F34+'Исх.данные-произв'!$G34*'Бюджет производства'!K$8+'Бюджет производства'!K$9*'Исх.данные-произв'!$H34</f>
        <v>0</v>
      </c>
      <c r="N33" s="110">
        <f>'Исх.данные-произв'!$C34*'Бюджет производства'!L$4+'Бюджет производства'!L$5*'Исх.данные-произв'!$D34+'Исх.данные-произв'!$E$8*'Бюджет производства'!L$6+'Бюджет производства'!L$7*'Исх.данные-произв'!$F34+'Исх.данные-произв'!$G34*'Бюджет производства'!L$8+'Бюджет производства'!L$9*'Исх.данные-произв'!$H34</f>
        <v>0</v>
      </c>
      <c r="O33" s="110">
        <f>'Исх.данные-произв'!$C34*'Бюджет производства'!M$4+'Бюджет производства'!M$5*'Исх.данные-произв'!$D34+'Исх.данные-произв'!$E$8*'Бюджет производства'!M$6+'Бюджет производства'!M$7*'Исх.данные-произв'!$F34+'Исх.данные-произв'!$G34*'Бюджет производства'!M$8+'Бюджет производства'!M$9*'Исх.данные-произв'!$H34</f>
        <v>0</v>
      </c>
      <c r="P33" s="103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 outlineLevel="1">
      <c r="A34" s="11"/>
      <c r="B34" s="111"/>
      <c r="C34" s="110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106" t="s">
        <v>267</v>
      </c>
      <c r="B35" s="112" t="s">
        <v>268</v>
      </c>
      <c r="C35" s="112" t="s">
        <v>269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 outlineLevel="1">
      <c r="A36" s="109" t="s">
        <v>240</v>
      </c>
      <c r="B36" s="113"/>
      <c r="C36" s="114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 outlineLevel="1">
      <c r="A37" s="73" t="s">
        <v>241</v>
      </c>
      <c r="B37" s="115"/>
      <c r="C37" s="115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 outlineLevel="1">
      <c r="A38" s="73" t="s">
        <v>242</v>
      </c>
      <c r="B38" s="115"/>
      <c r="C38" s="115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 outlineLevel="1">
      <c r="A39" s="73" t="s">
        <v>243</v>
      </c>
      <c r="B39" s="115"/>
      <c r="C39" s="115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 outlineLevel="1">
      <c r="A40" s="73" t="s">
        <v>244</v>
      </c>
      <c r="B40" s="115"/>
      <c r="C40" s="115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 outlineLevel="1">
      <c r="A41" s="73" t="s">
        <v>245</v>
      </c>
      <c r="B41" s="115"/>
      <c r="C41" s="115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 outlineLevel="1">
      <c r="A42" s="73" t="s">
        <v>246</v>
      </c>
      <c r="B42" s="115"/>
      <c r="C42" s="115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 outlineLevel="1">
      <c r="A43" s="73" t="s">
        <v>247</v>
      </c>
      <c r="B43" s="115"/>
      <c r="C43" s="115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 outlineLevel="1">
      <c r="A44" s="73" t="s">
        <v>248</v>
      </c>
      <c r="B44" s="115"/>
      <c r="C44" s="115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 outlineLevel="1">
      <c r="A45" s="73" t="s">
        <v>249</v>
      </c>
      <c r="B45" s="115"/>
      <c r="C45" s="115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 outlineLevel="1">
      <c r="A46" s="73" t="s">
        <v>250</v>
      </c>
      <c r="B46" s="115"/>
      <c r="C46" s="115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 outlineLevel="1">
      <c r="A47" s="73" t="s">
        <v>251</v>
      </c>
      <c r="B47" s="115"/>
      <c r="C47" s="115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 outlineLevel="1">
      <c r="A48" s="73" t="s">
        <v>252</v>
      </c>
      <c r="B48" s="115"/>
      <c r="C48" s="115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 outlineLevel="1">
      <c r="A49" s="73" t="s">
        <v>253</v>
      </c>
      <c r="B49" s="115"/>
      <c r="C49" s="115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 outlineLevel="1">
      <c r="A50" s="73" t="s">
        <v>254</v>
      </c>
      <c r="B50" s="115"/>
      <c r="C50" s="115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 outlineLevel="1">
      <c r="A51" s="73" t="s">
        <v>255</v>
      </c>
      <c r="B51" s="115"/>
      <c r="C51" s="115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 outlineLevel="1">
      <c r="A52" s="11"/>
      <c r="B52" s="115"/>
      <c r="C52" s="115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 outlineLevel="1">
      <c r="A53" s="109" t="s">
        <v>256</v>
      </c>
      <c r="B53" s="116"/>
      <c r="C53" s="116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 outlineLevel="1">
      <c r="A54" s="73" t="s">
        <v>257</v>
      </c>
      <c r="B54" s="116"/>
      <c r="C54" s="116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 outlineLevel="1">
      <c r="A55" s="73" t="s">
        <v>258</v>
      </c>
      <c r="B55" s="115"/>
      <c r="C55" s="115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 outlineLevel="1">
      <c r="A56" s="73" t="s">
        <v>259</v>
      </c>
      <c r="B56" s="115"/>
      <c r="C56" s="115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 outlineLevel="1">
      <c r="A57" s="73" t="s">
        <v>260</v>
      </c>
      <c r="B57" s="115"/>
      <c r="C57" s="115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 outlineLevel="1">
      <c r="A58" s="73" t="s">
        <v>261</v>
      </c>
      <c r="B58" s="115"/>
      <c r="C58" s="115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 outlineLevel="1">
      <c r="A59" s="73" t="s">
        <v>262</v>
      </c>
      <c r="B59" s="115"/>
      <c r="C59" s="115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 outlineLevel="1">
      <c r="A60" s="73" t="s">
        <v>263</v>
      </c>
      <c r="B60" s="115"/>
      <c r="C60" s="115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 outlineLevel="1">
      <c r="A61" s="73" t="s">
        <v>264</v>
      </c>
      <c r="B61" s="115"/>
      <c r="C61" s="115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 outlineLevel="1">
      <c r="A62" s="73" t="s">
        <v>265</v>
      </c>
      <c r="B62" s="115"/>
      <c r="C62" s="115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 outlineLevel="1">
      <c r="A63" s="73" t="s">
        <v>266</v>
      </c>
      <c r="B63" s="115"/>
      <c r="C63" s="115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 outlineLevel="1">
      <c r="A64" s="11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106" t="s">
        <v>270</v>
      </c>
      <c r="B65" s="107" t="s">
        <v>239</v>
      </c>
      <c r="C65" s="108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 outlineLevel="1">
      <c r="A66" s="109" t="s">
        <v>240</v>
      </c>
      <c r="B66" s="110"/>
      <c r="C66" s="110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>
        <f t="shared" ref="P66:P94" si="2">SUM(D66:O66)</f>
        <v>0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 outlineLevel="1">
      <c r="A67" s="73" t="s">
        <v>241</v>
      </c>
      <c r="B67" s="110"/>
      <c r="C67" s="110"/>
      <c r="D67" s="103">
        <f t="shared" ref="D67:O67" si="1">IF((SUM($D7:D7)-$C37+D37)&lt;0,0,(D7-C37+D37))</f>
        <v>0</v>
      </c>
      <c r="E67" s="103">
        <f t="shared" si="1"/>
        <v>0</v>
      </c>
      <c r="F67" s="103">
        <f t="shared" si="1"/>
        <v>0</v>
      </c>
      <c r="G67" s="103">
        <f t="shared" si="1"/>
        <v>0</v>
      </c>
      <c r="H67" s="103">
        <f t="shared" si="1"/>
        <v>0</v>
      </c>
      <c r="I67" s="103">
        <f t="shared" si="1"/>
        <v>0</v>
      </c>
      <c r="J67" s="103">
        <f t="shared" si="1"/>
        <v>0</v>
      </c>
      <c r="K67" s="103">
        <f t="shared" si="1"/>
        <v>0</v>
      </c>
      <c r="L67" s="103">
        <f t="shared" si="1"/>
        <v>0</v>
      </c>
      <c r="M67" s="103">
        <f t="shared" si="1"/>
        <v>0</v>
      </c>
      <c r="N67" s="103">
        <f t="shared" si="1"/>
        <v>0</v>
      </c>
      <c r="O67" s="103">
        <f t="shared" si="1"/>
        <v>0</v>
      </c>
      <c r="P67" s="103">
        <f t="shared" si="2"/>
        <v>0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 outlineLevel="1">
      <c r="A68" s="73" t="s">
        <v>242</v>
      </c>
      <c r="B68" s="110"/>
      <c r="C68" s="110"/>
      <c r="D68" s="103">
        <f t="shared" ref="D68:O68" si="3">IF((SUM($D8:D8)-$C38+D38)&lt;0,0,(D8-C38+D38))</f>
        <v>0</v>
      </c>
      <c r="E68" s="103">
        <f t="shared" si="3"/>
        <v>0</v>
      </c>
      <c r="F68" s="103">
        <f t="shared" si="3"/>
        <v>0</v>
      </c>
      <c r="G68" s="103">
        <f t="shared" si="3"/>
        <v>0</v>
      </c>
      <c r="H68" s="103">
        <f t="shared" si="3"/>
        <v>0</v>
      </c>
      <c r="I68" s="103">
        <f t="shared" si="3"/>
        <v>0</v>
      </c>
      <c r="J68" s="103">
        <f t="shared" si="3"/>
        <v>0</v>
      </c>
      <c r="K68" s="103">
        <f t="shared" si="3"/>
        <v>0</v>
      </c>
      <c r="L68" s="103">
        <f t="shared" si="3"/>
        <v>0</v>
      </c>
      <c r="M68" s="103">
        <f t="shared" si="3"/>
        <v>0</v>
      </c>
      <c r="N68" s="103">
        <f t="shared" si="3"/>
        <v>0</v>
      </c>
      <c r="O68" s="103">
        <f t="shared" si="3"/>
        <v>0</v>
      </c>
      <c r="P68" s="103">
        <f t="shared" si="2"/>
        <v>0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 outlineLevel="1">
      <c r="A69" s="73" t="s">
        <v>243</v>
      </c>
      <c r="B69" s="110"/>
      <c r="C69" s="110"/>
      <c r="D69" s="103">
        <f t="shared" ref="D69:O69" si="4">IF((SUM($D9:D9)-$C39+D39)&lt;0,0,(D9-C39+D39))</f>
        <v>0</v>
      </c>
      <c r="E69" s="103">
        <f t="shared" si="4"/>
        <v>0</v>
      </c>
      <c r="F69" s="103">
        <f t="shared" si="4"/>
        <v>0</v>
      </c>
      <c r="G69" s="103">
        <f t="shared" si="4"/>
        <v>0</v>
      </c>
      <c r="H69" s="103">
        <f t="shared" si="4"/>
        <v>0</v>
      </c>
      <c r="I69" s="103">
        <f t="shared" si="4"/>
        <v>0</v>
      </c>
      <c r="J69" s="103">
        <f t="shared" si="4"/>
        <v>0</v>
      </c>
      <c r="K69" s="103">
        <f t="shared" si="4"/>
        <v>0</v>
      </c>
      <c r="L69" s="103">
        <f t="shared" si="4"/>
        <v>0</v>
      </c>
      <c r="M69" s="103">
        <f t="shared" si="4"/>
        <v>0</v>
      </c>
      <c r="N69" s="103">
        <f t="shared" si="4"/>
        <v>0</v>
      </c>
      <c r="O69" s="103">
        <f t="shared" si="4"/>
        <v>0</v>
      </c>
      <c r="P69" s="103">
        <f t="shared" si="2"/>
        <v>0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 outlineLevel="1">
      <c r="A70" s="73" t="s">
        <v>244</v>
      </c>
      <c r="B70" s="111"/>
      <c r="C70" s="110"/>
      <c r="D70" s="103">
        <f t="shared" ref="D70:O70" si="5">IF((SUM($D10:D10)-$C40+D40)&lt;0,0,(D10-C40+D40))</f>
        <v>0</v>
      </c>
      <c r="E70" s="103">
        <f t="shared" si="5"/>
        <v>0</v>
      </c>
      <c r="F70" s="103">
        <f t="shared" si="5"/>
        <v>0</v>
      </c>
      <c r="G70" s="103">
        <f t="shared" si="5"/>
        <v>0</v>
      </c>
      <c r="H70" s="103">
        <f t="shared" si="5"/>
        <v>0</v>
      </c>
      <c r="I70" s="103">
        <f t="shared" si="5"/>
        <v>0</v>
      </c>
      <c r="J70" s="103">
        <f t="shared" si="5"/>
        <v>0</v>
      </c>
      <c r="K70" s="103">
        <f t="shared" si="5"/>
        <v>0</v>
      </c>
      <c r="L70" s="103">
        <f t="shared" si="5"/>
        <v>0</v>
      </c>
      <c r="M70" s="103">
        <f t="shared" si="5"/>
        <v>0</v>
      </c>
      <c r="N70" s="103">
        <f t="shared" si="5"/>
        <v>0</v>
      </c>
      <c r="O70" s="103">
        <f t="shared" si="5"/>
        <v>0</v>
      </c>
      <c r="P70" s="103">
        <f t="shared" si="2"/>
        <v>0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 outlineLevel="1">
      <c r="A71" s="73" t="s">
        <v>245</v>
      </c>
      <c r="B71" s="110"/>
      <c r="C71" s="110"/>
      <c r="D71" s="103">
        <f t="shared" ref="D71:O71" si="6">IF((SUM($D11:D11)-$C41+D41)&lt;0,0,(D11-C41+D41))</f>
        <v>0</v>
      </c>
      <c r="E71" s="103">
        <f t="shared" si="6"/>
        <v>0</v>
      </c>
      <c r="F71" s="103">
        <f t="shared" si="6"/>
        <v>0</v>
      </c>
      <c r="G71" s="103">
        <f t="shared" si="6"/>
        <v>0</v>
      </c>
      <c r="H71" s="103">
        <f t="shared" si="6"/>
        <v>0</v>
      </c>
      <c r="I71" s="103">
        <f t="shared" si="6"/>
        <v>0</v>
      </c>
      <c r="J71" s="103">
        <f t="shared" si="6"/>
        <v>0</v>
      </c>
      <c r="K71" s="103">
        <f t="shared" si="6"/>
        <v>0</v>
      </c>
      <c r="L71" s="103">
        <f t="shared" si="6"/>
        <v>0</v>
      </c>
      <c r="M71" s="103">
        <f t="shared" si="6"/>
        <v>0</v>
      </c>
      <c r="N71" s="103">
        <f t="shared" si="6"/>
        <v>0</v>
      </c>
      <c r="O71" s="103">
        <f t="shared" si="6"/>
        <v>0</v>
      </c>
      <c r="P71" s="103">
        <f t="shared" si="2"/>
        <v>0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 outlineLevel="1">
      <c r="A72" s="73" t="s">
        <v>246</v>
      </c>
      <c r="B72" s="110"/>
      <c r="C72" s="110"/>
      <c r="D72" s="103">
        <f t="shared" ref="D72:O72" si="7">IF((SUM($D12:D12)-$C42+D42)&lt;0,0,(D12-C42+D42))</f>
        <v>0</v>
      </c>
      <c r="E72" s="103">
        <f t="shared" si="7"/>
        <v>0</v>
      </c>
      <c r="F72" s="103">
        <f t="shared" si="7"/>
        <v>0</v>
      </c>
      <c r="G72" s="103">
        <f t="shared" si="7"/>
        <v>0</v>
      </c>
      <c r="H72" s="103">
        <f t="shared" si="7"/>
        <v>0</v>
      </c>
      <c r="I72" s="103">
        <f t="shared" si="7"/>
        <v>0</v>
      </c>
      <c r="J72" s="103">
        <f t="shared" si="7"/>
        <v>0</v>
      </c>
      <c r="K72" s="103">
        <f t="shared" si="7"/>
        <v>0</v>
      </c>
      <c r="L72" s="103">
        <f t="shared" si="7"/>
        <v>0</v>
      </c>
      <c r="M72" s="103">
        <f t="shared" si="7"/>
        <v>0</v>
      </c>
      <c r="N72" s="103">
        <f t="shared" si="7"/>
        <v>0</v>
      </c>
      <c r="O72" s="103">
        <f t="shared" si="7"/>
        <v>0</v>
      </c>
      <c r="P72" s="103">
        <f t="shared" si="2"/>
        <v>0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 outlineLevel="1">
      <c r="A73" s="73" t="s">
        <v>247</v>
      </c>
      <c r="B73" s="110"/>
      <c r="C73" s="110"/>
      <c r="D73" s="103">
        <f t="shared" ref="D73:O73" si="8">IF((SUM($D13:D13)-$C43+D43)&lt;0,0,(D13-C43+D43))</f>
        <v>0</v>
      </c>
      <c r="E73" s="103">
        <f t="shared" si="8"/>
        <v>0</v>
      </c>
      <c r="F73" s="103">
        <f t="shared" si="8"/>
        <v>0</v>
      </c>
      <c r="G73" s="103">
        <f t="shared" si="8"/>
        <v>0</v>
      </c>
      <c r="H73" s="103">
        <f t="shared" si="8"/>
        <v>0</v>
      </c>
      <c r="I73" s="103">
        <f t="shared" si="8"/>
        <v>0</v>
      </c>
      <c r="J73" s="103">
        <f t="shared" si="8"/>
        <v>0</v>
      </c>
      <c r="K73" s="103">
        <f t="shared" si="8"/>
        <v>0</v>
      </c>
      <c r="L73" s="103">
        <f t="shared" si="8"/>
        <v>0</v>
      </c>
      <c r="M73" s="103">
        <f t="shared" si="8"/>
        <v>0</v>
      </c>
      <c r="N73" s="103">
        <f t="shared" si="8"/>
        <v>0</v>
      </c>
      <c r="O73" s="103">
        <f t="shared" si="8"/>
        <v>0</v>
      </c>
      <c r="P73" s="103">
        <f t="shared" si="2"/>
        <v>0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 outlineLevel="1">
      <c r="A74" s="73" t="s">
        <v>248</v>
      </c>
      <c r="B74" s="110"/>
      <c r="C74" s="110"/>
      <c r="D74" s="103">
        <f t="shared" ref="D74:O74" si="9">IF((SUM($D14:D14)-$C44+D44)&lt;0,0,(D14-C44+D44))</f>
        <v>0</v>
      </c>
      <c r="E74" s="103">
        <f t="shared" si="9"/>
        <v>0</v>
      </c>
      <c r="F74" s="103">
        <f t="shared" si="9"/>
        <v>0</v>
      </c>
      <c r="G74" s="103">
        <f t="shared" si="9"/>
        <v>0</v>
      </c>
      <c r="H74" s="103">
        <f t="shared" si="9"/>
        <v>0</v>
      </c>
      <c r="I74" s="103">
        <f t="shared" si="9"/>
        <v>0</v>
      </c>
      <c r="J74" s="103">
        <f t="shared" si="9"/>
        <v>0</v>
      </c>
      <c r="K74" s="103">
        <f t="shared" si="9"/>
        <v>0</v>
      </c>
      <c r="L74" s="103">
        <f t="shared" si="9"/>
        <v>0</v>
      </c>
      <c r="M74" s="103">
        <f t="shared" si="9"/>
        <v>0</v>
      </c>
      <c r="N74" s="103">
        <f t="shared" si="9"/>
        <v>0</v>
      </c>
      <c r="O74" s="103">
        <f t="shared" si="9"/>
        <v>0</v>
      </c>
      <c r="P74" s="103">
        <f t="shared" si="2"/>
        <v>0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 outlineLevel="1">
      <c r="A75" s="73" t="s">
        <v>249</v>
      </c>
      <c r="B75" s="110"/>
      <c r="C75" s="110"/>
      <c r="D75" s="103">
        <f t="shared" ref="D75:O75" si="10">IF((SUM($D15:D15)-$C45+D45)&lt;0,0,(D15-C45+D45))</f>
        <v>0</v>
      </c>
      <c r="E75" s="103">
        <f t="shared" si="10"/>
        <v>0</v>
      </c>
      <c r="F75" s="103">
        <f t="shared" si="10"/>
        <v>0</v>
      </c>
      <c r="G75" s="103">
        <f t="shared" si="10"/>
        <v>0</v>
      </c>
      <c r="H75" s="103">
        <f t="shared" si="10"/>
        <v>0</v>
      </c>
      <c r="I75" s="103">
        <f t="shared" si="10"/>
        <v>0</v>
      </c>
      <c r="J75" s="103">
        <f t="shared" si="10"/>
        <v>0</v>
      </c>
      <c r="K75" s="103">
        <f t="shared" si="10"/>
        <v>0</v>
      </c>
      <c r="L75" s="103">
        <f t="shared" si="10"/>
        <v>0</v>
      </c>
      <c r="M75" s="103">
        <f t="shared" si="10"/>
        <v>0</v>
      </c>
      <c r="N75" s="103">
        <f t="shared" si="10"/>
        <v>0</v>
      </c>
      <c r="O75" s="103">
        <f t="shared" si="10"/>
        <v>0</v>
      </c>
      <c r="P75" s="103">
        <f t="shared" si="2"/>
        <v>0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 outlineLevel="1">
      <c r="A76" s="73" t="s">
        <v>250</v>
      </c>
      <c r="B76" s="110"/>
      <c r="C76" s="110"/>
      <c r="D76" s="103">
        <f t="shared" ref="D76:O76" si="11">IF((SUM($D16:D16)-$C46+D46)&lt;0,0,(D16-C46+D46))</f>
        <v>0</v>
      </c>
      <c r="E76" s="103">
        <f t="shared" si="11"/>
        <v>0</v>
      </c>
      <c r="F76" s="103">
        <f t="shared" si="11"/>
        <v>0</v>
      </c>
      <c r="G76" s="103">
        <f t="shared" si="11"/>
        <v>0</v>
      </c>
      <c r="H76" s="103">
        <f t="shared" si="11"/>
        <v>0</v>
      </c>
      <c r="I76" s="103">
        <f t="shared" si="11"/>
        <v>0</v>
      </c>
      <c r="J76" s="103">
        <f t="shared" si="11"/>
        <v>0</v>
      </c>
      <c r="K76" s="103">
        <f t="shared" si="11"/>
        <v>0</v>
      </c>
      <c r="L76" s="103">
        <f t="shared" si="11"/>
        <v>0</v>
      </c>
      <c r="M76" s="103">
        <f t="shared" si="11"/>
        <v>0</v>
      </c>
      <c r="N76" s="103">
        <f t="shared" si="11"/>
        <v>0</v>
      </c>
      <c r="O76" s="103">
        <f t="shared" si="11"/>
        <v>0</v>
      </c>
      <c r="P76" s="103">
        <f t="shared" si="2"/>
        <v>0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 outlineLevel="1">
      <c r="A77" s="73" t="s">
        <v>251</v>
      </c>
      <c r="B77" s="110"/>
      <c r="C77" s="110"/>
      <c r="D77" s="103">
        <f t="shared" ref="D77:O77" si="12">IF((SUM($D17:D17)-$C47+D47)&lt;0,0,(D17-C47+D47))</f>
        <v>0</v>
      </c>
      <c r="E77" s="103">
        <f t="shared" si="12"/>
        <v>0</v>
      </c>
      <c r="F77" s="103">
        <f t="shared" si="12"/>
        <v>0</v>
      </c>
      <c r="G77" s="103">
        <f t="shared" si="12"/>
        <v>0</v>
      </c>
      <c r="H77" s="103">
        <f t="shared" si="12"/>
        <v>0</v>
      </c>
      <c r="I77" s="103">
        <f t="shared" si="12"/>
        <v>0</v>
      </c>
      <c r="J77" s="103">
        <f t="shared" si="12"/>
        <v>0</v>
      </c>
      <c r="K77" s="103">
        <f t="shared" si="12"/>
        <v>0</v>
      </c>
      <c r="L77" s="103">
        <f t="shared" si="12"/>
        <v>0</v>
      </c>
      <c r="M77" s="103">
        <f t="shared" si="12"/>
        <v>0</v>
      </c>
      <c r="N77" s="103">
        <f t="shared" si="12"/>
        <v>0</v>
      </c>
      <c r="O77" s="103">
        <f t="shared" si="12"/>
        <v>0</v>
      </c>
      <c r="P77" s="103">
        <f t="shared" si="2"/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 outlineLevel="1">
      <c r="A78" s="73" t="s">
        <v>252</v>
      </c>
      <c r="B78" s="110"/>
      <c r="C78" s="110"/>
      <c r="D78" s="103">
        <f t="shared" ref="D78:O78" si="13">IF((SUM($D18:D18)-$C48+D48)&lt;0,0,(D18-C48+D48))</f>
        <v>0</v>
      </c>
      <c r="E78" s="103">
        <f t="shared" si="13"/>
        <v>0</v>
      </c>
      <c r="F78" s="103">
        <f t="shared" si="13"/>
        <v>0</v>
      </c>
      <c r="G78" s="103">
        <f t="shared" si="13"/>
        <v>0</v>
      </c>
      <c r="H78" s="103">
        <f t="shared" si="13"/>
        <v>0</v>
      </c>
      <c r="I78" s="103">
        <f t="shared" si="13"/>
        <v>0</v>
      </c>
      <c r="J78" s="103">
        <f t="shared" si="13"/>
        <v>0</v>
      </c>
      <c r="K78" s="103">
        <f t="shared" si="13"/>
        <v>0</v>
      </c>
      <c r="L78" s="103">
        <f t="shared" si="13"/>
        <v>0</v>
      </c>
      <c r="M78" s="103">
        <f t="shared" si="13"/>
        <v>0</v>
      </c>
      <c r="N78" s="103">
        <f t="shared" si="13"/>
        <v>0</v>
      </c>
      <c r="O78" s="103">
        <f t="shared" si="13"/>
        <v>0</v>
      </c>
      <c r="P78" s="103">
        <f t="shared" si="2"/>
        <v>0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 outlineLevel="1">
      <c r="A79" s="73" t="s">
        <v>253</v>
      </c>
      <c r="B79" s="110"/>
      <c r="C79" s="110"/>
      <c r="D79" s="103">
        <f t="shared" ref="D79:O79" si="14">IF((SUM($D19:D19)-$C49+D49)&lt;0,0,(D19-C49+D49))</f>
        <v>0</v>
      </c>
      <c r="E79" s="103">
        <f t="shared" si="14"/>
        <v>0</v>
      </c>
      <c r="F79" s="103">
        <f t="shared" si="14"/>
        <v>0</v>
      </c>
      <c r="G79" s="103">
        <f t="shared" si="14"/>
        <v>0</v>
      </c>
      <c r="H79" s="103">
        <f t="shared" si="14"/>
        <v>0</v>
      </c>
      <c r="I79" s="103">
        <f t="shared" si="14"/>
        <v>0</v>
      </c>
      <c r="J79" s="103">
        <f t="shared" si="14"/>
        <v>0</v>
      </c>
      <c r="K79" s="103">
        <f t="shared" si="14"/>
        <v>0</v>
      </c>
      <c r="L79" s="103">
        <f t="shared" si="14"/>
        <v>0</v>
      </c>
      <c r="M79" s="103">
        <f t="shared" si="14"/>
        <v>0</v>
      </c>
      <c r="N79" s="103">
        <f t="shared" si="14"/>
        <v>0</v>
      </c>
      <c r="O79" s="103">
        <f t="shared" si="14"/>
        <v>0</v>
      </c>
      <c r="P79" s="103">
        <f t="shared" si="2"/>
        <v>0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 outlineLevel="1">
      <c r="A80" s="73" t="s">
        <v>254</v>
      </c>
      <c r="B80" s="110"/>
      <c r="C80" s="110"/>
      <c r="D80" s="103">
        <f t="shared" ref="D80:O80" si="15">IF((SUM($D20:D20)-$C50+D50)&lt;0,0,(D20-C50+D50))</f>
        <v>0</v>
      </c>
      <c r="E80" s="103">
        <f t="shared" si="15"/>
        <v>0</v>
      </c>
      <c r="F80" s="103">
        <f t="shared" si="15"/>
        <v>0</v>
      </c>
      <c r="G80" s="103">
        <f t="shared" si="15"/>
        <v>0</v>
      </c>
      <c r="H80" s="103">
        <f t="shared" si="15"/>
        <v>0</v>
      </c>
      <c r="I80" s="103">
        <f t="shared" si="15"/>
        <v>0</v>
      </c>
      <c r="J80" s="103">
        <f t="shared" si="15"/>
        <v>0</v>
      </c>
      <c r="K80" s="103">
        <f t="shared" si="15"/>
        <v>0</v>
      </c>
      <c r="L80" s="103">
        <f t="shared" si="15"/>
        <v>0</v>
      </c>
      <c r="M80" s="103">
        <f t="shared" si="15"/>
        <v>0</v>
      </c>
      <c r="N80" s="103">
        <f t="shared" si="15"/>
        <v>0</v>
      </c>
      <c r="O80" s="103">
        <f t="shared" si="15"/>
        <v>0</v>
      </c>
      <c r="P80" s="103">
        <f t="shared" si="2"/>
        <v>0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 outlineLevel="1">
      <c r="A81" s="73" t="s">
        <v>255</v>
      </c>
      <c r="B81" s="110"/>
      <c r="C81" s="110"/>
      <c r="D81" s="103">
        <f t="shared" ref="D81:O81" si="16">IF((SUM($D21:D21)-$C51+D51)&lt;0,0,(D21-C51+D51))</f>
        <v>0</v>
      </c>
      <c r="E81" s="103">
        <f t="shared" si="16"/>
        <v>0</v>
      </c>
      <c r="F81" s="103">
        <f t="shared" si="16"/>
        <v>0</v>
      </c>
      <c r="G81" s="103">
        <f t="shared" si="16"/>
        <v>0</v>
      </c>
      <c r="H81" s="103">
        <f t="shared" si="16"/>
        <v>0</v>
      </c>
      <c r="I81" s="103">
        <f t="shared" si="16"/>
        <v>0</v>
      </c>
      <c r="J81" s="103">
        <f t="shared" si="16"/>
        <v>0</v>
      </c>
      <c r="K81" s="103">
        <f t="shared" si="16"/>
        <v>0</v>
      </c>
      <c r="L81" s="103">
        <f t="shared" si="16"/>
        <v>0</v>
      </c>
      <c r="M81" s="103">
        <f t="shared" si="16"/>
        <v>0</v>
      </c>
      <c r="N81" s="103">
        <f t="shared" si="16"/>
        <v>0</v>
      </c>
      <c r="O81" s="103">
        <f t="shared" si="16"/>
        <v>0</v>
      </c>
      <c r="P81" s="103">
        <f t="shared" si="2"/>
        <v>0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 outlineLevel="1">
      <c r="A82" s="11"/>
      <c r="B82" s="110"/>
      <c r="C82" s="110"/>
      <c r="D82" s="103">
        <f t="shared" ref="D82:O82" si="17">IF((SUM($D22:D22)-$C52+D52)&lt;0,0,(D22-C52+D52))</f>
        <v>0</v>
      </c>
      <c r="E82" s="103">
        <f t="shared" si="17"/>
        <v>0</v>
      </c>
      <c r="F82" s="103">
        <f t="shared" si="17"/>
        <v>0</v>
      </c>
      <c r="G82" s="103">
        <f t="shared" si="17"/>
        <v>0</v>
      </c>
      <c r="H82" s="103">
        <f t="shared" si="17"/>
        <v>0</v>
      </c>
      <c r="I82" s="103">
        <f t="shared" si="17"/>
        <v>0</v>
      </c>
      <c r="J82" s="103">
        <f t="shared" si="17"/>
        <v>0</v>
      </c>
      <c r="K82" s="103">
        <f t="shared" si="17"/>
        <v>0</v>
      </c>
      <c r="L82" s="103">
        <f t="shared" si="17"/>
        <v>0</v>
      </c>
      <c r="M82" s="103">
        <f t="shared" si="17"/>
        <v>0</v>
      </c>
      <c r="N82" s="103">
        <f t="shared" si="17"/>
        <v>0</v>
      </c>
      <c r="O82" s="103">
        <f t="shared" si="17"/>
        <v>0</v>
      </c>
      <c r="P82" s="103">
        <f t="shared" si="2"/>
        <v>0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 outlineLevel="1">
      <c r="A83" s="109" t="s">
        <v>256</v>
      </c>
      <c r="B83" s="110"/>
      <c r="C83" s="110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>
        <f t="shared" si="2"/>
        <v>0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 outlineLevel="1">
      <c r="A84" s="73" t="s">
        <v>257</v>
      </c>
      <c r="B84" s="110"/>
      <c r="C84" s="110"/>
      <c r="D84" s="103">
        <f t="shared" ref="D84:O84" si="18">IF((SUM($D24:D24)-$C54+D54)&lt;0,0,(D24-C54+D54))</f>
        <v>0</v>
      </c>
      <c r="E84" s="103">
        <f t="shared" si="18"/>
        <v>0</v>
      </c>
      <c r="F84" s="103">
        <f t="shared" si="18"/>
        <v>0</v>
      </c>
      <c r="G84" s="103">
        <f t="shared" si="18"/>
        <v>0</v>
      </c>
      <c r="H84" s="103">
        <f t="shared" si="18"/>
        <v>0</v>
      </c>
      <c r="I84" s="103">
        <f t="shared" si="18"/>
        <v>0</v>
      </c>
      <c r="J84" s="103">
        <f t="shared" si="18"/>
        <v>0</v>
      </c>
      <c r="K84" s="103">
        <f t="shared" si="18"/>
        <v>0</v>
      </c>
      <c r="L84" s="103">
        <f t="shared" si="18"/>
        <v>0</v>
      </c>
      <c r="M84" s="103">
        <f t="shared" si="18"/>
        <v>0</v>
      </c>
      <c r="N84" s="103">
        <f t="shared" si="18"/>
        <v>0</v>
      </c>
      <c r="O84" s="103">
        <f t="shared" si="18"/>
        <v>0</v>
      </c>
      <c r="P84" s="103">
        <f t="shared" si="2"/>
        <v>0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 outlineLevel="1">
      <c r="A85" s="73" t="s">
        <v>258</v>
      </c>
      <c r="B85" s="111"/>
      <c r="C85" s="110"/>
      <c r="D85" s="103">
        <f t="shared" ref="D85:O85" si="19">IF((SUM($D25:D25)-$C55+D55)&lt;0,0,(D25-C55+D55))</f>
        <v>0</v>
      </c>
      <c r="E85" s="103">
        <f t="shared" si="19"/>
        <v>0</v>
      </c>
      <c r="F85" s="103">
        <f t="shared" si="19"/>
        <v>0</v>
      </c>
      <c r="G85" s="103">
        <f t="shared" si="19"/>
        <v>0</v>
      </c>
      <c r="H85" s="103">
        <f t="shared" si="19"/>
        <v>0</v>
      </c>
      <c r="I85" s="103">
        <f t="shared" si="19"/>
        <v>0</v>
      </c>
      <c r="J85" s="103">
        <f t="shared" si="19"/>
        <v>0</v>
      </c>
      <c r="K85" s="103">
        <f t="shared" si="19"/>
        <v>0</v>
      </c>
      <c r="L85" s="103">
        <f t="shared" si="19"/>
        <v>0</v>
      </c>
      <c r="M85" s="103">
        <f t="shared" si="19"/>
        <v>0</v>
      </c>
      <c r="N85" s="103">
        <f t="shared" si="19"/>
        <v>0</v>
      </c>
      <c r="O85" s="103">
        <f t="shared" si="19"/>
        <v>0</v>
      </c>
      <c r="P85" s="103">
        <f t="shared" si="2"/>
        <v>0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 outlineLevel="1">
      <c r="A86" s="73" t="s">
        <v>259</v>
      </c>
      <c r="B86" s="111"/>
      <c r="C86" s="110"/>
      <c r="D86" s="103">
        <f t="shared" ref="D86:O86" si="20">IF((SUM($D26:D26)-$C56+D56)&lt;0,0,(D26-C56+D56))</f>
        <v>0</v>
      </c>
      <c r="E86" s="103">
        <f t="shared" si="20"/>
        <v>0</v>
      </c>
      <c r="F86" s="103">
        <f t="shared" si="20"/>
        <v>0</v>
      </c>
      <c r="G86" s="103">
        <f t="shared" si="20"/>
        <v>0</v>
      </c>
      <c r="H86" s="103">
        <f t="shared" si="20"/>
        <v>0</v>
      </c>
      <c r="I86" s="103">
        <f t="shared" si="20"/>
        <v>0</v>
      </c>
      <c r="J86" s="103">
        <f t="shared" si="20"/>
        <v>0</v>
      </c>
      <c r="K86" s="103">
        <f t="shared" si="20"/>
        <v>0</v>
      </c>
      <c r="L86" s="103">
        <f t="shared" si="20"/>
        <v>0</v>
      </c>
      <c r="M86" s="103">
        <f t="shared" si="20"/>
        <v>0</v>
      </c>
      <c r="N86" s="103">
        <f t="shared" si="20"/>
        <v>0</v>
      </c>
      <c r="O86" s="103">
        <f t="shared" si="20"/>
        <v>0</v>
      </c>
      <c r="P86" s="103">
        <f t="shared" si="2"/>
        <v>0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 outlineLevel="1">
      <c r="A87" s="73" t="s">
        <v>260</v>
      </c>
      <c r="B87" s="111"/>
      <c r="C87" s="110"/>
      <c r="D87" s="103">
        <f t="shared" ref="D87:O87" si="21">IF((SUM($D27:D27)-$C57+D57)&lt;0,0,(D27-C57+D57))</f>
        <v>0</v>
      </c>
      <c r="E87" s="103">
        <f t="shared" si="21"/>
        <v>0</v>
      </c>
      <c r="F87" s="103">
        <f t="shared" si="21"/>
        <v>0</v>
      </c>
      <c r="G87" s="103">
        <f t="shared" si="21"/>
        <v>0</v>
      </c>
      <c r="H87" s="103">
        <f t="shared" si="21"/>
        <v>0</v>
      </c>
      <c r="I87" s="103">
        <f t="shared" si="21"/>
        <v>0</v>
      </c>
      <c r="J87" s="103">
        <f t="shared" si="21"/>
        <v>0</v>
      </c>
      <c r="K87" s="103">
        <f t="shared" si="21"/>
        <v>0</v>
      </c>
      <c r="L87" s="103">
        <f t="shared" si="21"/>
        <v>0</v>
      </c>
      <c r="M87" s="103">
        <f t="shared" si="21"/>
        <v>0</v>
      </c>
      <c r="N87" s="103">
        <f t="shared" si="21"/>
        <v>0</v>
      </c>
      <c r="O87" s="103">
        <f t="shared" si="21"/>
        <v>0</v>
      </c>
      <c r="P87" s="103">
        <f t="shared" si="2"/>
        <v>0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 outlineLevel="1">
      <c r="A88" s="73" t="s">
        <v>261</v>
      </c>
      <c r="B88" s="111"/>
      <c r="C88" s="110"/>
      <c r="D88" s="103">
        <f t="shared" ref="D88:O88" si="22">IF((SUM($D28:D28)-$C58+D58)&lt;0,0,(D28-C58+D58))</f>
        <v>0</v>
      </c>
      <c r="E88" s="103">
        <f t="shared" si="22"/>
        <v>0</v>
      </c>
      <c r="F88" s="103">
        <f t="shared" si="22"/>
        <v>0</v>
      </c>
      <c r="G88" s="103">
        <f t="shared" si="22"/>
        <v>0</v>
      </c>
      <c r="H88" s="103">
        <f t="shared" si="22"/>
        <v>0</v>
      </c>
      <c r="I88" s="103">
        <f t="shared" si="22"/>
        <v>0</v>
      </c>
      <c r="J88" s="103">
        <f t="shared" si="22"/>
        <v>0</v>
      </c>
      <c r="K88" s="103">
        <f t="shared" si="22"/>
        <v>0</v>
      </c>
      <c r="L88" s="103">
        <f t="shared" si="22"/>
        <v>0</v>
      </c>
      <c r="M88" s="103">
        <f t="shared" si="22"/>
        <v>0</v>
      </c>
      <c r="N88" s="103">
        <f t="shared" si="22"/>
        <v>0</v>
      </c>
      <c r="O88" s="103">
        <f t="shared" si="22"/>
        <v>0</v>
      </c>
      <c r="P88" s="103">
        <f t="shared" si="2"/>
        <v>0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 outlineLevel="1">
      <c r="A89" s="73" t="s">
        <v>262</v>
      </c>
      <c r="B89" s="111"/>
      <c r="C89" s="110"/>
      <c r="D89" s="103">
        <f t="shared" ref="D89:O89" si="23">IF((SUM($D29:D29)-$C59+D59)&lt;0,0,(D29-C59+D59))</f>
        <v>0</v>
      </c>
      <c r="E89" s="103">
        <f t="shared" si="23"/>
        <v>0</v>
      </c>
      <c r="F89" s="103">
        <f t="shared" si="23"/>
        <v>0</v>
      </c>
      <c r="G89" s="103">
        <f t="shared" si="23"/>
        <v>0</v>
      </c>
      <c r="H89" s="103">
        <f t="shared" si="23"/>
        <v>0</v>
      </c>
      <c r="I89" s="103">
        <f t="shared" si="23"/>
        <v>0</v>
      </c>
      <c r="J89" s="103">
        <f t="shared" si="23"/>
        <v>0</v>
      </c>
      <c r="K89" s="103">
        <f t="shared" si="23"/>
        <v>0</v>
      </c>
      <c r="L89" s="103">
        <f t="shared" si="23"/>
        <v>0</v>
      </c>
      <c r="M89" s="103">
        <f t="shared" si="23"/>
        <v>0</v>
      </c>
      <c r="N89" s="103">
        <f t="shared" si="23"/>
        <v>0</v>
      </c>
      <c r="O89" s="103">
        <f t="shared" si="23"/>
        <v>0</v>
      </c>
      <c r="P89" s="103">
        <f t="shared" si="2"/>
        <v>0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 outlineLevel="1">
      <c r="A90" s="73" t="s">
        <v>263</v>
      </c>
      <c r="B90" s="111"/>
      <c r="C90" s="110"/>
      <c r="D90" s="103">
        <f t="shared" ref="D90:O90" si="24">IF((SUM($D30:D30)-$C60+D60)&lt;0,0,(D30-C60+D60))</f>
        <v>0</v>
      </c>
      <c r="E90" s="103">
        <f t="shared" si="24"/>
        <v>0</v>
      </c>
      <c r="F90" s="103">
        <f t="shared" si="24"/>
        <v>0</v>
      </c>
      <c r="G90" s="103">
        <f t="shared" si="24"/>
        <v>0</v>
      </c>
      <c r="H90" s="103">
        <f t="shared" si="24"/>
        <v>0</v>
      </c>
      <c r="I90" s="103">
        <f t="shared" si="24"/>
        <v>0</v>
      </c>
      <c r="J90" s="103">
        <f t="shared" si="24"/>
        <v>0</v>
      </c>
      <c r="K90" s="103">
        <f t="shared" si="24"/>
        <v>0</v>
      </c>
      <c r="L90" s="103">
        <f t="shared" si="24"/>
        <v>0</v>
      </c>
      <c r="M90" s="103">
        <f t="shared" si="24"/>
        <v>0</v>
      </c>
      <c r="N90" s="103">
        <f t="shared" si="24"/>
        <v>0</v>
      </c>
      <c r="O90" s="103">
        <f t="shared" si="24"/>
        <v>0</v>
      </c>
      <c r="P90" s="103">
        <f t="shared" si="2"/>
        <v>0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 outlineLevel="1">
      <c r="A91" s="73" t="s">
        <v>264</v>
      </c>
      <c r="B91" s="111"/>
      <c r="C91" s="110"/>
      <c r="D91" s="103">
        <f t="shared" ref="D91:O91" si="25">IF((SUM($D31:D31)-$C61+D61)&lt;0,0,(D31-C61+D61))</f>
        <v>0</v>
      </c>
      <c r="E91" s="103">
        <f t="shared" si="25"/>
        <v>0</v>
      </c>
      <c r="F91" s="103">
        <f t="shared" si="25"/>
        <v>0</v>
      </c>
      <c r="G91" s="103">
        <f t="shared" si="25"/>
        <v>0</v>
      </c>
      <c r="H91" s="103">
        <f t="shared" si="25"/>
        <v>0</v>
      </c>
      <c r="I91" s="103">
        <f t="shared" si="25"/>
        <v>0</v>
      </c>
      <c r="J91" s="103">
        <f t="shared" si="25"/>
        <v>0</v>
      </c>
      <c r="K91" s="103">
        <f t="shared" si="25"/>
        <v>0</v>
      </c>
      <c r="L91" s="103">
        <f t="shared" si="25"/>
        <v>0</v>
      </c>
      <c r="M91" s="103">
        <f t="shared" si="25"/>
        <v>0</v>
      </c>
      <c r="N91" s="103">
        <f t="shared" si="25"/>
        <v>0</v>
      </c>
      <c r="O91" s="103">
        <f t="shared" si="25"/>
        <v>0</v>
      </c>
      <c r="P91" s="103">
        <f t="shared" si="2"/>
        <v>0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 outlineLevel="1">
      <c r="A92" s="73" t="s">
        <v>265</v>
      </c>
      <c r="B92" s="111"/>
      <c r="C92" s="110"/>
      <c r="D92" s="103">
        <f t="shared" ref="D92:O92" si="26">IF((SUM($D32:D32)-$C62+D62)&lt;0,0,(D32-C62+D62))</f>
        <v>0</v>
      </c>
      <c r="E92" s="103">
        <f t="shared" si="26"/>
        <v>0</v>
      </c>
      <c r="F92" s="103">
        <f t="shared" si="26"/>
        <v>0</v>
      </c>
      <c r="G92" s="103">
        <f t="shared" si="26"/>
        <v>0</v>
      </c>
      <c r="H92" s="103">
        <f t="shared" si="26"/>
        <v>0</v>
      </c>
      <c r="I92" s="103">
        <f t="shared" si="26"/>
        <v>0</v>
      </c>
      <c r="J92" s="103">
        <f t="shared" si="26"/>
        <v>0</v>
      </c>
      <c r="K92" s="103">
        <f t="shared" si="26"/>
        <v>0</v>
      </c>
      <c r="L92" s="103">
        <f t="shared" si="26"/>
        <v>0</v>
      </c>
      <c r="M92" s="103">
        <f t="shared" si="26"/>
        <v>0</v>
      </c>
      <c r="N92" s="103">
        <f t="shared" si="26"/>
        <v>0</v>
      </c>
      <c r="O92" s="103">
        <f t="shared" si="26"/>
        <v>0</v>
      </c>
      <c r="P92" s="103">
        <f t="shared" si="2"/>
        <v>0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 outlineLevel="1">
      <c r="A93" s="73" t="s">
        <v>266</v>
      </c>
      <c r="B93" s="111"/>
      <c r="C93" s="110"/>
      <c r="D93" s="103">
        <f t="shared" ref="D93:O93" si="27">IF((SUM($D33:D33)-$C63+D63)&lt;0,0,(D33-C63+D63))</f>
        <v>0</v>
      </c>
      <c r="E93" s="103">
        <f t="shared" si="27"/>
        <v>0</v>
      </c>
      <c r="F93" s="103">
        <f t="shared" si="27"/>
        <v>0</v>
      </c>
      <c r="G93" s="103">
        <f t="shared" si="27"/>
        <v>0</v>
      </c>
      <c r="H93" s="103">
        <f t="shared" si="27"/>
        <v>0</v>
      </c>
      <c r="I93" s="103">
        <f t="shared" si="27"/>
        <v>0</v>
      </c>
      <c r="J93" s="103">
        <f t="shared" si="27"/>
        <v>0</v>
      </c>
      <c r="K93" s="103">
        <f t="shared" si="27"/>
        <v>0</v>
      </c>
      <c r="L93" s="103">
        <f t="shared" si="27"/>
        <v>0</v>
      </c>
      <c r="M93" s="103">
        <f t="shared" si="27"/>
        <v>0</v>
      </c>
      <c r="N93" s="103">
        <f t="shared" si="27"/>
        <v>0</v>
      </c>
      <c r="O93" s="103">
        <f t="shared" si="27"/>
        <v>0</v>
      </c>
      <c r="P93" s="103">
        <f t="shared" si="2"/>
        <v>0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 outlineLevel="1">
      <c r="A94" s="11"/>
      <c r="B94" s="111"/>
      <c r="C94" s="110"/>
      <c r="D94" s="103">
        <f t="shared" ref="D94:O94" si="28">IF((SUM($D34:D34)-$C64+D64)&lt;0,0,(D34-C64+D64))</f>
        <v>0</v>
      </c>
      <c r="E94" s="103">
        <f t="shared" si="28"/>
        <v>0</v>
      </c>
      <c r="F94" s="103">
        <f t="shared" si="28"/>
        <v>0</v>
      </c>
      <c r="G94" s="103">
        <f t="shared" si="28"/>
        <v>0</v>
      </c>
      <c r="H94" s="103">
        <f t="shared" si="28"/>
        <v>0</v>
      </c>
      <c r="I94" s="103">
        <f t="shared" si="28"/>
        <v>0</v>
      </c>
      <c r="J94" s="103">
        <f t="shared" si="28"/>
        <v>0</v>
      </c>
      <c r="K94" s="103">
        <f t="shared" si="28"/>
        <v>0</v>
      </c>
      <c r="L94" s="103">
        <f t="shared" si="28"/>
        <v>0</v>
      </c>
      <c r="M94" s="103">
        <f t="shared" si="28"/>
        <v>0</v>
      </c>
      <c r="N94" s="103">
        <f t="shared" si="28"/>
        <v>0</v>
      </c>
      <c r="O94" s="103">
        <f t="shared" si="28"/>
        <v>0</v>
      </c>
      <c r="P94" s="103">
        <f t="shared" si="2"/>
        <v>0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75" customHeight="1">
      <c r="A95" s="106" t="s">
        <v>271</v>
      </c>
      <c r="B95" s="107" t="s">
        <v>239</v>
      </c>
      <c r="C95" s="112" t="s">
        <v>272</v>
      </c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 outlineLevel="1">
      <c r="A96" s="109" t="s">
        <v>240</v>
      </c>
      <c r="B96" s="110"/>
      <c r="C96" s="110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77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 outlineLevel="1">
      <c r="A97" s="73" t="s">
        <v>241</v>
      </c>
      <c r="B97" s="110"/>
      <c r="C97" s="115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 outlineLevel="1">
      <c r="A98" s="73" t="s">
        <v>242</v>
      </c>
      <c r="B98" s="110"/>
      <c r="C98" s="115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 outlineLevel="1">
      <c r="A99" s="73" t="s">
        <v>243</v>
      </c>
      <c r="B99" s="110"/>
      <c r="C99" s="115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 outlineLevel="1">
      <c r="A100" s="73" t="s">
        <v>244</v>
      </c>
      <c r="B100" s="111"/>
      <c r="C100" s="115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 outlineLevel="1">
      <c r="A101" s="73" t="s">
        <v>245</v>
      </c>
      <c r="B101" s="110"/>
      <c r="C101" s="115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 outlineLevel="1">
      <c r="A102" s="73" t="s">
        <v>246</v>
      </c>
      <c r="B102" s="110"/>
      <c r="C102" s="115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 outlineLevel="1">
      <c r="A103" s="73" t="s">
        <v>247</v>
      </c>
      <c r="B103" s="110"/>
      <c r="C103" s="115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 outlineLevel="1">
      <c r="A104" s="73" t="s">
        <v>248</v>
      </c>
      <c r="B104" s="110"/>
      <c r="C104" s="115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 outlineLevel="1">
      <c r="A105" s="73" t="s">
        <v>249</v>
      </c>
      <c r="B105" s="110"/>
      <c r="C105" s="115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 outlineLevel="1">
      <c r="A106" s="73" t="s">
        <v>250</v>
      </c>
      <c r="B106" s="110"/>
      <c r="C106" s="115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 outlineLevel="1">
      <c r="A107" s="73" t="s">
        <v>251</v>
      </c>
      <c r="B107" s="110"/>
      <c r="C107" s="115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 outlineLevel="1">
      <c r="A108" s="73" t="s">
        <v>252</v>
      </c>
      <c r="B108" s="110"/>
      <c r="C108" s="115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 outlineLevel="1">
      <c r="A109" s="73" t="s">
        <v>253</v>
      </c>
      <c r="B109" s="110"/>
      <c r="C109" s="115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 outlineLevel="1">
      <c r="A110" s="73" t="s">
        <v>254</v>
      </c>
      <c r="B110" s="110"/>
      <c r="C110" s="115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 outlineLevel="1">
      <c r="A111" s="73" t="s">
        <v>255</v>
      </c>
      <c r="B111" s="110"/>
      <c r="C111" s="115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 outlineLevel="1">
      <c r="A112" s="11"/>
      <c r="B112" s="110"/>
      <c r="C112" s="115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 outlineLevel="1">
      <c r="A113" s="109" t="s">
        <v>256</v>
      </c>
      <c r="B113" s="110"/>
      <c r="C113" s="115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 outlineLevel="1">
      <c r="A114" s="73" t="s">
        <v>257</v>
      </c>
      <c r="B114" s="110"/>
      <c r="C114" s="115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 outlineLevel="1">
      <c r="A115" s="73" t="s">
        <v>258</v>
      </c>
      <c r="B115" s="111"/>
      <c r="C115" s="115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 outlineLevel="1">
      <c r="A116" s="73" t="s">
        <v>259</v>
      </c>
      <c r="B116" s="111"/>
      <c r="C116" s="115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 outlineLevel="1">
      <c r="A117" s="73" t="s">
        <v>260</v>
      </c>
      <c r="B117" s="111"/>
      <c r="C117" s="115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 outlineLevel="1">
      <c r="A118" s="73" t="s">
        <v>261</v>
      </c>
      <c r="B118" s="111"/>
      <c r="C118" s="115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 outlineLevel="1">
      <c r="A119" s="73" t="s">
        <v>262</v>
      </c>
      <c r="B119" s="111"/>
      <c r="C119" s="115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 outlineLevel="1">
      <c r="A120" s="73" t="s">
        <v>263</v>
      </c>
      <c r="B120" s="111"/>
      <c r="C120" s="115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 outlineLevel="1">
      <c r="A121" s="73" t="s">
        <v>264</v>
      </c>
      <c r="B121" s="111"/>
      <c r="C121" s="115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 outlineLevel="1">
      <c r="A122" s="73" t="s">
        <v>265</v>
      </c>
      <c r="B122" s="111"/>
      <c r="C122" s="115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 outlineLevel="1">
      <c r="A123" s="73" t="s">
        <v>266</v>
      </c>
      <c r="B123" s="111"/>
      <c r="C123" s="115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 outlineLevel="1">
      <c r="A124" s="11"/>
      <c r="B124" s="111"/>
      <c r="C124" s="115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75" customHeight="1">
      <c r="A125" s="106" t="s">
        <v>273</v>
      </c>
      <c r="B125" s="117" t="s">
        <v>239</v>
      </c>
      <c r="C125" s="118" t="s">
        <v>274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 outlineLevel="1">
      <c r="A126" s="109" t="s">
        <v>240</v>
      </c>
      <c r="B126" s="110"/>
      <c r="C126" s="110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77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 outlineLevel="1">
      <c r="A127" s="73" t="s">
        <v>241</v>
      </c>
      <c r="B127" s="115"/>
      <c r="C127" s="115"/>
      <c r="D127" s="103">
        <f t="shared" ref="D127:O127" si="29">D67*$C$127/1000</f>
        <v>0</v>
      </c>
      <c r="E127" s="103">
        <f t="shared" si="29"/>
        <v>0</v>
      </c>
      <c r="F127" s="103">
        <f t="shared" si="29"/>
        <v>0</v>
      </c>
      <c r="G127" s="103">
        <f t="shared" si="29"/>
        <v>0</v>
      </c>
      <c r="H127" s="103">
        <f t="shared" si="29"/>
        <v>0</v>
      </c>
      <c r="I127" s="103">
        <f t="shared" si="29"/>
        <v>0</v>
      </c>
      <c r="J127" s="103">
        <f t="shared" si="29"/>
        <v>0</v>
      </c>
      <c r="K127" s="103">
        <f t="shared" si="29"/>
        <v>0</v>
      </c>
      <c r="L127" s="103">
        <f t="shared" si="29"/>
        <v>0</v>
      </c>
      <c r="M127" s="103">
        <f t="shared" si="29"/>
        <v>0</v>
      </c>
      <c r="N127" s="103">
        <f t="shared" si="29"/>
        <v>0</v>
      </c>
      <c r="O127" s="103">
        <f t="shared" si="29"/>
        <v>0</v>
      </c>
      <c r="P127" s="103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 outlineLevel="1">
      <c r="A128" s="73" t="s">
        <v>242</v>
      </c>
      <c r="B128" s="115"/>
      <c r="C128" s="115"/>
      <c r="D128" s="103">
        <f t="shared" ref="D128:O128" si="30">D68*$C$127/1000</f>
        <v>0</v>
      </c>
      <c r="E128" s="103">
        <f t="shared" si="30"/>
        <v>0</v>
      </c>
      <c r="F128" s="103">
        <f t="shared" si="30"/>
        <v>0</v>
      </c>
      <c r="G128" s="103">
        <f t="shared" si="30"/>
        <v>0</v>
      </c>
      <c r="H128" s="103">
        <f t="shared" si="30"/>
        <v>0</v>
      </c>
      <c r="I128" s="103">
        <f t="shared" si="30"/>
        <v>0</v>
      </c>
      <c r="J128" s="103">
        <f t="shared" si="30"/>
        <v>0</v>
      </c>
      <c r="K128" s="103">
        <f t="shared" si="30"/>
        <v>0</v>
      </c>
      <c r="L128" s="103">
        <f t="shared" si="30"/>
        <v>0</v>
      </c>
      <c r="M128" s="103">
        <f t="shared" si="30"/>
        <v>0</v>
      </c>
      <c r="N128" s="103">
        <f t="shared" si="30"/>
        <v>0</v>
      </c>
      <c r="O128" s="103">
        <f t="shared" si="30"/>
        <v>0</v>
      </c>
      <c r="P128" s="103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 outlineLevel="1">
      <c r="A129" s="73" t="s">
        <v>243</v>
      </c>
      <c r="B129" s="115"/>
      <c r="C129" s="115"/>
      <c r="D129" s="103">
        <f t="shared" ref="D129:O129" si="31">D69*$C$127/1000</f>
        <v>0</v>
      </c>
      <c r="E129" s="103">
        <f t="shared" si="31"/>
        <v>0</v>
      </c>
      <c r="F129" s="103">
        <f t="shared" si="31"/>
        <v>0</v>
      </c>
      <c r="G129" s="103">
        <f t="shared" si="31"/>
        <v>0</v>
      </c>
      <c r="H129" s="103">
        <f t="shared" si="31"/>
        <v>0</v>
      </c>
      <c r="I129" s="103">
        <f t="shared" si="31"/>
        <v>0</v>
      </c>
      <c r="J129" s="103">
        <f t="shared" si="31"/>
        <v>0</v>
      </c>
      <c r="K129" s="103">
        <f t="shared" si="31"/>
        <v>0</v>
      </c>
      <c r="L129" s="103">
        <f t="shared" si="31"/>
        <v>0</v>
      </c>
      <c r="M129" s="103">
        <f t="shared" si="31"/>
        <v>0</v>
      </c>
      <c r="N129" s="103">
        <f t="shared" si="31"/>
        <v>0</v>
      </c>
      <c r="O129" s="103">
        <f t="shared" si="31"/>
        <v>0</v>
      </c>
      <c r="P129" s="103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 outlineLevel="1">
      <c r="A130" s="73" t="s">
        <v>244</v>
      </c>
      <c r="B130" s="115"/>
      <c r="C130" s="115"/>
      <c r="D130" s="103">
        <f t="shared" ref="D130:O130" si="32">D70*$C$127/1000</f>
        <v>0</v>
      </c>
      <c r="E130" s="103">
        <f t="shared" si="32"/>
        <v>0</v>
      </c>
      <c r="F130" s="103">
        <f t="shared" si="32"/>
        <v>0</v>
      </c>
      <c r="G130" s="103">
        <f t="shared" si="32"/>
        <v>0</v>
      </c>
      <c r="H130" s="103">
        <f t="shared" si="32"/>
        <v>0</v>
      </c>
      <c r="I130" s="103">
        <f t="shared" si="32"/>
        <v>0</v>
      </c>
      <c r="J130" s="103">
        <f t="shared" si="32"/>
        <v>0</v>
      </c>
      <c r="K130" s="103">
        <f t="shared" si="32"/>
        <v>0</v>
      </c>
      <c r="L130" s="103">
        <f t="shared" si="32"/>
        <v>0</v>
      </c>
      <c r="M130" s="103">
        <f t="shared" si="32"/>
        <v>0</v>
      </c>
      <c r="N130" s="103">
        <f t="shared" si="32"/>
        <v>0</v>
      </c>
      <c r="O130" s="103">
        <f t="shared" si="32"/>
        <v>0</v>
      </c>
      <c r="P130" s="103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 outlineLevel="1">
      <c r="A131" s="73" t="s">
        <v>245</v>
      </c>
      <c r="B131" s="115"/>
      <c r="C131" s="115"/>
      <c r="D131" s="103">
        <f t="shared" ref="D131:O131" si="33">D71*$C$127/1000</f>
        <v>0</v>
      </c>
      <c r="E131" s="103">
        <f t="shared" si="33"/>
        <v>0</v>
      </c>
      <c r="F131" s="103">
        <f t="shared" si="33"/>
        <v>0</v>
      </c>
      <c r="G131" s="103">
        <f t="shared" si="33"/>
        <v>0</v>
      </c>
      <c r="H131" s="103">
        <f t="shared" si="33"/>
        <v>0</v>
      </c>
      <c r="I131" s="103">
        <f t="shared" si="33"/>
        <v>0</v>
      </c>
      <c r="J131" s="103">
        <f t="shared" si="33"/>
        <v>0</v>
      </c>
      <c r="K131" s="103">
        <f t="shared" si="33"/>
        <v>0</v>
      </c>
      <c r="L131" s="103">
        <f t="shared" si="33"/>
        <v>0</v>
      </c>
      <c r="M131" s="103">
        <f t="shared" si="33"/>
        <v>0</v>
      </c>
      <c r="N131" s="103">
        <f t="shared" si="33"/>
        <v>0</v>
      </c>
      <c r="O131" s="103">
        <f t="shared" si="33"/>
        <v>0</v>
      </c>
      <c r="P131" s="103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 outlineLevel="1">
      <c r="A132" s="73" t="s">
        <v>246</v>
      </c>
      <c r="B132" s="115"/>
      <c r="C132" s="115"/>
      <c r="D132" s="103">
        <f t="shared" ref="D132:O132" si="34">D72*$C$127/1000</f>
        <v>0</v>
      </c>
      <c r="E132" s="103">
        <f t="shared" si="34"/>
        <v>0</v>
      </c>
      <c r="F132" s="103">
        <f t="shared" si="34"/>
        <v>0</v>
      </c>
      <c r="G132" s="103">
        <f t="shared" si="34"/>
        <v>0</v>
      </c>
      <c r="H132" s="103">
        <f t="shared" si="34"/>
        <v>0</v>
      </c>
      <c r="I132" s="103">
        <f t="shared" si="34"/>
        <v>0</v>
      </c>
      <c r="J132" s="103">
        <f t="shared" si="34"/>
        <v>0</v>
      </c>
      <c r="K132" s="103">
        <f t="shared" si="34"/>
        <v>0</v>
      </c>
      <c r="L132" s="103">
        <f t="shared" si="34"/>
        <v>0</v>
      </c>
      <c r="M132" s="103">
        <f t="shared" si="34"/>
        <v>0</v>
      </c>
      <c r="N132" s="103">
        <f t="shared" si="34"/>
        <v>0</v>
      </c>
      <c r="O132" s="103">
        <f t="shared" si="34"/>
        <v>0</v>
      </c>
      <c r="P132" s="103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 outlineLevel="1">
      <c r="A133" s="73" t="s">
        <v>247</v>
      </c>
      <c r="B133" s="115"/>
      <c r="C133" s="115"/>
      <c r="D133" s="103">
        <f t="shared" ref="D133:O133" si="35">D73*$C$127/1000</f>
        <v>0</v>
      </c>
      <c r="E133" s="103">
        <f t="shared" si="35"/>
        <v>0</v>
      </c>
      <c r="F133" s="103">
        <f t="shared" si="35"/>
        <v>0</v>
      </c>
      <c r="G133" s="103">
        <f t="shared" si="35"/>
        <v>0</v>
      </c>
      <c r="H133" s="103">
        <f t="shared" si="35"/>
        <v>0</v>
      </c>
      <c r="I133" s="103">
        <f t="shared" si="35"/>
        <v>0</v>
      </c>
      <c r="J133" s="103">
        <f t="shared" si="35"/>
        <v>0</v>
      </c>
      <c r="K133" s="103">
        <f t="shared" si="35"/>
        <v>0</v>
      </c>
      <c r="L133" s="103">
        <f t="shared" si="35"/>
        <v>0</v>
      </c>
      <c r="M133" s="103">
        <f t="shared" si="35"/>
        <v>0</v>
      </c>
      <c r="N133" s="103">
        <f t="shared" si="35"/>
        <v>0</v>
      </c>
      <c r="O133" s="103">
        <f t="shared" si="35"/>
        <v>0</v>
      </c>
      <c r="P133" s="103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 outlineLevel="1">
      <c r="A134" s="73" t="s">
        <v>248</v>
      </c>
      <c r="B134" s="115"/>
      <c r="C134" s="115"/>
      <c r="D134" s="103">
        <f t="shared" ref="D134:O134" si="36">D74*$C$127/1000</f>
        <v>0</v>
      </c>
      <c r="E134" s="103">
        <f t="shared" si="36"/>
        <v>0</v>
      </c>
      <c r="F134" s="103">
        <f t="shared" si="36"/>
        <v>0</v>
      </c>
      <c r="G134" s="103">
        <f t="shared" si="36"/>
        <v>0</v>
      </c>
      <c r="H134" s="103">
        <f t="shared" si="36"/>
        <v>0</v>
      </c>
      <c r="I134" s="103">
        <f t="shared" si="36"/>
        <v>0</v>
      </c>
      <c r="J134" s="103">
        <f t="shared" si="36"/>
        <v>0</v>
      </c>
      <c r="K134" s="103">
        <f t="shared" si="36"/>
        <v>0</v>
      </c>
      <c r="L134" s="103">
        <f t="shared" si="36"/>
        <v>0</v>
      </c>
      <c r="M134" s="103">
        <f t="shared" si="36"/>
        <v>0</v>
      </c>
      <c r="N134" s="103">
        <f t="shared" si="36"/>
        <v>0</v>
      </c>
      <c r="O134" s="103">
        <f t="shared" si="36"/>
        <v>0</v>
      </c>
      <c r="P134" s="103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 outlineLevel="1">
      <c r="A135" s="73" t="s">
        <v>249</v>
      </c>
      <c r="B135" s="115"/>
      <c r="C135" s="115"/>
      <c r="D135" s="103">
        <f t="shared" ref="D135:O135" si="37">D75*$C$127/1000</f>
        <v>0</v>
      </c>
      <c r="E135" s="103">
        <f t="shared" si="37"/>
        <v>0</v>
      </c>
      <c r="F135" s="103">
        <f t="shared" si="37"/>
        <v>0</v>
      </c>
      <c r="G135" s="103">
        <f t="shared" si="37"/>
        <v>0</v>
      </c>
      <c r="H135" s="103">
        <f t="shared" si="37"/>
        <v>0</v>
      </c>
      <c r="I135" s="103">
        <f t="shared" si="37"/>
        <v>0</v>
      </c>
      <c r="J135" s="103">
        <f t="shared" si="37"/>
        <v>0</v>
      </c>
      <c r="K135" s="103">
        <f t="shared" si="37"/>
        <v>0</v>
      </c>
      <c r="L135" s="103">
        <f t="shared" si="37"/>
        <v>0</v>
      </c>
      <c r="M135" s="103">
        <f t="shared" si="37"/>
        <v>0</v>
      </c>
      <c r="N135" s="103">
        <f t="shared" si="37"/>
        <v>0</v>
      </c>
      <c r="O135" s="103">
        <f t="shared" si="37"/>
        <v>0</v>
      </c>
      <c r="P135" s="103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 outlineLevel="1">
      <c r="A136" s="73" t="s">
        <v>250</v>
      </c>
      <c r="B136" s="115"/>
      <c r="C136" s="115"/>
      <c r="D136" s="103">
        <f t="shared" ref="D136:O136" si="38">D76*$C$127/1000</f>
        <v>0</v>
      </c>
      <c r="E136" s="103">
        <f t="shared" si="38"/>
        <v>0</v>
      </c>
      <c r="F136" s="103">
        <f t="shared" si="38"/>
        <v>0</v>
      </c>
      <c r="G136" s="103">
        <f t="shared" si="38"/>
        <v>0</v>
      </c>
      <c r="H136" s="103">
        <f t="shared" si="38"/>
        <v>0</v>
      </c>
      <c r="I136" s="103">
        <f t="shared" si="38"/>
        <v>0</v>
      </c>
      <c r="J136" s="103">
        <f t="shared" si="38"/>
        <v>0</v>
      </c>
      <c r="K136" s="103">
        <f t="shared" si="38"/>
        <v>0</v>
      </c>
      <c r="L136" s="103">
        <f t="shared" si="38"/>
        <v>0</v>
      </c>
      <c r="M136" s="103">
        <f t="shared" si="38"/>
        <v>0</v>
      </c>
      <c r="N136" s="103">
        <f t="shared" si="38"/>
        <v>0</v>
      </c>
      <c r="O136" s="103">
        <f t="shared" si="38"/>
        <v>0</v>
      </c>
      <c r="P136" s="103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 outlineLevel="1">
      <c r="A137" s="73" t="s">
        <v>251</v>
      </c>
      <c r="B137" s="115"/>
      <c r="C137" s="115"/>
      <c r="D137" s="103">
        <f t="shared" ref="D137:O137" si="39">D77*$C$127/1000</f>
        <v>0</v>
      </c>
      <c r="E137" s="103">
        <f t="shared" si="39"/>
        <v>0</v>
      </c>
      <c r="F137" s="103">
        <f t="shared" si="39"/>
        <v>0</v>
      </c>
      <c r="G137" s="103">
        <f t="shared" si="39"/>
        <v>0</v>
      </c>
      <c r="H137" s="103">
        <f t="shared" si="39"/>
        <v>0</v>
      </c>
      <c r="I137" s="103">
        <f t="shared" si="39"/>
        <v>0</v>
      </c>
      <c r="J137" s="103">
        <f t="shared" si="39"/>
        <v>0</v>
      </c>
      <c r="K137" s="103">
        <f t="shared" si="39"/>
        <v>0</v>
      </c>
      <c r="L137" s="103">
        <f t="shared" si="39"/>
        <v>0</v>
      </c>
      <c r="M137" s="103">
        <f t="shared" si="39"/>
        <v>0</v>
      </c>
      <c r="N137" s="103">
        <f t="shared" si="39"/>
        <v>0</v>
      </c>
      <c r="O137" s="103">
        <f t="shared" si="39"/>
        <v>0</v>
      </c>
      <c r="P137" s="103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 outlineLevel="1">
      <c r="A138" s="73" t="s">
        <v>252</v>
      </c>
      <c r="B138" s="115"/>
      <c r="C138" s="115"/>
      <c r="D138" s="103">
        <f t="shared" ref="D138:O138" si="40">D78*$C$127/1000</f>
        <v>0</v>
      </c>
      <c r="E138" s="103">
        <f t="shared" si="40"/>
        <v>0</v>
      </c>
      <c r="F138" s="103">
        <f t="shared" si="40"/>
        <v>0</v>
      </c>
      <c r="G138" s="103">
        <f t="shared" si="40"/>
        <v>0</v>
      </c>
      <c r="H138" s="103">
        <f t="shared" si="40"/>
        <v>0</v>
      </c>
      <c r="I138" s="103">
        <f t="shared" si="40"/>
        <v>0</v>
      </c>
      <c r="J138" s="103">
        <f t="shared" si="40"/>
        <v>0</v>
      </c>
      <c r="K138" s="103">
        <f t="shared" si="40"/>
        <v>0</v>
      </c>
      <c r="L138" s="103">
        <f t="shared" si="40"/>
        <v>0</v>
      </c>
      <c r="M138" s="103">
        <f t="shared" si="40"/>
        <v>0</v>
      </c>
      <c r="N138" s="103">
        <f t="shared" si="40"/>
        <v>0</v>
      </c>
      <c r="O138" s="103">
        <f t="shared" si="40"/>
        <v>0</v>
      </c>
      <c r="P138" s="103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 outlineLevel="1">
      <c r="A139" s="73" t="s">
        <v>253</v>
      </c>
      <c r="B139" s="115"/>
      <c r="C139" s="115"/>
      <c r="D139" s="103">
        <f t="shared" ref="D139:O139" si="41">D79*$C$127/1000</f>
        <v>0</v>
      </c>
      <c r="E139" s="103">
        <f t="shared" si="41"/>
        <v>0</v>
      </c>
      <c r="F139" s="103">
        <f t="shared" si="41"/>
        <v>0</v>
      </c>
      <c r="G139" s="103">
        <f t="shared" si="41"/>
        <v>0</v>
      </c>
      <c r="H139" s="103">
        <f t="shared" si="41"/>
        <v>0</v>
      </c>
      <c r="I139" s="103">
        <f t="shared" si="41"/>
        <v>0</v>
      </c>
      <c r="J139" s="103">
        <f t="shared" si="41"/>
        <v>0</v>
      </c>
      <c r="K139" s="103">
        <f t="shared" si="41"/>
        <v>0</v>
      </c>
      <c r="L139" s="103">
        <f t="shared" si="41"/>
        <v>0</v>
      </c>
      <c r="M139" s="103">
        <f t="shared" si="41"/>
        <v>0</v>
      </c>
      <c r="N139" s="103">
        <f t="shared" si="41"/>
        <v>0</v>
      </c>
      <c r="O139" s="103">
        <f t="shared" si="41"/>
        <v>0</v>
      </c>
      <c r="P139" s="103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 outlineLevel="1">
      <c r="A140" s="73" t="s">
        <v>254</v>
      </c>
      <c r="B140" s="115"/>
      <c r="C140" s="115"/>
      <c r="D140" s="103">
        <f t="shared" ref="D140:O140" si="42">D80*$C$127/1000</f>
        <v>0</v>
      </c>
      <c r="E140" s="103">
        <f t="shared" si="42"/>
        <v>0</v>
      </c>
      <c r="F140" s="103">
        <f t="shared" si="42"/>
        <v>0</v>
      </c>
      <c r="G140" s="103">
        <f t="shared" si="42"/>
        <v>0</v>
      </c>
      <c r="H140" s="103">
        <f t="shared" si="42"/>
        <v>0</v>
      </c>
      <c r="I140" s="103">
        <f t="shared" si="42"/>
        <v>0</v>
      </c>
      <c r="J140" s="103">
        <f t="shared" si="42"/>
        <v>0</v>
      </c>
      <c r="K140" s="103">
        <f t="shared" si="42"/>
        <v>0</v>
      </c>
      <c r="L140" s="103">
        <f t="shared" si="42"/>
        <v>0</v>
      </c>
      <c r="M140" s="103">
        <f t="shared" si="42"/>
        <v>0</v>
      </c>
      <c r="N140" s="103">
        <f t="shared" si="42"/>
        <v>0</v>
      </c>
      <c r="O140" s="103">
        <f t="shared" si="42"/>
        <v>0</v>
      </c>
      <c r="P140" s="103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 outlineLevel="1">
      <c r="A141" s="73" t="s">
        <v>255</v>
      </c>
      <c r="B141" s="115"/>
      <c r="C141" s="115"/>
      <c r="D141" s="103">
        <f t="shared" ref="D141:O141" si="43">D81*$C$127/1000</f>
        <v>0</v>
      </c>
      <c r="E141" s="103">
        <f t="shared" si="43"/>
        <v>0</v>
      </c>
      <c r="F141" s="103">
        <f t="shared" si="43"/>
        <v>0</v>
      </c>
      <c r="G141" s="103">
        <f t="shared" si="43"/>
        <v>0</v>
      </c>
      <c r="H141" s="103">
        <f t="shared" si="43"/>
        <v>0</v>
      </c>
      <c r="I141" s="103">
        <f t="shared" si="43"/>
        <v>0</v>
      </c>
      <c r="J141" s="103">
        <f t="shared" si="43"/>
        <v>0</v>
      </c>
      <c r="K141" s="103">
        <f t="shared" si="43"/>
        <v>0</v>
      </c>
      <c r="L141" s="103">
        <f t="shared" si="43"/>
        <v>0</v>
      </c>
      <c r="M141" s="103">
        <f t="shared" si="43"/>
        <v>0</v>
      </c>
      <c r="N141" s="103">
        <f t="shared" si="43"/>
        <v>0</v>
      </c>
      <c r="O141" s="103">
        <f t="shared" si="43"/>
        <v>0</v>
      </c>
      <c r="P141" s="103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 outlineLevel="1">
      <c r="A142" s="11"/>
      <c r="B142" s="115"/>
      <c r="C142" s="115"/>
      <c r="D142" s="103">
        <f t="shared" ref="D142:O142" si="44">D82*$C$127/1000</f>
        <v>0</v>
      </c>
      <c r="E142" s="103">
        <f t="shared" si="44"/>
        <v>0</v>
      </c>
      <c r="F142" s="103">
        <f t="shared" si="44"/>
        <v>0</v>
      </c>
      <c r="G142" s="103">
        <f t="shared" si="44"/>
        <v>0</v>
      </c>
      <c r="H142" s="103">
        <f t="shared" si="44"/>
        <v>0</v>
      </c>
      <c r="I142" s="103">
        <f t="shared" si="44"/>
        <v>0</v>
      </c>
      <c r="J142" s="103">
        <f t="shared" si="44"/>
        <v>0</v>
      </c>
      <c r="K142" s="103">
        <f t="shared" si="44"/>
        <v>0</v>
      </c>
      <c r="L142" s="103">
        <f t="shared" si="44"/>
        <v>0</v>
      </c>
      <c r="M142" s="103">
        <f t="shared" si="44"/>
        <v>0</v>
      </c>
      <c r="N142" s="103">
        <f t="shared" si="44"/>
        <v>0</v>
      </c>
      <c r="O142" s="103">
        <f t="shared" si="44"/>
        <v>0</v>
      </c>
      <c r="P142" s="103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 outlineLevel="1">
      <c r="A143" s="109" t="s">
        <v>256</v>
      </c>
      <c r="B143" s="110"/>
      <c r="C143" s="116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>
        <f>D143+E143+F143+G143+H143+I143+J143+K143+L143+M143+N143+O143</f>
        <v>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 outlineLevel="1">
      <c r="A144" s="73" t="s">
        <v>257</v>
      </c>
      <c r="B144" s="110"/>
      <c r="C144" s="116"/>
      <c r="D144" s="103">
        <f t="shared" ref="D144:O144" si="45">D84*$C$127/1000</f>
        <v>0</v>
      </c>
      <c r="E144" s="103">
        <f t="shared" si="45"/>
        <v>0</v>
      </c>
      <c r="F144" s="103">
        <f t="shared" si="45"/>
        <v>0</v>
      </c>
      <c r="G144" s="103">
        <f t="shared" si="45"/>
        <v>0</v>
      </c>
      <c r="H144" s="103">
        <f t="shared" si="45"/>
        <v>0</v>
      </c>
      <c r="I144" s="103">
        <f t="shared" si="45"/>
        <v>0</v>
      </c>
      <c r="J144" s="103">
        <f t="shared" si="45"/>
        <v>0</v>
      </c>
      <c r="K144" s="103">
        <f t="shared" si="45"/>
        <v>0</v>
      </c>
      <c r="L144" s="103">
        <f t="shared" si="45"/>
        <v>0</v>
      </c>
      <c r="M144" s="103">
        <f t="shared" si="45"/>
        <v>0</v>
      </c>
      <c r="N144" s="103">
        <f t="shared" si="45"/>
        <v>0</v>
      </c>
      <c r="O144" s="103">
        <f t="shared" si="45"/>
        <v>0</v>
      </c>
      <c r="P144" s="103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 outlineLevel="1">
      <c r="A145" s="73" t="s">
        <v>258</v>
      </c>
      <c r="B145" s="111"/>
      <c r="C145" s="116"/>
      <c r="D145" s="103">
        <f t="shared" ref="D145:O145" si="46">D85*$C$127/1000</f>
        <v>0</v>
      </c>
      <c r="E145" s="103">
        <f t="shared" si="46"/>
        <v>0</v>
      </c>
      <c r="F145" s="103">
        <f t="shared" si="46"/>
        <v>0</v>
      </c>
      <c r="G145" s="103">
        <f t="shared" si="46"/>
        <v>0</v>
      </c>
      <c r="H145" s="103">
        <f t="shared" si="46"/>
        <v>0</v>
      </c>
      <c r="I145" s="103">
        <f t="shared" si="46"/>
        <v>0</v>
      </c>
      <c r="J145" s="103">
        <f t="shared" si="46"/>
        <v>0</v>
      </c>
      <c r="K145" s="103">
        <f t="shared" si="46"/>
        <v>0</v>
      </c>
      <c r="L145" s="103">
        <f t="shared" si="46"/>
        <v>0</v>
      </c>
      <c r="M145" s="103">
        <f t="shared" si="46"/>
        <v>0</v>
      </c>
      <c r="N145" s="103">
        <f t="shared" si="46"/>
        <v>0</v>
      </c>
      <c r="O145" s="103">
        <f t="shared" si="46"/>
        <v>0</v>
      </c>
      <c r="P145" s="103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 outlineLevel="1">
      <c r="A146" s="73" t="s">
        <v>259</v>
      </c>
      <c r="B146" s="111"/>
      <c r="C146" s="116"/>
      <c r="D146" s="103">
        <f t="shared" ref="D146:O146" si="47">D86*$C$127/1000</f>
        <v>0</v>
      </c>
      <c r="E146" s="103">
        <f t="shared" si="47"/>
        <v>0</v>
      </c>
      <c r="F146" s="103">
        <f t="shared" si="47"/>
        <v>0</v>
      </c>
      <c r="G146" s="103">
        <f t="shared" si="47"/>
        <v>0</v>
      </c>
      <c r="H146" s="103">
        <f t="shared" si="47"/>
        <v>0</v>
      </c>
      <c r="I146" s="103">
        <f t="shared" si="47"/>
        <v>0</v>
      </c>
      <c r="J146" s="103">
        <f t="shared" si="47"/>
        <v>0</v>
      </c>
      <c r="K146" s="103">
        <f t="shared" si="47"/>
        <v>0</v>
      </c>
      <c r="L146" s="103">
        <f t="shared" si="47"/>
        <v>0</v>
      </c>
      <c r="M146" s="103">
        <f t="shared" si="47"/>
        <v>0</v>
      </c>
      <c r="N146" s="103">
        <f t="shared" si="47"/>
        <v>0</v>
      </c>
      <c r="O146" s="103">
        <f t="shared" si="47"/>
        <v>0</v>
      </c>
      <c r="P146" s="103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 outlineLevel="1">
      <c r="A147" s="73" t="s">
        <v>260</v>
      </c>
      <c r="B147" s="111"/>
      <c r="C147" s="116"/>
      <c r="D147" s="103">
        <f t="shared" ref="D147:O147" si="48">D87*$C$127/1000</f>
        <v>0</v>
      </c>
      <c r="E147" s="103">
        <f t="shared" si="48"/>
        <v>0</v>
      </c>
      <c r="F147" s="103">
        <f t="shared" si="48"/>
        <v>0</v>
      </c>
      <c r="G147" s="103">
        <f t="shared" si="48"/>
        <v>0</v>
      </c>
      <c r="H147" s="103">
        <f t="shared" si="48"/>
        <v>0</v>
      </c>
      <c r="I147" s="103">
        <f t="shared" si="48"/>
        <v>0</v>
      </c>
      <c r="J147" s="103">
        <f t="shared" si="48"/>
        <v>0</v>
      </c>
      <c r="K147" s="103">
        <f t="shared" si="48"/>
        <v>0</v>
      </c>
      <c r="L147" s="103">
        <f t="shared" si="48"/>
        <v>0</v>
      </c>
      <c r="M147" s="103">
        <f t="shared" si="48"/>
        <v>0</v>
      </c>
      <c r="N147" s="103">
        <f t="shared" si="48"/>
        <v>0</v>
      </c>
      <c r="O147" s="103">
        <f t="shared" si="48"/>
        <v>0</v>
      </c>
      <c r="P147" s="103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 outlineLevel="1">
      <c r="A148" s="73" t="s">
        <v>261</v>
      </c>
      <c r="B148" s="111"/>
      <c r="C148" s="110"/>
      <c r="D148" s="103">
        <f t="shared" ref="D148:O148" si="49">D88*$C$127/1000</f>
        <v>0</v>
      </c>
      <c r="E148" s="103">
        <f t="shared" si="49"/>
        <v>0</v>
      </c>
      <c r="F148" s="103">
        <f t="shared" si="49"/>
        <v>0</v>
      </c>
      <c r="G148" s="103">
        <f t="shared" si="49"/>
        <v>0</v>
      </c>
      <c r="H148" s="103">
        <f t="shared" si="49"/>
        <v>0</v>
      </c>
      <c r="I148" s="103">
        <f t="shared" si="49"/>
        <v>0</v>
      </c>
      <c r="J148" s="103">
        <f t="shared" si="49"/>
        <v>0</v>
      </c>
      <c r="K148" s="103">
        <f t="shared" si="49"/>
        <v>0</v>
      </c>
      <c r="L148" s="103">
        <f t="shared" si="49"/>
        <v>0</v>
      </c>
      <c r="M148" s="103">
        <f t="shared" si="49"/>
        <v>0</v>
      </c>
      <c r="N148" s="103">
        <f t="shared" si="49"/>
        <v>0</v>
      </c>
      <c r="O148" s="103">
        <f t="shared" si="49"/>
        <v>0</v>
      </c>
      <c r="P148" s="103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 outlineLevel="1">
      <c r="A149" s="73" t="s">
        <v>262</v>
      </c>
      <c r="B149" s="111"/>
      <c r="C149" s="110"/>
      <c r="D149" s="103">
        <f t="shared" ref="D149:O149" si="50">D89*$C$127/1000</f>
        <v>0</v>
      </c>
      <c r="E149" s="103">
        <f t="shared" si="50"/>
        <v>0</v>
      </c>
      <c r="F149" s="103">
        <f t="shared" si="50"/>
        <v>0</v>
      </c>
      <c r="G149" s="103">
        <f t="shared" si="50"/>
        <v>0</v>
      </c>
      <c r="H149" s="103">
        <f t="shared" si="50"/>
        <v>0</v>
      </c>
      <c r="I149" s="103">
        <f t="shared" si="50"/>
        <v>0</v>
      </c>
      <c r="J149" s="103">
        <f t="shared" si="50"/>
        <v>0</v>
      </c>
      <c r="K149" s="103">
        <f t="shared" si="50"/>
        <v>0</v>
      </c>
      <c r="L149" s="103">
        <f t="shared" si="50"/>
        <v>0</v>
      </c>
      <c r="M149" s="103">
        <f t="shared" si="50"/>
        <v>0</v>
      </c>
      <c r="N149" s="103">
        <f t="shared" si="50"/>
        <v>0</v>
      </c>
      <c r="O149" s="103">
        <f t="shared" si="50"/>
        <v>0</v>
      </c>
      <c r="P149" s="103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 outlineLevel="1">
      <c r="A150" s="73" t="s">
        <v>263</v>
      </c>
      <c r="B150" s="111"/>
      <c r="C150" s="110"/>
      <c r="D150" s="103">
        <f t="shared" ref="D150:O150" si="51">D90*$C$127/1000</f>
        <v>0</v>
      </c>
      <c r="E150" s="103">
        <f t="shared" si="51"/>
        <v>0</v>
      </c>
      <c r="F150" s="103">
        <f t="shared" si="51"/>
        <v>0</v>
      </c>
      <c r="G150" s="103">
        <f t="shared" si="51"/>
        <v>0</v>
      </c>
      <c r="H150" s="103">
        <f t="shared" si="51"/>
        <v>0</v>
      </c>
      <c r="I150" s="103">
        <f t="shared" si="51"/>
        <v>0</v>
      </c>
      <c r="J150" s="103">
        <f t="shared" si="51"/>
        <v>0</v>
      </c>
      <c r="K150" s="103">
        <f t="shared" si="51"/>
        <v>0</v>
      </c>
      <c r="L150" s="103">
        <f t="shared" si="51"/>
        <v>0</v>
      </c>
      <c r="M150" s="103">
        <f t="shared" si="51"/>
        <v>0</v>
      </c>
      <c r="N150" s="103">
        <f t="shared" si="51"/>
        <v>0</v>
      </c>
      <c r="O150" s="103">
        <f t="shared" si="51"/>
        <v>0</v>
      </c>
      <c r="P150" s="103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 outlineLevel="1">
      <c r="A151" s="73" t="s">
        <v>264</v>
      </c>
      <c r="B151" s="111"/>
      <c r="C151" s="110"/>
      <c r="D151" s="103">
        <f t="shared" ref="D151:O151" si="52">D91*$C$127/1000</f>
        <v>0</v>
      </c>
      <c r="E151" s="103">
        <f t="shared" si="52"/>
        <v>0</v>
      </c>
      <c r="F151" s="103">
        <f t="shared" si="52"/>
        <v>0</v>
      </c>
      <c r="G151" s="103">
        <f t="shared" si="52"/>
        <v>0</v>
      </c>
      <c r="H151" s="103">
        <f t="shared" si="52"/>
        <v>0</v>
      </c>
      <c r="I151" s="103">
        <f t="shared" si="52"/>
        <v>0</v>
      </c>
      <c r="J151" s="103">
        <f t="shared" si="52"/>
        <v>0</v>
      </c>
      <c r="K151" s="103">
        <f t="shared" si="52"/>
        <v>0</v>
      </c>
      <c r="L151" s="103">
        <f t="shared" si="52"/>
        <v>0</v>
      </c>
      <c r="M151" s="103">
        <f t="shared" si="52"/>
        <v>0</v>
      </c>
      <c r="N151" s="103">
        <f t="shared" si="52"/>
        <v>0</v>
      </c>
      <c r="O151" s="103">
        <f t="shared" si="52"/>
        <v>0</v>
      </c>
      <c r="P151" s="103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 outlineLevel="1">
      <c r="A152" s="73" t="s">
        <v>265</v>
      </c>
      <c r="B152" s="111"/>
      <c r="C152" s="110"/>
      <c r="D152" s="103">
        <f t="shared" ref="D152:O152" si="53">D92*$C$127/1000</f>
        <v>0</v>
      </c>
      <c r="E152" s="103">
        <f t="shared" si="53"/>
        <v>0</v>
      </c>
      <c r="F152" s="103">
        <f t="shared" si="53"/>
        <v>0</v>
      </c>
      <c r="G152" s="103">
        <f t="shared" si="53"/>
        <v>0</v>
      </c>
      <c r="H152" s="103">
        <f t="shared" si="53"/>
        <v>0</v>
      </c>
      <c r="I152" s="103">
        <f t="shared" si="53"/>
        <v>0</v>
      </c>
      <c r="J152" s="103">
        <f t="shared" si="53"/>
        <v>0</v>
      </c>
      <c r="K152" s="103">
        <f t="shared" si="53"/>
        <v>0</v>
      </c>
      <c r="L152" s="103">
        <f t="shared" si="53"/>
        <v>0</v>
      </c>
      <c r="M152" s="103">
        <f t="shared" si="53"/>
        <v>0</v>
      </c>
      <c r="N152" s="103">
        <f t="shared" si="53"/>
        <v>0</v>
      </c>
      <c r="O152" s="103">
        <f t="shared" si="53"/>
        <v>0</v>
      </c>
      <c r="P152" s="103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 outlineLevel="1">
      <c r="A153" s="73" t="s">
        <v>266</v>
      </c>
      <c r="B153" s="111"/>
      <c r="C153" s="110"/>
      <c r="D153" s="103">
        <f t="shared" ref="D153:O153" si="54">D93*$C$127/1000</f>
        <v>0</v>
      </c>
      <c r="E153" s="103">
        <f t="shared" si="54"/>
        <v>0</v>
      </c>
      <c r="F153" s="103">
        <f t="shared" si="54"/>
        <v>0</v>
      </c>
      <c r="G153" s="103">
        <f t="shared" si="54"/>
        <v>0</v>
      </c>
      <c r="H153" s="103">
        <f t="shared" si="54"/>
        <v>0</v>
      </c>
      <c r="I153" s="103">
        <f t="shared" si="54"/>
        <v>0</v>
      </c>
      <c r="J153" s="103">
        <f t="shared" si="54"/>
        <v>0</v>
      </c>
      <c r="K153" s="103">
        <f t="shared" si="54"/>
        <v>0</v>
      </c>
      <c r="L153" s="103">
        <f t="shared" si="54"/>
        <v>0</v>
      </c>
      <c r="M153" s="103">
        <f t="shared" si="54"/>
        <v>0</v>
      </c>
      <c r="N153" s="103">
        <f t="shared" si="54"/>
        <v>0</v>
      </c>
      <c r="O153" s="103">
        <f t="shared" si="54"/>
        <v>0</v>
      </c>
      <c r="P153" s="103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 outlineLevel="1">
      <c r="A154" s="11"/>
      <c r="B154" s="111"/>
      <c r="C154" s="110"/>
      <c r="D154" s="103">
        <f t="shared" ref="D154:O154" si="55">D94*$C$127/1000</f>
        <v>0</v>
      </c>
      <c r="E154" s="103">
        <f t="shared" si="55"/>
        <v>0</v>
      </c>
      <c r="F154" s="103">
        <f t="shared" si="55"/>
        <v>0</v>
      </c>
      <c r="G154" s="103">
        <f t="shared" si="55"/>
        <v>0</v>
      </c>
      <c r="H154" s="103">
        <f t="shared" si="55"/>
        <v>0</v>
      </c>
      <c r="I154" s="103">
        <f t="shared" si="55"/>
        <v>0</v>
      </c>
      <c r="J154" s="103">
        <f t="shared" si="55"/>
        <v>0</v>
      </c>
      <c r="K154" s="103">
        <f t="shared" si="55"/>
        <v>0</v>
      </c>
      <c r="L154" s="103">
        <f t="shared" si="55"/>
        <v>0</v>
      </c>
      <c r="M154" s="103">
        <f t="shared" si="55"/>
        <v>0</v>
      </c>
      <c r="N154" s="103">
        <f t="shared" si="55"/>
        <v>0</v>
      </c>
      <c r="O154" s="103">
        <f t="shared" si="55"/>
        <v>0</v>
      </c>
      <c r="P154" s="103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106" t="s">
        <v>275</v>
      </c>
      <c r="B155" s="107"/>
      <c r="C155" s="112"/>
      <c r="D155" s="119">
        <f t="shared" ref="D155:P155" si="56">SUM(D126:D154)</f>
        <v>0</v>
      </c>
      <c r="E155" s="119">
        <f t="shared" si="56"/>
        <v>0</v>
      </c>
      <c r="F155" s="119">
        <f t="shared" si="56"/>
        <v>0</v>
      </c>
      <c r="G155" s="119">
        <f t="shared" si="56"/>
        <v>0</v>
      </c>
      <c r="H155" s="119">
        <f t="shared" si="56"/>
        <v>0</v>
      </c>
      <c r="I155" s="119">
        <f t="shared" si="56"/>
        <v>0</v>
      </c>
      <c r="J155" s="119">
        <f t="shared" si="56"/>
        <v>0</v>
      </c>
      <c r="K155" s="119">
        <f t="shared" si="56"/>
        <v>0</v>
      </c>
      <c r="L155" s="119">
        <f t="shared" si="56"/>
        <v>0</v>
      </c>
      <c r="M155" s="119">
        <f t="shared" si="56"/>
        <v>0</v>
      </c>
      <c r="N155" s="119">
        <f t="shared" si="56"/>
        <v>0</v>
      </c>
      <c r="O155" s="119">
        <f t="shared" si="56"/>
        <v>0</v>
      </c>
      <c r="P155" s="119">
        <f t="shared" si="56"/>
        <v>0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89" t="s">
        <v>276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3"/>
      <c r="B158" s="3"/>
      <c r="C158" s="3" t="s">
        <v>277</v>
      </c>
      <c r="D158" s="3" t="s">
        <v>2</v>
      </c>
      <c r="E158" s="3" t="s">
        <v>3</v>
      </c>
      <c r="F158" s="3" t="s">
        <v>4</v>
      </c>
      <c r="G158" s="3" t="s">
        <v>5</v>
      </c>
      <c r="H158" s="3" t="s">
        <v>6</v>
      </c>
      <c r="I158" s="3" t="s">
        <v>7</v>
      </c>
      <c r="J158" s="3" t="s">
        <v>8</v>
      </c>
      <c r="K158" s="3" t="s">
        <v>9</v>
      </c>
      <c r="L158" s="3" t="s">
        <v>10</v>
      </c>
      <c r="M158" s="3" t="s">
        <v>11</v>
      </c>
      <c r="N158" s="3" t="s">
        <v>12</v>
      </c>
      <c r="O158" s="3" t="s">
        <v>13</v>
      </c>
      <c r="P158" s="3" t="s">
        <v>14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106"/>
      <c r="B159" s="107"/>
      <c r="C159" s="108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20" t="s">
        <v>278</v>
      </c>
      <c r="B160" s="121"/>
      <c r="C160" s="122">
        <f t="shared" ref="C160:P160" si="57">SUM(C161:C176)</f>
        <v>0</v>
      </c>
      <c r="D160" s="122">
        <f t="shared" si="57"/>
        <v>0</v>
      </c>
      <c r="E160" s="122">
        <f t="shared" si="57"/>
        <v>0</v>
      </c>
      <c r="F160" s="122">
        <f t="shared" si="57"/>
        <v>0</v>
      </c>
      <c r="G160" s="122">
        <f t="shared" si="57"/>
        <v>0</v>
      </c>
      <c r="H160" s="122">
        <f t="shared" si="57"/>
        <v>0</v>
      </c>
      <c r="I160" s="122">
        <f t="shared" si="57"/>
        <v>0</v>
      </c>
      <c r="J160" s="122">
        <f t="shared" si="57"/>
        <v>0</v>
      </c>
      <c r="K160" s="122">
        <f t="shared" si="57"/>
        <v>0</v>
      </c>
      <c r="L160" s="122">
        <f t="shared" si="57"/>
        <v>0</v>
      </c>
      <c r="M160" s="122">
        <f t="shared" si="57"/>
        <v>0</v>
      </c>
      <c r="N160" s="122">
        <f t="shared" si="57"/>
        <v>0</v>
      </c>
      <c r="O160" s="122">
        <f t="shared" si="57"/>
        <v>0</v>
      </c>
      <c r="P160" s="122">
        <f t="shared" si="57"/>
        <v>0</v>
      </c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2.75" customHeight="1">
      <c r="A161" s="73" t="s">
        <v>241</v>
      </c>
      <c r="B161" s="110"/>
      <c r="C161" s="110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73" t="s">
        <v>242</v>
      </c>
      <c r="B162" s="110"/>
      <c r="C162" s="110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73" t="s">
        <v>243</v>
      </c>
      <c r="B163" s="110"/>
      <c r="C163" s="110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73" t="s">
        <v>244</v>
      </c>
      <c r="B164" s="110"/>
      <c r="C164" s="110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73" t="s">
        <v>245</v>
      </c>
      <c r="B165" s="110"/>
      <c r="C165" s="110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73" t="s">
        <v>246</v>
      </c>
      <c r="B166" s="110"/>
      <c r="C166" s="110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73" t="s">
        <v>247</v>
      </c>
      <c r="B167" s="110"/>
      <c r="C167" s="110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73" t="s">
        <v>248</v>
      </c>
      <c r="B168" s="110"/>
      <c r="C168" s="110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73" t="s">
        <v>249</v>
      </c>
      <c r="B169" s="110"/>
      <c r="C169" s="110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73" t="s">
        <v>250</v>
      </c>
      <c r="B170" s="110"/>
      <c r="C170" s="110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73" t="s">
        <v>251</v>
      </c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O171" s="110"/>
      <c r="P171" s="110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73" t="s">
        <v>252</v>
      </c>
      <c r="B172" s="110"/>
      <c r="C172" s="110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73" t="s">
        <v>253</v>
      </c>
      <c r="B173" s="110"/>
      <c r="C173" s="110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73" t="s">
        <v>254</v>
      </c>
      <c r="B174" s="110"/>
      <c r="C174" s="110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73" t="s">
        <v>255</v>
      </c>
      <c r="B175" s="110"/>
      <c r="C175" s="110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23"/>
      <c r="B176" s="110"/>
      <c r="C176" s="110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09" t="s">
        <v>256</v>
      </c>
      <c r="B177" s="110"/>
      <c r="C177" s="110">
        <f t="shared" ref="C177:P177" si="58">SUM(C178:C188)</f>
        <v>0</v>
      </c>
      <c r="D177" s="110">
        <f t="shared" si="58"/>
        <v>0</v>
      </c>
      <c r="E177" s="110">
        <f t="shared" si="58"/>
        <v>0</v>
      </c>
      <c r="F177" s="110">
        <f t="shared" si="58"/>
        <v>0</v>
      </c>
      <c r="G177" s="110">
        <f t="shared" si="58"/>
        <v>0</v>
      </c>
      <c r="H177" s="110">
        <f t="shared" si="58"/>
        <v>0</v>
      </c>
      <c r="I177" s="110">
        <f t="shared" si="58"/>
        <v>0</v>
      </c>
      <c r="J177" s="110">
        <f t="shared" si="58"/>
        <v>0</v>
      </c>
      <c r="K177" s="110">
        <f t="shared" si="58"/>
        <v>0</v>
      </c>
      <c r="L177" s="110">
        <f t="shared" si="58"/>
        <v>0</v>
      </c>
      <c r="M177" s="110">
        <f t="shared" si="58"/>
        <v>0</v>
      </c>
      <c r="N177" s="110">
        <f t="shared" si="58"/>
        <v>0</v>
      </c>
      <c r="O177" s="110">
        <f t="shared" si="58"/>
        <v>0</v>
      </c>
      <c r="P177" s="110">
        <f t="shared" si="58"/>
        <v>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73" t="s">
        <v>257</v>
      </c>
      <c r="B178" s="110"/>
      <c r="C178" s="110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73" t="s">
        <v>258</v>
      </c>
      <c r="B179" s="110"/>
      <c r="C179" s="110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73" t="s">
        <v>259</v>
      </c>
      <c r="B180" s="110"/>
      <c r="C180" s="110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73" t="s">
        <v>260</v>
      </c>
      <c r="B181" s="110"/>
      <c r="C181" s="110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73" t="s">
        <v>261</v>
      </c>
      <c r="B182" s="110"/>
      <c r="C182" s="110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73" t="s">
        <v>262</v>
      </c>
      <c r="B183" s="110"/>
      <c r="C183" s="110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73" t="s">
        <v>263</v>
      </c>
      <c r="B184" s="110"/>
      <c r="C184" s="110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73" t="s">
        <v>264</v>
      </c>
      <c r="B185" s="110"/>
      <c r="C185" s="110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73" t="s">
        <v>265</v>
      </c>
      <c r="B186" s="110"/>
      <c r="C186" s="110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73" t="s">
        <v>266</v>
      </c>
      <c r="B187" s="110"/>
      <c r="C187" s="110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23"/>
      <c r="B188" s="110"/>
      <c r="C188" s="110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1" t="s">
        <v>279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3"/>
      <c r="B190" s="3"/>
      <c r="C190" s="3"/>
      <c r="D190" s="3" t="s">
        <v>2</v>
      </c>
      <c r="E190" s="3" t="s">
        <v>3</v>
      </c>
      <c r="F190" s="3" t="s">
        <v>4</v>
      </c>
      <c r="G190" s="3" t="s">
        <v>5</v>
      </c>
      <c r="H190" s="3" t="s">
        <v>6</v>
      </c>
      <c r="I190" s="3" t="s">
        <v>7</v>
      </c>
      <c r="J190" s="3" t="s">
        <v>8</v>
      </c>
      <c r="K190" s="3" t="s">
        <v>9</v>
      </c>
      <c r="L190" s="3" t="s">
        <v>10</v>
      </c>
      <c r="M190" s="3" t="s">
        <v>11</v>
      </c>
      <c r="N190" s="3" t="s">
        <v>12</v>
      </c>
      <c r="O190" s="3" t="s">
        <v>13</v>
      </c>
      <c r="P190" s="3" t="s">
        <v>14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106"/>
      <c r="B191" s="118" t="s">
        <v>280</v>
      </c>
      <c r="C191" s="118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20" t="s">
        <v>278</v>
      </c>
      <c r="B192" s="121">
        <f t="shared" ref="B192:P192" si="59">SUM(B193:B208)</f>
        <v>0</v>
      </c>
      <c r="C192" s="121">
        <f t="shared" si="59"/>
        <v>0</v>
      </c>
      <c r="D192" s="121">
        <f t="shared" si="59"/>
        <v>0</v>
      </c>
      <c r="E192" s="121">
        <f t="shared" si="59"/>
        <v>0</v>
      </c>
      <c r="F192" s="121">
        <f t="shared" si="59"/>
        <v>0</v>
      </c>
      <c r="G192" s="121">
        <f t="shared" si="59"/>
        <v>0</v>
      </c>
      <c r="H192" s="121">
        <f t="shared" si="59"/>
        <v>0</v>
      </c>
      <c r="I192" s="121">
        <f t="shared" si="59"/>
        <v>0</v>
      </c>
      <c r="J192" s="121">
        <f t="shared" si="59"/>
        <v>0</v>
      </c>
      <c r="K192" s="121">
        <f t="shared" si="59"/>
        <v>0</v>
      </c>
      <c r="L192" s="121">
        <f t="shared" si="59"/>
        <v>0</v>
      </c>
      <c r="M192" s="121">
        <f t="shared" si="59"/>
        <v>0</v>
      </c>
      <c r="N192" s="121">
        <f t="shared" si="59"/>
        <v>0</v>
      </c>
      <c r="O192" s="121">
        <f t="shared" si="59"/>
        <v>0</v>
      </c>
      <c r="P192" s="121">
        <f t="shared" si="59"/>
        <v>0</v>
      </c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1.25" customHeight="1">
      <c r="A193" s="73" t="s">
        <v>241</v>
      </c>
      <c r="B193" s="2"/>
      <c r="C193" s="2"/>
      <c r="D193" s="103">
        <f t="shared" ref="D193:O193" si="60">B193+D127-D161</f>
        <v>0</v>
      </c>
      <c r="E193" s="103">
        <f t="shared" si="60"/>
        <v>0</v>
      </c>
      <c r="F193" s="103">
        <f t="shared" si="60"/>
        <v>0</v>
      </c>
      <c r="G193" s="103">
        <f t="shared" si="60"/>
        <v>0</v>
      </c>
      <c r="H193" s="103">
        <f t="shared" si="60"/>
        <v>0</v>
      </c>
      <c r="I193" s="103">
        <f t="shared" si="60"/>
        <v>0</v>
      </c>
      <c r="J193" s="103">
        <f t="shared" si="60"/>
        <v>0</v>
      </c>
      <c r="K193" s="103">
        <f t="shared" si="60"/>
        <v>0</v>
      </c>
      <c r="L193" s="103">
        <f t="shared" si="60"/>
        <v>0</v>
      </c>
      <c r="M193" s="103">
        <f t="shared" si="60"/>
        <v>0</v>
      </c>
      <c r="N193" s="103">
        <f t="shared" si="60"/>
        <v>0</v>
      </c>
      <c r="O193" s="103">
        <f t="shared" si="60"/>
        <v>0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73" t="s">
        <v>242</v>
      </c>
      <c r="B194" s="2"/>
      <c r="C194" s="2"/>
      <c r="D194" s="103">
        <f t="shared" ref="D194:O194" si="61">B194+D128-D162</f>
        <v>0</v>
      </c>
      <c r="E194" s="103">
        <f t="shared" si="61"/>
        <v>0</v>
      </c>
      <c r="F194" s="103">
        <f t="shared" si="61"/>
        <v>0</v>
      </c>
      <c r="G194" s="103">
        <f t="shared" si="61"/>
        <v>0</v>
      </c>
      <c r="H194" s="103">
        <f t="shared" si="61"/>
        <v>0</v>
      </c>
      <c r="I194" s="103">
        <f t="shared" si="61"/>
        <v>0</v>
      </c>
      <c r="J194" s="103">
        <f t="shared" si="61"/>
        <v>0</v>
      </c>
      <c r="K194" s="103">
        <f t="shared" si="61"/>
        <v>0</v>
      </c>
      <c r="L194" s="103">
        <f t="shared" si="61"/>
        <v>0</v>
      </c>
      <c r="M194" s="103">
        <f t="shared" si="61"/>
        <v>0</v>
      </c>
      <c r="N194" s="103">
        <f t="shared" si="61"/>
        <v>0</v>
      </c>
      <c r="O194" s="103">
        <f t="shared" si="61"/>
        <v>0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73" t="s">
        <v>243</v>
      </c>
      <c r="B195" s="2"/>
      <c r="C195" s="2"/>
      <c r="D195" s="103">
        <f t="shared" ref="D195:O195" si="62">B195+D129-D163</f>
        <v>0</v>
      </c>
      <c r="E195" s="103">
        <f t="shared" si="62"/>
        <v>0</v>
      </c>
      <c r="F195" s="103">
        <f t="shared" si="62"/>
        <v>0</v>
      </c>
      <c r="G195" s="103">
        <f t="shared" si="62"/>
        <v>0</v>
      </c>
      <c r="H195" s="103">
        <f t="shared" si="62"/>
        <v>0</v>
      </c>
      <c r="I195" s="103">
        <f t="shared" si="62"/>
        <v>0</v>
      </c>
      <c r="J195" s="103">
        <f t="shared" si="62"/>
        <v>0</v>
      </c>
      <c r="K195" s="103">
        <f t="shared" si="62"/>
        <v>0</v>
      </c>
      <c r="L195" s="103">
        <f t="shared" si="62"/>
        <v>0</v>
      </c>
      <c r="M195" s="103">
        <f t="shared" si="62"/>
        <v>0</v>
      </c>
      <c r="N195" s="103">
        <f t="shared" si="62"/>
        <v>0</v>
      </c>
      <c r="O195" s="103">
        <f t="shared" si="62"/>
        <v>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73" t="s">
        <v>244</v>
      </c>
      <c r="B196" s="2"/>
      <c r="C196" s="2"/>
      <c r="D196" s="103">
        <f t="shared" ref="D196:O196" si="63">B196+D130-D164</f>
        <v>0</v>
      </c>
      <c r="E196" s="103">
        <f t="shared" si="63"/>
        <v>0</v>
      </c>
      <c r="F196" s="103">
        <f t="shared" si="63"/>
        <v>0</v>
      </c>
      <c r="G196" s="103">
        <f t="shared" si="63"/>
        <v>0</v>
      </c>
      <c r="H196" s="103">
        <f t="shared" si="63"/>
        <v>0</v>
      </c>
      <c r="I196" s="103">
        <f t="shared" si="63"/>
        <v>0</v>
      </c>
      <c r="J196" s="103">
        <f t="shared" si="63"/>
        <v>0</v>
      </c>
      <c r="K196" s="103">
        <f t="shared" si="63"/>
        <v>0</v>
      </c>
      <c r="L196" s="103">
        <f t="shared" si="63"/>
        <v>0</v>
      </c>
      <c r="M196" s="103">
        <f t="shared" si="63"/>
        <v>0</v>
      </c>
      <c r="N196" s="103">
        <f t="shared" si="63"/>
        <v>0</v>
      </c>
      <c r="O196" s="103">
        <f t="shared" si="63"/>
        <v>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73" t="s">
        <v>245</v>
      </c>
      <c r="B197" s="2"/>
      <c r="C197" s="2"/>
      <c r="D197" s="103">
        <f t="shared" ref="D197:O197" si="64">B197+D131-D165</f>
        <v>0</v>
      </c>
      <c r="E197" s="103">
        <f t="shared" si="64"/>
        <v>0</v>
      </c>
      <c r="F197" s="103">
        <f t="shared" si="64"/>
        <v>0</v>
      </c>
      <c r="G197" s="103">
        <f t="shared" si="64"/>
        <v>0</v>
      </c>
      <c r="H197" s="103">
        <f t="shared" si="64"/>
        <v>0</v>
      </c>
      <c r="I197" s="103">
        <f t="shared" si="64"/>
        <v>0</v>
      </c>
      <c r="J197" s="103">
        <f t="shared" si="64"/>
        <v>0</v>
      </c>
      <c r="K197" s="103">
        <f t="shared" si="64"/>
        <v>0</v>
      </c>
      <c r="L197" s="103">
        <f t="shared" si="64"/>
        <v>0</v>
      </c>
      <c r="M197" s="103">
        <f t="shared" si="64"/>
        <v>0</v>
      </c>
      <c r="N197" s="103">
        <f t="shared" si="64"/>
        <v>0</v>
      </c>
      <c r="O197" s="103">
        <f t="shared" si="64"/>
        <v>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73" t="s">
        <v>246</v>
      </c>
      <c r="B198" s="2"/>
      <c r="C198" s="2"/>
      <c r="D198" s="103">
        <f t="shared" ref="D198:O198" si="65">B198+D132-D166</f>
        <v>0</v>
      </c>
      <c r="E198" s="103">
        <f t="shared" si="65"/>
        <v>0</v>
      </c>
      <c r="F198" s="103">
        <f t="shared" si="65"/>
        <v>0</v>
      </c>
      <c r="G198" s="103">
        <f t="shared" si="65"/>
        <v>0</v>
      </c>
      <c r="H198" s="103">
        <f t="shared" si="65"/>
        <v>0</v>
      </c>
      <c r="I198" s="103">
        <f t="shared" si="65"/>
        <v>0</v>
      </c>
      <c r="J198" s="103">
        <f t="shared" si="65"/>
        <v>0</v>
      </c>
      <c r="K198" s="103">
        <f t="shared" si="65"/>
        <v>0</v>
      </c>
      <c r="L198" s="103">
        <f t="shared" si="65"/>
        <v>0</v>
      </c>
      <c r="M198" s="103">
        <f t="shared" si="65"/>
        <v>0</v>
      </c>
      <c r="N198" s="103">
        <f t="shared" si="65"/>
        <v>0</v>
      </c>
      <c r="O198" s="103">
        <f t="shared" si="65"/>
        <v>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73" t="s">
        <v>247</v>
      </c>
      <c r="B199" s="2"/>
      <c r="C199" s="2"/>
      <c r="D199" s="103">
        <f t="shared" ref="D199:O199" si="66">B199+D133-D167</f>
        <v>0</v>
      </c>
      <c r="E199" s="103">
        <f t="shared" si="66"/>
        <v>0</v>
      </c>
      <c r="F199" s="103">
        <f t="shared" si="66"/>
        <v>0</v>
      </c>
      <c r="G199" s="103">
        <f t="shared" si="66"/>
        <v>0</v>
      </c>
      <c r="H199" s="103">
        <f t="shared" si="66"/>
        <v>0</v>
      </c>
      <c r="I199" s="103">
        <f t="shared" si="66"/>
        <v>0</v>
      </c>
      <c r="J199" s="103">
        <f t="shared" si="66"/>
        <v>0</v>
      </c>
      <c r="K199" s="103">
        <f t="shared" si="66"/>
        <v>0</v>
      </c>
      <c r="L199" s="103">
        <f t="shared" si="66"/>
        <v>0</v>
      </c>
      <c r="M199" s="103">
        <f t="shared" si="66"/>
        <v>0</v>
      </c>
      <c r="N199" s="103">
        <f t="shared" si="66"/>
        <v>0</v>
      </c>
      <c r="O199" s="103">
        <f t="shared" si="66"/>
        <v>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73" t="s">
        <v>248</v>
      </c>
      <c r="B200" s="2"/>
      <c r="C200" s="2"/>
      <c r="D200" s="103">
        <f t="shared" ref="D200:O200" si="67">B200+D134-D168</f>
        <v>0</v>
      </c>
      <c r="E200" s="103">
        <f t="shared" si="67"/>
        <v>0</v>
      </c>
      <c r="F200" s="103">
        <f t="shared" si="67"/>
        <v>0</v>
      </c>
      <c r="G200" s="103">
        <f t="shared" si="67"/>
        <v>0</v>
      </c>
      <c r="H200" s="103">
        <f t="shared" si="67"/>
        <v>0</v>
      </c>
      <c r="I200" s="103">
        <f t="shared" si="67"/>
        <v>0</v>
      </c>
      <c r="J200" s="103">
        <f t="shared" si="67"/>
        <v>0</v>
      </c>
      <c r="K200" s="103">
        <f t="shared" si="67"/>
        <v>0</v>
      </c>
      <c r="L200" s="103">
        <f t="shared" si="67"/>
        <v>0</v>
      </c>
      <c r="M200" s="103">
        <f t="shared" si="67"/>
        <v>0</v>
      </c>
      <c r="N200" s="103">
        <f t="shared" si="67"/>
        <v>0</v>
      </c>
      <c r="O200" s="103">
        <f t="shared" si="67"/>
        <v>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73" t="s">
        <v>249</v>
      </c>
      <c r="B201" s="2"/>
      <c r="C201" s="2"/>
      <c r="D201" s="103">
        <f t="shared" ref="D201:O201" si="68">B201+D135-D169</f>
        <v>0</v>
      </c>
      <c r="E201" s="103">
        <f t="shared" si="68"/>
        <v>0</v>
      </c>
      <c r="F201" s="103">
        <f t="shared" si="68"/>
        <v>0</v>
      </c>
      <c r="G201" s="103">
        <f t="shared" si="68"/>
        <v>0</v>
      </c>
      <c r="H201" s="103">
        <f t="shared" si="68"/>
        <v>0</v>
      </c>
      <c r="I201" s="103">
        <f t="shared" si="68"/>
        <v>0</v>
      </c>
      <c r="J201" s="103">
        <f t="shared" si="68"/>
        <v>0</v>
      </c>
      <c r="K201" s="103">
        <f t="shared" si="68"/>
        <v>0</v>
      </c>
      <c r="L201" s="103">
        <f t="shared" si="68"/>
        <v>0</v>
      </c>
      <c r="M201" s="103">
        <f t="shared" si="68"/>
        <v>0</v>
      </c>
      <c r="N201" s="103">
        <f t="shared" si="68"/>
        <v>0</v>
      </c>
      <c r="O201" s="103">
        <f t="shared" si="68"/>
        <v>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73" t="s">
        <v>250</v>
      </c>
      <c r="B202" s="2"/>
      <c r="C202" s="2"/>
      <c r="D202" s="103">
        <f t="shared" ref="D202:O202" si="69">B202+D136-D170</f>
        <v>0</v>
      </c>
      <c r="E202" s="103">
        <f t="shared" si="69"/>
        <v>0</v>
      </c>
      <c r="F202" s="103">
        <f t="shared" si="69"/>
        <v>0</v>
      </c>
      <c r="G202" s="103">
        <f t="shared" si="69"/>
        <v>0</v>
      </c>
      <c r="H202" s="103">
        <f t="shared" si="69"/>
        <v>0</v>
      </c>
      <c r="I202" s="103">
        <f t="shared" si="69"/>
        <v>0</v>
      </c>
      <c r="J202" s="103">
        <f t="shared" si="69"/>
        <v>0</v>
      </c>
      <c r="K202" s="103">
        <f t="shared" si="69"/>
        <v>0</v>
      </c>
      <c r="L202" s="103">
        <f t="shared" si="69"/>
        <v>0</v>
      </c>
      <c r="M202" s="103">
        <f t="shared" si="69"/>
        <v>0</v>
      </c>
      <c r="N202" s="103">
        <f t="shared" si="69"/>
        <v>0</v>
      </c>
      <c r="O202" s="103">
        <f t="shared" si="69"/>
        <v>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73" t="s">
        <v>251</v>
      </c>
      <c r="B203" s="2"/>
      <c r="C203" s="2"/>
      <c r="D203" s="103">
        <f t="shared" ref="D203:O203" si="70">B203+D137-D171</f>
        <v>0</v>
      </c>
      <c r="E203" s="103">
        <f t="shared" si="70"/>
        <v>0</v>
      </c>
      <c r="F203" s="103">
        <f t="shared" si="70"/>
        <v>0</v>
      </c>
      <c r="G203" s="103">
        <f t="shared" si="70"/>
        <v>0</v>
      </c>
      <c r="H203" s="103">
        <f t="shared" si="70"/>
        <v>0</v>
      </c>
      <c r="I203" s="103">
        <f t="shared" si="70"/>
        <v>0</v>
      </c>
      <c r="J203" s="103">
        <f t="shared" si="70"/>
        <v>0</v>
      </c>
      <c r="K203" s="103">
        <f t="shared" si="70"/>
        <v>0</v>
      </c>
      <c r="L203" s="103">
        <f t="shared" si="70"/>
        <v>0</v>
      </c>
      <c r="M203" s="103">
        <f t="shared" si="70"/>
        <v>0</v>
      </c>
      <c r="N203" s="103">
        <f t="shared" si="70"/>
        <v>0</v>
      </c>
      <c r="O203" s="103">
        <f t="shared" si="70"/>
        <v>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73" t="s">
        <v>252</v>
      </c>
      <c r="B204" s="2"/>
      <c r="C204" s="2"/>
      <c r="D204" s="103">
        <f t="shared" ref="D204:O204" si="71">B204+D138-D172</f>
        <v>0</v>
      </c>
      <c r="E204" s="103">
        <f t="shared" si="71"/>
        <v>0</v>
      </c>
      <c r="F204" s="103">
        <f t="shared" si="71"/>
        <v>0</v>
      </c>
      <c r="G204" s="103">
        <f t="shared" si="71"/>
        <v>0</v>
      </c>
      <c r="H204" s="103">
        <f t="shared" si="71"/>
        <v>0</v>
      </c>
      <c r="I204" s="103">
        <f t="shared" si="71"/>
        <v>0</v>
      </c>
      <c r="J204" s="103">
        <f t="shared" si="71"/>
        <v>0</v>
      </c>
      <c r="K204" s="103">
        <f t="shared" si="71"/>
        <v>0</v>
      </c>
      <c r="L204" s="103">
        <f t="shared" si="71"/>
        <v>0</v>
      </c>
      <c r="M204" s="103">
        <f t="shared" si="71"/>
        <v>0</v>
      </c>
      <c r="N204" s="103">
        <f t="shared" si="71"/>
        <v>0</v>
      </c>
      <c r="O204" s="103">
        <f t="shared" si="71"/>
        <v>0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73" t="s">
        <v>253</v>
      </c>
      <c r="B205" s="2"/>
      <c r="C205" s="2"/>
      <c r="D205" s="103">
        <f t="shared" ref="D205:O205" si="72">B205+D139-D173</f>
        <v>0</v>
      </c>
      <c r="E205" s="103">
        <f t="shared" si="72"/>
        <v>0</v>
      </c>
      <c r="F205" s="103">
        <f t="shared" si="72"/>
        <v>0</v>
      </c>
      <c r="G205" s="103">
        <f t="shared" si="72"/>
        <v>0</v>
      </c>
      <c r="H205" s="103">
        <f t="shared" si="72"/>
        <v>0</v>
      </c>
      <c r="I205" s="103">
        <f t="shared" si="72"/>
        <v>0</v>
      </c>
      <c r="J205" s="103">
        <f t="shared" si="72"/>
        <v>0</v>
      </c>
      <c r="K205" s="103">
        <f t="shared" si="72"/>
        <v>0</v>
      </c>
      <c r="L205" s="103">
        <f t="shared" si="72"/>
        <v>0</v>
      </c>
      <c r="M205" s="103">
        <f t="shared" si="72"/>
        <v>0</v>
      </c>
      <c r="N205" s="103">
        <f t="shared" si="72"/>
        <v>0</v>
      </c>
      <c r="O205" s="103">
        <f t="shared" si="72"/>
        <v>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73" t="s">
        <v>254</v>
      </c>
      <c r="B206" s="2"/>
      <c r="C206" s="2"/>
      <c r="D206" s="103">
        <f t="shared" ref="D206:O206" si="73">B206+D140-D174</f>
        <v>0</v>
      </c>
      <c r="E206" s="103">
        <f t="shared" si="73"/>
        <v>0</v>
      </c>
      <c r="F206" s="103">
        <f t="shared" si="73"/>
        <v>0</v>
      </c>
      <c r="G206" s="103">
        <f t="shared" si="73"/>
        <v>0</v>
      </c>
      <c r="H206" s="103">
        <f t="shared" si="73"/>
        <v>0</v>
      </c>
      <c r="I206" s="103">
        <f t="shared" si="73"/>
        <v>0</v>
      </c>
      <c r="J206" s="103">
        <f t="shared" si="73"/>
        <v>0</v>
      </c>
      <c r="K206" s="103">
        <f t="shared" si="73"/>
        <v>0</v>
      </c>
      <c r="L206" s="103">
        <f t="shared" si="73"/>
        <v>0</v>
      </c>
      <c r="M206" s="103">
        <f t="shared" si="73"/>
        <v>0</v>
      </c>
      <c r="N206" s="103">
        <f t="shared" si="73"/>
        <v>0</v>
      </c>
      <c r="O206" s="103">
        <f t="shared" si="73"/>
        <v>0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73" t="s">
        <v>255</v>
      </c>
      <c r="B207" s="2"/>
      <c r="C207" s="2"/>
      <c r="D207" s="103">
        <f t="shared" ref="D207:O207" si="74">B207+D141-D175</f>
        <v>0</v>
      </c>
      <c r="E207" s="103">
        <f t="shared" si="74"/>
        <v>0</v>
      </c>
      <c r="F207" s="103">
        <f t="shared" si="74"/>
        <v>0</v>
      </c>
      <c r="G207" s="103">
        <f t="shared" si="74"/>
        <v>0</v>
      </c>
      <c r="H207" s="103">
        <f t="shared" si="74"/>
        <v>0</v>
      </c>
      <c r="I207" s="103">
        <f t="shared" si="74"/>
        <v>0</v>
      </c>
      <c r="J207" s="103">
        <f t="shared" si="74"/>
        <v>0</v>
      </c>
      <c r="K207" s="103">
        <f t="shared" si="74"/>
        <v>0</v>
      </c>
      <c r="L207" s="103">
        <f t="shared" si="74"/>
        <v>0</v>
      </c>
      <c r="M207" s="103">
        <f t="shared" si="74"/>
        <v>0</v>
      </c>
      <c r="N207" s="103">
        <f t="shared" si="74"/>
        <v>0</v>
      </c>
      <c r="O207" s="103">
        <f t="shared" si="74"/>
        <v>0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123"/>
      <c r="B208" s="2"/>
      <c r="C208" s="2"/>
      <c r="D208" s="103">
        <f t="shared" ref="D208:O208" si="75">B208+D142-D176</f>
        <v>0</v>
      </c>
      <c r="E208" s="103">
        <f t="shared" si="75"/>
        <v>0</v>
      </c>
      <c r="F208" s="103">
        <f t="shared" si="75"/>
        <v>0</v>
      </c>
      <c r="G208" s="103">
        <f t="shared" si="75"/>
        <v>0</v>
      </c>
      <c r="H208" s="103">
        <f t="shared" si="75"/>
        <v>0</v>
      </c>
      <c r="I208" s="103">
        <f t="shared" si="75"/>
        <v>0</v>
      </c>
      <c r="J208" s="103">
        <f t="shared" si="75"/>
        <v>0</v>
      </c>
      <c r="K208" s="103">
        <f t="shared" si="75"/>
        <v>0</v>
      </c>
      <c r="L208" s="103">
        <f t="shared" si="75"/>
        <v>0</v>
      </c>
      <c r="M208" s="103">
        <f t="shared" si="75"/>
        <v>0</v>
      </c>
      <c r="N208" s="103">
        <f t="shared" si="75"/>
        <v>0</v>
      </c>
      <c r="O208" s="103">
        <f t="shared" si="75"/>
        <v>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20" t="s">
        <v>256</v>
      </c>
      <c r="B209" s="121"/>
      <c r="C209" s="121"/>
      <c r="D209" s="121">
        <f t="shared" ref="D209:P209" si="76">SUM(D210:D220)</f>
        <v>0</v>
      </c>
      <c r="E209" s="121">
        <f t="shared" si="76"/>
        <v>0</v>
      </c>
      <c r="F209" s="121">
        <f t="shared" si="76"/>
        <v>0</v>
      </c>
      <c r="G209" s="121">
        <f t="shared" si="76"/>
        <v>0</v>
      </c>
      <c r="H209" s="121">
        <f t="shared" si="76"/>
        <v>0</v>
      </c>
      <c r="I209" s="121">
        <f t="shared" si="76"/>
        <v>0</v>
      </c>
      <c r="J209" s="121">
        <f t="shared" si="76"/>
        <v>0</v>
      </c>
      <c r="K209" s="121">
        <f t="shared" si="76"/>
        <v>0</v>
      </c>
      <c r="L209" s="121">
        <f t="shared" si="76"/>
        <v>0</v>
      </c>
      <c r="M209" s="121">
        <f t="shared" si="76"/>
        <v>0</v>
      </c>
      <c r="N209" s="121">
        <f t="shared" si="76"/>
        <v>0</v>
      </c>
      <c r="O209" s="121">
        <f t="shared" si="76"/>
        <v>0</v>
      </c>
      <c r="P209" s="121">
        <f t="shared" si="76"/>
        <v>0</v>
      </c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1.25" customHeight="1">
      <c r="A210" s="73" t="s">
        <v>257</v>
      </c>
      <c r="B210" s="2"/>
      <c r="C210" s="2"/>
      <c r="D210" s="103">
        <f t="shared" ref="D210:P210" si="77">B210+D144-D178</f>
        <v>0</v>
      </c>
      <c r="E210" s="103">
        <f t="shared" si="77"/>
        <v>0</v>
      </c>
      <c r="F210" s="103">
        <f t="shared" si="77"/>
        <v>0</v>
      </c>
      <c r="G210" s="103">
        <f t="shared" si="77"/>
        <v>0</v>
      </c>
      <c r="H210" s="103">
        <f t="shared" si="77"/>
        <v>0</v>
      </c>
      <c r="I210" s="103">
        <f t="shared" si="77"/>
        <v>0</v>
      </c>
      <c r="J210" s="103">
        <f t="shared" si="77"/>
        <v>0</v>
      </c>
      <c r="K210" s="103">
        <f t="shared" si="77"/>
        <v>0</v>
      </c>
      <c r="L210" s="103">
        <f t="shared" si="77"/>
        <v>0</v>
      </c>
      <c r="M210" s="103">
        <f t="shared" si="77"/>
        <v>0</v>
      </c>
      <c r="N210" s="103">
        <f t="shared" si="77"/>
        <v>0</v>
      </c>
      <c r="O210" s="103">
        <f t="shared" si="77"/>
        <v>0</v>
      </c>
      <c r="P210" s="103">
        <f t="shared" si="77"/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73" t="s">
        <v>258</v>
      </c>
      <c r="B211" s="2"/>
      <c r="C211" s="2"/>
      <c r="D211" s="103">
        <f t="shared" ref="D211:P211" si="78">B211+D145-D179</f>
        <v>0</v>
      </c>
      <c r="E211" s="103">
        <f t="shared" si="78"/>
        <v>0</v>
      </c>
      <c r="F211" s="103">
        <f t="shared" si="78"/>
        <v>0</v>
      </c>
      <c r="G211" s="103">
        <f t="shared" si="78"/>
        <v>0</v>
      </c>
      <c r="H211" s="103">
        <f t="shared" si="78"/>
        <v>0</v>
      </c>
      <c r="I211" s="103">
        <f t="shared" si="78"/>
        <v>0</v>
      </c>
      <c r="J211" s="103">
        <f t="shared" si="78"/>
        <v>0</v>
      </c>
      <c r="K211" s="103">
        <f t="shared" si="78"/>
        <v>0</v>
      </c>
      <c r="L211" s="103">
        <f t="shared" si="78"/>
        <v>0</v>
      </c>
      <c r="M211" s="103">
        <f t="shared" si="78"/>
        <v>0</v>
      </c>
      <c r="N211" s="103">
        <f t="shared" si="78"/>
        <v>0</v>
      </c>
      <c r="O211" s="103">
        <f t="shared" si="78"/>
        <v>0</v>
      </c>
      <c r="P211" s="103">
        <f t="shared" si="78"/>
        <v>0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73" t="s">
        <v>259</v>
      </c>
      <c r="B212" s="2"/>
      <c r="C212" s="2"/>
      <c r="D212" s="103">
        <f t="shared" ref="D212:P212" si="79">B212+D146-D180</f>
        <v>0</v>
      </c>
      <c r="E212" s="103">
        <f t="shared" si="79"/>
        <v>0</v>
      </c>
      <c r="F212" s="103">
        <f t="shared" si="79"/>
        <v>0</v>
      </c>
      <c r="G212" s="103">
        <f t="shared" si="79"/>
        <v>0</v>
      </c>
      <c r="H212" s="103">
        <f t="shared" si="79"/>
        <v>0</v>
      </c>
      <c r="I212" s="103">
        <f t="shared" si="79"/>
        <v>0</v>
      </c>
      <c r="J212" s="103">
        <f t="shared" si="79"/>
        <v>0</v>
      </c>
      <c r="K212" s="103">
        <f t="shared" si="79"/>
        <v>0</v>
      </c>
      <c r="L212" s="103">
        <f t="shared" si="79"/>
        <v>0</v>
      </c>
      <c r="M212" s="103">
        <f t="shared" si="79"/>
        <v>0</v>
      </c>
      <c r="N212" s="103">
        <f t="shared" si="79"/>
        <v>0</v>
      </c>
      <c r="O212" s="103">
        <f t="shared" si="79"/>
        <v>0</v>
      </c>
      <c r="P212" s="103">
        <f t="shared" si="79"/>
        <v>0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73" t="s">
        <v>260</v>
      </c>
      <c r="B213" s="2"/>
      <c r="C213" s="2"/>
      <c r="D213" s="103">
        <f t="shared" ref="D213:P213" si="80">B213+D147-D181</f>
        <v>0</v>
      </c>
      <c r="E213" s="103">
        <f t="shared" si="80"/>
        <v>0</v>
      </c>
      <c r="F213" s="103">
        <f t="shared" si="80"/>
        <v>0</v>
      </c>
      <c r="G213" s="103">
        <f t="shared" si="80"/>
        <v>0</v>
      </c>
      <c r="H213" s="103">
        <f t="shared" si="80"/>
        <v>0</v>
      </c>
      <c r="I213" s="103">
        <f t="shared" si="80"/>
        <v>0</v>
      </c>
      <c r="J213" s="103">
        <f t="shared" si="80"/>
        <v>0</v>
      </c>
      <c r="K213" s="103">
        <f t="shared" si="80"/>
        <v>0</v>
      </c>
      <c r="L213" s="103">
        <f t="shared" si="80"/>
        <v>0</v>
      </c>
      <c r="M213" s="103">
        <f t="shared" si="80"/>
        <v>0</v>
      </c>
      <c r="N213" s="103">
        <f t="shared" si="80"/>
        <v>0</v>
      </c>
      <c r="O213" s="103">
        <f t="shared" si="80"/>
        <v>0</v>
      </c>
      <c r="P213" s="103">
        <f t="shared" si="80"/>
        <v>0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73" t="s">
        <v>261</v>
      </c>
      <c r="B214" s="2"/>
      <c r="C214" s="2"/>
      <c r="D214" s="103">
        <f t="shared" ref="D214:P214" si="81">B214+D148-D182</f>
        <v>0</v>
      </c>
      <c r="E214" s="103">
        <f t="shared" si="81"/>
        <v>0</v>
      </c>
      <c r="F214" s="103">
        <f t="shared" si="81"/>
        <v>0</v>
      </c>
      <c r="G214" s="103">
        <f t="shared" si="81"/>
        <v>0</v>
      </c>
      <c r="H214" s="103">
        <f t="shared" si="81"/>
        <v>0</v>
      </c>
      <c r="I214" s="103">
        <f t="shared" si="81"/>
        <v>0</v>
      </c>
      <c r="J214" s="103">
        <f t="shared" si="81"/>
        <v>0</v>
      </c>
      <c r="K214" s="103">
        <f t="shared" si="81"/>
        <v>0</v>
      </c>
      <c r="L214" s="103">
        <f t="shared" si="81"/>
        <v>0</v>
      </c>
      <c r="M214" s="103">
        <f t="shared" si="81"/>
        <v>0</v>
      </c>
      <c r="N214" s="103">
        <f t="shared" si="81"/>
        <v>0</v>
      </c>
      <c r="O214" s="103">
        <f t="shared" si="81"/>
        <v>0</v>
      </c>
      <c r="P214" s="103">
        <f t="shared" si="81"/>
        <v>0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73" t="s">
        <v>262</v>
      </c>
      <c r="B215" s="2"/>
      <c r="C215" s="2"/>
      <c r="D215" s="103">
        <f t="shared" ref="D215:P215" si="82">B215+D149-D183</f>
        <v>0</v>
      </c>
      <c r="E215" s="103">
        <f t="shared" si="82"/>
        <v>0</v>
      </c>
      <c r="F215" s="103">
        <f t="shared" si="82"/>
        <v>0</v>
      </c>
      <c r="G215" s="103">
        <f t="shared" si="82"/>
        <v>0</v>
      </c>
      <c r="H215" s="103">
        <f t="shared" si="82"/>
        <v>0</v>
      </c>
      <c r="I215" s="103">
        <f t="shared" si="82"/>
        <v>0</v>
      </c>
      <c r="J215" s="103">
        <f t="shared" si="82"/>
        <v>0</v>
      </c>
      <c r="K215" s="103">
        <f t="shared" si="82"/>
        <v>0</v>
      </c>
      <c r="L215" s="103">
        <f t="shared" si="82"/>
        <v>0</v>
      </c>
      <c r="M215" s="103">
        <f t="shared" si="82"/>
        <v>0</v>
      </c>
      <c r="N215" s="103">
        <f t="shared" si="82"/>
        <v>0</v>
      </c>
      <c r="O215" s="103">
        <f t="shared" si="82"/>
        <v>0</v>
      </c>
      <c r="P215" s="103">
        <f t="shared" si="82"/>
        <v>0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73" t="s">
        <v>263</v>
      </c>
      <c r="B216" s="2"/>
      <c r="C216" s="2"/>
      <c r="D216" s="103">
        <f t="shared" ref="D216:P216" si="83">B216+D150-D184</f>
        <v>0</v>
      </c>
      <c r="E216" s="103">
        <f t="shared" si="83"/>
        <v>0</v>
      </c>
      <c r="F216" s="103">
        <f t="shared" si="83"/>
        <v>0</v>
      </c>
      <c r="G216" s="103">
        <f t="shared" si="83"/>
        <v>0</v>
      </c>
      <c r="H216" s="103">
        <f t="shared" si="83"/>
        <v>0</v>
      </c>
      <c r="I216" s="103">
        <f t="shared" si="83"/>
        <v>0</v>
      </c>
      <c r="J216" s="103">
        <f t="shared" si="83"/>
        <v>0</v>
      </c>
      <c r="K216" s="103">
        <f t="shared" si="83"/>
        <v>0</v>
      </c>
      <c r="L216" s="103">
        <f t="shared" si="83"/>
        <v>0</v>
      </c>
      <c r="M216" s="103">
        <f t="shared" si="83"/>
        <v>0</v>
      </c>
      <c r="N216" s="103">
        <f t="shared" si="83"/>
        <v>0</v>
      </c>
      <c r="O216" s="103">
        <f t="shared" si="83"/>
        <v>0</v>
      </c>
      <c r="P216" s="103">
        <f t="shared" si="83"/>
        <v>0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73" t="s">
        <v>264</v>
      </c>
      <c r="B217" s="2"/>
      <c r="C217" s="2"/>
      <c r="D217" s="103">
        <f t="shared" ref="D217:P217" si="84">B217+D151-D185</f>
        <v>0</v>
      </c>
      <c r="E217" s="103">
        <f t="shared" si="84"/>
        <v>0</v>
      </c>
      <c r="F217" s="103">
        <f t="shared" si="84"/>
        <v>0</v>
      </c>
      <c r="G217" s="103">
        <f t="shared" si="84"/>
        <v>0</v>
      </c>
      <c r="H217" s="103">
        <f t="shared" si="84"/>
        <v>0</v>
      </c>
      <c r="I217" s="103">
        <f t="shared" si="84"/>
        <v>0</v>
      </c>
      <c r="J217" s="103">
        <f t="shared" si="84"/>
        <v>0</v>
      </c>
      <c r="K217" s="103">
        <f t="shared" si="84"/>
        <v>0</v>
      </c>
      <c r="L217" s="103">
        <f t="shared" si="84"/>
        <v>0</v>
      </c>
      <c r="M217" s="103">
        <f t="shared" si="84"/>
        <v>0</v>
      </c>
      <c r="N217" s="103">
        <f t="shared" si="84"/>
        <v>0</v>
      </c>
      <c r="O217" s="103">
        <f t="shared" si="84"/>
        <v>0</v>
      </c>
      <c r="P217" s="103">
        <f t="shared" si="84"/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73" t="s">
        <v>265</v>
      </c>
      <c r="B218" s="2"/>
      <c r="C218" s="2"/>
      <c r="D218" s="103">
        <f t="shared" ref="D218:P218" si="85">B218+D152-D186</f>
        <v>0</v>
      </c>
      <c r="E218" s="103">
        <f t="shared" si="85"/>
        <v>0</v>
      </c>
      <c r="F218" s="103">
        <f t="shared" si="85"/>
        <v>0</v>
      </c>
      <c r="G218" s="103">
        <f t="shared" si="85"/>
        <v>0</v>
      </c>
      <c r="H218" s="103">
        <f t="shared" si="85"/>
        <v>0</v>
      </c>
      <c r="I218" s="103">
        <f t="shared" si="85"/>
        <v>0</v>
      </c>
      <c r="J218" s="103">
        <f t="shared" si="85"/>
        <v>0</v>
      </c>
      <c r="K218" s="103">
        <f t="shared" si="85"/>
        <v>0</v>
      </c>
      <c r="L218" s="103">
        <f t="shared" si="85"/>
        <v>0</v>
      </c>
      <c r="M218" s="103">
        <f t="shared" si="85"/>
        <v>0</v>
      </c>
      <c r="N218" s="103">
        <f t="shared" si="85"/>
        <v>0</v>
      </c>
      <c r="O218" s="103">
        <f t="shared" si="85"/>
        <v>0</v>
      </c>
      <c r="P218" s="103">
        <f t="shared" si="85"/>
        <v>0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73" t="s">
        <v>266</v>
      </c>
      <c r="B219" s="2"/>
      <c r="C219" s="2"/>
      <c r="D219" s="103">
        <f t="shared" ref="D219:P219" si="86">B219+D153-D187</f>
        <v>0</v>
      </c>
      <c r="E219" s="103">
        <f t="shared" si="86"/>
        <v>0</v>
      </c>
      <c r="F219" s="103">
        <f t="shared" si="86"/>
        <v>0</v>
      </c>
      <c r="G219" s="103">
        <f t="shared" si="86"/>
        <v>0</v>
      </c>
      <c r="H219" s="103">
        <f t="shared" si="86"/>
        <v>0</v>
      </c>
      <c r="I219" s="103">
        <f t="shared" si="86"/>
        <v>0</v>
      </c>
      <c r="J219" s="103">
        <f t="shared" si="86"/>
        <v>0</v>
      </c>
      <c r="K219" s="103">
        <f t="shared" si="86"/>
        <v>0</v>
      </c>
      <c r="L219" s="103">
        <f t="shared" si="86"/>
        <v>0</v>
      </c>
      <c r="M219" s="103">
        <f t="shared" si="86"/>
        <v>0</v>
      </c>
      <c r="N219" s="103">
        <f t="shared" si="86"/>
        <v>0</v>
      </c>
      <c r="O219" s="103">
        <f t="shared" si="86"/>
        <v>0</v>
      </c>
      <c r="P219" s="103">
        <f t="shared" si="86"/>
        <v>0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123"/>
      <c r="B220" s="2"/>
      <c r="C220" s="2"/>
      <c r="D220" s="103">
        <f t="shared" ref="D220:P220" si="87">B220+D154-D188</f>
        <v>0</v>
      </c>
      <c r="E220" s="103">
        <f t="shared" si="87"/>
        <v>0</v>
      </c>
      <c r="F220" s="103">
        <f t="shared" si="87"/>
        <v>0</v>
      </c>
      <c r="G220" s="103">
        <f t="shared" si="87"/>
        <v>0</v>
      </c>
      <c r="H220" s="103">
        <f t="shared" si="87"/>
        <v>0</v>
      </c>
      <c r="I220" s="103">
        <f t="shared" si="87"/>
        <v>0</v>
      </c>
      <c r="J220" s="103">
        <f t="shared" si="87"/>
        <v>0</v>
      </c>
      <c r="K220" s="103">
        <f t="shared" si="87"/>
        <v>0</v>
      </c>
      <c r="L220" s="103">
        <f t="shared" si="87"/>
        <v>0</v>
      </c>
      <c r="M220" s="103">
        <f t="shared" si="87"/>
        <v>0</v>
      </c>
      <c r="N220" s="103">
        <f t="shared" si="87"/>
        <v>0</v>
      </c>
      <c r="O220" s="103">
        <f t="shared" si="87"/>
        <v>0</v>
      </c>
      <c r="P220" s="103">
        <f t="shared" si="87"/>
        <v>0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</sheetData>
  <mergeCells count="2">
    <mergeCell ref="A157:P157"/>
    <mergeCell ref="A189:P189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 outlineLevelRow="1"/>
  <cols>
    <col customWidth="1" min="1" max="1" width="45.86"/>
    <col customWidth="1" min="2" max="2" width="11.29"/>
    <col customWidth="1" min="3" max="25" width="12.71"/>
    <col customWidth="1" min="26" max="26" width="8.71"/>
  </cols>
  <sheetData>
    <row r="1" ht="11.25" customHeight="1">
      <c r="A1" s="124" t="s">
        <v>281</v>
      </c>
      <c r="Z1" s="2"/>
    </row>
    <row r="2" ht="11.2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"/>
      <c r="Y2" s="2"/>
      <c r="Z2" s="2"/>
    </row>
    <row r="3" ht="11.25" customHeight="1">
      <c r="A3" s="19" t="s">
        <v>282</v>
      </c>
      <c r="Z3" s="2"/>
    </row>
    <row r="4" ht="11.25" customHeight="1">
      <c r="A4" s="2"/>
      <c r="B4" s="111"/>
      <c r="C4" s="2"/>
      <c r="D4" s="2"/>
      <c r="E4" s="2"/>
      <c r="F4" s="12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26" t="s">
        <v>237</v>
      </c>
      <c r="B5" s="127" t="s">
        <v>283</v>
      </c>
      <c r="C5" s="128" t="s">
        <v>284</v>
      </c>
      <c r="V5" s="127"/>
      <c r="W5" s="127"/>
      <c r="X5" s="2"/>
      <c r="Y5" s="2"/>
      <c r="Z5" s="2"/>
    </row>
    <row r="6" ht="24.0" customHeight="1">
      <c r="C6" s="127" t="s">
        <v>203</v>
      </c>
      <c r="D6" s="127" t="s">
        <v>204</v>
      </c>
      <c r="E6" s="127" t="s">
        <v>205</v>
      </c>
      <c r="F6" s="127" t="s">
        <v>206</v>
      </c>
      <c r="G6" s="127" t="s">
        <v>207</v>
      </c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2"/>
      <c r="Y6" s="2"/>
      <c r="Z6" s="2"/>
    </row>
    <row r="7" ht="12.75" customHeight="1">
      <c r="A7" s="129" t="s">
        <v>240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2"/>
      <c r="Y7" s="2"/>
      <c r="Z7" s="2"/>
    </row>
    <row r="8" ht="12.75" customHeight="1" outlineLevel="1">
      <c r="A8" s="73" t="s">
        <v>241</v>
      </c>
      <c r="B8" s="130" t="s">
        <v>285</v>
      </c>
      <c r="C8" s="131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2"/>
      <c r="Y8" s="2"/>
      <c r="Z8" s="2"/>
    </row>
    <row r="9" ht="12.75" customHeight="1" outlineLevel="1">
      <c r="A9" s="73" t="s">
        <v>242</v>
      </c>
      <c r="B9" s="130" t="s">
        <v>285</v>
      </c>
      <c r="C9" s="131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2"/>
      <c r="Y9" s="2"/>
      <c r="Z9" s="2"/>
    </row>
    <row r="10" ht="12.75" customHeight="1" outlineLevel="1">
      <c r="A10" s="73" t="s">
        <v>243</v>
      </c>
      <c r="B10" s="130" t="s">
        <v>285</v>
      </c>
      <c r="C10" s="131"/>
      <c r="D10" s="132"/>
      <c r="E10" s="132"/>
      <c r="F10" s="132"/>
      <c r="G10" s="131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2"/>
      <c r="Y10" s="2"/>
      <c r="Z10" s="2"/>
    </row>
    <row r="11" ht="12.75" customHeight="1" outlineLevel="1">
      <c r="A11" s="73" t="s">
        <v>244</v>
      </c>
      <c r="B11" s="130" t="s">
        <v>285</v>
      </c>
      <c r="C11" s="131"/>
      <c r="D11" s="131"/>
      <c r="E11" s="132"/>
      <c r="F11" s="132"/>
      <c r="G11" s="132"/>
      <c r="H11" s="131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2"/>
      <c r="Y11" s="2"/>
      <c r="Z11" s="2"/>
    </row>
    <row r="12" ht="12.75" customHeight="1" outlineLevel="1">
      <c r="A12" s="73" t="s">
        <v>245</v>
      </c>
      <c r="B12" s="130" t="s">
        <v>285</v>
      </c>
      <c r="C12" s="133"/>
      <c r="D12" s="133"/>
      <c r="E12" s="133"/>
      <c r="F12" s="133"/>
      <c r="G12" s="133"/>
      <c r="H12" s="133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2"/>
      <c r="Y12" s="2"/>
      <c r="Z12" s="2"/>
    </row>
    <row r="13" ht="12.75" customHeight="1" outlineLevel="1">
      <c r="A13" s="73" t="s">
        <v>246</v>
      </c>
      <c r="B13" s="130" t="s">
        <v>285</v>
      </c>
      <c r="C13" s="133"/>
      <c r="D13" s="133"/>
      <c r="E13" s="133"/>
      <c r="F13" s="133"/>
      <c r="G13" s="133"/>
      <c r="H13" s="133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2"/>
      <c r="Y13" s="2"/>
      <c r="Z13" s="2"/>
    </row>
    <row r="14" ht="12.75" customHeight="1" outlineLevel="1">
      <c r="A14" s="73" t="s">
        <v>247</v>
      </c>
      <c r="B14" s="130" t="s">
        <v>285</v>
      </c>
      <c r="C14" s="131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2"/>
      <c r="Y14" s="2"/>
      <c r="Z14" s="2"/>
    </row>
    <row r="15" ht="12.75" customHeight="1" outlineLevel="1">
      <c r="A15" s="73" t="s">
        <v>248</v>
      </c>
      <c r="B15" s="130" t="s">
        <v>285</v>
      </c>
      <c r="C15" s="131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2"/>
      <c r="Y15" s="2"/>
      <c r="Z15" s="2"/>
    </row>
    <row r="16" ht="12.75" customHeight="1" outlineLevel="1">
      <c r="A16" s="73" t="s">
        <v>249</v>
      </c>
      <c r="B16" s="130" t="s">
        <v>285</v>
      </c>
      <c r="C16" s="131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2"/>
      <c r="Y16" s="2"/>
      <c r="Z16" s="2"/>
    </row>
    <row r="17" ht="12.75" customHeight="1" outlineLevel="1">
      <c r="A17" s="73" t="s">
        <v>250</v>
      </c>
      <c r="B17" s="130" t="s">
        <v>285</v>
      </c>
      <c r="C17" s="131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2"/>
      <c r="Y17" s="2"/>
      <c r="Z17" s="2"/>
    </row>
    <row r="18" ht="12.75" customHeight="1" outlineLevel="1">
      <c r="A18" s="73" t="s">
        <v>251</v>
      </c>
      <c r="B18" s="130" t="s">
        <v>285</v>
      </c>
      <c r="C18" s="131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2"/>
      <c r="Y18" s="2"/>
      <c r="Z18" s="2"/>
    </row>
    <row r="19" ht="12.75" customHeight="1" outlineLevel="1">
      <c r="A19" s="73" t="s">
        <v>252</v>
      </c>
      <c r="B19" s="130" t="s">
        <v>285</v>
      </c>
      <c r="C19" s="131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2"/>
      <c r="Y19" s="2"/>
      <c r="Z19" s="2"/>
    </row>
    <row r="20" ht="12.75" customHeight="1" outlineLevel="1">
      <c r="A20" s="73" t="s">
        <v>253</v>
      </c>
      <c r="B20" s="130" t="s">
        <v>285</v>
      </c>
      <c r="C20" s="131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2"/>
      <c r="Y20" s="2"/>
      <c r="Z20" s="2"/>
    </row>
    <row r="21" ht="12.75" customHeight="1" outlineLevel="1">
      <c r="A21" s="73" t="s">
        <v>254</v>
      </c>
      <c r="B21" s="130" t="s">
        <v>285</v>
      </c>
      <c r="C21" s="131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2"/>
      <c r="Y21" s="2"/>
      <c r="Z21" s="2"/>
    </row>
    <row r="22" ht="12.75" customHeight="1" outlineLevel="1">
      <c r="A22" s="73" t="s">
        <v>255</v>
      </c>
      <c r="B22" s="130" t="s">
        <v>285</v>
      </c>
      <c r="C22" s="131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2"/>
      <c r="Y22" s="2"/>
      <c r="Z22" s="2"/>
    </row>
    <row r="23" ht="12.75" customHeight="1" outlineLevel="1">
      <c r="A23" s="123"/>
      <c r="B23" s="130" t="s">
        <v>285</v>
      </c>
      <c r="C23" s="131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2"/>
      <c r="Y23" s="2"/>
      <c r="Z23" s="2"/>
    </row>
    <row r="24" ht="12.75" customHeight="1">
      <c r="A24" s="129" t="s">
        <v>256</v>
      </c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2"/>
      <c r="Y24" s="2"/>
      <c r="Z24" s="2"/>
    </row>
    <row r="25" ht="12.75" customHeight="1" outlineLevel="1">
      <c r="A25" s="73" t="s">
        <v>257</v>
      </c>
      <c r="B25" s="130" t="s">
        <v>285</v>
      </c>
      <c r="C25" s="134"/>
      <c r="D25" s="135"/>
      <c r="E25" s="135"/>
      <c r="F25" s="134"/>
      <c r="G25" s="135"/>
      <c r="H25" s="135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2"/>
      <c r="Y25" s="2"/>
      <c r="Z25" s="2"/>
    </row>
    <row r="26" outlineLevel="1">
      <c r="A26" s="73" t="s">
        <v>258</v>
      </c>
      <c r="B26" s="130" t="s">
        <v>285</v>
      </c>
      <c r="C26" s="134"/>
      <c r="D26" s="135"/>
      <c r="E26" s="135"/>
      <c r="F26" s="134"/>
      <c r="G26" s="135"/>
      <c r="H26" s="135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2"/>
      <c r="Y26" s="2"/>
      <c r="Z26" s="2"/>
    </row>
    <row r="27" ht="12.75" customHeight="1" outlineLevel="1">
      <c r="A27" s="73" t="s">
        <v>259</v>
      </c>
      <c r="B27" s="130" t="s">
        <v>285</v>
      </c>
      <c r="C27" s="134"/>
      <c r="D27" s="135"/>
      <c r="E27" s="135"/>
      <c r="F27" s="134"/>
      <c r="G27" s="135"/>
      <c r="H27" s="135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7"/>
      <c r="Y27" s="137"/>
      <c r="Z27" s="137"/>
    </row>
    <row r="28" ht="15.0" customHeight="1" outlineLevel="1">
      <c r="A28" s="73" t="s">
        <v>260</v>
      </c>
      <c r="B28" s="130" t="s">
        <v>285</v>
      </c>
      <c r="C28" s="138"/>
      <c r="D28" s="133"/>
      <c r="E28" s="133"/>
      <c r="F28" s="138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2"/>
      <c r="Y28" s="2"/>
      <c r="Z28" s="2"/>
    </row>
    <row r="29" ht="12.75" customHeight="1" outlineLevel="1">
      <c r="A29" s="73" t="s">
        <v>261</v>
      </c>
      <c r="B29" s="130" t="s">
        <v>285</v>
      </c>
      <c r="C29" s="134"/>
      <c r="D29" s="135"/>
      <c r="E29" s="135"/>
      <c r="F29" s="134"/>
      <c r="G29" s="135"/>
      <c r="H29" s="135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7"/>
      <c r="Y29" s="137"/>
      <c r="Z29" s="137"/>
    </row>
    <row r="30" ht="12.75" customHeight="1" outlineLevel="1">
      <c r="A30" s="73" t="s">
        <v>262</v>
      </c>
      <c r="B30" s="130" t="s">
        <v>285</v>
      </c>
      <c r="C30" s="134"/>
      <c r="D30" s="135"/>
      <c r="E30" s="135"/>
      <c r="F30" s="134"/>
      <c r="G30" s="135"/>
      <c r="H30" s="135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7"/>
      <c r="Y30" s="137"/>
      <c r="Z30" s="137"/>
    </row>
    <row r="31" ht="12.75" customHeight="1" outlineLevel="1">
      <c r="A31" s="73" t="s">
        <v>263</v>
      </c>
      <c r="B31" s="130" t="s">
        <v>285</v>
      </c>
      <c r="C31" s="134"/>
      <c r="D31" s="135"/>
      <c r="E31" s="135"/>
      <c r="F31" s="134"/>
      <c r="G31" s="135"/>
      <c r="H31" s="135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7"/>
      <c r="Y31" s="137"/>
      <c r="Z31" s="137"/>
    </row>
    <row r="32" ht="12.75" customHeight="1" outlineLevel="1">
      <c r="A32" s="73" t="s">
        <v>264</v>
      </c>
      <c r="B32" s="130" t="s">
        <v>285</v>
      </c>
      <c r="C32" s="134"/>
      <c r="D32" s="135"/>
      <c r="E32" s="135"/>
      <c r="F32" s="134"/>
      <c r="G32" s="135"/>
      <c r="H32" s="135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7"/>
      <c r="Y32" s="137"/>
      <c r="Z32" s="137"/>
    </row>
    <row r="33" ht="12.75" customHeight="1" outlineLevel="1">
      <c r="A33" s="73" t="s">
        <v>265</v>
      </c>
      <c r="B33" s="130" t="s">
        <v>285</v>
      </c>
      <c r="C33" s="134"/>
      <c r="D33" s="135"/>
      <c r="E33" s="135"/>
      <c r="F33" s="134"/>
      <c r="G33" s="135"/>
      <c r="H33" s="135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7"/>
      <c r="Y33" s="137"/>
      <c r="Z33" s="137"/>
    </row>
    <row r="34" ht="12.75" customHeight="1" outlineLevel="1">
      <c r="A34" s="73" t="s">
        <v>266</v>
      </c>
      <c r="B34" s="130" t="s">
        <v>285</v>
      </c>
      <c r="C34" s="134"/>
      <c r="D34" s="135"/>
      <c r="E34" s="135"/>
      <c r="F34" s="134"/>
      <c r="G34" s="135"/>
      <c r="H34" s="135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7"/>
      <c r="Y34" s="137"/>
      <c r="Z34" s="137"/>
    </row>
    <row r="35" ht="12.75" customHeight="1" outlineLevel="1">
      <c r="A35" s="123"/>
      <c r="B35" s="111"/>
      <c r="C35" s="139"/>
      <c r="D35" s="139"/>
      <c r="E35" s="139"/>
      <c r="F35" s="139"/>
      <c r="G35" s="139"/>
      <c r="H35" s="139"/>
      <c r="I35" s="139"/>
      <c r="J35" s="139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2"/>
      <c r="Y35" s="2"/>
      <c r="Z35" s="2"/>
    </row>
    <row r="36" ht="11.2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2"/>
      <c r="X36" s="2"/>
      <c r="Y36" s="2"/>
      <c r="Z36" s="2"/>
    </row>
    <row r="37" ht="11.25" customHeight="1">
      <c r="A37" s="141" t="s">
        <v>286</v>
      </c>
      <c r="W37" s="142"/>
      <c r="X37" s="142"/>
      <c r="Y37" s="142"/>
      <c r="Z37" s="20"/>
    </row>
    <row r="38" ht="11.25" customHeight="1">
      <c r="A38" s="50" t="s">
        <v>287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143" t="s">
        <v>237</v>
      </c>
      <c r="B39" s="127" t="s">
        <v>283</v>
      </c>
      <c r="C39" s="127" t="s">
        <v>2</v>
      </c>
      <c r="D39" s="127" t="s">
        <v>3</v>
      </c>
      <c r="E39" s="127" t="s">
        <v>4</v>
      </c>
      <c r="F39" s="127" t="s">
        <v>5</v>
      </c>
      <c r="G39" s="127" t="s">
        <v>6</v>
      </c>
      <c r="H39" s="127" t="s">
        <v>7</v>
      </c>
      <c r="I39" s="127" t="s">
        <v>8</v>
      </c>
      <c r="J39" s="127" t="s">
        <v>9</v>
      </c>
      <c r="K39" s="127" t="s">
        <v>10</v>
      </c>
      <c r="L39" s="127" t="s">
        <v>11</v>
      </c>
      <c r="M39" s="127" t="s">
        <v>12</v>
      </c>
      <c r="N39" s="127" t="s">
        <v>13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>
      <c r="A41" s="129" t="s">
        <v>240</v>
      </c>
      <c r="B41" s="144"/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 outlineLevel="1">
      <c r="A42" s="73" t="s">
        <v>241</v>
      </c>
      <c r="B42" s="111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2"/>
      <c r="P42" s="2"/>
      <c r="Q42" s="147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 outlineLevel="1">
      <c r="A43" s="73" t="s">
        <v>242</v>
      </c>
      <c r="B43" s="111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2"/>
      <c r="P43" s="2"/>
      <c r="Q43" s="147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 outlineLevel="1">
      <c r="A44" s="73" t="s">
        <v>243</v>
      </c>
      <c r="B44" s="111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2"/>
      <c r="P44" s="2"/>
      <c r="Q44" s="147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 outlineLevel="1">
      <c r="A45" s="73" t="s">
        <v>244</v>
      </c>
      <c r="B45" s="111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2"/>
      <c r="P45" s="2"/>
      <c r="Q45" s="147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 outlineLevel="1">
      <c r="A46" s="73" t="s">
        <v>245</v>
      </c>
      <c r="B46" s="111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2"/>
      <c r="P46" s="2"/>
      <c r="Q46" s="147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 outlineLevel="1">
      <c r="A47" s="73" t="s">
        <v>246</v>
      </c>
      <c r="B47" s="111"/>
      <c r="C47" s="146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2"/>
      <c r="P47" s="2"/>
      <c r="Q47" s="147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 outlineLevel="1">
      <c r="A48" s="73" t="s">
        <v>247</v>
      </c>
      <c r="B48" s="111"/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2"/>
      <c r="P48" s="2"/>
      <c r="Q48" s="147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 outlineLevel="1">
      <c r="A49" s="73" t="s">
        <v>248</v>
      </c>
      <c r="B49" s="111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2"/>
      <c r="P49" s="2"/>
      <c r="Q49" s="147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 outlineLevel="1">
      <c r="A50" s="73" t="s">
        <v>249</v>
      </c>
      <c r="B50" s="111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2"/>
      <c r="P50" s="2"/>
      <c r="Q50" s="147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 outlineLevel="1">
      <c r="A51" s="73" t="s">
        <v>250</v>
      </c>
      <c r="B51" s="111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 outlineLevel="1">
      <c r="A52" s="73" t="s">
        <v>251</v>
      </c>
      <c r="B52" s="111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2"/>
      <c r="P52" s="2"/>
      <c r="Q52" s="147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 outlineLevel="1">
      <c r="A53" s="73" t="s">
        <v>252</v>
      </c>
      <c r="B53" s="111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2"/>
      <c r="P53" s="2"/>
      <c r="Q53" s="147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 outlineLevel="1">
      <c r="A54" s="73" t="s">
        <v>253</v>
      </c>
      <c r="B54" s="111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2"/>
      <c r="P54" s="2"/>
      <c r="Q54" s="147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 outlineLevel="1">
      <c r="A55" s="73" t="s">
        <v>254</v>
      </c>
      <c r="B55" s="111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46"/>
      <c r="O55" s="2"/>
      <c r="P55" s="2"/>
      <c r="Q55" s="147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 outlineLevel="1">
      <c r="A56" s="73" t="s">
        <v>255</v>
      </c>
      <c r="B56" s="111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 outlineLevel="1">
      <c r="A57" s="11"/>
      <c r="B57" s="111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2"/>
      <c r="P57" s="2"/>
      <c r="Q57" s="147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129" t="s">
        <v>256</v>
      </c>
      <c r="B58" s="144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 outlineLevel="1">
      <c r="A59" s="73" t="s">
        <v>257</v>
      </c>
      <c r="B59" s="111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 outlineLevel="1">
      <c r="A60" s="73" t="s">
        <v>258</v>
      </c>
      <c r="B60" s="111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2"/>
      <c r="P60" s="2"/>
      <c r="Q60" s="147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 outlineLevel="1">
      <c r="A61" s="73" t="s">
        <v>259</v>
      </c>
      <c r="B61" s="111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2"/>
      <c r="P61" s="2"/>
      <c r="Q61" s="147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 outlineLevel="1">
      <c r="A62" s="73" t="s">
        <v>260</v>
      </c>
      <c r="B62" s="111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2"/>
      <c r="P62" s="2"/>
      <c r="Q62" s="147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 outlineLevel="1">
      <c r="A63" s="73" t="s">
        <v>261</v>
      </c>
      <c r="B63" s="111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2"/>
      <c r="P63" s="2"/>
      <c r="Q63" s="147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 outlineLevel="1">
      <c r="A64" s="73" t="s">
        <v>262</v>
      </c>
      <c r="B64" s="111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2"/>
      <c r="P64" s="2"/>
      <c r="Q64" s="147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 outlineLevel="1">
      <c r="A65" s="73" t="s">
        <v>263</v>
      </c>
      <c r="B65" s="111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2"/>
      <c r="P65" s="2"/>
      <c r="Q65" s="147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 outlineLevel="1">
      <c r="A66" s="73" t="s">
        <v>264</v>
      </c>
      <c r="B66" s="111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2"/>
      <c r="P66" s="2"/>
      <c r="Q66" s="147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 outlineLevel="1">
      <c r="A67" s="73" t="s">
        <v>265</v>
      </c>
      <c r="B67" s="111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2"/>
      <c r="P67" s="2"/>
      <c r="Q67" s="147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 outlineLevel="1">
      <c r="A68" s="73" t="s">
        <v>266</v>
      </c>
      <c r="B68" s="111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2"/>
      <c r="P68" s="2"/>
      <c r="Q68" s="147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 outlineLevel="1">
      <c r="A69" s="123"/>
      <c r="B69" s="111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2"/>
      <c r="P69" s="2"/>
      <c r="Q69" s="147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124" t="s">
        <v>288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150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2"/>
      <c r="W71" s="2"/>
      <c r="X71" s="2"/>
      <c r="Y71" s="2"/>
      <c r="Z71" s="2"/>
    </row>
    <row r="72" ht="11.25" customHeight="1">
      <c r="A72" s="3" t="s">
        <v>1</v>
      </c>
      <c r="B72" s="3" t="s">
        <v>2</v>
      </c>
      <c r="C72" s="3" t="s">
        <v>3</v>
      </c>
      <c r="D72" s="3" t="s">
        <v>4</v>
      </c>
      <c r="E72" s="3" t="s">
        <v>5</v>
      </c>
      <c r="F72" s="3" t="s">
        <v>6</v>
      </c>
      <c r="G72" s="3" t="s">
        <v>7</v>
      </c>
      <c r="H72" s="3" t="s">
        <v>8</v>
      </c>
      <c r="I72" s="3" t="s">
        <v>9</v>
      </c>
      <c r="J72" s="3" t="s">
        <v>10</v>
      </c>
      <c r="K72" s="3" t="s">
        <v>11</v>
      </c>
      <c r="L72" s="3" t="s">
        <v>12</v>
      </c>
      <c r="M72" s="3" t="s">
        <v>13</v>
      </c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68" t="s">
        <v>200</v>
      </c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70" t="s">
        <v>289</v>
      </c>
      <c r="B74" s="119">
        <f t="shared" ref="B74:M74" si="1">SUM(B75:B89)</f>
        <v>0</v>
      </c>
      <c r="C74" s="119">
        <f t="shared" si="1"/>
        <v>0</v>
      </c>
      <c r="D74" s="119">
        <f t="shared" si="1"/>
        <v>0</v>
      </c>
      <c r="E74" s="119">
        <f t="shared" si="1"/>
        <v>0</v>
      </c>
      <c r="F74" s="119">
        <f t="shared" si="1"/>
        <v>0</v>
      </c>
      <c r="G74" s="119">
        <f t="shared" si="1"/>
        <v>0</v>
      </c>
      <c r="H74" s="119">
        <f t="shared" si="1"/>
        <v>0</v>
      </c>
      <c r="I74" s="119">
        <f t="shared" si="1"/>
        <v>0</v>
      </c>
      <c r="J74" s="119">
        <f t="shared" si="1"/>
        <v>0</v>
      </c>
      <c r="K74" s="119">
        <f t="shared" si="1"/>
        <v>0</v>
      </c>
      <c r="L74" s="119">
        <f t="shared" si="1"/>
        <v>0</v>
      </c>
      <c r="M74" s="119">
        <f t="shared" si="1"/>
        <v>0</v>
      </c>
      <c r="N74" s="152">
        <f>SUM(N75:N88)</f>
        <v>0</v>
      </c>
      <c r="O74" s="152"/>
      <c r="P74" s="152"/>
      <c r="Q74" s="152"/>
      <c r="R74" s="152"/>
      <c r="S74" s="152">
        <f>SUM(S75:S88)</f>
        <v>0</v>
      </c>
      <c r="T74" s="2"/>
      <c r="U74" s="2"/>
      <c r="V74" s="2"/>
      <c r="W74" s="2"/>
      <c r="X74" s="2"/>
      <c r="Y74" s="2"/>
      <c r="Z74" s="2"/>
    </row>
    <row r="75" ht="12.75" customHeight="1" outlineLevel="1">
      <c r="A75" s="11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 outlineLevel="1">
      <c r="A76" s="11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 outlineLevel="1">
      <c r="A77" s="11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 outlineLevel="1">
      <c r="A78" s="11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 outlineLevel="1">
      <c r="A79" s="11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 outlineLevel="1">
      <c r="A80" s="11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 outlineLevel="1">
      <c r="A81" s="11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 outlineLevel="1">
      <c r="A82" s="11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 outlineLevel="1">
      <c r="A83" s="11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 outlineLevel="1">
      <c r="A84" s="11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 outlineLevel="1">
      <c r="A85" s="11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 outlineLevel="1">
      <c r="A86" s="11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 outlineLevel="1">
      <c r="A87" s="11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 outlineLevel="1">
      <c r="A88" s="11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 outlineLevel="1">
      <c r="A89" s="11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70" t="s">
        <v>290</v>
      </c>
      <c r="B90" s="108" t="s">
        <v>2</v>
      </c>
      <c r="C90" s="108" t="s">
        <v>3</v>
      </c>
      <c r="D90" s="108" t="s">
        <v>4</v>
      </c>
      <c r="E90" s="108" t="s">
        <v>5</v>
      </c>
      <c r="F90" s="108" t="s">
        <v>6</v>
      </c>
      <c r="G90" s="108" t="s">
        <v>7</v>
      </c>
      <c r="H90" s="108" t="s">
        <v>8</v>
      </c>
      <c r="I90" s="108" t="s">
        <v>9</v>
      </c>
      <c r="J90" s="108" t="s">
        <v>10</v>
      </c>
      <c r="K90" s="108" t="s">
        <v>11</v>
      </c>
      <c r="L90" s="108" t="s">
        <v>12</v>
      </c>
      <c r="M90" s="108" t="s">
        <v>13</v>
      </c>
      <c r="N90" s="151"/>
      <c r="O90" s="151"/>
      <c r="P90" s="151"/>
      <c r="Q90" s="151"/>
      <c r="R90" s="151"/>
      <c r="S90" s="151"/>
      <c r="T90" s="2"/>
      <c r="U90" s="2"/>
      <c r="V90" s="2"/>
      <c r="W90" s="2"/>
      <c r="X90" s="2"/>
      <c r="Y90" s="2"/>
      <c r="Z90" s="2"/>
    </row>
    <row r="91" ht="12.75" customHeight="1">
      <c r="A91" s="154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1"/>
      <c r="O91" s="151"/>
      <c r="P91" s="151"/>
      <c r="Q91" s="151"/>
      <c r="R91" s="151"/>
      <c r="S91" s="151"/>
      <c r="T91" s="2"/>
      <c r="U91" s="2"/>
      <c r="V91" s="2"/>
      <c r="W91" s="2"/>
      <c r="X91" s="2"/>
      <c r="Y91" s="2"/>
      <c r="Z91" s="2"/>
    </row>
    <row r="92" ht="12.75" customHeight="1" outlineLevel="1">
      <c r="A92" s="150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1"/>
      <c r="O92" s="151"/>
      <c r="P92" s="151"/>
      <c r="Q92" s="151"/>
      <c r="R92" s="151"/>
      <c r="S92" s="151"/>
      <c r="T92" s="2"/>
      <c r="U92" s="2"/>
      <c r="V92" s="2"/>
      <c r="W92" s="2"/>
      <c r="X92" s="2"/>
      <c r="Y92" s="2"/>
      <c r="Z92" s="2"/>
    </row>
    <row r="93" ht="12.75" customHeight="1" outlineLevel="1">
      <c r="A93" s="150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1"/>
      <c r="O93" s="151"/>
      <c r="P93" s="151"/>
      <c r="Q93" s="151"/>
      <c r="R93" s="151"/>
      <c r="S93" s="151"/>
      <c r="T93" s="2"/>
      <c r="U93" s="2"/>
      <c r="V93" s="2"/>
      <c r="W93" s="2"/>
      <c r="X93" s="2"/>
      <c r="Y93" s="2"/>
      <c r="Z93" s="2"/>
    </row>
    <row r="94" ht="12.75" customHeight="1">
      <c r="A94" s="154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1"/>
      <c r="O94" s="151"/>
      <c r="P94" s="151"/>
      <c r="Q94" s="151"/>
      <c r="R94" s="151"/>
      <c r="S94" s="151"/>
      <c r="T94" s="2"/>
      <c r="U94" s="2"/>
      <c r="V94" s="2"/>
      <c r="W94" s="2"/>
      <c r="X94" s="2"/>
      <c r="Y94" s="2"/>
      <c r="Z94" s="2"/>
    </row>
    <row r="95" ht="12.75" customHeight="1" outlineLevel="1">
      <c r="A95" s="150"/>
      <c r="B95" s="156"/>
      <c r="C95" s="156"/>
      <c r="D95" s="156"/>
      <c r="E95" s="156"/>
      <c r="F95" s="156"/>
      <c r="G95" s="156"/>
      <c r="H95" s="156"/>
      <c r="I95" s="156"/>
      <c r="J95" s="156"/>
      <c r="K95" s="156"/>
      <c r="L95" s="156"/>
      <c r="M95" s="156"/>
      <c r="N95" s="151"/>
      <c r="O95" s="151"/>
      <c r="P95" s="151"/>
      <c r="Q95" s="151"/>
      <c r="R95" s="151"/>
      <c r="S95" s="151"/>
      <c r="T95" s="2"/>
      <c r="U95" s="2"/>
      <c r="V95" s="2"/>
      <c r="W95" s="2"/>
      <c r="X95" s="2"/>
      <c r="Y95" s="2"/>
      <c r="Z95" s="2"/>
    </row>
    <row r="96" ht="12.75" customHeight="1" outlineLevel="1">
      <c r="A96" s="150"/>
      <c r="B96" s="156"/>
      <c r="C96" s="156"/>
      <c r="D96" s="156"/>
      <c r="E96" s="156"/>
      <c r="F96" s="156"/>
      <c r="G96" s="156"/>
      <c r="H96" s="156"/>
      <c r="I96" s="156"/>
      <c r="J96" s="156"/>
      <c r="K96" s="156"/>
      <c r="L96" s="156"/>
      <c r="M96" s="156"/>
      <c r="N96" s="151"/>
      <c r="O96" s="151"/>
      <c r="P96" s="151"/>
      <c r="Q96" s="151"/>
      <c r="R96" s="151"/>
      <c r="S96" s="151"/>
      <c r="T96" s="2"/>
      <c r="U96" s="2"/>
      <c r="V96" s="2"/>
      <c r="W96" s="2"/>
      <c r="X96" s="2"/>
      <c r="Y96" s="2"/>
      <c r="Z96" s="2"/>
    </row>
    <row r="97" ht="12.75" customHeight="1">
      <c r="A97" s="154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1"/>
      <c r="O97" s="151"/>
      <c r="P97" s="151"/>
      <c r="Q97" s="151"/>
      <c r="R97" s="151"/>
      <c r="S97" s="151"/>
      <c r="T97" s="2"/>
      <c r="U97" s="2"/>
      <c r="V97" s="2"/>
      <c r="W97" s="2"/>
      <c r="X97" s="2"/>
      <c r="Y97" s="2"/>
      <c r="Z97" s="2"/>
    </row>
    <row r="98" ht="12.75" customHeight="1" outlineLevel="1">
      <c r="A98" s="150"/>
      <c r="B98" s="156"/>
      <c r="C98" s="156"/>
      <c r="D98" s="156"/>
      <c r="E98" s="156"/>
      <c r="F98" s="156"/>
      <c r="G98" s="156"/>
      <c r="H98" s="156"/>
      <c r="I98" s="156"/>
      <c r="J98" s="156"/>
      <c r="K98" s="156"/>
      <c r="L98" s="156"/>
      <c r="M98" s="156"/>
      <c r="N98" s="151"/>
      <c r="O98" s="151"/>
      <c r="P98" s="151"/>
      <c r="Q98" s="151"/>
      <c r="R98" s="151"/>
      <c r="S98" s="151"/>
      <c r="T98" s="2"/>
      <c r="U98" s="2"/>
      <c r="V98" s="2"/>
      <c r="W98" s="2"/>
      <c r="X98" s="2"/>
      <c r="Y98" s="2"/>
      <c r="Z98" s="2"/>
    </row>
    <row r="99" ht="12.75" customHeight="1" outlineLevel="1">
      <c r="A99" s="150"/>
      <c r="B99" s="156"/>
      <c r="C99" s="156"/>
      <c r="D99" s="156"/>
      <c r="E99" s="156"/>
      <c r="F99" s="156"/>
      <c r="G99" s="156"/>
      <c r="H99" s="156"/>
      <c r="I99" s="156"/>
      <c r="J99" s="156"/>
      <c r="K99" s="156"/>
      <c r="L99" s="156"/>
      <c r="M99" s="156"/>
      <c r="N99" s="151"/>
      <c r="O99" s="151"/>
      <c r="P99" s="151"/>
      <c r="Q99" s="151"/>
      <c r="R99" s="151"/>
      <c r="S99" s="151"/>
      <c r="T99" s="2"/>
      <c r="U99" s="2"/>
      <c r="V99" s="2"/>
      <c r="W99" s="2"/>
      <c r="X99" s="2"/>
      <c r="Y99" s="2"/>
      <c r="Z99" s="2"/>
    </row>
    <row r="100" ht="12.75" customHeight="1">
      <c r="A100" s="154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1"/>
      <c r="O100" s="151"/>
      <c r="P100" s="151"/>
      <c r="Q100" s="151"/>
      <c r="R100" s="151"/>
      <c r="S100" s="151"/>
      <c r="T100" s="2"/>
      <c r="U100" s="2"/>
      <c r="V100" s="2"/>
      <c r="W100" s="2"/>
      <c r="X100" s="2"/>
      <c r="Y100" s="2"/>
      <c r="Z100" s="2"/>
    </row>
    <row r="101" ht="12.75" customHeight="1" outlineLevel="1">
      <c r="A101" s="150"/>
      <c r="B101" s="156"/>
      <c r="C101" s="156"/>
      <c r="D101" s="156"/>
      <c r="E101" s="156"/>
      <c r="F101" s="156"/>
      <c r="G101" s="156"/>
      <c r="H101" s="156"/>
      <c r="I101" s="156"/>
      <c r="J101" s="156"/>
      <c r="K101" s="156"/>
      <c r="L101" s="156"/>
      <c r="M101" s="156"/>
      <c r="N101" s="151"/>
      <c r="O101" s="151"/>
      <c r="P101" s="151"/>
      <c r="Q101" s="151"/>
      <c r="R101" s="151"/>
      <c r="S101" s="151"/>
      <c r="T101" s="2"/>
      <c r="U101" s="2"/>
      <c r="V101" s="2"/>
      <c r="W101" s="2"/>
      <c r="X101" s="2"/>
      <c r="Y101" s="2"/>
      <c r="Z101" s="2"/>
    </row>
    <row r="102" ht="12.75" customHeight="1" outlineLevel="1">
      <c r="A102" s="150"/>
      <c r="B102" s="156"/>
      <c r="C102" s="156"/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1"/>
      <c r="O102" s="151"/>
      <c r="P102" s="151"/>
      <c r="Q102" s="151"/>
      <c r="R102" s="151"/>
      <c r="S102" s="151"/>
      <c r="T102" s="2"/>
      <c r="U102" s="2"/>
      <c r="V102" s="2"/>
      <c r="W102" s="2"/>
      <c r="X102" s="2"/>
      <c r="Y102" s="2"/>
      <c r="Z102" s="2"/>
    </row>
    <row r="103" ht="12.75" customHeight="1">
      <c r="A103" s="154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1"/>
      <c r="O103" s="151"/>
      <c r="P103" s="151"/>
      <c r="Q103" s="151"/>
      <c r="R103" s="151"/>
      <c r="S103" s="151"/>
      <c r="T103" s="2"/>
      <c r="U103" s="2"/>
      <c r="V103" s="2"/>
      <c r="W103" s="2"/>
      <c r="X103" s="2"/>
      <c r="Y103" s="2"/>
      <c r="Z103" s="2"/>
    </row>
    <row r="104" ht="12.75" customHeight="1" outlineLevel="1">
      <c r="A104" s="150"/>
      <c r="B104" s="156"/>
      <c r="C104" s="156"/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1"/>
      <c r="O104" s="151"/>
      <c r="P104" s="151"/>
      <c r="Q104" s="151"/>
      <c r="R104" s="151"/>
      <c r="S104" s="151"/>
      <c r="T104" s="2"/>
      <c r="U104" s="2"/>
      <c r="V104" s="2"/>
      <c r="W104" s="2"/>
      <c r="X104" s="2"/>
      <c r="Y104" s="2"/>
      <c r="Z104" s="2"/>
    </row>
    <row r="105" ht="12.75" customHeight="1" outlineLevel="1">
      <c r="A105" s="150"/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1"/>
      <c r="O105" s="151"/>
      <c r="P105" s="151"/>
      <c r="Q105" s="151"/>
      <c r="R105" s="151"/>
      <c r="S105" s="151"/>
      <c r="T105" s="2"/>
      <c r="U105" s="2"/>
      <c r="V105" s="2"/>
      <c r="W105" s="2"/>
      <c r="X105" s="2"/>
      <c r="Y105" s="2"/>
      <c r="Z105" s="2"/>
    </row>
    <row r="106" ht="12.75" customHeight="1">
      <c r="A106" s="154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1"/>
      <c r="O106" s="151"/>
      <c r="P106" s="151"/>
      <c r="Q106" s="151"/>
      <c r="R106" s="151"/>
      <c r="S106" s="151"/>
      <c r="T106" s="2"/>
      <c r="U106" s="2"/>
      <c r="V106" s="2"/>
      <c r="W106" s="2"/>
      <c r="X106" s="2"/>
      <c r="Y106" s="2"/>
      <c r="Z106" s="2"/>
    </row>
    <row r="107" ht="12.75" customHeight="1" outlineLevel="1">
      <c r="A107" s="150"/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1"/>
      <c r="O107" s="151"/>
      <c r="P107" s="151"/>
      <c r="Q107" s="151"/>
      <c r="R107" s="151"/>
      <c r="S107" s="151"/>
      <c r="T107" s="2"/>
      <c r="U107" s="2"/>
      <c r="V107" s="2"/>
      <c r="W107" s="2"/>
      <c r="X107" s="2"/>
      <c r="Y107" s="2"/>
      <c r="Z107" s="2"/>
    </row>
    <row r="108" ht="12.75" customHeight="1" outlineLevel="1">
      <c r="A108" s="150"/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1"/>
      <c r="O108" s="151"/>
      <c r="P108" s="151"/>
      <c r="Q108" s="151"/>
      <c r="R108" s="151"/>
      <c r="S108" s="151"/>
      <c r="T108" s="2"/>
      <c r="U108" s="2"/>
      <c r="V108" s="2"/>
      <c r="W108" s="2"/>
      <c r="X108" s="2"/>
      <c r="Y108" s="2"/>
      <c r="Z108" s="2"/>
    </row>
    <row r="109" ht="12.75" customHeight="1">
      <c r="A109" s="154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1"/>
      <c r="O109" s="151"/>
      <c r="P109" s="151"/>
      <c r="Q109" s="151"/>
      <c r="R109" s="151"/>
      <c r="S109" s="151"/>
      <c r="T109" s="2"/>
      <c r="U109" s="2"/>
      <c r="V109" s="2"/>
      <c r="W109" s="2"/>
      <c r="X109" s="2"/>
      <c r="Y109" s="2"/>
      <c r="Z109" s="2"/>
    </row>
    <row r="110" ht="12.75" customHeight="1" outlineLevel="1">
      <c r="A110" s="150"/>
      <c r="B110" s="156"/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1"/>
      <c r="O110" s="151"/>
      <c r="P110" s="151"/>
      <c r="Q110" s="151"/>
      <c r="R110" s="151"/>
      <c r="S110" s="151"/>
      <c r="T110" s="2"/>
      <c r="U110" s="2"/>
      <c r="V110" s="2"/>
      <c r="W110" s="2"/>
      <c r="X110" s="2"/>
      <c r="Y110" s="2"/>
      <c r="Z110" s="2"/>
    </row>
    <row r="111" ht="12.75" customHeight="1" outlineLevel="1">
      <c r="A111" s="150"/>
      <c r="B111" s="156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1"/>
      <c r="O111" s="151"/>
      <c r="P111" s="151"/>
      <c r="Q111" s="151"/>
      <c r="R111" s="151"/>
      <c r="S111" s="151"/>
      <c r="T111" s="2"/>
      <c r="U111" s="2"/>
      <c r="V111" s="2"/>
      <c r="W111" s="2"/>
      <c r="X111" s="2"/>
      <c r="Y111" s="2"/>
      <c r="Z111" s="2"/>
    </row>
    <row r="112" ht="12.75" customHeight="1">
      <c r="A112" s="154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1"/>
      <c r="O112" s="151"/>
      <c r="P112" s="151"/>
      <c r="Q112" s="151"/>
      <c r="R112" s="151"/>
      <c r="S112" s="151"/>
      <c r="T112" s="2"/>
      <c r="U112" s="2"/>
      <c r="V112" s="2"/>
      <c r="W112" s="2"/>
      <c r="X112" s="2"/>
      <c r="Y112" s="2"/>
      <c r="Z112" s="2"/>
    </row>
    <row r="113" ht="12.75" customHeight="1" outlineLevel="1">
      <c r="A113" s="150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1"/>
      <c r="O113" s="151"/>
      <c r="P113" s="151"/>
      <c r="Q113" s="151"/>
      <c r="R113" s="151"/>
      <c r="S113" s="151"/>
      <c r="T113" s="2"/>
      <c r="U113" s="2"/>
      <c r="V113" s="2"/>
      <c r="W113" s="2"/>
      <c r="X113" s="2"/>
      <c r="Y113" s="2"/>
      <c r="Z113" s="2"/>
    </row>
    <row r="114" ht="12.75" customHeight="1" outlineLevel="1">
      <c r="A114" s="150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1"/>
      <c r="O114" s="151"/>
      <c r="P114" s="151"/>
      <c r="Q114" s="151"/>
      <c r="R114" s="151"/>
      <c r="S114" s="151"/>
      <c r="T114" s="2"/>
      <c r="U114" s="2"/>
      <c r="V114" s="2"/>
      <c r="W114" s="2"/>
      <c r="X114" s="2"/>
      <c r="Y114" s="2"/>
      <c r="Z114" s="2"/>
    </row>
    <row r="115" ht="12.75" customHeight="1">
      <c r="A115" s="154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1"/>
      <c r="O115" s="151"/>
      <c r="P115" s="151"/>
      <c r="Q115" s="151"/>
      <c r="R115" s="151"/>
      <c r="S115" s="151"/>
      <c r="T115" s="2"/>
      <c r="U115" s="2"/>
      <c r="V115" s="2"/>
      <c r="W115" s="2"/>
      <c r="X115" s="2"/>
      <c r="Y115" s="2"/>
      <c r="Z115" s="2"/>
    </row>
    <row r="116" ht="12.75" customHeight="1" outlineLevel="1">
      <c r="A116" s="150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1"/>
      <c r="O116" s="151"/>
      <c r="P116" s="151"/>
      <c r="Q116" s="151"/>
      <c r="R116" s="151"/>
      <c r="S116" s="151"/>
      <c r="T116" s="2"/>
      <c r="U116" s="2"/>
      <c r="V116" s="2"/>
      <c r="W116" s="2"/>
      <c r="X116" s="2"/>
      <c r="Y116" s="2"/>
      <c r="Z116" s="2"/>
    </row>
    <row r="117" ht="12.75" customHeight="1" outlineLevel="1">
      <c r="A117" s="150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1"/>
      <c r="O117" s="151"/>
      <c r="P117" s="151"/>
      <c r="Q117" s="151"/>
      <c r="R117" s="151"/>
      <c r="S117" s="151"/>
      <c r="T117" s="2"/>
      <c r="U117" s="2"/>
      <c r="V117" s="2"/>
      <c r="W117" s="2"/>
      <c r="X117" s="2"/>
      <c r="Y117" s="2"/>
      <c r="Z117" s="2"/>
    </row>
    <row r="118" ht="12.75" customHeight="1">
      <c r="A118" s="154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1"/>
      <c r="O118" s="151"/>
      <c r="P118" s="151"/>
      <c r="Q118" s="151"/>
      <c r="R118" s="151"/>
      <c r="S118" s="151"/>
      <c r="T118" s="2"/>
      <c r="U118" s="2"/>
      <c r="V118" s="2"/>
      <c r="W118" s="2"/>
      <c r="X118" s="2"/>
      <c r="Y118" s="2"/>
      <c r="Z118" s="2"/>
    </row>
    <row r="119" ht="12.75" customHeight="1" outlineLevel="1">
      <c r="A119" s="150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1"/>
      <c r="O119" s="151"/>
      <c r="P119" s="151"/>
      <c r="Q119" s="151"/>
      <c r="R119" s="151"/>
      <c r="S119" s="151"/>
      <c r="T119" s="2"/>
      <c r="U119" s="2"/>
      <c r="V119" s="2"/>
      <c r="W119" s="2"/>
      <c r="X119" s="2"/>
      <c r="Y119" s="2"/>
      <c r="Z119" s="2"/>
    </row>
    <row r="120" ht="12.75" customHeight="1" outlineLevel="1">
      <c r="A120" s="150"/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1"/>
      <c r="O120" s="151"/>
      <c r="P120" s="151"/>
      <c r="Q120" s="151"/>
      <c r="R120" s="151"/>
      <c r="S120" s="151"/>
      <c r="T120" s="2"/>
      <c r="U120" s="2"/>
      <c r="V120" s="2"/>
      <c r="W120" s="2"/>
      <c r="X120" s="2"/>
      <c r="Y120" s="2"/>
      <c r="Z120" s="2"/>
    </row>
    <row r="121" ht="12.75" customHeight="1">
      <c r="A121" s="154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1"/>
      <c r="O121" s="151"/>
      <c r="P121" s="151"/>
      <c r="Q121" s="151"/>
      <c r="R121" s="151"/>
      <c r="S121" s="151"/>
      <c r="T121" s="2"/>
      <c r="U121" s="2"/>
      <c r="V121" s="2"/>
      <c r="W121" s="2"/>
      <c r="X121" s="2"/>
      <c r="Y121" s="2"/>
      <c r="Z121" s="2"/>
    </row>
    <row r="122" ht="12.75" customHeight="1" outlineLevel="1">
      <c r="A122" s="150"/>
      <c r="B122" s="156"/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1"/>
      <c r="O122" s="151"/>
      <c r="P122" s="151"/>
      <c r="Q122" s="151"/>
      <c r="R122" s="151"/>
      <c r="S122" s="151"/>
      <c r="T122" s="2"/>
      <c r="U122" s="2"/>
      <c r="V122" s="2"/>
      <c r="W122" s="2"/>
      <c r="X122" s="2"/>
      <c r="Y122" s="2"/>
      <c r="Z122" s="2"/>
    </row>
    <row r="123" ht="12.75" customHeight="1" outlineLevel="1">
      <c r="A123" s="150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1"/>
      <c r="O123" s="151"/>
      <c r="P123" s="151"/>
      <c r="Q123" s="151"/>
      <c r="R123" s="151"/>
      <c r="S123" s="151"/>
      <c r="T123" s="2"/>
      <c r="U123" s="2"/>
      <c r="V123" s="2"/>
      <c r="W123" s="2"/>
      <c r="X123" s="2"/>
      <c r="Y123" s="2"/>
      <c r="Z123" s="2"/>
    </row>
    <row r="124" ht="12.75" customHeight="1">
      <c r="A124" s="154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1"/>
      <c r="O124" s="151"/>
      <c r="P124" s="151"/>
      <c r="Q124" s="151"/>
      <c r="R124" s="151"/>
      <c r="S124" s="151"/>
      <c r="T124" s="2"/>
      <c r="U124" s="2"/>
      <c r="V124" s="2"/>
      <c r="W124" s="2"/>
      <c r="X124" s="2"/>
      <c r="Y124" s="2"/>
      <c r="Z124" s="2"/>
    </row>
    <row r="125" ht="12.75" customHeight="1" outlineLevel="1">
      <c r="A125" s="150"/>
      <c r="B125" s="156"/>
      <c r="C125" s="156"/>
      <c r="D125" s="156"/>
      <c r="E125" s="156"/>
      <c r="F125" s="156"/>
      <c r="G125" s="156"/>
      <c r="H125" s="156"/>
      <c r="I125" s="156"/>
      <c r="J125" s="156"/>
      <c r="K125" s="156"/>
      <c r="L125" s="156"/>
      <c r="M125" s="156"/>
      <c r="N125" s="151"/>
      <c r="O125" s="151"/>
      <c r="P125" s="151"/>
      <c r="Q125" s="151"/>
      <c r="R125" s="151"/>
      <c r="S125" s="151"/>
      <c r="T125" s="2"/>
      <c r="U125" s="2"/>
      <c r="V125" s="2"/>
      <c r="W125" s="2"/>
      <c r="X125" s="2"/>
      <c r="Y125" s="2"/>
      <c r="Z125" s="2"/>
    </row>
    <row r="126" ht="12.75" customHeight="1" outlineLevel="1">
      <c r="A126" s="150"/>
      <c r="B126" s="156"/>
      <c r="C126" s="156"/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1"/>
      <c r="O126" s="151"/>
      <c r="P126" s="151"/>
      <c r="Q126" s="151"/>
      <c r="R126" s="151"/>
      <c r="S126" s="151"/>
      <c r="T126" s="2"/>
      <c r="U126" s="2"/>
      <c r="V126" s="2"/>
      <c r="W126" s="2"/>
      <c r="X126" s="2"/>
      <c r="Y126" s="2"/>
      <c r="Z126" s="2"/>
    </row>
    <row r="127" ht="12.75" customHeight="1">
      <c r="A127" s="154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1"/>
      <c r="O127" s="151"/>
      <c r="P127" s="151"/>
      <c r="Q127" s="151"/>
      <c r="R127" s="151"/>
      <c r="S127" s="151"/>
      <c r="T127" s="2"/>
      <c r="U127" s="2"/>
      <c r="V127" s="2"/>
      <c r="W127" s="2"/>
      <c r="X127" s="2"/>
      <c r="Y127" s="2"/>
      <c r="Z127" s="2"/>
    </row>
    <row r="128" ht="12.75" customHeight="1" outlineLevel="1">
      <c r="A128" s="150"/>
      <c r="B128" s="156"/>
      <c r="C128" s="156"/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1"/>
      <c r="O128" s="151"/>
      <c r="P128" s="151"/>
      <c r="Q128" s="151"/>
      <c r="R128" s="151"/>
      <c r="S128" s="151"/>
      <c r="T128" s="2"/>
      <c r="U128" s="2"/>
      <c r="V128" s="2"/>
      <c r="W128" s="2"/>
      <c r="X128" s="2"/>
      <c r="Y128" s="2"/>
      <c r="Z128" s="2"/>
    </row>
    <row r="129" ht="12.75" customHeight="1" outlineLevel="1">
      <c r="A129" s="150"/>
      <c r="B129" s="156"/>
      <c r="C129" s="156"/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1"/>
      <c r="O129" s="151"/>
      <c r="P129" s="151"/>
      <c r="Q129" s="151"/>
      <c r="R129" s="151"/>
      <c r="S129" s="151"/>
      <c r="T129" s="2"/>
      <c r="U129" s="2"/>
      <c r="V129" s="2"/>
      <c r="W129" s="2"/>
      <c r="X129" s="2"/>
      <c r="Y129" s="2"/>
      <c r="Z129" s="2"/>
    </row>
    <row r="130" ht="12.75" customHeight="1">
      <c r="A130" s="154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1"/>
      <c r="O130" s="151"/>
      <c r="P130" s="151"/>
      <c r="Q130" s="151"/>
      <c r="R130" s="151"/>
      <c r="S130" s="151"/>
      <c r="T130" s="2"/>
      <c r="U130" s="2"/>
      <c r="V130" s="2"/>
      <c r="W130" s="2"/>
      <c r="X130" s="2"/>
      <c r="Y130" s="2"/>
      <c r="Z130" s="2"/>
    </row>
    <row r="131" ht="12.75" customHeight="1" outlineLevel="1">
      <c r="A131" s="150"/>
      <c r="B131" s="156"/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1"/>
      <c r="O131" s="151"/>
      <c r="P131" s="151"/>
      <c r="Q131" s="151"/>
      <c r="R131" s="151"/>
      <c r="S131" s="151"/>
      <c r="T131" s="2"/>
      <c r="U131" s="2"/>
      <c r="V131" s="2"/>
      <c r="W131" s="2"/>
      <c r="X131" s="2"/>
      <c r="Y131" s="2"/>
      <c r="Z131" s="2"/>
    </row>
    <row r="132" ht="12.75" customHeight="1" outlineLevel="1">
      <c r="A132" s="150"/>
      <c r="B132" s="156"/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1"/>
      <c r="O132" s="151"/>
      <c r="P132" s="151"/>
      <c r="Q132" s="151"/>
      <c r="R132" s="151"/>
      <c r="S132" s="151"/>
      <c r="T132" s="2"/>
      <c r="U132" s="2"/>
      <c r="V132" s="2"/>
      <c r="W132" s="2"/>
      <c r="X132" s="2"/>
      <c r="Y132" s="2"/>
      <c r="Z132" s="2"/>
    </row>
    <row r="133" ht="12.75" customHeight="1">
      <c r="A133" s="154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1"/>
      <c r="O133" s="151"/>
      <c r="P133" s="151"/>
      <c r="Q133" s="151"/>
      <c r="R133" s="151"/>
      <c r="S133" s="151"/>
      <c r="T133" s="2"/>
      <c r="U133" s="2"/>
      <c r="V133" s="2"/>
      <c r="W133" s="2"/>
      <c r="X133" s="2"/>
      <c r="Y133" s="2"/>
      <c r="Z133" s="2"/>
    </row>
    <row r="134" ht="12.75" customHeight="1" outlineLevel="1">
      <c r="A134" s="150"/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1"/>
      <c r="O134" s="151"/>
      <c r="P134" s="151"/>
      <c r="Q134" s="151"/>
      <c r="R134" s="151"/>
      <c r="S134" s="151"/>
      <c r="T134" s="2"/>
      <c r="U134" s="2"/>
      <c r="V134" s="2"/>
      <c r="W134" s="2"/>
      <c r="X134" s="2"/>
      <c r="Y134" s="2"/>
      <c r="Z134" s="2"/>
    </row>
    <row r="135" ht="12.75" customHeight="1" outlineLevel="1">
      <c r="A135" s="150"/>
      <c r="B135" s="156"/>
      <c r="C135" s="156"/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1"/>
      <c r="O135" s="151"/>
      <c r="P135" s="151"/>
      <c r="Q135" s="151"/>
      <c r="R135" s="151"/>
      <c r="S135" s="151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12">
        <f>SUM(B75*B91,B94*B76,B77*B97,B100*B78,B79*B103,B81*B109,B82*B112,B83*B115,B84*B118,B121*B85,B86*B124,B127*B87,B88*B130,B133*B89)-'ФОТ'!C63</f>
        <v>0</v>
      </c>
      <c r="C136" s="12">
        <f>SUM(C75*C91,C94*C76,C77*C97,C100*C78,C79*C103,C81*C109,C82*C112,C83*C115,C84*C118,C121*C85,C86*C124,C127*C87,C88*C130,C133*C89)-'ФОТ'!D63</f>
        <v>0</v>
      </c>
      <c r="D136" s="12">
        <f>SUM(D75*D91,D94*D76,D77*D97,D100*D78,D79*D103,D81*D109,D82*D112,D83*D115,D84*D118,D121*D85,D86*D124,D127*D87,D88*D130,D133*D89)-'ФОТ'!E63</f>
        <v>0</v>
      </c>
      <c r="E136" s="12">
        <f>SUM(E75*E91,E94*E76,E77*E97,E100*E78,E79*E103,E81*E109,E82*E112,E83*E115,E84*E118,E121*E85,E86*E124,E127*E87,E88*E130,E133*E89)-'ФОТ'!F63</f>
        <v>0</v>
      </c>
      <c r="F136" s="12">
        <f>SUM(F75*F91,F94*F76,F77*F97,F100*F78,F79*F103,F81*F109,F82*F112,F83*F115,F84*F118,F121*F85,F86*F124,F127*F87,F88*F130,F133*F89)-'ФОТ'!G63</f>
        <v>0</v>
      </c>
      <c r="G136" s="12">
        <f>SUM(G75*G91,G94*G76,G77*G97,G100*G78,G79*G103,G81*G109,G82*G112,G83*G115,G84*G118,G121*G85,G86*G124,G127*G87,G88*G130,G133*G89)-'ФОТ'!H63</f>
        <v>0</v>
      </c>
      <c r="H136" s="12">
        <f>SUM(H75*H91,H94*H76,H77*H97,H100*H78,H79*H103,H81*H109,H82*H112,H83*H115,H84*H118,H121*H85,H86*H124,H127*H87,H88*H130,H133*H89)-'ФОТ'!I63</f>
        <v>0</v>
      </c>
      <c r="I136" s="12">
        <f>SUM(I75*I91,I94*I76,I77*I97,I100*I78,I79*I103,I81*I109,I82*I112,I83*I115,I84*I118,I121*I85,I86*I124,I127*I87,I88*I130,I133*I89)-'ФОТ'!J63</f>
        <v>0</v>
      </c>
      <c r="J136" s="12">
        <f>SUM(J75*J91,J94*J76,J77*J97,J100*J78,J79*J103,J81*J109,J82*J112,J83*J115,J84*J118,J121*J85,J86*J124,J127*J87,J88*J130,J133*J89)-'ФОТ'!K63</f>
        <v>0</v>
      </c>
      <c r="K136" s="12">
        <f>SUM(K75*K91,K94*K76,K77*K97,K100*K78,K79*K103,K81*K109,K82*K112,K83*K115,K84*K118,K121*K85,K86*K124,K127*K87,K88*K130,K133*K89)-'ФОТ'!L63</f>
        <v>0</v>
      </c>
      <c r="L136" s="12">
        <f>SUM(L75*L91,L94*L76,L77*L97,L100*L78,L79*L103,L81*L109,L82*L112,L83*L115,L84*L118,L121*L85,L86*L124,L127*L87,L88*L130,L133*L89)-'ФОТ'!M63</f>
        <v>0</v>
      </c>
      <c r="M136" s="12">
        <f>SUM(M75*M91,M94*M76,M77*M97,M100*M78,M79*M103,M81*M109,M82*M112,M83*M115,M84*M118,M121*M85,M86*M124,M127*M87,M88*M130,M133*M89)-'ФОТ'!N63</f>
        <v>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1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</sheetData>
  <mergeCells count="21"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A70:O70"/>
    <mergeCell ref="A1:Y1"/>
    <mergeCell ref="A3:Y3"/>
    <mergeCell ref="A5:A6"/>
    <mergeCell ref="B5:B6"/>
    <mergeCell ref="C5:U5"/>
    <mergeCell ref="A37:V37"/>
    <mergeCell ref="A39:A40"/>
    <mergeCell ref="N39:N40"/>
  </mergeCells>
  <printOptions/>
  <pageMargins bottom="0.0" footer="0.0" header="0.0" left="0.0" right="0.0" top="0.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 outlineLevelRow="2"/>
  <cols>
    <col customWidth="1" min="1" max="1" width="47.86"/>
    <col customWidth="1" min="2" max="14" width="14.29"/>
    <col customWidth="1" min="15" max="26" width="8.71"/>
  </cols>
  <sheetData>
    <row r="1" ht="11.25" customHeight="1">
      <c r="A1" s="124" t="s">
        <v>291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4.75" customHeight="1">
      <c r="A2" s="3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31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 outlineLevel="1">
      <c r="A3" s="68" t="s">
        <v>200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10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 outlineLevel="1">
      <c r="A4" s="157" t="s">
        <v>292</v>
      </c>
      <c r="B4" s="119">
        <f t="shared" ref="B4:N4" si="1">B11*B16</f>
        <v>0</v>
      </c>
      <c r="C4" s="119">
        <f t="shared" si="1"/>
        <v>0</v>
      </c>
      <c r="D4" s="119">
        <f t="shared" si="1"/>
        <v>0</v>
      </c>
      <c r="E4" s="119">
        <f t="shared" si="1"/>
        <v>0</v>
      </c>
      <c r="F4" s="119">
        <f t="shared" si="1"/>
        <v>0</v>
      </c>
      <c r="G4" s="119">
        <f t="shared" si="1"/>
        <v>0</v>
      </c>
      <c r="H4" s="119">
        <f t="shared" si="1"/>
        <v>0</v>
      </c>
      <c r="I4" s="119">
        <f t="shared" si="1"/>
        <v>0</v>
      </c>
      <c r="J4" s="119">
        <f t="shared" si="1"/>
        <v>0</v>
      </c>
      <c r="K4" s="119">
        <f t="shared" si="1"/>
        <v>0</v>
      </c>
      <c r="L4" s="119">
        <f t="shared" si="1"/>
        <v>0</v>
      </c>
      <c r="M4" s="119">
        <f t="shared" si="1"/>
        <v>0</v>
      </c>
      <c r="N4" s="119">
        <f t="shared" si="1"/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 outlineLevel="1">
      <c r="A5" s="158" t="s">
        <v>293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5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 outlineLevel="2">
      <c r="A6" s="160" t="s">
        <v>294</v>
      </c>
      <c r="B6" s="161"/>
      <c r="C6" s="161"/>
      <c r="D6" s="162"/>
      <c r="E6" s="161"/>
      <c r="F6" s="161"/>
      <c r="G6" s="161"/>
      <c r="H6" s="161"/>
      <c r="I6" s="161"/>
      <c r="J6" s="161"/>
      <c r="K6" s="161"/>
      <c r="L6" s="161"/>
      <c r="M6" s="161"/>
      <c r="N6" s="16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 outlineLevel="2">
      <c r="A7" s="160" t="s">
        <v>295</v>
      </c>
      <c r="B7" s="161"/>
      <c r="C7" s="161"/>
      <c r="D7" s="162"/>
      <c r="E7" s="161"/>
      <c r="F7" s="161"/>
      <c r="G7" s="161"/>
      <c r="H7" s="161"/>
      <c r="I7" s="161"/>
      <c r="J7" s="161"/>
      <c r="K7" s="161"/>
      <c r="L7" s="161"/>
      <c r="M7" s="161"/>
      <c r="N7" s="16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 outlineLevel="2">
      <c r="A8" s="160" t="s">
        <v>296</v>
      </c>
      <c r="B8" s="161"/>
      <c r="C8" s="161"/>
      <c r="D8" s="162"/>
      <c r="E8" s="161"/>
      <c r="F8" s="161"/>
      <c r="G8" s="161"/>
      <c r="H8" s="161"/>
      <c r="I8" s="161"/>
      <c r="J8" s="161"/>
      <c r="K8" s="161"/>
      <c r="L8" s="161"/>
      <c r="M8" s="161"/>
      <c r="N8" s="16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 outlineLevel="2">
      <c r="A9" s="160" t="s">
        <v>297</v>
      </c>
      <c r="B9" s="161"/>
      <c r="C9" s="161"/>
      <c r="D9" s="162"/>
      <c r="E9" s="161"/>
      <c r="F9" s="161"/>
      <c r="G9" s="161"/>
      <c r="H9" s="161"/>
      <c r="I9" s="161"/>
      <c r="J9" s="161"/>
      <c r="K9" s="161"/>
      <c r="L9" s="161"/>
      <c r="M9" s="161"/>
      <c r="N9" s="16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 outlineLevel="2">
      <c r="A10" s="164" t="s">
        <v>298</v>
      </c>
      <c r="B10" s="161"/>
      <c r="C10" s="161"/>
      <c r="D10" s="162"/>
      <c r="E10" s="161"/>
      <c r="F10" s="161"/>
      <c r="G10" s="161"/>
      <c r="H10" s="161"/>
      <c r="I10" s="161"/>
      <c r="J10" s="161"/>
      <c r="K10" s="161"/>
      <c r="L10" s="161"/>
      <c r="M10" s="161"/>
      <c r="N10" s="16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 outlineLevel="2">
      <c r="A11" s="160" t="s">
        <v>299</v>
      </c>
      <c r="B11" s="161"/>
      <c r="C11" s="161"/>
      <c r="D11" s="162"/>
      <c r="E11" s="161"/>
      <c r="F11" s="161"/>
      <c r="G11" s="161"/>
      <c r="H11" s="161"/>
      <c r="I11" s="161"/>
      <c r="J11" s="161"/>
      <c r="K11" s="161"/>
      <c r="L11" s="161"/>
      <c r="M11" s="161"/>
      <c r="N11" s="16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 outlineLevel="2">
      <c r="A12" s="164" t="s">
        <v>300</v>
      </c>
      <c r="B12" s="161"/>
      <c r="C12" s="161"/>
      <c r="D12" s="162"/>
      <c r="E12" s="161"/>
      <c r="F12" s="161"/>
      <c r="G12" s="161"/>
      <c r="H12" s="161"/>
      <c r="I12" s="161"/>
      <c r="J12" s="161"/>
      <c r="K12" s="161"/>
      <c r="L12" s="161"/>
      <c r="M12" s="161"/>
      <c r="N12" s="16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 outlineLevel="2">
      <c r="A13" s="160" t="s">
        <v>301</v>
      </c>
      <c r="B13" s="161"/>
      <c r="C13" s="161"/>
      <c r="D13" s="162"/>
      <c r="E13" s="161"/>
      <c r="F13" s="161"/>
      <c r="G13" s="161"/>
      <c r="H13" s="161"/>
      <c r="I13" s="161"/>
      <c r="J13" s="161"/>
      <c r="K13" s="161"/>
      <c r="L13" s="161"/>
      <c r="M13" s="161"/>
      <c r="N13" s="163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2">
      <c r="A14" s="164" t="s">
        <v>302</v>
      </c>
      <c r="B14" s="161"/>
      <c r="C14" s="161"/>
      <c r="D14" s="162"/>
      <c r="E14" s="161"/>
      <c r="F14" s="161"/>
      <c r="G14" s="161"/>
      <c r="H14" s="161"/>
      <c r="I14" s="161"/>
      <c r="J14" s="161"/>
      <c r="K14" s="161"/>
      <c r="L14" s="161"/>
      <c r="M14" s="161"/>
      <c r="N14" s="16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outlineLevel="2">
      <c r="A15" s="160" t="s">
        <v>303</v>
      </c>
      <c r="B15" s="161"/>
      <c r="C15" s="161"/>
      <c r="D15" s="162"/>
      <c r="E15" s="161"/>
      <c r="F15" s="161"/>
      <c r="G15" s="161"/>
      <c r="H15" s="161"/>
      <c r="I15" s="161"/>
      <c r="J15" s="161"/>
      <c r="K15" s="161"/>
      <c r="L15" s="161"/>
      <c r="M15" s="161"/>
      <c r="N15" s="163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outlineLevel="2">
      <c r="A16" s="160" t="s">
        <v>304</v>
      </c>
      <c r="B16" s="161"/>
      <c r="C16" s="161"/>
      <c r="D16" s="162"/>
      <c r="E16" s="161"/>
      <c r="F16" s="161"/>
      <c r="G16" s="161"/>
      <c r="H16" s="161"/>
      <c r="I16" s="161"/>
      <c r="J16" s="161"/>
      <c r="K16" s="161"/>
      <c r="L16" s="161"/>
      <c r="M16" s="161"/>
      <c r="N16" s="16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2">
      <c r="A17" s="165"/>
      <c r="B17" s="161"/>
      <c r="C17" s="161"/>
      <c r="D17" s="162"/>
      <c r="E17" s="161"/>
      <c r="F17" s="161"/>
      <c r="G17" s="161"/>
      <c r="H17" s="161"/>
      <c r="I17" s="161"/>
      <c r="J17" s="161"/>
      <c r="K17" s="161"/>
      <c r="L17" s="161"/>
      <c r="M17" s="161"/>
      <c r="N17" s="16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outlineLevel="1">
      <c r="A18" s="70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59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 outlineLevel="1">
      <c r="A19" s="157" t="s">
        <v>305</v>
      </c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5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hidden="1" customHeight="1" outlineLevel="2">
      <c r="A20" s="160"/>
      <c r="B20" s="161"/>
      <c r="C20" s="161"/>
      <c r="D20" s="162"/>
      <c r="E20" s="161"/>
      <c r="F20" s="161"/>
      <c r="G20" s="161"/>
      <c r="H20" s="161"/>
      <c r="I20" s="161"/>
      <c r="J20" s="161"/>
      <c r="K20" s="161"/>
      <c r="L20" s="161"/>
      <c r="M20" s="161"/>
      <c r="N20" s="163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hidden="1" customHeight="1" outlineLevel="2">
      <c r="A21" s="160"/>
      <c r="B21" s="161"/>
      <c r="C21" s="161"/>
      <c r="D21" s="162"/>
      <c r="E21" s="161"/>
      <c r="F21" s="161"/>
      <c r="G21" s="161"/>
      <c r="H21" s="161"/>
      <c r="I21" s="161"/>
      <c r="J21" s="161"/>
      <c r="K21" s="161"/>
      <c r="L21" s="161"/>
      <c r="M21" s="161"/>
      <c r="N21" s="16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hidden="1" customHeight="1" outlineLevel="2">
      <c r="A22" s="160"/>
      <c r="B22" s="161"/>
      <c r="C22" s="161"/>
      <c r="D22" s="162"/>
      <c r="E22" s="161"/>
      <c r="F22" s="161"/>
      <c r="G22" s="161"/>
      <c r="H22" s="161"/>
      <c r="I22" s="161"/>
      <c r="J22" s="161"/>
      <c r="K22" s="161"/>
      <c r="L22" s="161"/>
      <c r="M22" s="161"/>
      <c r="N22" s="16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hidden="1" customHeight="1" outlineLevel="2">
      <c r="A23" s="160"/>
      <c r="B23" s="161"/>
      <c r="C23" s="161"/>
      <c r="D23" s="162"/>
      <c r="E23" s="161"/>
      <c r="F23" s="161"/>
      <c r="G23" s="161"/>
      <c r="H23" s="161"/>
      <c r="I23" s="161"/>
      <c r="J23" s="161"/>
      <c r="K23" s="161"/>
      <c r="L23" s="161"/>
      <c r="M23" s="161"/>
      <c r="N23" s="16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hidden="1" customHeight="1" outlineLevel="2">
      <c r="A24" s="160"/>
      <c r="B24" s="161"/>
      <c r="C24" s="161"/>
      <c r="D24" s="162"/>
      <c r="E24" s="161"/>
      <c r="F24" s="161"/>
      <c r="G24" s="161"/>
      <c r="H24" s="161"/>
      <c r="I24" s="161"/>
      <c r="J24" s="161"/>
      <c r="K24" s="161"/>
      <c r="L24" s="161"/>
      <c r="M24" s="161"/>
      <c r="N24" s="16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hidden="1" customHeight="1" outlineLevel="2">
      <c r="A25" s="160"/>
      <c r="B25" s="161"/>
      <c r="C25" s="161"/>
      <c r="D25" s="162"/>
      <c r="E25" s="161"/>
      <c r="F25" s="161"/>
      <c r="G25" s="161"/>
      <c r="H25" s="161"/>
      <c r="I25" s="161"/>
      <c r="J25" s="161"/>
      <c r="K25" s="161"/>
      <c r="L25" s="161"/>
      <c r="M25" s="161"/>
      <c r="N25" s="16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hidden="1" customHeight="1" outlineLevel="2">
      <c r="A26" s="160"/>
      <c r="B26" s="161"/>
      <c r="C26" s="161"/>
      <c r="D26" s="162"/>
      <c r="E26" s="161"/>
      <c r="F26" s="161"/>
      <c r="G26" s="161"/>
      <c r="H26" s="161"/>
      <c r="I26" s="161"/>
      <c r="J26" s="161"/>
      <c r="K26" s="161"/>
      <c r="L26" s="161"/>
      <c r="M26" s="161"/>
      <c r="N26" s="16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hidden="1" customHeight="1" outlineLevel="2">
      <c r="A27" s="160"/>
      <c r="B27" s="161"/>
      <c r="C27" s="161"/>
      <c r="D27" s="162"/>
      <c r="E27" s="161"/>
      <c r="F27" s="161"/>
      <c r="G27" s="161"/>
      <c r="H27" s="161"/>
      <c r="I27" s="161"/>
      <c r="J27" s="161"/>
      <c r="K27" s="161"/>
      <c r="L27" s="161"/>
      <c r="M27" s="161"/>
      <c r="N27" s="16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hidden="1" customHeight="1" outlineLevel="2">
      <c r="A28" s="160"/>
      <c r="B28" s="161"/>
      <c r="C28" s="161"/>
      <c r="D28" s="162"/>
      <c r="E28" s="161"/>
      <c r="F28" s="161"/>
      <c r="G28" s="161"/>
      <c r="H28" s="161"/>
      <c r="I28" s="161"/>
      <c r="J28" s="161"/>
      <c r="K28" s="161"/>
      <c r="L28" s="161"/>
      <c r="M28" s="161"/>
      <c r="N28" s="16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hidden="1" customHeight="1" outlineLevel="2">
      <c r="A29" s="160"/>
      <c r="B29" s="161"/>
      <c r="C29" s="161"/>
      <c r="D29" s="162"/>
      <c r="E29" s="161"/>
      <c r="F29" s="161"/>
      <c r="G29" s="161"/>
      <c r="H29" s="161"/>
      <c r="I29" s="161"/>
      <c r="J29" s="161"/>
      <c r="K29" s="161"/>
      <c r="L29" s="161"/>
      <c r="M29" s="161"/>
      <c r="N29" s="16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hidden="1" customHeight="1" outlineLevel="2">
      <c r="A30" s="160"/>
      <c r="B30" s="161"/>
      <c r="C30" s="161"/>
      <c r="D30" s="162"/>
      <c r="E30" s="161"/>
      <c r="F30" s="161"/>
      <c r="G30" s="161"/>
      <c r="H30" s="161"/>
      <c r="I30" s="161"/>
      <c r="J30" s="161"/>
      <c r="K30" s="161"/>
      <c r="L30" s="161"/>
      <c r="M30" s="161"/>
      <c r="N30" s="16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hidden="1" customHeight="1" outlineLevel="2">
      <c r="A31" s="160"/>
      <c r="B31" s="161"/>
      <c r="C31" s="161"/>
      <c r="D31" s="162"/>
      <c r="E31" s="161"/>
      <c r="F31" s="161"/>
      <c r="G31" s="161"/>
      <c r="H31" s="161"/>
      <c r="I31" s="161"/>
      <c r="J31" s="161"/>
      <c r="K31" s="161"/>
      <c r="L31" s="161"/>
      <c r="M31" s="161"/>
      <c r="N31" s="16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hidden="1" customHeight="1" outlineLevel="2">
      <c r="A32" s="160"/>
      <c r="B32" s="161"/>
      <c r="C32" s="161"/>
      <c r="D32" s="162"/>
      <c r="E32" s="161"/>
      <c r="F32" s="161"/>
      <c r="G32" s="161"/>
      <c r="H32" s="161"/>
      <c r="I32" s="161"/>
      <c r="J32" s="161"/>
      <c r="K32" s="161"/>
      <c r="L32" s="161"/>
      <c r="M32" s="161"/>
      <c r="N32" s="16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hidden="1" customHeight="1" outlineLevel="2">
      <c r="A33" s="160"/>
      <c r="B33" s="161"/>
      <c r="C33" s="161"/>
      <c r="D33" s="162"/>
      <c r="E33" s="161"/>
      <c r="F33" s="161"/>
      <c r="G33" s="161"/>
      <c r="H33" s="161"/>
      <c r="I33" s="161"/>
      <c r="J33" s="161"/>
      <c r="K33" s="161"/>
      <c r="L33" s="161"/>
      <c r="M33" s="161"/>
      <c r="N33" s="16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hidden="1" customHeight="1" outlineLevel="2">
      <c r="A34" s="160"/>
      <c r="B34" s="161"/>
      <c r="C34" s="161"/>
      <c r="D34" s="162"/>
      <c r="E34" s="161"/>
      <c r="F34" s="161"/>
      <c r="G34" s="161"/>
      <c r="H34" s="161"/>
      <c r="I34" s="161"/>
      <c r="J34" s="161"/>
      <c r="K34" s="161"/>
      <c r="L34" s="161"/>
      <c r="M34" s="161"/>
      <c r="N34" s="16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hidden="1" customHeight="1" outlineLevel="2">
      <c r="A35" s="160"/>
      <c r="B35" s="161"/>
      <c r="C35" s="161"/>
      <c r="D35" s="162"/>
      <c r="E35" s="161"/>
      <c r="F35" s="161"/>
      <c r="G35" s="161"/>
      <c r="H35" s="161"/>
      <c r="I35" s="161"/>
      <c r="J35" s="161"/>
      <c r="K35" s="161"/>
      <c r="L35" s="161"/>
      <c r="M35" s="161"/>
      <c r="N35" s="163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hidden="1" customHeight="1" outlineLevel="2">
      <c r="A36" s="160"/>
      <c r="B36" s="161"/>
      <c r="C36" s="161"/>
      <c r="D36" s="162"/>
      <c r="E36" s="161"/>
      <c r="F36" s="161"/>
      <c r="G36" s="161"/>
      <c r="H36" s="161"/>
      <c r="I36" s="161"/>
      <c r="J36" s="161"/>
      <c r="K36" s="161"/>
      <c r="L36" s="161"/>
      <c r="M36" s="161"/>
      <c r="N36" s="163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hidden="1" customHeight="1" outlineLevel="2">
      <c r="A37" s="160"/>
      <c r="B37" s="161"/>
      <c r="C37" s="161"/>
      <c r="D37" s="162"/>
      <c r="E37" s="161"/>
      <c r="F37" s="161"/>
      <c r="G37" s="161"/>
      <c r="H37" s="161"/>
      <c r="I37" s="161"/>
      <c r="J37" s="161"/>
      <c r="K37" s="161"/>
      <c r="L37" s="161"/>
      <c r="M37" s="161"/>
      <c r="N37" s="163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hidden="1" customHeight="1" outlineLevel="2">
      <c r="A38" s="160"/>
      <c r="B38" s="161"/>
      <c r="C38" s="161"/>
      <c r="D38" s="162"/>
      <c r="E38" s="161"/>
      <c r="F38" s="161"/>
      <c r="G38" s="161"/>
      <c r="H38" s="161"/>
      <c r="I38" s="161"/>
      <c r="J38" s="161"/>
      <c r="K38" s="161"/>
      <c r="L38" s="161"/>
      <c r="M38" s="161"/>
      <c r="N38" s="16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hidden="1" customHeight="1" outlineLevel="2">
      <c r="A39" s="160"/>
      <c r="B39" s="161"/>
      <c r="C39" s="161"/>
      <c r="D39" s="162"/>
      <c r="E39" s="161"/>
      <c r="F39" s="161"/>
      <c r="G39" s="161"/>
      <c r="H39" s="161"/>
      <c r="I39" s="161"/>
      <c r="J39" s="161"/>
      <c r="K39" s="161"/>
      <c r="L39" s="161"/>
      <c r="M39" s="161"/>
      <c r="N39" s="163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hidden="1" customHeight="1" outlineLevel="2">
      <c r="A40" s="160"/>
      <c r="B40" s="161"/>
      <c r="C40" s="161"/>
      <c r="D40" s="162"/>
      <c r="E40" s="161"/>
      <c r="F40" s="161"/>
      <c r="G40" s="161"/>
      <c r="H40" s="161"/>
      <c r="I40" s="161"/>
      <c r="J40" s="161"/>
      <c r="K40" s="161"/>
      <c r="L40" s="161"/>
      <c r="M40" s="161"/>
      <c r="N40" s="163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 outlineLevel="1" collapsed="1">
      <c r="A41" s="166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67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 outlineLevel="1">
      <c r="A42" s="157" t="s">
        <v>306</v>
      </c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67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hidden="1" customHeight="1" outlineLevel="2">
      <c r="A43" s="160"/>
      <c r="B43" s="161"/>
      <c r="C43" s="161"/>
      <c r="D43" s="162"/>
      <c r="E43" s="161"/>
      <c r="F43" s="161"/>
      <c r="G43" s="161"/>
      <c r="H43" s="161"/>
      <c r="I43" s="161"/>
      <c r="J43" s="161"/>
      <c r="K43" s="161"/>
      <c r="L43" s="161"/>
      <c r="M43" s="161"/>
      <c r="N43" s="163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hidden="1" customHeight="1" outlineLevel="2">
      <c r="A44" s="160"/>
      <c r="B44" s="161"/>
      <c r="C44" s="161"/>
      <c r="D44" s="162"/>
      <c r="E44" s="161"/>
      <c r="F44" s="161"/>
      <c r="G44" s="161"/>
      <c r="H44" s="161"/>
      <c r="I44" s="161"/>
      <c r="J44" s="161"/>
      <c r="K44" s="161"/>
      <c r="L44" s="161"/>
      <c r="M44" s="161"/>
      <c r="N44" s="163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hidden="1" customHeight="1" outlineLevel="2">
      <c r="A45" s="160"/>
      <c r="B45" s="161"/>
      <c r="C45" s="161"/>
      <c r="D45" s="162"/>
      <c r="E45" s="161"/>
      <c r="F45" s="161"/>
      <c r="G45" s="161"/>
      <c r="H45" s="161"/>
      <c r="I45" s="161"/>
      <c r="J45" s="161"/>
      <c r="K45" s="161"/>
      <c r="L45" s="161"/>
      <c r="M45" s="161"/>
      <c r="N45" s="163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hidden="1" customHeight="1" outlineLevel="2">
      <c r="A46" s="160"/>
      <c r="B46" s="161"/>
      <c r="C46" s="161"/>
      <c r="D46" s="162"/>
      <c r="E46" s="161"/>
      <c r="F46" s="161"/>
      <c r="G46" s="161"/>
      <c r="H46" s="161"/>
      <c r="I46" s="161"/>
      <c r="J46" s="161"/>
      <c r="K46" s="161"/>
      <c r="L46" s="161"/>
      <c r="M46" s="161"/>
      <c r="N46" s="163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hidden="1" customHeight="1" outlineLevel="2">
      <c r="A47" s="160"/>
      <c r="B47" s="161"/>
      <c r="C47" s="161"/>
      <c r="D47" s="162"/>
      <c r="E47" s="161"/>
      <c r="F47" s="161"/>
      <c r="G47" s="161"/>
      <c r="H47" s="161"/>
      <c r="I47" s="161"/>
      <c r="J47" s="161"/>
      <c r="K47" s="161"/>
      <c r="L47" s="161"/>
      <c r="M47" s="161"/>
      <c r="N47" s="163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hidden="1" customHeight="1" outlineLevel="2">
      <c r="A48" s="160"/>
      <c r="B48" s="161"/>
      <c r="C48" s="161"/>
      <c r="D48" s="162"/>
      <c r="E48" s="161"/>
      <c r="F48" s="161"/>
      <c r="G48" s="161"/>
      <c r="H48" s="161"/>
      <c r="I48" s="161"/>
      <c r="J48" s="161"/>
      <c r="K48" s="161"/>
      <c r="L48" s="161"/>
      <c r="M48" s="161"/>
      <c r="N48" s="163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hidden="1" customHeight="1" outlineLevel="2">
      <c r="A49" s="160"/>
      <c r="B49" s="161"/>
      <c r="C49" s="161"/>
      <c r="D49" s="162"/>
      <c r="E49" s="161"/>
      <c r="F49" s="161"/>
      <c r="G49" s="161"/>
      <c r="H49" s="161"/>
      <c r="I49" s="161"/>
      <c r="J49" s="161"/>
      <c r="K49" s="161"/>
      <c r="L49" s="161"/>
      <c r="M49" s="161"/>
      <c r="N49" s="16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hidden="1" customHeight="1" outlineLevel="2">
      <c r="A50" s="160"/>
      <c r="B50" s="161"/>
      <c r="C50" s="161"/>
      <c r="D50" s="162"/>
      <c r="E50" s="161"/>
      <c r="F50" s="161"/>
      <c r="G50" s="161"/>
      <c r="H50" s="161"/>
      <c r="I50" s="161"/>
      <c r="J50" s="161"/>
      <c r="K50" s="161"/>
      <c r="L50" s="161"/>
      <c r="M50" s="161"/>
      <c r="N50" s="16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hidden="1" customHeight="1" outlineLevel="2">
      <c r="A51" s="160"/>
      <c r="B51" s="161"/>
      <c r="C51" s="161"/>
      <c r="D51" s="162"/>
      <c r="E51" s="161"/>
      <c r="F51" s="161"/>
      <c r="G51" s="161"/>
      <c r="H51" s="161"/>
      <c r="I51" s="161"/>
      <c r="J51" s="161"/>
      <c r="K51" s="161"/>
      <c r="L51" s="161"/>
      <c r="M51" s="161"/>
      <c r="N51" s="163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hidden="1" customHeight="1" outlineLevel="2">
      <c r="A52" s="160"/>
      <c r="B52" s="161"/>
      <c r="C52" s="161"/>
      <c r="D52" s="162"/>
      <c r="E52" s="161"/>
      <c r="F52" s="161"/>
      <c r="G52" s="161"/>
      <c r="H52" s="161"/>
      <c r="I52" s="161"/>
      <c r="J52" s="161"/>
      <c r="K52" s="161"/>
      <c r="L52" s="161"/>
      <c r="M52" s="161"/>
      <c r="N52" s="163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 outlineLevel="1" collapsed="1">
      <c r="A53" s="166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67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 outlineLevel="1">
      <c r="A54" s="157" t="s">
        <v>307</v>
      </c>
      <c r="B54" s="119">
        <f t="shared" ref="B54:N54" si="2">B4+B19+B42</f>
        <v>0</v>
      </c>
      <c r="C54" s="119">
        <f t="shared" si="2"/>
        <v>0</v>
      </c>
      <c r="D54" s="119">
        <f t="shared" si="2"/>
        <v>0</v>
      </c>
      <c r="E54" s="119">
        <f t="shared" si="2"/>
        <v>0</v>
      </c>
      <c r="F54" s="119">
        <f t="shared" si="2"/>
        <v>0</v>
      </c>
      <c r="G54" s="119">
        <f t="shared" si="2"/>
        <v>0</v>
      </c>
      <c r="H54" s="119">
        <f t="shared" si="2"/>
        <v>0</v>
      </c>
      <c r="I54" s="119">
        <f t="shared" si="2"/>
        <v>0</v>
      </c>
      <c r="J54" s="119">
        <f t="shared" si="2"/>
        <v>0</v>
      </c>
      <c r="K54" s="119">
        <f t="shared" si="2"/>
        <v>0</v>
      </c>
      <c r="L54" s="119">
        <f t="shared" si="2"/>
        <v>0</v>
      </c>
      <c r="M54" s="119">
        <f t="shared" si="2"/>
        <v>0</v>
      </c>
      <c r="N54" s="119">
        <f t="shared" si="2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168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>
      <c r="A57" s="89" t="s">
        <v>308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1.25" customHeight="1" outlineLevel="1">
      <c r="A58" s="3" t="s">
        <v>1</v>
      </c>
      <c r="B58" s="3" t="s">
        <v>2</v>
      </c>
      <c r="C58" s="3" t="s">
        <v>3</v>
      </c>
      <c r="D58" s="3" t="s">
        <v>4</v>
      </c>
      <c r="E58" s="3" t="s">
        <v>5</v>
      </c>
      <c r="F58" s="3" t="s">
        <v>6</v>
      </c>
      <c r="G58" s="3" t="s">
        <v>7</v>
      </c>
      <c r="H58" s="3" t="s">
        <v>8</v>
      </c>
      <c r="I58" s="3" t="s">
        <v>9</v>
      </c>
      <c r="J58" s="3" t="s">
        <v>10</v>
      </c>
      <c r="K58" s="3" t="s">
        <v>11</v>
      </c>
      <c r="L58" s="3" t="s">
        <v>12</v>
      </c>
      <c r="M58" s="3" t="s">
        <v>13</v>
      </c>
      <c r="N58" s="3" t="s">
        <v>14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 outlineLevel="1">
      <c r="A59" s="68" t="s">
        <v>200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10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 outlineLevel="1">
      <c r="A60" s="169" t="s">
        <v>292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67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 outlineLevel="1">
      <c r="A61" s="169" t="s">
        <v>305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67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 outlineLevel="1">
      <c r="A62" s="169" t="s">
        <v>306</v>
      </c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67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 outlineLevel="1">
      <c r="A63" s="157" t="s">
        <v>309</v>
      </c>
      <c r="B63" s="119">
        <f t="shared" ref="B63:N63" si="3">B60+B61+B62</f>
        <v>0</v>
      </c>
      <c r="C63" s="119">
        <f t="shared" si="3"/>
        <v>0</v>
      </c>
      <c r="D63" s="119">
        <f t="shared" si="3"/>
        <v>0</v>
      </c>
      <c r="E63" s="119">
        <f t="shared" si="3"/>
        <v>0</v>
      </c>
      <c r="F63" s="119">
        <f t="shared" si="3"/>
        <v>0</v>
      </c>
      <c r="G63" s="119">
        <f t="shared" si="3"/>
        <v>0</v>
      </c>
      <c r="H63" s="119">
        <f t="shared" si="3"/>
        <v>0</v>
      </c>
      <c r="I63" s="119">
        <f t="shared" si="3"/>
        <v>0</v>
      </c>
      <c r="J63" s="119">
        <f t="shared" si="3"/>
        <v>0</v>
      </c>
      <c r="K63" s="119">
        <f t="shared" si="3"/>
        <v>0</v>
      </c>
      <c r="L63" s="119">
        <f t="shared" si="3"/>
        <v>0</v>
      </c>
      <c r="M63" s="119">
        <f t="shared" si="3"/>
        <v>0</v>
      </c>
      <c r="N63" s="119">
        <f t="shared" si="3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</sheetData>
  <mergeCells count="2">
    <mergeCell ref="A1:N1"/>
    <mergeCell ref="A57:N57"/>
  </mergeCells>
  <printOptions/>
  <pageMargins bottom="0.1425" footer="0.0" header="0.0" left="0.25" right="0.25" top="0.16625"/>
  <pageSetup paperSize="9" scale="56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 outlineLevelRow="1"/>
  <cols>
    <col customWidth="1" min="1" max="1" width="60.0"/>
    <col customWidth="1" min="2" max="14" width="14.86"/>
    <col customWidth="1" min="15" max="26" width="8.71"/>
  </cols>
  <sheetData>
    <row r="1" ht="11.25" customHeight="1">
      <c r="A1" s="1" t="s">
        <v>310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31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68" t="s">
        <v>200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10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57" t="s">
        <v>311</v>
      </c>
      <c r="B4" s="170">
        <f t="shared" ref="B4:N4" si="1">B5+B6+B7</f>
        <v>0</v>
      </c>
      <c r="C4" s="170">
        <f t="shared" si="1"/>
        <v>0</v>
      </c>
      <c r="D4" s="170">
        <f t="shared" si="1"/>
        <v>0</v>
      </c>
      <c r="E4" s="170">
        <f t="shared" si="1"/>
        <v>0</v>
      </c>
      <c r="F4" s="170">
        <f t="shared" si="1"/>
        <v>0</v>
      </c>
      <c r="G4" s="170">
        <f t="shared" si="1"/>
        <v>0</v>
      </c>
      <c r="H4" s="170">
        <f t="shared" si="1"/>
        <v>0</v>
      </c>
      <c r="I4" s="170">
        <f t="shared" si="1"/>
        <v>0</v>
      </c>
      <c r="J4" s="170">
        <f t="shared" si="1"/>
        <v>0</v>
      </c>
      <c r="K4" s="170">
        <f t="shared" si="1"/>
        <v>0</v>
      </c>
      <c r="L4" s="170">
        <f t="shared" si="1"/>
        <v>0</v>
      </c>
      <c r="M4" s="170">
        <f t="shared" si="1"/>
        <v>0</v>
      </c>
      <c r="N4" s="170">
        <f t="shared" si="1"/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51" t="s">
        <v>240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>
        <f t="shared" ref="N5:N6" si="2">B5+C5+D5+E5+F5+G5+H5+I5+J5+K5+L5+M5</f>
        <v>0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3.5" customHeight="1">
      <c r="A6" s="51" t="s">
        <v>312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>
        <f t="shared" si="2"/>
        <v>0</v>
      </c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3.5" customHeight="1">
      <c r="A7" s="48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3.5" customHeight="1">
      <c r="A8" s="70" t="s">
        <v>26</v>
      </c>
      <c r="B8" s="170">
        <f t="shared" ref="B8:M8" si="3">B9+B13+B14+B15</f>
        <v>0</v>
      </c>
      <c r="C8" s="170">
        <f t="shared" si="3"/>
        <v>0</v>
      </c>
      <c r="D8" s="170">
        <f t="shared" si="3"/>
        <v>0</v>
      </c>
      <c r="E8" s="170">
        <f t="shared" si="3"/>
        <v>0</v>
      </c>
      <c r="F8" s="170">
        <f t="shared" si="3"/>
        <v>0</v>
      </c>
      <c r="G8" s="170">
        <f t="shared" si="3"/>
        <v>0</v>
      </c>
      <c r="H8" s="170">
        <f t="shared" si="3"/>
        <v>0</v>
      </c>
      <c r="I8" s="170">
        <f t="shared" si="3"/>
        <v>0</v>
      </c>
      <c r="J8" s="170">
        <f t="shared" si="3"/>
        <v>0</v>
      </c>
      <c r="K8" s="170">
        <f t="shared" si="3"/>
        <v>0</v>
      </c>
      <c r="L8" s="170">
        <f t="shared" si="3"/>
        <v>0</v>
      </c>
      <c r="M8" s="170">
        <f t="shared" si="3"/>
        <v>0</v>
      </c>
      <c r="N8" s="171">
        <f>B8+C8+D8+E8+F8+G8+H8+I8+J8+K8+L8+M8</f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48" t="s">
        <v>167</v>
      </c>
      <c r="B9" s="49">
        <f t="shared" ref="B9:N9" si="4">B10</f>
        <v>0</v>
      </c>
      <c r="C9" s="49">
        <f t="shared" si="4"/>
        <v>0</v>
      </c>
      <c r="D9" s="49">
        <f t="shared" si="4"/>
        <v>0</v>
      </c>
      <c r="E9" s="49">
        <f t="shared" si="4"/>
        <v>0</v>
      </c>
      <c r="F9" s="49">
        <f t="shared" si="4"/>
        <v>0</v>
      </c>
      <c r="G9" s="49">
        <f t="shared" si="4"/>
        <v>0</v>
      </c>
      <c r="H9" s="49">
        <f t="shared" si="4"/>
        <v>0</v>
      </c>
      <c r="I9" s="49">
        <f t="shared" si="4"/>
        <v>0</v>
      </c>
      <c r="J9" s="49">
        <f t="shared" si="4"/>
        <v>0</v>
      </c>
      <c r="K9" s="49">
        <f t="shared" si="4"/>
        <v>0</v>
      </c>
      <c r="L9" s="49">
        <f t="shared" si="4"/>
        <v>0</v>
      </c>
      <c r="M9" s="49">
        <f t="shared" si="4"/>
        <v>0</v>
      </c>
      <c r="N9" s="49">
        <f t="shared" si="4"/>
        <v>0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3.5" customHeight="1">
      <c r="A10" s="48" t="s">
        <v>313</v>
      </c>
      <c r="B10" s="49">
        <f t="shared" ref="B10:M10" si="5">(B11*B12)/1000</f>
        <v>0</v>
      </c>
      <c r="C10" s="49">
        <f t="shared" si="5"/>
        <v>0</v>
      </c>
      <c r="D10" s="49">
        <f t="shared" si="5"/>
        <v>0</v>
      </c>
      <c r="E10" s="49">
        <f t="shared" si="5"/>
        <v>0</v>
      </c>
      <c r="F10" s="49">
        <f t="shared" si="5"/>
        <v>0</v>
      </c>
      <c r="G10" s="49">
        <f t="shared" si="5"/>
        <v>0</v>
      </c>
      <c r="H10" s="49">
        <f t="shared" si="5"/>
        <v>0</v>
      </c>
      <c r="I10" s="49">
        <f t="shared" si="5"/>
        <v>0</v>
      </c>
      <c r="J10" s="49">
        <f t="shared" si="5"/>
        <v>0</v>
      </c>
      <c r="K10" s="49">
        <f t="shared" si="5"/>
        <v>0</v>
      </c>
      <c r="L10" s="49">
        <f t="shared" si="5"/>
        <v>0</v>
      </c>
      <c r="M10" s="49">
        <f t="shared" si="5"/>
        <v>0</v>
      </c>
      <c r="N10" s="49">
        <f>B10+C10+D10+E10+F10+G10+H10+I10+J10+K10+L10+M10</f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 outlineLevel="1">
      <c r="A11" s="123" t="s">
        <v>314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 outlineLevel="1">
      <c r="A12" s="123" t="s">
        <v>315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48" t="s">
        <v>168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>
        <f t="shared" ref="N13:N17" si="6">B13+C13+D13+E13+F13+G13+H13+I13+J13+K13+L13+M13</f>
        <v>0</v>
      </c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3.5" customHeight="1">
      <c r="A14" s="48" t="s">
        <v>169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>
        <f t="shared" si="6"/>
        <v>0</v>
      </c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3.5" customHeight="1">
      <c r="A15" s="48" t="s">
        <v>170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>
        <f t="shared" si="6"/>
        <v>0</v>
      </c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3.5" customHeight="1">
      <c r="A16" s="157" t="s">
        <v>31</v>
      </c>
      <c r="B16" s="170">
        <f t="shared" ref="B16:M16" si="7">B17+B19</f>
        <v>0</v>
      </c>
      <c r="C16" s="170">
        <f t="shared" si="7"/>
        <v>0</v>
      </c>
      <c r="D16" s="170">
        <f t="shared" si="7"/>
        <v>0</v>
      </c>
      <c r="E16" s="170">
        <f t="shared" si="7"/>
        <v>0</v>
      </c>
      <c r="F16" s="170">
        <f t="shared" si="7"/>
        <v>0</v>
      </c>
      <c r="G16" s="170">
        <f t="shared" si="7"/>
        <v>0</v>
      </c>
      <c r="H16" s="170">
        <f t="shared" si="7"/>
        <v>0</v>
      </c>
      <c r="I16" s="170">
        <f t="shared" si="7"/>
        <v>0</v>
      </c>
      <c r="J16" s="170">
        <f t="shared" si="7"/>
        <v>0</v>
      </c>
      <c r="K16" s="170">
        <f t="shared" si="7"/>
        <v>0</v>
      </c>
      <c r="L16" s="170">
        <f t="shared" si="7"/>
        <v>0</v>
      </c>
      <c r="M16" s="170">
        <f t="shared" si="7"/>
        <v>0</v>
      </c>
      <c r="N16" s="171">
        <f t="shared" si="6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51" t="s">
        <v>32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>
        <f t="shared" si="6"/>
        <v>0</v>
      </c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3.5" customHeight="1">
      <c r="A18" s="51" t="s">
        <v>171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3.5" customHeight="1">
      <c r="A19" s="51" t="s">
        <v>172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>
        <f>B19+C19+D19+E19+F19+G19+H19+I19+J19+K19+L19+M19</f>
        <v>0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3.5" customHeight="1">
      <c r="A20" s="157" t="s">
        <v>136</v>
      </c>
      <c r="B20" s="170">
        <f t="shared" ref="B20:N20" si="8">B21+B22</f>
        <v>0</v>
      </c>
      <c r="C20" s="170">
        <f t="shared" si="8"/>
        <v>0</v>
      </c>
      <c r="D20" s="170">
        <f t="shared" si="8"/>
        <v>0</v>
      </c>
      <c r="E20" s="170">
        <f t="shared" si="8"/>
        <v>0</v>
      </c>
      <c r="F20" s="170">
        <f t="shared" si="8"/>
        <v>0</v>
      </c>
      <c r="G20" s="170">
        <f t="shared" si="8"/>
        <v>0</v>
      </c>
      <c r="H20" s="170">
        <f t="shared" si="8"/>
        <v>0</v>
      </c>
      <c r="I20" s="170">
        <f t="shared" si="8"/>
        <v>0</v>
      </c>
      <c r="J20" s="170">
        <f t="shared" si="8"/>
        <v>0</v>
      </c>
      <c r="K20" s="170">
        <f t="shared" si="8"/>
        <v>0</v>
      </c>
      <c r="L20" s="170">
        <f t="shared" si="8"/>
        <v>0</v>
      </c>
      <c r="M20" s="170">
        <f t="shared" si="8"/>
        <v>0</v>
      </c>
      <c r="N20" s="170">
        <f t="shared" si="8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51" t="s">
        <v>173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>
        <f t="shared" ref="N21:N22" si="9">B21+C21+D21+E21+F21+G21+H21+I21+J21+K21+L21+M21</f>
        <v>0</v>
      </c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3.5" customHeight="1">
      <c r="A22" s="51" t="s">
        <v>174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>
        <f t="shared" si="9"/>
        <v>0</v>
      </c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3.5" customHeight="1">
      <c r="A23" s="157" t="s">
        <v>137</v>
      </c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1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48" t="s">
        <v>42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3.5" customHeight="1">
      <c r="A25" s="48" t="s">
        <v>43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3.5" customHeight="1">
      <c r="A26" s="48" t="s">
        <v>44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3.5" customHeight="1">
      <c r="A27" s="157" t="s">
        <v>138</v>
      </c>
      <c r="B27" s="170">
        <f t="shared" ref="B27:M27" si="10">B28+B29+B30+B31</f>
        <v>0</v>
      </c>
      <c r="C27" s="170">
        <f t="shared" si="10"/>
        <v>0</v>
      </c>
      <c r="D27" s="170">
        <f t="shared" si="10"/>
        <v>0</v>
      </c>
      <c r="E27" s="170">
        <f t="shared" si="10"/>
        <v>0</v>
      </c>
      <c r="F27" s="170">
        <f t="shared" si="10"/>
        <v>0</v>
      </c>
      <c r="G27" s="170">
        <f t="shared" si="10"/>
        <v>0</v>
      </c>
      <c r="H27" s="170">
        <f t="shared" si="10"/>
        <v>0</v>
      </c>
      <c r="I27" s="170">
        <f t="shared" si="10"/>
        <v>0</v>
      </c>
      <c r="J27" s="170">
        <f t="shared" si="10"/>
        <v>0</v>
      </c>
      <c r="K27" s="170">
        <f t="shared" si="10"/>
        <v>0</v>
      </c>
      <c r="L27" s="170">
        <f t="shared" si="10"/>
        <v>0</v>
      </c>
      <c r="M27" s="170">
        <f t="shared" si="10"/>
        <v>0</v>
      </c>
      <c r="N27" s="171">
        <f>B27+C27+D27+E27+F27+G27+H27+I27+J27+K27+L27+M27</f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3.5" customHeight="1">
      <c r="A29" s="48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48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3.5" customHeight="1">
      <c r="A32" s="70" t="s">
        <v>40</v>
      </c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70" t="s">
        <v>175</v>
      </c>
      <c r="B33" s="170">
        <f t="shared" ref="B33:M33" si="11">B34+B35</f>
        <v>0</v>
      </c>
      <c r="C33" s="170">
        <f t="shared" si="11"/>
        <v>0</v>
      </c>
      <c r="D33" s="170">
        <f t="shared" si="11"/>
        <v>0</v>
      </c>
      <c r="E33" s="170">
        <f t="shared" si="11"/>
        <v>0</v>
      </c>
      <c r="F33" s="170">
        <f t="shared" si="11"/>
        <v>0</v>
      </c>
      <c r="G33" s="170">
        <f t="shared" si="11"/>
        <v>0</v>
      </c>
      <c r="H33" s="170">
        <f t="shared" si="11"/>
        <v>0</v>
      </c>
      <c r="I33" s="170">
        <f t="shared" si="11"/>
        <v>0</v>
      </c>
      <c r="J33" s="170">
        <f t="shared" si="11"/>
        <v>0</v>
      </c>
      <c r="K33" s="170">
        <f t="shared" si="11"/>
        <v>0</v>
      </c>
      <c r="L33" s="170">
        <f t="shared" si="11"/>
        <v>0</v>
      </c>
      <c r="M33" s="170">
        <f t="shared" si="11"/>
        <v>0</v>
      </c>
      <c r="N33" s="171">
        <f t="shared" ref="N33:N35" si="12">B33+C33+D33+E33+F33+G33+H33+I33+J33+K33+L33+M33</f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154" t="s">
        <v>316</v>
      </c>
      <c r="B34" s="12" t="str">
        <f>'Инвест_бюджет'!B675</f>
        <v/>
      </c>
      <c r="C34" s="12" t="str">
        <f>'Инвест_бюджет'!C675</f>
        <v/>
      </c>
      <c r="D34" s="12" t="str">
        <f>'Инвест_бюджет'!D675</f>
        <v/>
      </c>
      <c r="E34" s="12" t="str">
        <f>'Инвест_бюджет'!E675</f>
        <v/>
      </c>
      <c r="F34" s="12" t="str">
        <f>'Инвест_бюджет'!F675</f>
        <v/>
      </c>
      <c r="G34" s="12" t="str">
        <f>'Инвест_бюджет'!G675</f>
        <v/>
      </c>
      <c r="H34" s="12" t="str">
        <f>'Инвест_бюджет'!H675</f>
        <v/>
      </c>
      <c r="I34" s="12" t="str">
        <f>'Инвест_бюджет'!I675</f>
        <v/>
      </c>
      <c r="J34" s="12" t="str">
        <f>'Инвест_бюджет'!J675</f>
        <v/>
      </c>
      <c r="K34" s="12" t="str">
        <f>'Инвест_бюджет'!K675</f>
        <v/>
      </c>
      <c r="L34" s="12" t="str">
        <f>'Инвест_бюджет'!L675</f>
        <v/>
      </c>
      <c r="M34" s="12" t="str">
        <f>'Инвест_бюджет'!M675</f>
        <v/>
      </c>
      <c r="N34" s="12">
        <f t="shared" si="12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154" t="s">
        <v>317</v>
      </c>
      <c r="B35" s="12" t="str">
        <f>'Инвест_бюджет'!B676</f>
        <v/>
      </c>
      <c r="C35" s="12" t="str">
        <f>'Инвест_бюджет'!C676</f>
        <v/>
      </c>
      <c r="D35" s="12" t="str">
        <f>'Инвест_бюджет'!D676</f>
        <v/>
      </c>
      <c r="E35" s="12" t="str">
        <f>'Инвест_бюджет'!E676</f>
        <v/>
      </c>
      <c r="F35" s="12" t="str">
        <f>'Инвест_бюджет'!F676</f>
        <v/>
      </c>
      <c r="G35" s="12" t="str">
        <f>'Инвест_бюджет'!G676</f>
        <v/>
      </c>
      <c r="H35" s="12" t="str">
        <f>'Инвест_бюджет'!H676</f>
        <v/>
      </c>
      <c r="I35" s="12" t="str">
        <f>'Инвест_бюджет'!I676</f>
        <v/>
      </c>
      <c r="J35" s="12" t="str">
        <f>'Инвест_бюджет'!J676</f>
        <v/>
      </c>
      <c r="K35" s="12" t="str">
        <f>'Инвест_бюджет'!K676</f>
        <v/>
      </c>
      <c r="L35" s="12" t="str">
        <f>'Инвест_бюджет'!L676</f>
        <v/>
      </c>
      <c r="M35" s="12" t="str">
        <f>'Инвест_бюджет'!M676</f>
        <v/>
      </c>
      <c r="N35" s="12">
        <f t="shared" si="12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70" t="s">
        <v>318</v>
      </c>
      <c r="B36" s="170">
        <f t="shared" ref="B36:N36" si="13">B4+B8+B16+B20+B27+B33+B32</f>
        <v>0</v>
      </c>
      <c r="C36" s="170">
        <f t="shared" si="13"/>
        <v>0</v>
      </c>
      <c r="D36" s="170">
        <f t="shared" si="13"/>
        <v>0</v>
      </c>
      <c r="E36" s="170">
        <f t="shared" si="13"/>
        <v>0</v>
      </c>
      <c r="F36" s="170">
        <f t="shared" si="13"/>
        <v>0</v>
      </c>
      <c r="G36" s="170">
        <f t="shared" si="13"/>
        <v>0</v>
      </c>
      <c r="H36" s="170">
        <f t="shared" si="13"/>
        <v>0</v>
      </c>
      <c r="I36" s="170">
        <f t="shared" si="13"/>
        <v>0</v>
      </c>
      <c r="J36" s="170">
        <f t="shared" si="13"/>
        <v>0</v>
      </c>
      <c r="K36" s="170">
        <f t="shared" si="13"/>
        <v>0</v>
      </c>
      <c r="L36" s="170">
        <f t="shared" si="13"/>
        <v>0</v>
      </c>
      <c r="M36" s="170">
        <f t="shared" si="13"/>
        <v>0</v>
      </c>
      <c r="N36" s="170">
        <f t="shared" si="13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19" t="s">
        <v>319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>
      <c r="A41" s="3" t="s">
        <v>1</v>
      </c>
      <c r="B41" s="3" t="s">
        <v>2</v>
      </c>
      <c r="C41" s="3" t="s">
        <v>3</v>
      </c>
      <c r="D41" s="3" t="s">
        <v>4</v>
      </c>
      <c r="E41" s="3" t="s">
        <v>5</v>
      </c>
      <c r="F41" s="3" t="s">
        <v>6</v>
      </c>
      <c r="G41" s="3" t="s">
        <v>7</v>
      </c>
      <c r="H41" s="3" t="s">
        <v>8</v>
      </c>
      <c r="I41" s="3" t="s">
        <v>9</v>
      </c>
      <c r="J41" s="3" t="s">
        <v>10</v>
      </c>
      <c r="K41" s="3" t="s">
        <v>11</v>
      </c>
      <c r="L41" s="3" t="s">
        <v>12</v>
      </c>
      <c r="M41" s="3" t="s">
        <v>13</v>
      </c>
      <c r="N41" s="3" t="s">
        <v>14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70" t="s">
        <v>26</v>
      </c>
      <c r="B42" s="119">
        <f t="shared" ref="B42:M42" si="14">B43+B44+B45+B46</f>
        <v>0</v>
      </c>
      <c r="C42" s="119">
        <f t="shared" si="14"/>
        <v>0</v>
      </c>
      <c r="D42" s="119">
        <f t="shared" si="14"/>
        <v>0</v>
      </c>
      <c r="E42" s="119">
        <f t="shared" si="14"/>
        <v>0</v>
      </c>
      <c r="F42" s="119">
        <f t="shared" si="14"/>
        <v>0</v>
      </c>
      <c r="G42" s="119">
        <f t="shared" si="14"/>
        <v>0</v>
      </c>
      <c r="H42" s="119">
        <f t="shared" si="14"/>
        <v>0</v>
      </c>
      <c r="I42" s="119">
        <f t="shared" si="14"/>
        <v>0</v>
      </c>
      <c r="J42" s="119">
        <f t="shared" si="14"/>
        <v>0</v>
      </c>
      <c r="K42" s="119">
        <f t="shared" si="14"/>
        <v>0</v>
      </c>
      <c r="L42" s="119">
        <f t="shared" si="14"/>
        <v>0</v>
      </c>
      <c r="M42" s="119">
        <f t="shared" si="14"/>
        <v>0</v>
      </c>
      <c r="N42" s="167">
        <f t="shared" ref="N42:N46" si="16">B42+C42+D42+E42+F42+G42+H42+I42+J42+K42+L42+M42</f>
        <v>0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51" t="s">
        <v>167</v>
      </c>
      <c r="B43" s="49">
        <f t="shared" ref="B43:M43" si="15">B9</f>
        <v>0</v>
      </c>
      <c r="C43" s="49">
        <f t="shared" si="15"/>
        <v>0</v>
      </c>
      <c r="D43" s="49">
        <f t="shared" si="15"/>
        <v>0</v>
      </c>
      <c r="E43" s="49">
        <f t="shared" si="15"/>
        <v>0</v>
      </c>
      <c r="F43" s="49">
        <f t="shared" si="15"/>
        <v>0</v>
      </c>
      <c r="G43" s="49">
        <f t="shared" si="15"/>
        <v>0</v>
      </c>
      <c r="H43" s="49">
        <f t="shared" si="15"/>
        <v>0</v>
      </c>
      <c r="I43" s="49">
        <f t="shared" si="15"/>
        <v>0</v>
      </c>
      <c r="J43" s="49">
        <f t="shared" si="15"/>
        <v>0</v>
      </c>
      <c r="K43" s="49">
        <f t="shared" si="15"/>
        <v>0</v>
      </c>
      <c r="L43" s="49">
        <f t="shared" si="15"/>
        <v>0</v>
      </c>
      <c r="M43" s="49">
        <f t="shared" si="15"/>
        <v>0</v>
      </c>
      <c r="N43" s="49">
        <f t="shared" si="16"/>
        <v>0</v>
      </c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3.5" customHeight="1">
      <c r="A44" s="51" t="s">
        <v>168</v>
      </c>
      <c r="B44" s="49" t="str">
        <f t="shared" ref="B44:B45" si="18">B13</f>
        <v/>
      </c>
      <c r="C44" s="49" t="str">
        <f t="shared" ref="C44:M44" si="17">B13</f>
        <v/>
      </c>
      <c r="D44" s="49" t="str">
        <f t="shared" si="17"/>
        <v/>
      </c>
      <c r="E44" s="49" t="str">
        <f t="shared" si="17"/>
        <v/>
      </c>
      <c r="F44" s="49" t="str">
        <f t="shared" si="17"/>
        <v/>
      </c>
      <c r="G44" s="49" t="str">
        <f t="shared" si="17"/>
        <v/>
      </c>
      <c r="H44" s="49" t="str">
        <f t="shared" si="17"/>
        <v/>
      </c>
      <c r="I44" s="49" t="str">
        <f t="shared" si="17"/>
        <v/>
      </c>
      <c r="J44" s="49" t="str">
        <f t="shared" si="17"/>
        <v/>
      </c>
      <c r="K44" s="49" t="str">
        <f t="shared" si="17"/>
        <v/>
      </c>
      <c r="L44" s="49" t="str">
        <f t="shared" si="17"/>
        <v/>
      </c>
      <c r="M44" s="49" t="str">
        <f t="shared" si="17"/>
        <v/>
      </c>
      <c r="N44" s="49">
        <f t="shared" si="16"/>
        <v>0</v>
      </c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3.5" customHeight="1">
      <c r="A45" s="51" t="s">
        <v>320</v>
      </c>
      <c r="B45" s="49" t="str">
        <f t="shared" si="18"/>
        <v/>
      </c>
      <c r="C45" s="49" t="str">
        <f t="shared" ref="C45:M45" si="19">C14</f>
        <v/>
      </c>
      <c r="D45" s="49" t="str">
        <f t="shared" si="19"/>
        <v/>
      </c>
      <c r="E45" s="49" t="str">
        <f t="shared" si="19"/>
        <v/>
      </c>
      <c r="F45" s="49" t="str">
        <f t="shared" si="19"/>
        <v/>
      </c>
      <c r="G45" s="49" t="str">
        <f t="shared" si="19"/>
        <v/>
      </c>
      <c r="H45" s="49" t="str">
        <f t="shared" si="19"/>
        <v/>
      </c>
      <c r="I45" s="49" t="str">
        <f t="shared" si="19"/>
        <v/>
      </c>
      <c r="J45" s="49" t="str">
        <f t="shared" si="19"/>
        <v/>
      </c>
      <c r="K45" s="49" t="str">
        <f t="shared" si="19"/>
        <v/>
      </c>
      <c r="L45" s="49" t="str">
        <f t="shared" si="19"/>
        <v/>
      </c>
      <c r="M45" s="49" t="str">
        <f t="shared" si="19"/>
        <v/>
      </c>
      <c r="N45" s="49">
        <f t="shared" si="16"/>
        <v>0</v>
      </c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3.5" customHeight="1">
      <c r="A46" s="51" t="s">
        <v>170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>
        <f t="shared" si="16"/>
        <v>0</v>
      </c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2.75" customHeight="1">
      <c r="A47" s="70" t="s">
        <v>31</v>
      </c>
      <c r="B47" s="119">
        <f t="shared" ref="B47:N47" si="20">SUM(B50,B48,B49)</f>
        <v>0</v>
      </c>
      <c r="C47" s="119">
        <f t="shared" si="20"/>
        <v>0</v>
      </c>
      <c r="D47" s="119">
        <f t="shared" si="20"/>
        <v>0</v>
      </c>
      <c r="E47" s="119">
        <f t="shared" si="20"/>
        <v>0</v>
      </c>
      <c r="F47" s="119">
        <f t="shared" si="20"/>
        <v>0</v>
      </c>
      <c r="G47" s="119">
        <f t="shared" si="20"/>
        <v>0</v>
      </c>
      <c r="H47" s="119">
        <f t="shared" si="20"/>
        <v>0</v>
      </c>
      <c r="I47" s="119">
        <f t="shared" si="20"/>
        <v>0</v>
      </c>
      <c r="J47" s="119">
        <f t="shared" si="20"/>
        <v>0</v>
      </c>
      <c r="K47" s="119">
        <f t="shared" si="20"/>
        <v>0</v>
      </c>
      <c r="L47" s="119">
        <f t="shared" si="20"/>
        <v>0</v>
      </c>
      <c r="M47" s="119">
        <f t="shared" si="20"/>
        <v>0</v>
      </c>
      <c r="N47" s="119">
        <f t="shared" si="20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51" t="s">
        <v>32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3.5" customHeight="1">
      <c r="A49" s="51" t="s">
        <v>171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3.5" customHeight="1">
      <c r="A50" s="51" t="s">
        <v>321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2.75" customHeight="1">
      <c r="A51" s="157" t="s">
        <v>136</v>
      </c>
      <c r="B51" s="119">
        <f t="shared" ref="B51:N51" si="21">B52+B53</f>
        <v>0</v>
      </c>
      <c r="C51" s="119">
        <f t="shared" si="21"/>
        <v>0</v>
      </c>
      <c r="D51" s="119">
        <f t="shared" si="21"/>
        <v>0</v>
      </c>
      <c r="E51" s="119">
        <f t="shared" si="21"/>
        <v>0</v>
      </c>
      <c r="F51" s="119">
        <f t="shared" si="21"/>
        <v>0</v>
      </c>
      <c r="G51" s="119">
        <f t="shared" si="21"/>
        <v>0</v>
      </c>
      <c r="H51" s="119">
        <f t="shared" si="21"/>
        <v>0</v>
      </c>
      <c r="I51" s="119">
        <f t="shared" si="21"/>
        <v>0</v>
      </c>
      <c r="J51" s="119">
        <f t="shared" si="21"/>
        <v>0</v>
      </c>
      <c r="K51" s="119">
        <f t="shared" si="21"/>
        <v>0</v>
      </c>
      <c r="L51" s="119">
        <f t="shared" si="21"/>
        <v>0</v>
      </c>
      <c r="M51" s="119">
        <f t="shared" si="21"/>
        <v>0</v>
      </c>
      <c r="N51" s="119">
        <f t="shared" si="21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51" t="s">
        <v>173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3.5" customHeight="1">
      <c r="A53" s="51" t="s">
        <v>174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3.5" customHeight="1">
      <c r="A54" s="157" t="s">
        <v>137</v>
      </c>
      <c r="B54" s="170">
        <f t="shared" ref="B54:N54" si="22">B55+B56+B57</f>
        <v>0</v>
      </c>
      <c r="C54" s="170">
        <f t="shared" si="22"/>
        <v>0</v>
      </c>
      <c r="D54" s="170">
        <f t="shared" si="22"/>
        <v>0</v>
      </c>
      <c r="E54" s="170">
        <f t="shared" si="22"/>
        <v>0</v>
      </c>
      <c r="F54" s="170">
        <f t="shared" si="22"/>
        <v>0</v>
      </c>
      <c r="G54" s="170">
        <f t="shared" si="22"/>
        <v>0</v>
      </c>
      <c r="H54" s="170">
        <f t="shared" si="22"/>
        <v>0</v>
      </c>
      <c r="I54" s="170">
        <f t="shared" si="22"/>
        <v>0</v>
      </c>
      <c r="J54" s="170">
        <f t="shared" si="22"/>
        <v>0</v>
      </c>
      <c r="K54" s="170">
        <f t="shared" si="22"/>
        <v>0</v>
      </c>
      <c r="L54" s="170">
        <f t="shared" si="22"/>
        <v>0</v>
      </c>
      <c r="M54" s="170">
        <f t="shared" si="22"/>
        <v>0</v>
      </c>
      <c r="N54" s="170">
        <f t="shared" si="22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48" t="s">
        <v>42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3.5" customHeight="1">
      <c r="A56" s="48" t="s">
        <v>43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3.5" customHeight="1">
      <c r="A57" s="48" t="s">
        <v>44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3.5" customHeight="1">
      <c r="A58" s="157" t="s">
        <v>138</v>
      </c>
      <c r="B58" s="170">
        <f t="shared" ref="B58:M58" si="23">B59+B60+B61+B62</f>
        <v>0</v>
      </c>
      <c r="C58" s="170">
        <f t="shared" si="23"/>
        <v>0</v>
      </c>
      <c r="D58" s="170">
        <f t="shared" si="23"/>
        <v>0</v>
      </c>
      <c r="E58" s="170">
        <f t="shared" si="23"/>
        <v>0</v>
      </c>
      <c r="F58" s="170">
        <f t="shared" si="23"/>
        <v>0</v>
      </c>
      <c r="G58" s="170">
        <f t="shared" si="23"/>
        <v>0</v>
      </c>
      <c r="H58" s="170">
        <f t="shared" si="23"/>
        <v>0</v>
      </c>
      <c r="I58" s="170">
        <f t="shared" si="23"/>
        <v>0</v>
      </c>
      <c r="J58" s="170">
        <f t="shared" si="23"/>
        <v>0</v>
      </c>
      <c r="K58" s="170">
        <f t="shared" si="23"/>
        <v>0</v>
      </c>
      <c r="L58" s="170">
        <f t="shared" si="23"/>
        <v>0</v>
      </c>
      <c r="M58" s="170">
        <f t="shared" si="23"/>
        <v>0</v>
      </c>
      <c r="N58" s="171">
        <f>B58+C58+D58+E58+F58+G58+H58+I58+J58+K58+L58+M58</f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48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3.5" customHeight="1">
      <c r="A60" s="48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4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48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2">
    <mergeCell ref="A1:N1"/>
    <mergeCell ref="A40:N40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 outlineLevelRow="1"/>
  <cols>
    <col customWidth="1" min="1" max="1" width="60.0"/>
    <col customWidth="1" min="2" max="14" width="14.86"/>
    <col customWidth="1" min="15" max="26" width="8.71"/>
  </cols>
  <sheetData>
    <row r="1" ht="11.25" customHeight="1">
      <c r="A1" s="89" t="s">
        <v>322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31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68" t="s">
        <v>200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10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70" t="s">
        <v>31</v>
      </c>
      <c r="B4" s="170">
        <f t="shared" ref="B4:N4" si="1">B5+B6+B7</f>
        <v>0</v>
      </c>
      <c r="C4" s="170">
        <f t="shared" si="1"/>
        <v>0</v>
      </c>
      <c r="D4" s="170">
        <f t="shared" si="1"/>
        <v>0</v>
      </c>
      <c r="E4" s="170">
        <f t="shared" si="1"/>
        <v>0</v>
      </c>
      <c r="F4" s="170">
        <f t="shared" si="1"/>
        <v>0</v>
      </c>
      <c r="G4" s="170">
        <f t="shared" si="1"/>
        <v>0</v>
      </c>
      <c r="H4" s="170">
        <f t="shared" si="1"/>
        <v>0</v>
      </c>
      <c r="I4" s="170">
        <f t="shared" si="1"/>
        <v>0</v>
      </c>
      <c r="J4" s="170">
        <f t="shared" si="1"/>
        <v>0</v>
      </c>
      <c r="K4" s="170">
        <f t="shared" si="1"/>
        <v>0</v>
      </c>
      <c r="L4" s="170">
        <f t="shared" si="1"/>
        <v>0</v>
      </c>
      <c r="M4" s="170">
        <f t="shared" si="1"/>
        <v>0</v>
      </c>
      <c r="N4" s="170">
        <f t="shared" si="1"/>
        <v>0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48" t="s">
        <v>32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>
        <f t="shared" ref="N5:N6" si="2">B5+C5+D5+E5+F5+G5+H5+I5+J5+K5+L5+M5</f>
        <v>0</v>
      </c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3.5" customHeight="1">
      <c r="A6" s="48" t="s">
        <v>171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>
        <f t="shared" si="2"/>
        <v>0</v>
      </c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3.5" customHeight="1">
      <c r="A7" s="48" t="s">
        <v>323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3.5" customHeight="1">
      <c r="A8" s="70" t="s">
        <v>26</v>
      </c>
      <c r="B8" s="170">
        <f t="shared" ref="B8:M8" si="3">B9+B16+B17+B18</f>
        <v>0</v>
      </c>
      <c r="C8" s="170">
        <f t="shared" si="3"/>
        <v>0</v>
      </c>
      <c r="D8" s="170">
        <f t="shared" si="3"/>
        <v>0</v>
      </c>
      <c r="E8" s="170">
        <f t="shared" si="3"/>
        <v>0</v>
      </c>
      <c r="F8" s="170">
        <f t="shared" si="3"/>
        <v>0</v>
      </c>
      <c r="G8" s="170">
        <f t="shared" si="3"/>
        <v>0</v>
      </c>
      <c r="H8" s="170">
        <f t="shared" si="3"/>
        <v>0</v>
      </c>
      <c r="I8" s="170">
        <f t="shared" si="3"/>
        <v>0</v>
      </c>
      <c r="J8" s="170">
        <f t="shared" si="3"/>
        <v>0</v>
      </c>
      <c r="K8" s="170">
        <f t="shared" si="3"/>
        <v>0</v>
      </c>
      <c r="L8" s="170">
        <f t="shared" si="3"/>
        <v>0</v>
      </c>
      <c r="M8" s="170">
        <f t="shared" si="3"/>
        <v>0</v>
      </c>
      <c r="N8" s="171">
        <f t="shared" ref="N8:N10" si="5">B8+C8+D8+E8+F8+G8+H8+I8+J8+K8+L8+M8</f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48" t="s">
        <v>167</v>
      </c>
      <c r="B9" s="49">
        <f t="shared" ref="B9:M9" si="4">B10+B13</f>
        <v>0</v>
      </c>
      <c r="C9" s="49">
        <f t="shared" si="4"/>
        <v>0</v>
      </c>
      <c r="D9" s="49">
        <f t="shared" si="4"/>
        <v>0</v>
      </c>
      <c r="E9" s="49">
        <f t="shared" si="4"/>
        <v>0</v>
      </c>
      <c r="F9" s="49">
        <f t="shared" si="4"/>
        <v>0</v>
      </c>
      <c r="G9" s="49">
        <f t="shared" si="4"/>
        <v>0</v>
      </c>
      <c r="H9" s="49">
        <f t="shared" si="4"/>
        <v>0</v>
      </c>
      <c r="I9" s="49">
        <f t="shared" si="4"/>
        <v>0</v>
      </c>
      <c r="J9" s="49">
        <f t="shared" si="4"/>
        <v>0</v>
      </c>
      <c r="K9" s="49">
        <f t="shared" si="4"/>
        <v>0</v>
      </c>
      <c r="L9" s="49">
        <f t="shared" si="4"/>
        <v>0</v>
      </c>
      <c r="M9" s="49">
        <f t="shared" si="4"/>
        <v>0</v>
      </c>
      <c r="N9" s="49">
        <f t="shared" si="5"/>
        <v>0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3.5" customHeight="1">
      <c r="A10" s="48" t="s">
        <v>313</v>
      </c>
      <c r="B10" s="49">
        <f t="shared" ref="B10:M10" si="6">(B11*B12)/1000</f>
        <v>0</v>
      </c>
      <c r="C10" s="49">
        <f t="shared" si="6"/>
        <v>0</v>
      </c>
      <c r="D10" s="49">
        <f t="shared" si="6"/>
        <v>0</v>
      </c>
      <c r="E10" s="49">
        <f t="shared" si="6"/>
        <v>0</v>
      </c>
      <c r="F10" s="49">
        <f t="shared" si="6"/>
        <v>0</v>
      </c>
      <c r="G10" s="49">
        <f t="shared" si="6"/>
        <v>0</v>
      </c>
      <c r="H10" s="49">
        <f t="shared" si="6"/>
        <v>0</v>
      </c>
      <c r="I10" s="49">
        <f t="shared" si="6"/>
        <v>0</v>
      </c>
      <c r="J10" s="49">
        <f t="shared" si="6"/>
        <v>0</v>
      </c>
      <c r="K10" s="49">
        <f t="shared" si="6"/>
        <v>0</v>
      </c>
      <c r="L10" s="49">
        <f t="shared" si="6"/>
        <v>0</v>
      </c>
      <c r="M10" s="49">
        <f t="shared" si="6"/>
        <v>0</v>
      </c>
      <c r="N10" s="49">
        <f t="shared" si="5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 outlineLevel="1">
      <c r="A11" s="123" t="s">
        <v>314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 outlineLevel="1">
      <c r="A12" s="123" t="s">
        <v>315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48" t="s">
        <v>324</v>
      </c>
      <c r="B13" s="49">
        <f t="shared" ref="B13:M13" si="7">B14*B15/1000</f>
        <v>0</v>
      </c>
      <c r="C13" s="49">
        <f t="shared" si="7"/>
        <v>0</v>
      </c>
      <c r="D13" s="172">
        <f t="shared" si="7"/>
        <v>0</v>
      </c>
      <c r="E13" s="49">
        <f t="shared" si="7"/>
        <v>0</v>
      </c>
      <c r="F13" s="49">
        <f t="shared" si="7"/>
        <v>0</v>
      </c>
      <c r="G13" s="49">
        <f t="shared" si="7"/>
        <v>0</v>
      </c>
      <c r="H13" s="49">
        <f t="shared" si="7"/>
        <v>0</v>
      </c>
      <c r="I13" s="49">
        <f t="shared" si="7"/>
        <v>0</v>
      </c>
      <c r="J13" s="49">
        <f t="shared" si="7"/>
        <v>0</v>
      </c>
      <c r="K13" s="49">
        <f t="shared" si="7"/>
        <v>0</v>
      </c>
      <c r="L13" s="49">
        <f t="shared" si="7"/>
        <v>0</v>
      </c>
      <c r="M13" s="49">
        <f t="shared" si="7"/>
        <v>0</v>
      </c>
      <c r="N13" s="49">
        <f>B13+C13+D13+E13+F13+G13+H13+I13+J13+K13+L13+M13</f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 outlineLevel="1">
      <c r="A14" s="123" t="s">
        <v>325</v>
      </c>
      <c r="B14" s="15"/>
      <c r="C14" s="15"/>
      <c r="D14" s="173"/>
      <c r="E14" s="15"/>
      <c r="F14" s="15"/>
      <c r="G14" s="15"/>
      <c r="H14" s="15"/>
      <c r="I14" s="15"/>
      <c r="J14" s="15"/>
      <c r="K14" s="15"/>
      <c r="L14" s="15"/>
      <c r="M14" s="15"/>
      <c r="N14" s="1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 outlineLevel="1">
      <c r="A15" s="123" t="s">
        <v>315</v>
      </c>
      <c r="B15" s="15"/>
      <c r="C15" s="15"/>
      <c r="D15" s="173"/>
      <c r="E15" s="15"/>
      <c r="F15" s="15"/>
      <c r="G15" s="15"/>
      <c r="H15" s="15"/>
      <c r="I15" s="15"/>
      <c r="J15" s="15"/>
      <c r="K15" s="15"/>
      <c r="L15" s="15"/>
      <c r="M15" s="15"/>
      <c r="N15" s="1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48" t="s">
        <v>168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>
        <f t="shared" ref="N16:N21" si="8">B16+C16+D16+E16+F16+G16+H16+I16+J16+K16+L16+M16</f>
        <v>0</v>
      </c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3.5" customHeight="1">
      <c r="A17" s="48" t="s">
        <v>169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>
        <f t="shared" si="8"/>
        <v>0</v>
      </c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3.5" customHeight="1">
      <c r="A18" s="48" t="s">
        <v>170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>
        <f t="shared" si="8"/>
        <v>0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3.5" customHeight="1">
      <c r="A19" s="70" t="s">
        <v>37</v>
      </c>
      <c r="B19" s="170">
        <f t="shared" ref="B19:M19" si="9">B20+B21</f>
        <v>0</v>
      </c>
      <c r="C19" s="170">
        <f t="shared" si="9"/>
        <v>0</v>
      </c>
      <c r="D19" s="170">
        <f t="shared" si="9"/>
        <v>0</v>
      </c>
      <c r="E19" s="170">
        <f t="shared" si="9"/>
        <v>0</v>
      </c>
      <c r="F19" s="170">
        <f t="shared" si="9"/>
        <v>0</v>
      </c>
      <c r="G19" s="170">
        <f t="shared" si="9"/>
        <v>0</v>
      </c>
      <c r="H19" s="170">
        <f t="shared" si="9"/>
        <v>0</v>
      </c>
      <c r="I19" s="170">
        <f t="shared" si="9"/>
        <v>0</v>
      </c>
      <c r="J19" s="170">
        <f t="shared" si="9"/>
        <v>0</v>
      </c>
      <c r="K19" s="170">
        <f t="shared" si="9"/>
        <v>0</v>
      </c>
      <c r="L19" s="170">
        <f t="shared" si="9"/>
        <v>0</v>
      </c>
      <c r="M19" s="170">
        <f t="shared" si="9"/>
        <v>0</v>
      </c>
      <c r="N19" s="171">
        <f t="shared" si="8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48" t="s">
        <v>326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>
        <f t="shared" si="8"/>
        <v>0</v>
      </c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3.5" customHeight="1">
      <c r="A21" s="48" t="s">
        <v>327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>
        <f t="shared" si="8"/>
        <v>0</v>
      </c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3.5" customHeight="1">
      <c r="A22" s="70" t="s">
        <v>328</v>
      </c>
      <c r="B22" s="170">
        <f t="shared" ref="B22:N22" si="10">B23+B24+B25</f>
        <v>0</v>
      </c>
      <c r="C22" s="170">
        <f t="shared" si="10"/>
        <v>0</v>
      </c>
      <c r="D22" s="170">
        <f t="shared" si="10"/>
        <v>0</v>
      </c>
      <c r="E22" s="170">
        <f t="shared" si="10"/>
        <v>0</v>
      </c>
      <c r="F22" s="170">
        <f t="shared" si="10"/>
        <v>0</v>
      </c>
      <c r="G22" s="170">
        <f t="shared" si="10"/>
        <v>0</v>
      </c>
      <c r="H22" s="170">
        <f t="shared" si="10"/>
        <v>0</v>
      </c>
      <c r="I22" s="170">
        <f t="shared" si="10"/>
        <v>0</v>
      </c>
      <c r="J22" s="170">
        <f t="shared" si="10"/>
        <v>0</v>
      </c>
      <c r="K22" s="170">
        <f t="shared" si="10"/>
        <v>0</v>
      </c>
      <c r="L22" s="170">
        <f t="shared" si="10"/>
        <v>0</v>
      </c>
      <c r="M22" s="170">
        <f t="shared" si="10"/>
        <v>0</v>
      </c>
      <c r="N22" s="170">
        <f t="shared" si="10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48" t="s">
        <v>329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>
        <f t="shared" ref="N23:N25" si="11">B23+C23+D23+E23+F23+G23+H23+I23+J23+K23+L23+M23</f>
        <v>0</v>
      </c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3.5" customHeight="1">
      <c r="A24" s="48" t="s">
        <v>330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>
        <f t="shared" si="11"/>
        <v>0</v>
      </c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3.5" customHeight="1">
      <c r="A25" s="48" t="s">
        <v>331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>
        <f t="shared" si="11"/>
        <v>0</v>
      </c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3.5" customHeight="1">
      <c r="A26" s="70" t="s">
        <v>142</v>
      </c>
      <c r="B26" s="170">
        <f t="shared" ref="B26:N26" si="12">B27+B28+B29+B30</f>
        <v>0</v>
      </c>
      <c r="C26" s="170">
        <f t="shared" si="12"/>
        <v>0</v>
      </c>
      <c r="D26" s="170">
        <f t="shared" si="12"/>
        <v>0</v>
      </c>
      <c r="E26" s="170">
        <f t="shared" si="12"/>
        <v>0</v>
      </c>
      <c r="F26" s="170">
        <f t="shared" si="12"/>
        <v>0</v>
      </c>
      <c r="G26" s="170">
        <f t="shared" si="12"/>
        <v>0</v>
      </c>
      <c r="H26" s="170">
        <f t="shared" si="12"/>
        <v>0</v>
      </c>
      <c r="I26" s="170">
        <f t="shared" si="12"/>
        <v>0</v>
      </c>
      <c r="J26" s="170">
        <f t="shared" si="12"/>
        <v>0</v>
      </c>
      <c r="K26" s="170">
        <f t="shared" si="12"/>
        <v>0</v>
      </c>
      <c r="L26" s="170">
        <f t="shared" si="12"/>
        <v>0</v>
      </c>
      <c r="M26" s="170">
        <f t="shared" si="12"/>
        <v>0</v>
      </c>
      <c r="N26" s="170">
        <f t="shared" si="12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48" t="s">
        <v>332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3.5" customHeight="1">
      <c r="A28" s="48" t="s">
        <v>333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3.5" customHeight="1">
      <c r="A29" s="48" t="s">
        <v>334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3.5" customHeight="1">
      <c r="A30" s="48" t="s">
        <v>335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3.5" customHeight="1">
      <c r="A31" s="70" t="s">
        <v>54</v>
      </c>
      <c r="B31" s="170">
        <f t="shared" ref="B31:M31" si="13">B32+B33+B34</f>
        <v>0</v>
      </c>
      <c r="C31" s="170">
        <f t="shared" si="13"/>
        <v>0</v>
      </c>
      <c r="D31" s="170">
        <f t="shared" si="13"/>
        <v>0</v>
      </c>
      <c r="E31" s="170">
        <f t="shared" si="13"/>
        <v>0</v>
      </c>
      <c r="F31" s="170">
        <f t="shared" si="13"/>
        <v>0</v>
      </c>
      <c r="G31" s="170">
        <f t="shared" si="13"/>
        <v>0</v>
      </c>
      <c r="H31" s="170">
        <f t="shared" si="13"/>
        <v>0</v>
      </c>
      <c r="I31" s="170">
        <f t="shared" si="13"/>
        <v>0</v>
      </c>
      <c r="J31" s="170">
        <f t="shared" si="13"/>
        <v>0</v>
      </c>
      <c r="K31" s="170">
        <f t="shared" si="13"/>
        <v>0</v>
      </c>
      <c r="L31" s="170">
        <f t="shared" si="13"/>
        <v>0</v>
      </c>
      <c r="M31" s="170">
        <f t="shared" si="13"/>
        <v>0</v>
      </c>
      <c r="N31" s="171">
        <f>B31+C31+D31+E31+F31+G31+H31+I31+J31+K31+L31+M31</f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48" t="s">
        <v>55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3.5" customHeight="1">
      <c r="A33" s="48" t="s">
        <v>336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3.5" customHeight="1">
      <c r="A34" s="48" t="s">
        <v>337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3.5" customHeight="1">
      <c r="A35" s="157" t="s">
        <v>137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48" t="s">
        <v>42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3.5" customHeight="1">
      <c r="A37" s="48" t="s">
        <v>43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3.5" customHeight="1">
      <c r="A38" s="48" t="s">
        <v>44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3.5" customHeight="1">
      <c r="A39" s="70" t="s">
        <v>57</v>
      </c>
      <c r="B39" s="170">
        <f t="shared" ref="B39:M39" si="14">B40+B41+B42+B43</f>
        <v>0</v>
      </c>
      <c r="C39" s="170">
        <f t="shared" si="14"/>
        <v>0</v>
      </c>
      <c r="D39" s="170">
        <f t="shared" si="14"/>
        <v>0</v>
      </c>
      <c r="E39" s="170">
        <f t="shared" si="14"/>
        <v>0</v>
      </c>
      <c r="F39" s="170">
        <f t="shared" si="14"/>
        <v>0</v>
      </c>
      <c r="G39" s="170">
        <f t="shared" si="14"/>
        <v>0</v>
      </c>
      <c r="H39" s="170">
        <f t="shared" si="14"/>
        <v>0</v>
      </c>
      <c r="I39" s="170">
        <f t="shared" si="14"/>
        <v>0</v>
      </c>
      <c r="J39" s="170">
        <f t="shared" si="14"/>
        <v>0</v>
      </c>
      <c r="K39" s="170">
        <f t="shared" si="14"/>
        <v>0</v>
      </c>
      <c r="L39" s="170">
        <f t="shared" si="14"/>
        <v>0</v>
      </c>
      <c r="M39" s="170">
        <f t="shared" si="14"/>
        <v>0</v>
      </c>
      <c r="N39" s="171">
        <f>B39+C39+D39+E39+F39+G39+H39+I39+J39+K39+L39+M39</f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48" t="s">
        <v>61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3.5" customHeight="1">
      <c r="A41" s="48" t="s">
        <v>59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48" t="s">
        <v>58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48" t="s">
        <v>60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3.5" customHeight="1">
      <c r="A44" s="70" t="s">
        <v>40</v>
      </c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70" t="s">
        <v>175</v>
      </c>
      <c r="B45" s="170">
        <f t="shared" ref="B45:M45" si="15">B46+B47</f>
        <v>0</v>
      </c>
      <c r="C45" s="170">
        <f t="shared" si="15"/>
        <v>0</v>
      </c>
      <c r="D45" s="170">
        <f t="shared" si="15"/>
        <v>0</v>
      </c>
      <c r="E45" s="170">
        <f t="shared" si="15"/>
        <v>0</v>
      </c>
      <c r="F45" s="170">
        <f t="shared" si="15"/>
        <v>0</v>
      </c>
      <c r="G45" s="170">
        <f t="shared" si="15"/>
        <v>0</v>
      </c>
      <c r="H45" s="170">
        <f t="shared" si="15"/>
        <v>0</v>
      </c>
      <c r="I45" s="170">
        <f t="shared" si="15"/>
        <v>0</v>
      </c>
      <c r="J45" s="170">
        <f t="shared" si="15"/>
        <v>0</v>
      </c>
      <c r="K45" s="170">
        <f t="shared" si="15"/>
        <v>0</v>
      </c>
      <c r="L45" s="170">
        <f t="shared" si="15"/>
        <v>0</v>
      </c>
      <c r="M45" s="170">
        <f t="shared" si="15"/>
        <v>0</v>
      </c>
      <c r="N45" s="171">
        <f t="shared" ref="N45:N47" si="16">B45+C45+D45+E45+F45+G45+H45+I45+J45+K45+L45+M45</f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154" t="s">
        <v>316</v>
      </c>
      <c r="B46" s="12" t="str">
        <f>'Инвест_бюджет'!B675</f>
        <v/>
      </c>
      <c r="C46" s="12" t="str">
        <f>'Инвест_бюджет'!C675</f>
        <v/>
      </c>
      <c r="D46" s="12" t="str">
        <f>'Инвест_бюджет'!D675</f>
        <v/>
      </c>
      <c r="E46" s="12" t="str">
        <f>'Инвест_бюджет'!E675</f>
        <v/>
      </c>
      <c r="F46" s="12" t="str">
        <f>'Инвест_бюджет'!F675</f>
        <v/>
      </c>
      <c r="G46" s="12" t="str">
        <f>'Инвест_бюджет'!G675</f>
        <v/>
      </c>
      <c r="H46" s="12" t="str">
        <f>'Инвест_бюджет'!H675</f>
        <v/>
      </c>
      <c r="I46" s="12" t="str">
        <f>'Инвест_бюджет'!I675</f>
        <v/>
      </c>
      <c r="J46" s="12" t="str">
        <f>'Инвест_бюджет'!J675</f>
        <v/>
      </c>
      <c r="K46" s="12" t="str">
        <f>'Инвест_бюджет'!K675</f>
        <v/>
      </c>
      <c r="L46" s="12" t="str">
        <f>'Инвест_бюджет'!L675</f>
        <v/>
      </c>
      <c r="M46" s="12" t="str">
        <f>'Инвест_бюджет'!M675</f>
        <v/>
      </c>
      <c r="N46" s="12">
        <f t="shared" si="16"/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154" t="s">
        <v>317</v>
      </c>
      <c r="B47" s="12" t="str">
        <f>'Инвест_бюджет'!B676</f>
        <v/>
      </c>
      <c r="C47" s="12" t="str">
        <f>'Инвест_бюджет'!C676</f>
        <v/>
      </c>
      <c r="D47" s="12" t="str">
        <f>'Инвест_бюджет'!D676</f>
        <v/>
      </c>
      <c r="E47" s="12" t="str">
        <f>'Инвест_бюджет'!E676</f>
        <v/>
      </c>
      <c r="F47" s="12" t="str">
        <f>'Инвест_бюджет'!F676</f>
        <v/>
      </c>
      <c r="G47" s="12" t="str">
        <f>'Инвест_бюджет'!G676</f>
        <v/>
      </c>
      <c r="H47" s="12" t="str">
        <f>'Инвест_бюджет'!H676</f>
        <v/>
      </c>
      <c r="I47" s="12" t="str">
        <f>'Инвест_бюджет'!I676</f>
        <v/>
      </c>
      <c r="J47" s="12" t="str">
        <f>'Инвест_бюджет'!J676</f>
        <v/>
      </c>
      <c r="K47" s="12" t="str">
        <f>'Инвест_бюджет'!K676</f>
        <v/>
      </c>
      <c r="L47" s="12" t="str">
        <f>'Инвест_бюджет'!L676</f>
        <v/>
      </c>
      <c r="M47" s="12" t="str">
        <f>'Инвест_бюджет'!M676</f>
        <v/>
      </c>
      <c r="N47" s="12">
        <f t="shared" si="16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70" t="s">
        <v>318</v>
      </c>
      <c r="B48" s="170">
        <f t="shared" ref="B48:N48" si="17">B4+B8+B19+B22+B26+B31+B39+B45+B44</f>
        <v>0</v>
      </c>
      <c r="C48" s="170">
        <f t="shared" si="17"/>
        <v>0</v>
      </c>
      <c r="D48" s="170">
        <f t="shared" si="17"/>
        <v>0</v>
      </c>
      <c r="E48" s="170">
        <f t="shared" si="17"/>
        <v>0</v>
      </c>
      <c r="F48" s="170">
        <f t="shared" si="17"/>
        <v>0</v>
      </c>
      <c r="G48" s="170">
        <f t="shared" si="17"/>
        <v>0</v>
      </c>
      <c r="H48" s="170">
        <f t="shared" si="17"/>
        <v>0</v>
      </c>
      <c r="I48" s="170">
        <f t="shared" si="17"/>
        <v>0</v>
      </c>
      <c r="J48" s="170">
        <f t="shared" si="17"/>
        <v>0</v>
      </c>
      <c r="K48" s="170">
        <f t="shared" si="17"/>
        <v>0</v>
      </c>
      <c r="L48" s="170">
        <f t="shared" si="17"/>
        <v>0</v>
      </c>
      <c r="M48" s="170">
        <f t="shared" si="17"/>
        <v>0</v>
      </c>
      <c r="N48" s="170">
        <f t="shared" si="17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124" t="s">
        <v>338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>
      <c r="A53" s="3" t="s">
        <v>1</v>
      </c>
      <c r="B53" s="3" t="s">
        <v>2</v>
      </c>
      <c r="C53" s="3" t="s">
        <v>3</v>
      </c>
      <c r="D53" s="3" t="s">
        <v>4</v>
      </c>
      <c r="E53" s="3" t="s">
        <v>5</v>
      </c>
      <c r="F53" s="3" t="s">
        <v>6</v>
      </c>
      <c r="G53" s="3" t="s">
        <v>7</v>
      </c>
      <c r="H53" s="3" t="s">
        <v>8</v>
      </c>
      <c r="I53" s="3" t="s">
        <v>9</v>
      </c>
      <c r="J53" s="3" t="s">
        <v>10</v>
      </c>
      <c r="K53" s="3" t="s">
        <v>11</v>
      </c>
      <c r="L53" s="3" t="s">
        <v>12</v>
      </c>
      <c r="M53" s="3" t="s">
        <v>13</v>
      </c>
      <c r="N53" s="3" t="s">
        <v>14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70" t="s">
        <v>26</v>
      </c>
      <c r="B54" s="119">
        <f t="shared" ref="B54:M54" si="18">B55+B56+B57+B58</f>
        <v>0</v>
      </c>
      <c r="C54" s="119">
        <f t="shared" si="18"/>
        <v>0</v>
      </c>
      <c r="D54" s="119">
        <f t="shared" si="18"/>
        <v>0</v>
      </c>
      <c r="E54" s="119">
        <f t="shared" si="18"/>
        <v>0</v>
      </c>
      <c r="F54" s="119">
        <f t="shared" si="18"/>
        <v>0</v>
      </c>
      <c r="G54" s="119">
        <f t="shared" si="18"/>
        <v>0</v>
      </c>
      <c r="H54" s="119">
        <f t="shared" si="18"/>
        <v>0</v>
      </c>
      <c r="I54" s="119">
        <f t="shared" si="18"/>
        <v>0</v>
      </c>
      <c r="J54" s="119">
        <f t="shared" si="18"/>
        <v>0</v>
      </c>
      <c r="K54" s="119">
        <f t="shared" si="18"/>
        <v>0</v>
      </c>
      <c r="L54" s="119">
        <f t="shared" si="18"/>
        <v>0</v>
      </c>
      <c r="M54" s="119">
        <f t="shared" si="18"/>
        <v>0</v>
      </c>
      <c r="N54" s="167">
        <f t="shared" ref="N54:N59" si="20">B54+C54+D54+E54+F54+G54+H54+I54+J54+K54+L54+M54</f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48" t="s">
        <v>167</v>
      </c>
      <c r="B55" s="49">
        <f t="shared" ref="B55:M55" si="19">B9</f>
        <v>0</v>
      </c>
      <c r="C55" s="49">
        <f t="shared" si="19"/>
        <v>0</v>
      </c>
      <c r="D55" s="49">
        <f t="shared" si="19"/>
        <v>0</v>
      </c>
      <c r="E55" s="49">
        <f t="shared" si="19"/>
        <v>0</v>
      </c>
      <c r="F55" s="49">
        <f t="shared" si="19"/>
        <v>0</v>
      </c>
      <c r="G55" s="49">
        <f t="shared" si="19"/>
        <v>0</v>
      </c>
      <c r="H55" s="49">
        <f t="shared" si="19"/>
        <v>0</v>
      </c>
      <c r="I55" s="49">
        <f t="shared" si="19"/>
        <v>0</v>
      </c>
      <c r="J55" s="49">
        <f t="shared" si="19"/>
        <v>0</v>
      </c>
      <c r="K55" s="49">
        <f t="shared" si="19"/>
        <v>0</v>
      </c>
      <c r="L55" s="49">
        <f t="shared" si="19"/>
        <v>0</v>
      </c>
      <c r="M55" s="49">
        <f t="shared" si="19"/>
        <v>0</v>
      </c>
      <c r="N55" s="49">
        <f t="shared" si="20"/>
        <v>0</v>
      </c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3.5" customHeight="1">
      <c r="A56" s="48" t="s">
        <v>168</v>
      </c>
      <c r="B56" s="49" t="str">
        <f t="shared" ref="B56:M56" si="21">B16</f>
        <v/>
      </c>
      <c r="C56" s="49" t="str">
        <f t="shared" si="21"/>
        <v/>
      </c>
      <c r="D56" s="49" t="str">
        <f t="shared" si="21"/>
        <v/>
      </c>
      <c r="E56" s="49" t="str">
        <f t="shared" si="21"/>
        <v/>
      </c>
      <c r="F56" s="49" t="str">
        <f t="shared" si="21"/>
        <v/>
      </c>
      <c r="G56" s="49" t="str">
        <f t="shared" si="21"/>
        <v/>
      </c>
      <c r="H56" s="49" t="str">
        <f t="shared" si="21"/>
        <v/>
      </c>
      <c r="I56" s="49" t="str">
        <f t="shared" si="21"/>
        <v/>
      </c>
      <c r="J56" s="49" t="str">
        <f t="shared" si="21"/>
        <v/>
      </c>
      <c r="K56" s="49" t="str">
        <f t="shared" si="21"/>
        <v/>
      </c>
      <c r="L56" s="49" t="str">
        <f t="shared" si="21"/>
        <v/>
      </c>
      <c r="M56" s="49" t="str">
        <f t="shared" si="21"/>
        <v/>
      </c>
      <c r="N56" s="49">
        <f t="shared" si="20"/>
        <v>0</v>
      </c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3.5" customHeight="1">
      <c r="A57" s="48" t="s">
        <v>320</v>
      </c>
      <c r="B57" s="49" t="str">
        <f t="shared" ref="B57:M57" si="22">B17</f>
        <v/>
      </c>
      <c r="C57" s="49" t="str">
        <f t="shared" si="22"/>
        <v/>
      </c>
      <c r="D57" s="49" t="str">
        <f t="shared" si="22"/>
        <v/>
      </c>
      <c r="E57" s="49" t="str">
        <f t="shared" si="22"/>
        <v/>
      </c>
      <c r="F57" s="49" t="str">
        <f t="shared" si="22"/>
        <v/>
      </c>
      <c r="G57" s="49" t="str">
        <f t="shared" si="22"/>
        <v/>
      </c>
      <c r="H57" s="49" t="str">
        <f t="shared" si="22"/>
        <v/>
      </c>
      <c r="I57" s="49" t="str">
        <f t="shared" si="22"/>
        <v/>
      </c>
      <c r="J57" s="49" t="str">
        <f t="shared" si="22"/>
        <v/>
      </c>
      <c r="K57" s="49" t="str">
        <f t="shared" si="22"/>
        <v/>
      </c>
      <c r="L57" s="49" t="str">
        <f t="shared" si="22"/>
        <v/>
      </c>
      <c r="M57" s="49" t="str">
        <f t="shared" si="22"/>
        <v/>
      </c>
      <c r="N57" s="49">
        <f t="shared" si="20"/>
        <v>0</v>
      </c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3.5" customHeight="1">
      <c r="A58" s="48" t="s">
        <v>170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>
        <f t="shared" si="20"/>
        <v>0</v>
      </c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2.75" customHeight="1">
      <c r="A59" s="70" t="s">
        <v>31</v>
      </c>
      <c r="B59" s="119">
        <f t="shared" ref="B59:M59" si="23">SUM(B60:B62)</f>
        <v>0</v>
      </c>
      <c r="C59" s="119">
        <f t="shared" si="23"/>
        <v>0</v>
      </c>
      <c r="D59" s="119">
        <f t="shared" si="23"/>
        <v>0</v>
      </c>
      <c r="E59" s="119">
        <f t="shared" si="23"/>
        <v>0</v>
      </c>
      <c r="F59" s="119">
        <f t="shared" si="23"/>
        <v>0</v>
      </c>
      <c r="G59" s="119">
        <f t="shared" si="23"/>
        <v>0</v>
      </c>
      <c r="H59" s="119">
        <f t="shared" si="23"/>
        <v>0</v>
      </c>
      <c r="I59" s="119">
        <f t="shared" si="23"/>
        <v>0</v>
      </c>
      <c r="J59" s="119">
        <f t="shared" si="23"/>
        <v>0</v>
      </c>
      <c r="K59" s="119">
        <f t="shared" si="23"/>
        <v>0</v>
      </c>
      <c r="L59" s="119">
        <f t="shared" si="23"/>
        <v>0</v>
      </c>
      <c r="M59" s="119">
        <f t="shared" si="23"/>
        <v>0</v>
      </c>
      <c r="N59" s="167">
        <f t="shared" si="20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48" t="s">
        <v>32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3.5" customHeight="1">
      <c r="A61" s="48" t="s">
        <v>339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3.5" customHeight="1">
      <c r="A62" s="48" t="s">
        <v>321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2.75" customHeight="1">
      <c r="A63" s="70" t="s">
        <v>142</v>
      </c>
      <c r="B63" s="119">
        <f t="shared" ref="B63:M63" si="24">SUM(B64:B68)</f>
        <v>0</v>
      </c>
      <c r="C63" s="119">
        <f t="shared" si="24"/>
        <v>0</v>
      </c>
      <c r="D63" s="119">
        <f t="shared" si="24"/>
        <v>0</v>
      </c>
      <c r="E63" s="119">
        <f t="shared" si="24"/>
        <v>0</v>
      </c>
      <c r="F63" s="119">
        <f t="shared" si="24"/>
        <v>0</v>
      </c>
      <c r="G63" s="119">
        <f t="shared" si="24"/>
        <v>0</v>
      </c>
      <c r="H63" s="119">
        <f t="shared" si="24"/>
        <v>0</v>
      </c>
      <c r="I63" s="119">
        <f t="shared" si="24"/>
        <v>0</v>
      </c>
      <c r="J63" s="119">
        <f t="shared" si="24"/>
        <v>0</v>
      </c>
      <c r="K63" s="119">
        <f t="shared" si="24"/>
        <v>0</v>
      </c>
      <c r="L63" s="119">
        <f t="shared" si="24"/>
        <v>0</v>
      </c>
      <c r="M63" s="119">
        <f t="shared" si="24"/>
        <v>0</v>
      </c>
      <c r="N63" s="167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48" t="s">
        <v>332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3.5" customHeight="1">
      <c r="A65" s="48" t="s">
        <v>340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3.5" customHeight="1">
      <c r="A66" s="48" t="s">
        <v>334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3.5" customHeight="1">
      <c r="A67" s="48" t="s">
        <v>341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3.5" customHeight="1">
      <c r="A68" s="48" t="s">
        <v>335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3.5" customHeight="1">
      <c r="A69" s="70" t="s">
        <v>50</v>
      </c>
      <c r="B69" s="170">
        <f t="shared" ref="B69:M69" si="25">SUM(B70:B72)</f>
        <v>0</v>
      </c>
      <c r="C69" s="170">
        <f t="shared" si="25"/>
        <v>0</v>
      </c>
      <c r="D69" s="170">
        <f t="shared" si="25"/>
        <v>0</v>
      </c>
      <c r="E69" s="170">
        <f t="shared" si="25"/>
        <v>0</v>
      </c>
      <c r="F69" s="170">
        <f t="shared" si="25"/>
        <v>0</v>
      </c>
      <c r="G69" s="170">
        <f t="shared" si="25"/>
        <v>0</v>
      </c>
      <c r="H69" s="170">
        <f t="shared" si="25"/>
        <v>0</v>
      </c>
      <c r="I69" s="170">
        <f t="shared" si="25"/>
        <v>0</v>
      </c>
      <c r="J69" s="170">
        <f t="shared" si="25"/>
        <v>0</v>
      </c>
      <c r="K69" s="170">
        <f t="shared" si="25"/>
        <v>0</v>
      </c>
      <c r="L69" s="170">
        <f t="shared" si="25"/>
        <v>0</v>
      </c>
      <c r="M69" s="170">
        <f t="shared" si="25"/>
        <v>0</v>
      </c>
      <c r="N69" s="17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48" t="s">
        <v>51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3.5" customHeight="1">
      <c r="A71" s="48" t="s">
        <v>52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3.5" customHeight="1">
      <c r="A72" s="48" t="s">
        <v>331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3.5" customHeight="1">
      <c r="A73" s="70" t="s">
        <v>54</v>
      </c>
      <c r="B73" s="170">
        <f t="shared" ref="B73:M73" si="26">SUM(B74:B76)</f>
        <v>0</v>
      </c>
      <c r="C73" s="170">
        <f t="shared" si="26"/>
        <v>0</v>
      </c>
      <c r="D73" s="170">
        <f t="shared" si="26"/>
        <v>0</v>
      </c>
      <c r="E73" s="170">
        <f t="shared" si="26"/>
        <v>0</v>
      </c>
      <c r="F73" s="170">
        <f t="shared" si="26"/>
        <v>0</v>
      </c>
      <c r="G73" s="170">
        <f t="shared" si="26"/>
        <v>0</v>
      </c>
      <c r="H73" s="170">
        <f t="shared" si="26"/>
        <v>0</v>
      </c>
      <c r="I73" s="170">
        <f t="shared" si="26"/>
        <v>0</v>
      </c>
      <c r="J73" s="170">
        <f t="shared" si="26"/>
        <v>0</v>
      </c>
      <c r="K73" s="170">
        <f t="shared" si="26"/>
        <v>0</v>
      </c>
      <c r="L73" s="170">
        <f t="shared" si="26"/>
        <v>0</v>
      </c>
      <c r="M73" s="170">
        <f t="shared" si="26"/>
        <v>0</v>
      </c>
      <c r="N73" s="170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>
      <c r="A74" s="11" t="s">
        <v>55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>
      <c r="A75" s="11" t="s">
        <v>180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11" t="s">
        <v>56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70" t="s">
        <v>57</v>
      </c>
      <c r="B77" s="170">
        <f t="shared" ref="B77:M77" si="27">B78+B79+B80+B81</f>
        <v>0</v>
      </c>
      <c r="C77" s="170">
        <f t="shared" si="27"/>
        <v>0</v>
      </c>
      <c r="D77" s="170">
        <f t="shared" si="27"/>
        <v>0</v>
      </c>
      <c r="E77" s="170">
        <f t="shared" si="27"/>
        <v>0</v>
      </c>
      <c r="F77" s="170">
        <f t="shared" si="27"/>
        <v>0</v>
      </c>
      <c r="G77" s="170">
        <f t="shared" si="27"/>
        <v>0</v>
      </c>
      <c r="H77" s="170">
        <f t="shared" si="27"/>
        <v>0</v>
      </c>
      <c r="I77" s="170">
        <f t="shared" si="27"/>
        <v>0</v>
      </c>
      <c r="J77" s="170">
        <f t="shared" si="27"/>
        <v>0</v>
      </c>
      <c r="K77" s="170">
        <f t="shared" si="27"/>
        <v>0</v>
      </c>
      <c r="L77" s="170">
        <f t="shared" si="27"/>
        <v>0</v>
      </c>
      <c r="M77" s="170">
        <f t="shared" si="27"/>
        <v>0</v>
      </c>
      <c r="N77" s="171">
        <f>B77+C77+D77+E77+F77+G77+H77+I77+J77+K77+L77+M77</f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48" t="s">
        <v>61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3.5" customHeight="1">
      <c r="A79" s="48" t="s">
        <v>59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48" t="s">
        <v>58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48" t="s">
        <v>60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1.2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1.2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1.2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2">
    <mergeCell ref="A1:N1"/>
    <mergeCell ref="A52:N52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 outlineLevelRow="1"/>
  <cols>
    <col customWidth="1" min="1" max="1" width="56.29"/>
    <col customWidth="1" min="2" max="14" width="14.86"/>
    <col customWidth="1" min="15" max="15" width="10.29"/>
    <col customWidth="1" min="16" max="28" width="14.86"/>
  </cols>
  <sheetData>
    <row r="1" ht="11.25" customHeight="1">
      <c r="A1" s="89" t="s">
        <v>342</v>
      </c>
      <c r="O1" s="174"/>
      <c r="P1" s="175" t="s">
        <v>343</v>
      </c>
    </row>
    <row r="2" ht="11.25" customHeight="1">
      <c r="A2" s="89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89"/>
      <c r="O2" s="174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</row>
    <row r="3" ht="12.75" customHeight="1">
      <c r="A3" s="3" t="s">
        <v>1</v>
      </c>
      <c r="B3" s="21">
        <v>42005.0</v>
      </c>
      <c r="C3" s="21">
        <v>42036.0</v>
      </c>
      <c r="D3" s="21">
        <v>42064.0</v>
      </c>
      <c r="E3" s="21">
        <v>42095.0</v>
      </c>
      <c r="F3" s="21">
        <v>42125.0</v>
      </c>
      <c r="G3" s="21">
        <v>42156.0</v>
      </c>
      <c r="H3" s="21">
        <v>42186.0</v>
      </c>
      <c r="I3" s="21">
        <v>42217.0</v>
      </c>
      <c r="J3" s="21">
        <v>42248.0</v>
      </c>
      <c r="K3" s="21">
        <v>42278.0</v>
      </c>
      <c r="L3" s="21">
        <v>42309.0</v>
      </c>
      <c r="M3" s="21">
        <v>42339.0</v>
      </c>
      <c r="N3" s="3" t="s">
        <v>14</v>
      </c>
      <c r="O3" s="177" t="s">
        <v>344</v>
      </c>
      <c r="P3" s="21">
        <v>42005.0</v>
      </c>
      <c r="Q3" s="21">
        <v>42036.0</v>
      </c>
      <c r="R3" s="21">
        <v>42064.0</v>
      </c>
      <c r="S3" s="21">
        <v>42095.0</v>
      </c>
      <c r="T3" s="21">
        <v>42125.0</v>
      </c>
      <c r="U3" s="21">
        <v>42156.0</v>
      </c>
      <c r="V3" s="21">
        <v>42186.0</v>
      </c>
      <c r="W3" s="21">
        <v>42217.0</v>
      </c>
      <c r="X3" s="21">
        <v>42248.0</v>
      </c>
      <c r="Y3" s="21">
        <v>42278.0</v>
      </c>
      <c r="Z3" s="21">
        <v>42309.0</v>
      </c>
      <c r="AA3" s="21">
        <v>42339.0</v>
      </c>
      <c r="AB3" s="3" t="s">
        <v>14</v>
      </c>
    </row>
    <row r="4" ht="12.75" customHeight="1">
      <c r="A4" s="178" t="s">
        <v>345</v>
      </c>
      <c r="B4" s="179">
        <v>1.0</v>
      </c>
      <c r="C4" s="179">
        <v>2.0</v>
      </c>
      <c r="D4" s="179">
        <v>3.0</v>
      </c>
      <c r="E4" s="179">
        <v>4.0</v>
      </c>
      <c r="F4" s="179">
        <v>5.0</v>
      </c>
      <c r="G4" s="179">
        <v>6.0</v>
      </c>
      <c r="H4" s="179">
        <v>7.0</v>
      </c>
      <c r="I4" s="179">
        <v>8.0</v>
      </c>
      <c r="J4" s="179">
        <v>9.0</v>
      </c>
      <c r="K4" s="179">
        <v>10.0</v>
      </c>
      <c r="L4" s="179">
        <v>11.0</v>
      </c>
      <c r="M4" s="179">
        <v>12.0</v>
      </c>
      <c r="N4" s="105"/>
      <c r="O4" s="180" t="s">
        <v>346</v>
      </c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05"/>
    </row>
    <row r="5" ht="11.25" customHeight="1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81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1.25" customHeight="1">
      <c r="A6" s="182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1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</row>
    <row r="7" ht="11.25" hidden="1" customHeight="1" outlineLevel="1">
      <c r="A7" s="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77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1.25" hidden="1" customHeight="1" outlineLevel="1">
      <c r="A8" s="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77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1.25" hidden="1" customHeight="1" outlineLevel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77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1.25" hidden="1" customHeight="1" outlineLevel="1">
      <c r="A10" s="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7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1.25" hidden="1" customHeight="1" outlineLevel="1">
      <c r="A11" s="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7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1.25" hidden="1" customHeight="1" outlineLevel="1">
      <c r="A12" s="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77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1.25" hidden="1" customHeight="1" outlineLevel="1">
      <c r="A13" s="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77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1.25" hidden="1" customHeight="1" outlineLevel="1">
      <c r="A14" s="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77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1.25" hidden="1" customHeight="1" outlineLevel="1">
      <c r="A15" s="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7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1.25" hidden="1" customHeight="1" outlineLevel="1">
      <c r="A16" s="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77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1.25" hidden="1" customHeight="1" outlineLevel="1">
      <c r="A17" s="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77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1.25" hidden="1" customHeight="1" outlineLevel="1">
      <c r="A18" s="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77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1.25" hidden="1" customHeight="1" outlineLevel="1">
      <c r="A19" s="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77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1.25" hidden="1" customHeight="1" outlineLevel="1">
      <c r="A20" s="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77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1.25" hidden="1" customHeight="1" outlineLevel="1">
      <c r="A21" s="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77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1.25" hidden="1" customHeight="1" outlineLevel="1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77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11.25" hidden="1" customHeight="1" outlineLevel="1">
      <c r="A23" s="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77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11.25" customHeight="1" collapsed="1">
      <c r="A24" s="182" t="s">
        <v>347</v>
      </c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1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</row>
    <row r="25" ht="11.25" customHeight="1">
      <c r="A25" s="4" t="s">
        <v>348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181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1.25" hidden="1" customHeight="1" outlineLevel="1">
      <c r="A26" s="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77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11.25" hidden="1" customHeight="1" outlineLevel="1">
      <c r="A27" s="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77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ht="11.25" customHeight="1" collapsed="1">
      <c r="A28" s="4" t="s">
        <v>349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181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1.25" customHeight="1">
      <c r="A29" s="184" t="s">
        <v>350</v>
      </c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6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</row>
    <row r="30" ht="11.25" customHeight="1">
      <c r="A30" s="187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74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11.25" hidden="1" customHeight="1" outlineLevel="1">
      <c r="A31" s="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77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11.25" hidden="1" customHeight="1" outlineLevel="1">
      <c r="A32" s="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77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11.25" hidden="1" customHeight="1" outlineLevel="1">
      <c r="A33" s="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77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1.25" hidden="1" customHeight="1" outlineLevel="1">
      <c r="A34" s="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77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11.25" customHeight="1" collapsed="1">
      <c r="A35" s="9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8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88"/>
    </row>
    <row r="36" ht="11.25" hidden="1" customHeight="1" outlineLevel="1">
      <c r="A36" s="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77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11.25" hidden="1" customHeight="1" outlineLevel="1">
      <c r="A37" s="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77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1.25" hidden="1" customHeight="1" outlineLevel="1">
      <c r="A38" s="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77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11.25" hidden="1" customHeight="1" outlineLevel="1">
      <c r="A39" s="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77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11.25" hidden="1" customHeight="1" outlineLevel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77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11.25" customHeight="1" collapsed="1">
      <c r="A41" s="187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11.25" hidden="1" customHeight="1" outlineLevel="1">
      <c r="A42" s="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77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11.25" hidden="1" customHeight="1" outlineLevel="1">
      <c r="A43" s="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77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11.25" customHeight="1" collapsed="1">
      <c r="A44" s="184" t="s">
        <v>351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6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</row>
    <row r="45" ht="11.25" hidden="1" customHeight="1" outlineLevel="1">
      <c r="A45" s="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77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11.25" hidden="1" customHeight="1" outlineLevel="1">
      <c r="A46" s="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77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11.25" customHeight="1" collapsed="1">
      <c r="A47" s="4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181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1.25" customHeight="1">
      <c r="A48" s="189" t="s">
        <v>352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6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</row>
    <row r="49" ht="11.25" customHeight="1">
      <c r="A49" s="4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181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1.25" customHeight="1">
      <c r="A50" s="189" t="s">
        <v>353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6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</row>
    <row r="51" ht="11.25" customHeight="1">
      <c r="A51" s="9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2"/>
      <c r="O51" s="174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2"/>
    </row>
    <row r="52" ht="11.25" hidden="1" customHeight="1" outlineLevel="1">
      <c r="A52" s="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77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1.25" customHeight="1" collapsed="1">
      <c r="A53" s="9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2"/>
      <c r="O53" s="177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2"/>
    </row>
    <row r="54" ht="11.25" hidden="1" customHeight="1" outlineLevel="1">
      <c r="A54" s="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77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1.25" hidden="1" customHeight="1" outlineLevel="1">
      <c r="A55" s="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77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1.25" hidden="1" customHeight="1" outlineLevel="1">
      <c r="A56" s="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77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1.25" hidden="1" customHeight="1" outlineLevel="1">
      <c r="A57" s="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77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1.25" hidden="1" customHeight="1" outlineLevel="1">
      <c r="A58" s="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77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1.25" hidden="1" customHeight="1" outlineLevel="1">
      <c r="A59" s="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77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1.25" hidden="1" customHeight="1" outlineLevel="1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77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1.25" hidden="1" customHeight="1" outlineLevel="1">
      <c r="A61" s="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77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11.25" hidden="1" customHeight="1" outlineLevel="1">
      <c r="A62" s="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77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1.25" hidden="1" customHeight="1" outlineLevel="1">
      <c r="A63" s="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77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1.25" hidden="1" customHeight="1" outlineLevel="1">
      <c r="A64" s="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77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1.25" hidden="1" customHeight="1" outlineLevel="1">
      <c r="A65" s="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77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1.25" hidden="1" customHeight="1" outlineLevel="1">
      <c r="A66" s="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77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1.25" hidden="1" customHeight="1" outlineLevel="1">
      <c r="A67" s="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77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1.25" hidden="1" customHeight="1" outlineLevel="1">
      <c r="A68" s="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77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1.25" hidden="1" customHeight="1" outlineLevel="1">
      <c r="A69" s="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77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1.25" hidden="1" customHeight="1" outlineLevel="1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77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1.25" hidden="1" customHeight="1" outlineLevel="1">
      <c r="A71" s="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77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1.25" hidden="1" customHeight="1" outlineLevel="1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77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1.25" customHeight="1" collapsed="1">
      <c r="A73" s="184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6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</row>
    <row r="74" ht="11.25" hidden="1" customHeight="1" outlineLevel="1">
      <c r="A74" s="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77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1.25" hidden="1" customHeight="1" outlineLevel="1">
      <c r="A75" s="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77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1.25" hidden="1" customHeight="1" outlineLevel="1">
      <c r="A76" s="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77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1.25" hidden="1" customHeight="1" outlineLevel="1">
      <c r="A77" s="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77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1.25" hidden="1" customHeight="1" outlineLevel="1">
      <c r="A78" s="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77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1.25" hidden="1" customHeight="1" outlineLevel="1">
      <c r="A79" s="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77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1.25" hidden="1" customHeight="1" outlineLevel="1">
      <c r="A80" s="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77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1.25" hidden="1" customHeight="1" outlineLevel="1">
      <c r="A81" s="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77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1.25" hidden="1" customHeight="1" outlineLevel="1">
      <c r="A82" s="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77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1.25" hidden="1" customHeight="1" outlineLevel="1">
      <c r="A83" s="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77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1.25" hidden="1" customHeight="1" outlineLevel="1">
      <c r="A84" s="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77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1.25" hidden="1" customHeight="1" outlineLevel="1">
      <c r="A85" s="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77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1.25" hidden="1" customHeight="1" outlineLevel="1">
      <c r="A86" s="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77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1.25" hidden="1" customHeight="1" outlineLevel="1">
      <c r="A87" s="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77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1.25" hidden="1" customHeight="1" outlineLevel="1">
      <c r="A88" s="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77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1.25" hidden="1" customHeight="1" outlineLevel="1">
      <c r="A89" s="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77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1.25" hidden="1" customHeight="1" outlineLevel="1">
      <c r="A90" s="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77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1.25" hidden="1" customHeight="1" outlineLevel="1">
      <c r="A91" s="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77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1.25" hidden="1" customHeight="1" outlineLevel="1">
      <c r="A92" s="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77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1.25" hidden="1" customHeight="1" outlineLevel="1">
      <c r="A93" s="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77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1.25" hidden="1" customHeight="1" outlineLevel="1">
      <c r="A94" s="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77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1.25" hidden="1" customHeight="1" outlineLevel="1">
      <c r="A95" s="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77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1.25" hidden="1" customHeight="1" outlineLevel="1">
      <c r="A96" s="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77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1.25" hidden="1" customHeight="1" outlineLevel="1">
      <c r="A97" s="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77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1.25" hidden="1" customHeight="1" outlineLevel="1">
      <c r="A98" s="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77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1.25" hidden="1" customHeight="1" outlineLevel="1">
      <c r="A99" s="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77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1.25" hidden="1" customHeight="1" outlineLevel="1">
      <c r="A100" s="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77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1.25" hidden="1" customHeight="1" outlineLevel="1">
      <c r="A101" s="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77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1.25" hidden="1" customHeight="1" outlineLevel="1">
      <c r="A102" s="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77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1.25" hidden="1" customHeight="1" outlineLevel="1">
      <c r="A103" s="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77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1.25" hidden="1" customHeight="1" outlineLevel="1">
      <c r="A104" s="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77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1.25" hidden="1" customHeight="1" outlineLevel="1">
      <c r="A105" s="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77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1.25" hidden="1" customHeight="1" outlineLevel="1">
      <c r="A106" s="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77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1.25" hidden="1" customHeight="1" outlineLevel="1">
      <c r="A107" s="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77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1.25" hidden="1" customHeight="1" outlineLevel="1">
      <c r="A108" s="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77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1.25" hidden="1" customHeight="1" outlineLevel="1">
      <c r="A109" s="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77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1.25" hidden="1" customHeight="1" outlineLevel="1">
      <c r="A110" s="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77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1.25" hidden="1" customHeight="1" outlineLevel="1">
      <c r="A111" s="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77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1.25" hidden="1" customHeight="1" outlineLevel="1">
      <c r="A112" s="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77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1.25" customHeight="1" collapsed="1">
      <c r="A113" s="4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181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1.25" customHeight="1">
      <c r="A114" s="184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6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</row>
    <row r="115" ht="11.25" hidden="1" customHeight="1" outlineLevel="1">
      <c r="A115" s="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77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1.25" hidden="1" customHeight="1" outlineLevel="1">
      <c r="A116" s="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77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1.25" hidden="1" customHeight="1" outlineLevel="1">
      <c r="A117" s="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77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1.25" hidden="1" customHeight="1" outlineLevel="1">
      <c r="A118" s="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77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1.25" hidden="1" customHeight="1" outlineLevel="1">
      <c r="A119" s="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77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1.25" hidden="1" customHeight="1" outlineLevel="1">
      <c r="A120" s="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77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1.25" hidden="1" customHeight="1" outlineLevel="1">
      <c r="A121" s="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77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1.25" hidden="1" customHeight="1" outlineLevel="1">
      <c r="A122" s="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77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1.25" hidden="1" customHeight="1" outlineLevel="1">
      <c r="A123" s="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77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1.25" hidden="1" customHeight="1" outlineLevel="1">
      <c r="A124" s="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77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1.25" hidden="1" customHeight="1" outlineLevel="1">
      <c r="A125" s="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77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1.25" customHeight="1" collapsed="1">
      <c r="A126" s="184"/>
      <c r="B126" s="185"/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6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</row>
    <row r="127" ht="11.25" hidden="1" customHeight="1" outlineLevel="1">
      <c r="A127" s="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77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1.25" hidden="1" customHeight="1" outlineLevel="1">
      <c r="A128" s="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77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1.25" customHeight="1" collapsed="1">
      <c r="A129" s="4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181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1.25" hidden="1" customHeight="1" outlineLevel="1">
      <c r="A130" s="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77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1.25" customHeight="1" collapsed="1">
      <c r="A131" s="4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181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1.25" hidden="1" customHeight="1" outlineLevel="1">
      <c r="A132" s="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77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1.25" customHeight="1" collapsed="1">
      <c r="A133" s="4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81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1.25" customHeight="1">
      <c r="A134" s="184"/>
      <c r="B134" s="185"/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6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</row>
    <row r="135" ht="11.25" customHeight="1">
      <c r="A135" s="9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74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ht="11.25" hidden="1" customHeight="1" outlineLevel="1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77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1.25" hidden="1" customHeight="1" outlineLevel="1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77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1.25" hidden="1" customHeight="1" outlineLevel="1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77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1.25" hidden="1" customHeight="1" outlineLevel="1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77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1.25" hidden="1" customHeight="1" outlineLevel="1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77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1.25" hidden="1" customHeight="1" outlineLevel="1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77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1.25" hidden="1" customHeight="1" outlineLevel="1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77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1.25" hidden="1" customHeight="1" outlineLevel="1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77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1.25" hidden="1" customHeight="1" outlineLevel="1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77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1.25" hidden="1" customHeight="1" outlineLevel="1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77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1.25" hidden="1" customHeight="1" outlineLevel="1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77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1.25" hidden="1" customHeight="1" outlineLevel="1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77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1.25" hidden="1" customHeight="1" outlineLevel="1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77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1.25" hidden="1" customHeight="1" outlineLevel="1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77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1.25" hidden="1" customHeight="1" outlineLevel="1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77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1.25" hidden="1" customHeight="1" outlineLevel="1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77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1.25" customHeight="1" collapsed="1">
      <c r="A152" s="9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74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ht="11.25" hidden="1" customHeight="1" outlineLevel="1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77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1.25" hidden="1" customHeight="1" outlineLevel="1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77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1.25" hidden="1" customHeight="1" outlineLevel="1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77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1.25" hidden="1" customHeight="1" outlineLevel="1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77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1.25" hidden="1" customHeight="1" outlineLevel="1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77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1.25" hidden="1" customHeight="1" outlineLevel="1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77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1.25" hidden="1" customHeight="1" outlineLevel="1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77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1.25" customHeight="1" collapsed="1">
      <c r="A160" s="184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6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</row>
    <row r="161" ht="11.25" customHeight="1">
      <c r="A161" s="19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74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ht="11.25" hidden="1" customHeight="1" outlineLevel="1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77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1.25" hidden="1" customHeight="1" outlineLevel="1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77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1.25" hidden="1" customHeight="1" outlineLevel="1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77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1.25" hidden="1" customHeight="1" outlineLevel="1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77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1.25" hidden="1" customHeight="1" outlineLevel="1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77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1.25" hidden="1" customHeight="1" outlineLevel="1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77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1.25" hidden="1" customHeight="1" outlineLevel="1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77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1.25" hidden="1" customHeight="1" outlineLevel="1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77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1.25" hidden="1" customHeight="1" outlineLevel="1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77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1.25" hidden="1" customHeight="1" outlineLevel="1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77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1.25" hidden="1" customHeight="1" outlineLevel="1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77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1.25" hidden="1" customHeight="1" outlineLevel="1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77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1.25" hidden="1" customHeight="1" outlineLevel="1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77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1.25" hidden="1" customHeight="1" outlineLevel="1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77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1.25" hidden="1" customHeight="1" outlineLevel="1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77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1.25" hidden="1" customHeight="1" outlineLevel="1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77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1.25" hidden="1" customHeight="1" outlineLevel="1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77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1.25" hidden="1" customHeight="1" outlineLevel="1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77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1.25" hidden="1" customHeight="1" outlineLevel="1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77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1.25" hidden="1" customHeight="1" outlineLevel="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77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1.25" hidden="1" customHeight="1" outlineLevel="1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77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1.25" hidden="1" customHeight="1" outlineLevel="1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77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1.25" hidden="1" customHeight="1" outlineLevel="1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77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1.25" hidden="1" customHeight="1" outlineLevel="1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77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1.25" hidden="1" customHeight="1" outlineLevel="1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77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1.25" hidden="1" customHeight="1" outlineLevel="1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77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1.25" hidden="1" customHeight="1" outlineLevel="1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77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1.25" hidden="1" customHeight="1" outlineLevel="1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77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1.25" hidden="1" customHeight="1" outlineLevel="1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77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1.25" hidden="1" customHeight="1" outlineLevel="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77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1.25" hidden="1" customHeight="1" outlineLevel="1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77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1.25" hidden="1" customHeight="1" outlineLevel="1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77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1.25" hidden="1" customHeight="1" outlineLevel="1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77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1.25" hidden="1" customHeight="1" outlineLevel="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77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1.25" hidden="1" customHeight="1" outlineLevel="1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77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1.25" hidden="1" customHeight="1" outlineLevel="1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77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1.25" hidden="1" customHeight="1" outlineLevel="1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77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1.25" hidden="1" customHeight="1" outlineLevel="1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77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1.25" hidden="1" customHeight="1" outlineLevel="1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77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1.25" hidden="1" customHeight="1" outlineLevel="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77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1.25" hidden="1" customHeight="1" outlineLevel="1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77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1.25" hidden="1" customHeight="1" outlineLevel="1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77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1.25" hidden="1" customHeight="1" outlineLevel="1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77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1.25" hidden="1" customHeight="1" outlineLevel="1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77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1.25" hidden="1" customHeight="1" outlineLevel="1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77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1.25" hidden="1" customHeight="1" outlineLevel="1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77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1.25" hidden="1" customHeight="1" outlineLevel="1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77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1.25" hidden="1" customHeight="1" outlineLevel="1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77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1.25" hidden="1" customHeight="1" outlineLevel="1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77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1.25" hidden="1" customHeight="1" outlineLevel="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77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1.25" hidden="1" customHeight="1" outlineLevel="1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77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1.25" hidden="1" customHeight="1" outlineLevel="1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77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1.25" hidden="1" customHeight="1" outlineLevel="1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77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1.25" hidden="1" customHeight="1" outlineLevel="1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77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1.25" hidden="1" customHeight="1" outlineLevel="1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77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1.25" hidden="1" customHeight="1" outlineLevel="1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77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1.25" hidden="1" customHeight="1" outlineLevel="1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77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1.25" hidden="1" customHeight="1" outlineLevel="1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77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1.25" hidden="1" customHeight="1" outlineLevel="1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77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1.25" hidden="1" customHeight="1" outlineLevel="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77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1.25" hidden="1" customHeight="1" outlineLevel="1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77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1.25" hidden="1" customHeight="1" outlineLevel="1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77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1.25" hidden="1" customHeight="1" outlineLevel="1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77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1.25" hidden="1" customHeight="1" outlineLevel="1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77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1.25" hidden="1" customHeight="1" outlineLevel="1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77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1.25" hidden="1" customHeight="1" outlineLevel="1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77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1.25" hidden="1" customHeight="1" outlineLevel="1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77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1.25" hidden="1" customHeight="1" outlineLevel="1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77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1.25" hidden="1" customHeight="1" outlineLevel="1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77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1.25" hidden="1" customHeight="1" outlineLevel="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77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1.25" hidden="1" customHeight="1" outlineLevel="1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77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1.25" hidden="1" customHeight="1" outlineLevel="1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77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1.25" hidden="1" customHeight="1" outlineLevel="1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77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1.25" hidden="1" customHeight="1" outlineLevel="1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77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1.25" hidden="1" customHeight="1" outlineLevel="1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77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1.25" hidden="1" customHeight="1" outlineLevel="1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77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1.25" customHeight="1" collapsed="1">
      <c r="A238" s="9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74"/>
      <c r="P238" s="10"/>
      <c r="Q238" s="10"/>
      <c r="R238" s="12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ht="11.25" hidden="1" customHeight="1" outlineLevel="1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77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1.25" hidden="1" customHeight="1" outlineLevel="1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77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1.25" hidden="1" customHeight="1" outlineLevel="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77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1.25" customHeight="1" collapsed="1">
      <c r="A242" s="184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6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</row>
    <row r="243" ht="11.25" customHeight="1">
      <c r="A243" s="9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74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ht="11.25" hidden="1" customHeight="1" outlineLevel="1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77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1.25" hidden="1" customHeight="1" outlineLevel="1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77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1.25" hidden="1" customHeight="1" outlineLevel="1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77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1.25" hidden="1" customHeight="1" outlineLevel="1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77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1.25" hidden="1" customHeight="1" outlineLevel="1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77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1.25" hidden="1" customHeight="1" outlineLevel="1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77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ht="11.25" hidden="1" customHeight="1" outlineLevel="1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77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11.25" hidden="1" customHeight="1" outlineLevel="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77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ht="11.25" hidden="1" customHeight="1" outlineLevel="1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77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ht="11.25" hidden="1" customHeight="1" outlineLevel="1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77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11.25" hidden="1" customHeight="1" outlineLevel="1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77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ht="11.25" hidden="1" customHeight="1" outlineLevel="1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77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11.25" hidden="1" customHeight="1" outlineLevel="1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77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11.25" hidden="1" customHeight="1" outlineLevel="1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77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ht="11.25" hidden="1" customHeight="1" outlineLevel="1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77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11.25" hidden="1" customHeight="1" outlineLevel="1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77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ht="11.25" hidden="1" customHeight="1" outlineLevel="1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77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ht="11.25" hidden="1" customHeight="1" outlineLevel="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77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ht="11.25" hidden="1" customHeight="1" outlineLevel="1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77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ht="11.25" hidden="1" customHeight="1" outlineLevel="1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77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ht="11.25" hidden="1" customHeight="1" outlineLevel="1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77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ht="11.25" hidden="1" customHeight="1" outlineLevel="1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77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11.25" hidden="1" customHeight="1" outlineLevel="1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77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11.25" hidden="1" customHeight="1" outlineLevel="1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77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ht="11.25" hidden="1" customHeight="1" outlineLevel="1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77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11.25" customHeight="1" collapsed="1">
      <c r="A269" s="9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74"/>
      <c r="P269" s="10"/>
      <c r="Q269" s="12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ht="11.25" hidden="1" customHeight="1" outlineLevel="1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77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ht="11.25" hidden="1" customHeight="1" outlineLevel="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77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ht="11.25" hidden="1" customHeight="1" outlineLevel="1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77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ht="11.25" customHeight="1" collapsed="1">
      <c r="A273" s="184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6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</row>
    <row r="274" ht="11.25" customHeight="1">
      <c r="A274" s="9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2"/>
      <c r="O274" s="174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2"/>
    </row>
    <row r="275" ht="11.25" hidden="1" customHeight="1" outlineLevel="1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77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ht="11.25" hidden="1" customHeight="1" outlineLevel="1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77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ht="11.25" hidden="1" customHeight="1" outlineLevel="1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77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ht="11.25" hidden="1" customHeight="1" outlineLevel="1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77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11.25" customHeight="1" collapsed="1">
      <c r="A279" s="9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74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2"/>
    </row>
    <row r="280" ht="11.25" hidden="1" customHeight="1" outlineLevel="1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77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11.25" hidden="1" customHeight="1" outlineLevel="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77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11.25" hidden="1" customHeight="1" outlineLevel="1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77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11.25" customHeight="1" collapsed="1">
      <c r="A283" s="9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74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ht="11.25" hidden="1" customHeight="1" outlineLevel="1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77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11.25" hidden="1" customHeight="1" outlineLevel="1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77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11.25" customHeight="1" collapsed="1">
      <c r="A286" s="4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191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1.25" customHeight="1">
      <c r="A287" s="184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6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</row>
    <row r="288" ht="11.25" hidden="1" customHeight="1" outlineLevel="1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77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11.25" hidden="1" customHeight="1" outlineLevel="1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77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11.25" hidden="1" customHeight="1" outlineLevel="1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77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11.25" hidden="1" customHeight="1" outlineLevel="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77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11.25" hidden="1" customHeight="1" outlineLevel="1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77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11.25" hidden="1" customHeight="1" outlineLevel="1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77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11.25" hidden="1" customHeight="1" outlineLevel="1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77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11.25" hidden="1" customHeight="1" outlineLevel="1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77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11.25" customHeight="1" collapsed="1">
      <c r="A296" s="192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4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  <c r="AA296" s="193"/>
      <c r="AB296" s="193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74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195"/>
    </row>
    <row r="298" ht="11.25" customHeight="1">
      <c r="A298" s="196" t="s">
        <v>149</v>
      </c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8"/>
      <c r="P298" s="199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200"/>
    </row>
    <row r="299" ht="11.25" customHeight="1">
      <c r="A299" s="4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181"/>
      <c r="P299" s="201"/>
      <c r="Q299" s="202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1.25" hidden="1" customHeight="1" outlineLevel="1">
      <c r="A300" s="2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2"/>
      <c r="O300" s="177"/>
      <c r="P300" s="203"/>
      <c r="Q300" s="78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1.25" hidden="1" customHeight="1" outlineLevel="1">
      <c r="A301" s="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77"/>
      <c r="P301" s="203"/>
      <c r="Q301" s="78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1.25" hidden="1" customHeight="1" outlineLevel="1">
      <c r="A302" s="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77"/>
      <c r="P302" s="203"/>
      <c r="Q302" s="78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1.25" customHeight="1" collapsed="1">
      <c r="A303" s="4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181"/>
      <c r="P303" s="203"/>
      <c r="Q303" s="202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1.25" customHeight="1">
      <c r="A304" s="184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6"/>
      <c r="P304" s="203"/>
      <c r="Q304" s="204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</row>
    <row r="305" ht="11.25" customHeight="1">
      <c r="A305" s="9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74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1.25" hidden="1" customHeight="1" outlineLevel="1">
      <c r="A306" s="2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2"/>
      <c r="O306" s="177"/>
      <c r="P306" s="203"/>
      <c r="Q306" s="78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1.25" hidden="1" customHeight="1" outlineLevel="1">
      <c r="A307" s="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77"/>
      <c r="P307" s="203"/>
      <c r="Q307" s="78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1.25" hidden="1" customHeight="1" outlineLevel="1">
      <c r="A308" s="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77"/>
      <c r="P308" s="203"/>
      <c r="Q308" s="78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1.25" hidden="1" customHeight="1" outlineLevel="1">
      <c r="A309" s="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77"/>
      <c r="P309" s="203"/>
      <c r="Q309" s="78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1.25" hidden="1" customHeight="1" outlineLevel="1">
      <c r="A310" s="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77"/>
      <c r="P310" s="203"/>
      <c r="Q310" s="78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1.25" customHeight="1" collapsed="1">
      <c r="A311" s="9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49"/>
      <c r="O311" s="174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1.25" hidden="1" customHeight="1" outlineLevel="1">
      <c r="A312" s="2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2"/>
      <c r="O312" s="177"/>
      <c r="P312" s="203"/>
      <c r="Q312" s="78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1.25" hidden="1" customHeight="1" outlineLevel="1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77"/>
      <c r="P313" s="203"/>
      <c r="Q313" s="78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1.25" hidden="1" customHeight="1" outlineLevel="1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77"/>
      <c r="P314" s="203"/>
      <c r="Q314" s="78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1.25" hidden="1" customHeight="1" outlineLevel="1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77"/>
      <c r="P315" s="203"/>
      <c r="Q315" s="78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1.25" hidden="1" customHeight="1" outlineLevel="1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77"/>
      <c r="P316" s="203"/>
      <c r="Q316" s="78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1.25" hidden="1" customHeight="1" outlineLevel="1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77"/>
      <c r="P317" s="203"/>
      <c r="Q317" s="78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1.25" customHeight="1" collapsed="1">
      <c r="A318" s="9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74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1.25" hidden="1" customHeight="1" outlineLevel="1">
      <c r="A319" s="2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2"/>
      <c r="O319" s="177"/>
      <c r="P319" s="203"/>
      <c r="Q319" s="78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1.25" hidden="1" customHeight="1" outlineLevel="1">
      <c r="A320" s="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77"/>
      <c r="P320" s="203"/>
      <c r="Q320" s="78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1.25" hidden="1" customHeight="1" outlineLevel="1">
      <c r="A321" s="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77"/>
      <c r="P321" s="203"/>
      <c r="Q321" s="78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1.25" customHeight="1" collapsed="1">
      <c r="A322" s="184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6"/>
      <c r="P322" s="203"/>
      <c r="Q322" s="204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</row>
    <row r="323" ht="11.25" hidden="1" customHeight="1" outlineLevel="1">
      <c r="A323" s="2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2"/>
      <c r="O323" s="177"/>
      <c r="P323" s="203"/>
      <c r="Q323" s="78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1.25" hidden="1" customHeight="1" outlineLevel="1">
      <c r="A324" s="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77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1.25" hidden="1" customHeight="1" outlineLevel="1">
      <c r="A325" s="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77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1.25" customHeight="1" collapsed="1">
      <c r="A326" s="4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181"/>
      <c r="P326" s="201"/>
      <c r="Q326" s="202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1.25" customHeight="1">
      <c r="A327" s="184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6"/>
      <c r="P327" s="203"/>
      <c r="Q327" s="204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</row>
    <row r="328" ht="11.25" hidden="1" customHeight="1" outlineLevel="1">
      <c r="A328" s="2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2"/>
      <c r="O328" s="177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1.25" customHeight="1" collapsed="1">
      <c r="A329" s="4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181"/>
      <c r="P329" s="201"/>
      <c r="Q329" s="202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1.25" customHeight="1">
      <c r="A330" s="184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6"/>
      <c r="P330" s="203"/>
      <c r="Q330" s="204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</row>
    <row r="331" ht="11.25" customHeight="1">
      <c r="A331" s="9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74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1.25" hidden="1" customHeight="1" outlineLevel="1">
      <c r="A332" s="2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2"/>
      <c r="O332" s="177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1.25" hidden="1" customHeight="1" outlineLevel="1">
      <c r="A333" s="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77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1.25" customHeight="1" collapsed="1">
      <c r="A334" s="9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74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1.25" hidden="1" customHeight="1" outlineLevel="1">
      <c r="A335" s="2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2"/>
      <c r="O335" s="177"/>
      <c r="P335" s="203"/>
      <c r="Q335" s="78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1.25" hidden="1" customHeight="1" outlineLevel="1">
      <c r="A336" s="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77"/>
      <c r="P336" s="203"/>
      <c r="Q336" s="78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1.25" hidden="1" customHeight="1" outlineLevel="1">
      <c r="A337" s="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77"/>
      <c r="P337" s="203"/>
      <c r="Q337" s="78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1.25" hidden="1" customHeight="1" outlineLevel="1">
      <c r="A338" s="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77"/>
      <c r="P338" s="203"/>
      <c r="Q338" s="78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1.25" hidden="1" customHeight="1" outlineLevel="1">
      <c r="A339" s="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77"/>
      <c r="P339" s="203"/>
      <c r="Q339" s="78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1.25" hidden="1" customHeight="1" outlineLevel="1">
      <c r="A340" s="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77"/>
      <c r="P340" s="203"/>
      <c r="Q340" s="78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1.25" hidden="1" customHeight="1" outlineLevel="1">
      <c r="A341" s="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77"/>
      <c r="P341" s="203"/>
      <c r="Q341" s="78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1.25" hidden="1" customHeight="1" outlineLevel="1">
      <c r="A342" s="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77"/>
      <c r="P342" s="203"/>
      <c r="Q342" s="78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1.25" hidden="1" customHeight="1" outlineLevel="1">
      <c r="A343" s="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77"/>
      <c r="P343" s="203"/>
      <c r="Q343" s="78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1.25" hidden="1" customHeight="1" outlineLevel="1">
      <c r="A344" s="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77"/>
      <c r="P344" s="203"/>
      <c r="Q344" s="78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1.25" hidden="1" customHeight="1" outlineLevel="1">
      <c r="A345" s="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77"/>
      <c r="P345" s="203"/>
      <c r="Q345" s="78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1.25" hidden="1" customHeight="1" outlineLevel="1">
      <c r="A346" s="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77"/>
      <c r="P346" s="203"/>
      <c r="Q346" s="78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1.25" hidden="1" customHeight="1" outlineLevel="1">
      <c r="A347" s="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77"/>
      <c r="P347" s="203"/>
      <c r="Q347" s="78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1.25" hidden="1" customHeight="1" outlineLevel="1">
      <c r="A348" s="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77"/>
      <c r="P348" s="203"/>
      <c r="Q348" s="78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1.25" hidden="1" customHeight="1" outlineLevel="1">
      <c r="A349" s="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77"/>
      <c r="P349" s="203"/>
      <c r="Q349" s="78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1.25" hidden="1" customHeight="1" outlineLevel="1">
      <c r="A350" s="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77"/>
      <c r="P350" s="203"/>
      <c r="Q350" s="78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1.25" hidden="1" customHeight="1" outlineLevel="1">
      <c r="A351" s="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77"/>
      <c r="P351" s="203"/>
      <c r="Q351" s="78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1.25" hidden="1" customHeight="1" outlineLevel="1">
      <c r="A352" s="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77"/>
      <c r="P352" s="203"/>
      <c r="Q352" s="78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1.25" hidden="1" customHeight="1" outlineLevel="1">
      <c r="A353" s="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77"/>
      <c r="P353" s="203"/>
      <c r="Q353" s="78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1.25" hidden="1" customHeight="1" outlineLevel="1">
      <c r="A354" s="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77"/>
      <c r="P354" s="203"/>
      <c r="Q354" s="78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1.25" customHeight="1" collapsed="1">
      <c r="A355" s="184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6"/>
      <c r="P355" s="203"/>
      <c r="Q355" s="204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</row>
    <row r="356" ht="11.25" hidden="1" customHeight="1" outlineLevel="1">
      <c r="A356" s="2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205"/>
      <c r="O356" s="177"/>
      <c r="P356" s="203"/>
      <c r="Q356" s="78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1.25" hidden="1" customHeight="1" outlineLevel="1">
      <c r="A357" s="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77"/>
      <c r="P357" s="203"/>
      <c r="Q357" s="78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1.25" hidden="1" customHeight="1" outlineLevel="1">
      <c r="A358" s="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77"/>
      <c r="P358" s="203"/>
      <c r="Q358" s="78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1.25" hidden="1" customHeight="1" outlineLevel="1">
      <c r="A359" s="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77"/>
      <c r="P359" s="203"/>
      <c r="Q359" s="78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1.25" hidden="1" customHeight="1" outlineLevel="1">
      <c r="A360" s="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77"/>
      <c r="P360" s="203"/>
      <c r="Q360" s="78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1.25" hidden="1" customHeight="1" outlineLevel="1">
      <c r="A361" s="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77"/>
      <c r="P361" s="203"/>
      <c r="Q361" s="78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1.25" hidden="1" customHeight="1" outlineLevel="1">
      <c r="A362" s="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77"/>
      <c r="P362" s="203"/>
      <c r="Q362" s="78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1.25" hidden="1" customHeight="1" outlineLevel="1">
      <c r="A363" s="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77"/>
      <c r="P363" s="203"/>
      <c r="Q363" s="78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1.25" hidden="1" customHeight="1" outlineLevel="1">
      <c r="A364" s="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77"/>
      <c r="P364" s="203"/>
      <c r="Q364" s="78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1.25" hidden="1" customHeight="1" outlineLevel="1">
      <c r="A365" s="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77"/>
      <c r="P365" s="203"/>
      <c r="Q365" s="78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1.25" hidden="1" customHeight="1" outlineLevel="1">
      <c r="A366" s="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77"/>
      <c r="P366" s="203"/>
      <c r="Q366" s="78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1.25" customHeight="1" collapsed="1">
      <c r="A367" s="4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181"/>
      <c r="P367" s="201"/>
      <c r="Q367" s="202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1.25" customHeight="1">
      <c r="A368" s="184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6"/>
      <c r="P368" s="203"/>
      <c r="Q368" s="204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</row>
    <row r="369" ht="11.25" hidden="1" customHeight="1" outlineLevel="1">
      <c r="A369" s="11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2"/>
      <c r="O369" s="177"/>
      <c r="P369" s="203"/>
      <c r="Q369" s="78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1.25" hidden="1" customHeight="1" outlineLevel="1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77"/>
      <c r="P370" s="203"/>
      <c r="Q370" s="78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1.25" hidden="1" customHeight="1" outlineLevel="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77"/>
      <c r="P371" s="203"/>
      <c r="Q371" s="78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1.25" hidden="1" customHeight="1" outlineLevel="1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77"/>
      <c r="P372" s="203"/>
      <c r="Q372" s="78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1.25" hidden="1" customHeight="1" outlineLevel="1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77"/>
      <c r="P373" s="203"/>
      <c r="Q373" s="78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1.25" hidden="1" customHeight="1" outlineLevel="1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77"/>
      <c r="P374" s="203"/>
      <c r="Q374" s="78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1.25" hidden="1" customHeight="1" outlineLevel="1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77"/>
      <c r="P375" s="203"/>
      <c r="Q375" s="78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1.25" hidden="1" customHeight="1" outlineLevel="1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77"/>
      <c r="P376" s="203"/>
      <c r="Q376" s="78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1.25" hidden="1" customHeight="1" outlineLevel="1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77"/>
      <c r="P377" s="203"/>
      <c r="Q377" s="78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1.25" hidden="1" customHeight="1" outlineLevel="1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77"/>
      <c r="P378" s="203"/>
      <c r="Q378" s="78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1.25" hidden="1" customHeight="1" outlineLevel="1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77"/>
      <c r="P379" s="203"/>
      <c r="Q379" s="78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1.25" hidden="1" customHeight="1" outlineLevel="1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77"/>
      <c r="P380" s="203"/>
      <c r="Q380" s="78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1.25" customHeight="1" collapsed="1">
      <c r="A381" s="184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6"/>
      <c r="P381" s="203"/>
      <c r="Q381" s="204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</row>
    <row r="382" ht="11.25" hidden="1" customHeight="1" outlineLevel="1">
      <c r="A382" s="11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2"/>
      <c r="O382" s="177"/>
      <c r="P382" s="203"/>
      <c r="Q382" s="78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1.25" hidden="1" customHeight="1" outlineLevel="1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77"/>
      <c r="P383" s="203"/>
      <c r="Q383" s="78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1.25" hidden="1" customHeight="1" outlineLevel="1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77"/>
      <c r="P384" s="203"/>
      <c r="Q384" s="78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1.25" customHeight="1" collapsed="1">
      <c r="A385" s="4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181"/>
      <c r="P385" s="201"/>
      <c r="Q385" s="202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1.25" hidden="1" customHeight="1" outlineLevel="1">
      <c r="A386" s="11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2"/>
      <c r="O386" s="177"/>
      <c r="P386" s="203"/>
      <c r="Q386" s="78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1.25" hidden="1" customHeight="1" outlineLevel="1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77"/>
      <c r="P387" s="203"/>
      <c r="Q387" s="78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1.25" customHeight="1" collapsed="1">
      <c r="A388" s="4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181"/>
      <c r="P388" s="201"/>
      <c r="Q388" s="202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1.25" hidden="1" customHeight="1" outlineLevel="1">
      <c r="A389" s="11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2"/>
      <c r="O389" s="177"/>
      <c r="P389" s="203"/>
      <c r="Q389" s="78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1.25" hidden="1" customHeight="1" outlineLevel="1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77"/>
      <c r="P390" s="203"/>
      <c r="Q390" s="78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1.25" customHeight="1" collapsed="1">
      <c r="A391" s="4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181"/>
      <c r="P391" s="201"/>
      <c r="Q391" s="202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1.25" customHeight="1">
      <c r="A392" s="184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6"/>
      <c r="P392" s="203"/>
      <c r="Q392" s="204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</row>
    <row r="393" ht="11.25" customHeight="1">
      <c r="A393" s="9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74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1.25" hidden="1" customHeight="1" outlineLevel="1">
      <c r="A394" s="11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2"/>
      <c r="O394" s="177"/>
      <c r="P394" s="203"/>
      <c r="Q394" s="78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1.25" hidden="1" customHeight="1" outlineLevel="1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77"/>
      <c r="P395" s="203"/>
      <c r="Q395" s="78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1.25" hidden="1" customHeight="1" outlineLevel="1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77"/>
      <c r="P396" s="203"/>
      <c r="Q396" s="78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1.25" hidden="1" customHeight="1" outlineLevel="1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77"/>
      <c r="P397" s="203"/>
      <c r="Q397" s="78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1.25" hidden="1" customHeight="1" outlineLevel="1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77"/>
      <c r="P398" s="203"/>
      <c r="Q398" s="78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1.25" hidden="1" customHeight="1" outlineLevel="1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77"/>
      <c r="P399" s="203"/>
      <c r="Q399" s="78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1.25" hidden="1" customHeight="1" outlineLevel="1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77"/>
      <c r="P400" s="203"/>
      <c r="Q400" s="78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1.25" hidden="1" customHeight="1" outlineLevel="1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77"/>
      <c r="P401" s="203"/>
      <c r="Q401" s="78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1.25" hidden="1" customHeight="1" outlineLevel="1">
      <c r="A402" s="11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77"/>
      <c r="P402" s="203"/>
      <c r="Q402" s="78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1.25" hidden="1" customHeight="1" outlineLevel="1">
      <c r="A403" s="11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77"/>
      <c r="P403" s="203"/>
      <c r="Q403" s="78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1.25" hidden="1" customHeight="1" outlineLevel="1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77"/>
      <c r="P404" s="203"/>
      <c r="Q404" s="78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1.25" hidden="1" customHeight="1" outlineLevel="1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77"/>
      <c r="P405" s="203"/>
      <c r="Q405" s="78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1.25" hidden="1" customHeight="1" outlineLevel="1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77"/>
      <c r="P406" s="203"/>
      <c r="Q406" s="78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1.25" hidden="1" customHeight="1" outlineLevel="1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77"/>
      <c r="P407" s="203"/>
      <c r="Q407" s="78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1.25" hidden="1" customHeight="1" outlineLevel="1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77"/>
      <c r="P408" s="203"/>
      <c r="Q408" s="78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1.25" hidden="1" customHeight="1" outlineLevel="1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77"/>
      <c r="P409" s="203"/>
      <c r="Q409" s="78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1.25" hidden="1" customHeight="1" outlineLevel="1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77"/>
      <c r="P410" s="203"/>
      <c r="Q410" s="78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1.25" customHeight="1" collapsed="1">
      <c r="A411" s="9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74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1.25" hidden="1" customHeight="1" outlineLevel="1">
      <c r="A412" s="11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2"/>
      <c r="O412" s="177"/>
      <c r="P412" s="203"/>
      <c r="Q412" s="78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1.25" hidden="1" customHeight="1" outlineLevel="1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77"/>
      <c r="P413" s="203"/>
      <c r="Q413" s="78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1.25" hidden="1" customHeight="1" outlineLevel="1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77"/>
      <c r="P414" s="203"/>
      <c r="Q414" s="78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1.25" hidden="1" customHeight="1" outlineLevel="1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77"/>
      <c r="P415" s="203"/>
      <c r="Q415" s="78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1.25" hidden="1" customHeight="1" outlineLevel="1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77"/>
      <c r="P416" s="203"/>
      <c r="Q416" s="78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1.25" hidden="1" customHeight="1" outlineLevel="1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77"/>
      <c r="P417" s="203"/>
      <c r="Q417" s="78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1.25" hidden="1" customHeight="1" outlineLevel="1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77"/>
      <c r="P418" s="203"/>
      <c r="Q418" s="78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1.25" customHeight="1" collapsed="1">
      <c r="A419" s="184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6"/>
      <c r="P419" s="203"/>
      <c r="Q419" s="204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</row>
    <row r="420" ht="11.25" customHeight="1">
      <c r="A420" s="19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74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1.25" hidden="1" customHeight="1" outlineLevel="1">
      <c r="A421" s="11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2"/>
      <c r="O421" s="177"/>
      <c r="P421" s="203"/>
      <c r="Q421" s="78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1.25" hidden="1" customHeight="1" outlineLevel="1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77"/>
      <c r="P422" s="203"/>
      <c r="Q422" s="78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1.25" hidden="1" customHeight="1" outlineLevel="1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77"/>
      <c r="P423" s="203"/>
      <c r="Q423" s="78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1.25" hidden="1" customHeight="1" outlineLevel="1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77"/>
      <c r="P424" s="203"/>
      <c r="Q424" s="78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1.25" hidden="1" customHeight="1" outlineLevel="1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77"/>
      <c r="P425" s="203"/>
      <c r="Q425" s="78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1.25" hidden="1" customHeight="1" outlineLevel="1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77"/>
      <c r="P426" s="203"/>
      <c r="Q426" s="78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1.25" hidden="1" customHeight="1" outlineLevel="1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77"/>
      <c r="P427" s="203"/>
      <c r="Q427" s="78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1.25" hidden="1" customHeight="1" outlineLevel="1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77"/>
      <c r="P428" s="203"/>
      <c r="Q428" s="78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1.25" hidden="1" customHeight="1" outlineLevel="1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77"/>
      <c r="P429" s="203"/>
      <c r="Q429" s="78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1.25" hidden="1" customHeight="1" outlineLevel="1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77"/>
      <c r="P430" s="203"/>
      <c r="Q430" s="78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1.25" hidden="1" customHeight="1" outlineLevel="1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77"/>
      <c r="P431" s="203"/>
      <c r="Q431" s="78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1.25" hidden="1" customHeight="1" outlineLevel="1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77"/>
      <c r="P432" s="203"/>
      <c r="Q432" s="78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1.25" hidden="1" customHeight="1" outlineLevel="1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77"/>
      <c r="P433" s="203"/>
      <c r="Q433" s="78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1.25" hidden="1" customHeight="1" outlineLevel="1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77"/>
      <c r="P434" s="203"/>
      <c r="Q434" s="78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1.25" hidden="1" customHeight="1" outlineLevel="1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77"/>
      <c r="P435" s="203"/>
      <c r="Q435" s="78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1.25" hidden="1" customHeight="1" outlineLevel="1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77"/>
      <c r="P436" s="203"/>
      <c r="Q436" s="78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1.25" hidden="1" customHeight="1" outlineLevel="1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77"/>
      <c r="P437" s="203"/>
      <c r="Q437" s="78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1.25" hidden="1" customHeight="1" outlineLevel="1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77"/>
      <c r="P438" s="203"/>
      <c r="Q438" s="78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1.25" hidden="1" customHeight="1" outlineLevel="1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77"/>
      <c r="P439" s="203"/>
      <c r="Q439" s="78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1.25" hidden="1" customHeight="1" outlineLevel="1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77"/>
      <c r="P440" s="203"/>
      <c r="Q440" s="78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1.25" hidden="1" customHeight="1" outlineLevel="1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77"/>
      <c r="P441" s="203"/>
      <c r="Q441" s="78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1.25" hidden="1" customHeight="1" outlineLevel="1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77"/>
      <c r="P442" s="203"/>
      <c r="Q442" s="78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1.25" hidden="1" customHeight="1" outlineLevel="1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77"/>
      <c r="P443" s="203"/>
      <c r="Q443" s="78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1.25" hidden="1" customHeight="1" outlineLevel="1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77"/>
      <c r="P444" s="203"/>
      <c r="Q444" s="78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1.25" hidden="1" customHeight="1" outlineLevel="1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77"/>
      <c r="P445" s="203"/>
      <c r="Q445" s="78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1.25" hidden="1" customHeight="1" outlineLevel="1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77"/>
      <c r="P446" s="203"/>
      <c r="Q446" s="78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1.25" hidden="1" customHeight="1" outlineLevel="1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77"/>
      <c r="P447" s="203"/>
      <c r="Q447" s="78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1.25" hidden="1" customHeight="1" outlineLevel="1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77"/>
      <c r="P448" s="203"/>
      <c r="Q448" s="78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1.25" hidden="1" customHeight="1" outlineLevel="1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77"/>
      <c r="P449" s="203"/>
      <c r="Q449" s="78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1.25" hidden="1" customHeight="1" outlineLevel="1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77"/>
      <c r="P450" s="203"/>
      <c r="Q450" s="78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1.25" hidden="1" customHeight="1" outlineLevel="1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77"/>
      <c r="P451" s="203"/>
      <c r="Q451" s="78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1.25" hidden="1" customHeight="1" outlineLevel="1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77"/>
      <c r="P452" s="203"/>
      <c r="Q452" s="78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1.25" hidden="1" customHeight="1" outlineLevel="1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77"/>
      <c r="P453" s="203"/>
      <c r="Q453" s="78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1.25" hidden="1" customHeight="1" outlineLevel="1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77"/>
      <c r="P454" s="203"/>
      <c r="Q454" s="78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1.25" hidden="1" customHeight="1" outlineLevel="1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77"/>
      <c r="P455" s="203"/>
      <c r="Q455" s="78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1.25" hidden="1" customHeight="1" outlineLevel="1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77"/>
      <c r="P456" s="203"/>
      <c r="Q456" s="78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1.25" hidden="1" customHeight="1" outlineLevel="1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77"/>
      <c r="P457" s="203"/>
      <c r="Q457" s="78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1.25" hidden="1" customHeight="1" outlineLevel="1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77"/>
      <c r="P458" s="203"/>
      <c r="Q458" s="78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1.25" hidden="1" customHeight="1" outlineLevel="1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77"/>
      <c r="P459" s="203"/>
      <c r="Q459" s="78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1.25" hidden="1" customHeight="1" outlineLevel="1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77"/>
      <c r="P460" s="203"/>
      <c r="Q460" s="78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1.25" hidden="1" customHeight="1" outlineLevel="1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77"/>
      <c r="P461" s="203"/>
      <c r="Q461" s="78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1.25" hidden="1" customHeight="1" outlineLevel="1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77"/>
      <c r="P462" s="203"/>
      <c r="Q462" s="78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1.25" hidden="1" customHeight="1" outlineLevel="1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77"/>
      <c r="P463" s="203"/>
      <c r="Q463" s="78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1.25" hidden="1" customHeight="1" outlineLevel="1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77"/>
      <c r="P464" s="203"/>
      <c r="Q464" s="78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1.25" hidden="1" customHeight="1" outlineLevel="1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77"/>
      <c r="P465" s="203"/>
      <c r="Q465" s="78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1.25" hidden="1" customHeight="1" outlineLevel="1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77"/>
      <c r="P466" s="203"/>
      <c r="Q466" s="78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1.25" hidden="1" customHeight="1" outlineLevel="1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77"/>
      <c r="P467" s="203"/>
      <c r="Q467" s="78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1.25" hidden="1" customHeight="1" outlineLevel="1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77"/>
      <c r="P468" s="203"/>
      <c r="Q468" s="78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1.25" hidden="1" customHeight="1" outlineLevel="1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77"/>
      <c r="P469" s="203"/>
      <c r="Q469" s="78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1.25" hidden="1" customHeight="1" outlineLevel="1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77"/>
      <c r="P470" s="203"/>
      <c r="Q470" s="78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1.25" hidden="1" customHeight="1" outlineLevel="1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77"/>
      <c r="P471" s="203"/>
      <c r="Q471" s="78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1.25" hidden="1" customHeight="1" outlineLevel="1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77"/>
      <c r="P472" s="203"/>
      <c r="Q472" s="78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1.25" hidden="1" customHeight="1" outlineLevel="1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77"/>
      <c r="P473" s="203"/>
      <c r="Q473" s="78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1.25" hidden="1" customHeight="1" outlineLevel="1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77"/>
      <c r="P474" s="203"/>
      <c r="Q474" s="78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1.25" hidden="1" customHeight="1" outlineLevel="1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77"/>
      <c r="P475" s="203"/>
      <c r="Q475" s="78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1.25" hidden="1" customHeight="1" outlineLevel="1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77"/>
      <c r="P476" s="203"/>
      <c r="Q476" s="78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1.25" hidden="1" customHeight="1" outlineLevel="1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77"/>
      <c r="P477" s="203"/>
      <c r="Q477" s="78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1.25" hidden="1" customHeight="1" outlineLevel="1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77"/>
      <c r="P478" s="203"/>
      <c r="Q478" s="78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1.25" hidden="1" customHeight="1" outlineLevel="1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77"/>
      <c r="P479" s="203"/>
      <c r="Q479" s="78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1.25" hidden="1" customHeight="1" outlineLevel="1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77"/>
      <c r="P480" s="203"/>
      <c r="Q480" s="78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1.25" hidden="1" customHeight="1" outlineLevel="1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77"/>
      <c r="P481" s="203"/>
      <c r="Q481" s="78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1.25" hidden="1" customHeight="1" outlineLevel="1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77"/>
      <c r="P482" s="203"/>
      <c r="Q482" s="78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1.25" hidden="1" customHeight="1" outlineLevel="1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77"/>
      <c r="P483" s="203"/>
      <c r="Q483" s="78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1.25" hidden="1" customHeight="1" outlineLevel="1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77"/>
      <c r="P484" s="203"/>
      <c r="Q484" s="78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1.25" hidden="1" customHeight="1" outlineLevel="1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77"/>
      <c r="P485" s="203"/>
      <c r="Q485" s="78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1.25" hidden="1" customHeight="1" outlineLevel="1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77"/>
      <c r="P486" s="203"/>
      <c r="Q486" s="78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1.25" hidden="1" customHeight="1" outlineLevel="1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77"/>
      <c r="P487" s="203"/>
      <c r="Q487" s="78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1.25" hidden="1" customHeight="1" outlineLevel="1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77"/>
      <c r="P488" s="203"/>
      <c r="Q488" s="78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1.25" hidden="1" customHeight="1" outlineLevel="1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77"/>
      <c r="P489" s="203"/>
      <c r="Q489" s="78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1.25" hidden="1" customHeight="1" outlineLevel="1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77"/>
      <c r="P490" s="203"/>
      <c r="Q490" s="78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1.25" hidden="1" customHeight="1" outlineLevel="1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77"/>
      <c r="P491" s="203"/>
      <c r="Q491" s="78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1.25" hidden="1" customHeight="1" outlineLevel="1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77"/>
      <c r="P492" s="203"/>
      <c r="Q492" s="78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1.25" hidden="1" customHeight="1" outlineLevel="1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77"/>
      <c r="P493" s="203"/>
      <c r="Q493" s="78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1.25" hidden="1" customHeight="1" outlineLevel="1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77"/>
      <c r="P494" s="203"/>
      <c r="Q494" s="78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1.25" hidden="1" customHeight="1" outlineLevel="1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77"/>
      <c r="P495" s="203"/>
      <c r="Q495" s="78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1.25" hidden="1" customHeight="1" outlineLevel="1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77"/>
      <c r="P496" s="203"/>
      <c r="Q496" s="78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1.25" hidden="1" customHeight="1" outlineLevel="1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77"/>
      <c r="P497" s="203"/>
      <c r="Q497" s="78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1.25" customHeight="1" collapsed="1">
      <c r="A498" s="9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74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1.25" hidden="1" customHeight="1" outlineLevel="1">
      <c r="A499" s="11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2"/>
      <c r="O499" s="177"/>
      <c r="P499" s="203"/>
      <c r="Q499" s="78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1.25" hidden="1" customHeight="1" outlineLevel="1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77"/>
      <c r="P500" s="203"/>
      <c r="Q500" s="78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1.25" hidden="1" customHeight="1" outlineLevel="1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77"/>
      <c r="P501" s="203"/>
      <c r="Q501" s="78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1.25" hidden="1" customHeight="1" outlineLevel="1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77"/>
      <c r="P502" s="203"/>
      <c r="Q502" s="78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1.25" customHeight="1" collapsed="1">
      <c r="A503" s="184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6"/>
      <c r="P503" s="203"/>
      <c r="Q503" s="204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</row>
    <row r="504" ht="11.25" customHeight="1">
      <c r="A504" s="9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74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1.25" hidden="1" customHeight="1" outlineLevel="1">
      <c r="A505" s="11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2"/>
      <c r="O505" s="177"/>
      <c r="P505" s="203"/>
      <c r="Q505" s="78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1.25" hidden="1" customHeight="1" outlineLevel="1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77"/>
      <c r="P506" s="203"/>
      <c r="Q506" s="78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1.25" hidden="1" customHeight="1" outlineLevel="1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77"/>
      <c r="P507" s="203"/>
      <c r="Q507" s="78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1.25" hidden="1" customHeight="1" outlineLevel="1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77"/>
      <c r="P508" s="203"/>
      <c r="Q508" s="78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1.25" hidden="1" customHeight="1" outlineLevel="1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77"/>
      <c r="P509" s="203"/>
      <c r="Q509" s="78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1.25" hidden="1" customHeight="1" outlineLevel="1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77"/>
      <c r="P510" s="203"/>
      <c r="Q510" s="78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1.25" hidden="1" customHeight="1" outlineLevel="1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77"/>
      <c r="P511" s="203"/>
      <c r="Q511" s="78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1.25" hidden="1" customHeight="1" outlineLevel="1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77"/>
      <c r="P512" s="203"/>
      <c r="Q512" s="78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1.25" hidden="1" customHeight="1" outlineLevel="1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77"/>
      <c r="P513" s="203"/>
      <c r="Q513" s="78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1.25" hidden="1" customHeight="1" outlineLevel="1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77"/>
      <c r="P514" s="203"/>
      <c r="Q514" s="78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1.25" hidden="1" customHeight="1" outlineLevel="1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77"/>
      <c r="P515" s="203"/>
      <c r="Q515" s="78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1.25" hidden="1" customHeight="1" outlineLevel="1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77"/>
      <c r="P516" s="203"/>
      <c r="Q516" s="78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1.25" hidden="1" customHeight="1" outlineLevel="1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77"/>
      <c r="P517" s="203"/>
      <c r="Q517" s="78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1.25" hidden="1" customHeight="1" outlineLevel="1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77"/>
      <c r="P518" s="203"/>
      <c r="Q518" s="78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1.25" hidden="1" customHeight="1" outlineLevel="1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77"/>
      <c r="P519" s="203"/>
      <c r="Q519" s="78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1.25" hidden="1" customHeight="1" outlineLevel="1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77"/>
      <c r="P520" s="203"/>
      <c r="Q520" s="78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1.25" hidden="1" customHeight="1" outlineLevel="1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77"/>
      <c r="P521" s="203"/>
      <c r="Q521" s="78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1.25" hidden="1" customHeight="1" outlineLevel="1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77"/>
      <c r="P522" s="203"/>
      <c r="Q522" s="78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1.25" hidden="1" customHeight="1" outlineLevel="1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77"/>
      <c r="P523" s="203"/>
      <c r="Q523" s="78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1.25" hidden="1" customHeight="1" outlineLevel="1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77"/>
      <c r="P524" s="203"/>
      <c r="Q524" s="78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1.25" hidden="1" customHeight="1" outlineLevel="1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77"/>
      <c r="P525" s="203"/>
      <c r="Q525" s="78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1.25" hidden="1" customHeight="1" outlineLevel="1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77"/>
      <c r="P526" s="203"/>
      <c r="Q526" s="78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1.25" hidden="1" customHeight="1" outlineLevel="1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77"/>
      <c r="P527" s="203"/>
      <c r="Q527" s="78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1.25" hidden="1" customHeight="1" outlineLevel="1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77"/>
      <c r="P528" s="203"/>
      <c r="Q528" s="78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1.25" hidden="1" customHeight="1" outlineLevel="1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77"/>
      <c r="P529" s="203"/>
      <c r="Q529" s="78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1.25" hidden="1" customHeight="1" outlineLevel="1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77"/>
      <c r="P530" s="203"/>
      <c r="Q530" s="78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1.25" customHeight="1" collapsed="1">
      <c r="A531" s="9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74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1.25" hidden="1" customHeight="1" outlineLevel="1">
      <c r="A532" s="11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2"/>
      <c r="O532" s="177"/>
      <c r="P532" s="203"/>
      <c r="Q532" s="78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1.25" hidden="1" customHeight="1" outlineLevel="1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77"/>
      <c r="P533" s="203"/>
      <c r="Q533" s="78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1.25" hidden="1" customHeight="1" outlineLevel="1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77"/>
      <c r="P534" s="203"/>
      <c r="Q534" s="78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1.25" hidden="1" customHeight="1" outlineLevel="1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77"/>
      <c r="P535" s="203"/>
      <c r="Q535" s="78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1.25" customHeight="1" collapsed="1">
      <c r="A536" s="184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6"/>
      <c r="P536" s="203"/>
      <c r="Q536" s="204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</row>
    <row r="537" ht="11.25" customHeight="1">
      <c r="A537" s="9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2"/>
      <c r="O537" s="174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1.25" hidden="1" customHeight="1" outlineLevel="1">
      <c r="A538" s="11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2"/>
      <c r="O538" s="177"/>
      <c r="P538" s="203"/>
      <c r="Q538" s="78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1.25" hidden="1" customHeight="1" outlineLevel="1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77"/>
      <c r="P539" s="203"/>
      <c r="Q539" s="78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1.25" hidden="1" customHeight="1" outlineLevel="1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77"/>
      <c r="P540" s="203"/>
      <c r="Q540" s="78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1.25" hidden="1" customHeight="1" outlineLevel="1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77"/>
      <c r="P541" s="203"/>
      <c r="Q541" s="78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1.25" hidden="1" customHeight="1" outlineLevel="1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77"/>
      <c r="P542" s="203"/>
      <c r="Q542" s="78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1.25" customHeight="1" collapsed="1">
      <c r="A543" s="9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74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1.25" hidden="1" customHeight="1" outlineLevel="1">
      <c r="A544" s="11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2"/>
      <c r="O544" s="177"/>
      <c r="P544" s="203"/>
      <c r="Q544" s="78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1.25" hidden="1" customHeight="1" outlineLevel="1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77"/>
      <c r="P545" s="203"/>
      <c r="Q545" s="78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1.25" hidden="1" customHeight="1" outlineLevel="1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77"/>
      <c r="P546" s="203"/>
      <c r="Q546" s="78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1.25" hidden="1" customHeight="1" outlineLevel="1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77"/>
      <c r="P547" s="203"/>
      <c r="Q547" s="78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1.25" customHeight="1" collapsed="1">
      <c r="A548" s="9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74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1.25" hidden="1" customHeight="1" outlineLevel="1">
      <c r="A549" s="11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2"/>
      <c r="O549" s="177"/>
      <c r="P549" s="203"/>
      <c r="Q549" s="78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1.25" hidden="1" customHeight="1" outlineLevel="1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77"/>
      <c r="P550" s="203"/>
      <c r="Q550" s="78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1.25" hidden="1" customHeight="1" outlineLevel="1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77"/>
      <c r="P551" s="203"/>
      <c r="Q551" s="78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1.25" customHeight="1" collapsed="1">
      <c r="A552" s="4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181"/>
      <c r="P552" s="201"/>
      <c r="Q552" s="202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1.25" customHeight="1">
      <c r="A553" s="184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6"/>
      <c r="P553" s="203"/>
      <c r="Q553" s="204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</row>
    <row r="554" ht="11.25" hidden="1" customHeight="1" outlineLevel="1">
      <c r="A554" s="11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2"/>
      <c r="O554" s="177"/>
      <c r="P554" s="203"/>
      <c r="Q554" s="78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1.25" hidden="1" customHeight="1" outlineLevel="1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77"/>
      <c r="P555" s="203"/>
      <c r="Q555" s="78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1.25" hidden="1" customHeight="1" outlineLevel="1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77"/>
      <c r="P556" s="203"/>
      <c r="Q556" s="78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1.25" hidden="1" customHeight="1" outlineLevel="1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77"/>
      <c r="P557" s="203"/>
      <c r="Q557" s="78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1.25" hidden="1" customHeight="1" outlineLevel="1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77"/>
      <c r="P558" s="203"/>
      <c r="Q558" s="78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1.25" hidden="1" customHeight="1" outlineLevel="1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77"/>
      <c r="P559" s="203"/>
      <c r="Q559" s="78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1.25" hidden="1" customHeight="1" outlineLevel="1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77"/>
      <c r="P560" s="203"/>
      <c r="Q560" s="78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1.25" hidden="1" customHeight="1" outlineLevel="1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77"/>
      <c r="P561" s="203"/>
      <c r="Q561" s="78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1.25" hidden="1" customHeight="1" outlineLevel="1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77"/>
      <c r="P562" s="203"/>
      <c r="Q562" s="78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1.25" customHeight="1" collapsed="1">
      <c r="A563" s="4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193"/>
      <c r="O563" s="181"/>
      <c r="P563" s="201"/>
      <c r="Q563" s="202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74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1.25" customHeight="1">
      <c r="A565" s="196" t="s">
        <v>354</v>
      </c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8"/>
      <c r="P565" s="199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1.25" customHeight="1">
      <c r="A566" s="4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181"/>
      <c r="P566" s="201"/>
      <c r="Q566" s="202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1.25" hidden="1" customHeight="1" outlineLevel="1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77"/>
      <c r="P567" s="203"/>
      <c r="Q567" s="78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1.25" hidden="1" customHeight="1" outlineLevel="1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77"/>
      <c r="P568" s="203"/>
      <c r="Q568" s="78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1.25" customHeight="1" collapsed="1">
      <c r="A569" s="4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181"/>
      <c r="P569" s="203"/>
      <c r="Q569" s="202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1.25" customHeight="1">
      <c r="A570" s="184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6"/>
      <c r="P570" s="203"/>
      <c r="Q570" s="204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</row>
    <row r="571" ht="11.25" customHeight="1">
      <c r="A571" s="9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74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1.25" hidden="1" customHeight="1" outlineLevel="1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77"/>
      <c r="P572" s="203"/>
      <c r="Q572" s="78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1.25" hidden="1" customHeight="1" outlineLevel="1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77"/>
      <c r="P573" s="203"/>
      <c r="Q573" s="78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1.25" customHeight="1" collapsed="1">
      <c r="A574" s="9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49"/>
      <c r="O574" s="174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1.25" hidden="1" customHeight="1" outlineLevel="1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77"/>
      <c r="P575" s="203"/>
      <c r="Q575" s="78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1.25" hidden="1" customHeight="1" outlineLevel="1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77"/>
      <c r="P576" s="203"/>
      <c r="Q576" s="78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1.25" customHeight="1" collapsed="1">
      <c r="A577" s="9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74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1.25" hidden="1" customHeight="1" outlineLevel="1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77"/>
      <c r="P578" s="203"/>
      <c r="Q578" s="78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1.25" hidden="1" customHeight="1" outlineLevel="1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77"/>
      <c r="P579" s="203"/>
      <c r="Q579" s="78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1.25" customHeight="1" collapsed="1">
      <c r="A580" s="184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6"/>
      <c r="P580" s="203"/>
      <c r="Q580" s="204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</row>
    <row r="581" ht="11.25" hidden="1" customHeight="1" outlineLevel="1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77"/>
      <c r="P581" s="203"/>
      <c r="Q581" s="78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1.25" hidden="1" customHeight="1" outlineLevel="1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77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1.25" customHeight="1" collapsed="1">
      <c r="A583" s="4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181"/>
      <c r="P583" s="201"/>
      <c r="Q583" s="202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1.25" customHeight="1">
      <c r="A584" s="184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6"/>
      <c r="P584" s="203"/>
      <c r="Q584" s="204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</row>
    <row r="585" ht="11.25" hidden="1" customHeight="1" outlineLevel="1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77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1.25" hidden="1" customHeight="1" outlineLevel="1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77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1.25" customHeight="1" collapsed="1">
      <c r="A587" s="4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181"/>
      <c r="P587" s="201"/>
      <c r="Q587" s="202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1.25" customHeight="1">
      <c r="A588" s="184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6"/>
      <c r="P588" s="203"/>
      <c r="Q588" s="204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</row>
    <row r="589" ht="11.25" customHeight="1">
      <c r="A589" s="9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2"/>
      <c r="O589" s="174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1.25" hidden="1" customHeight="1" outlineLevel="1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77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1.25" hidden="1" customHeight="1" outlineLevel="1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77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1.25" customHeight="1" collapsed="1">
      <c r="A592" s="9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74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1.25" hidden="1" customHeight="1" outlineLevel="1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77"/>
      <c r="P593" s="203"/>
      <c r="Q593" s="78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1.25" hidden="1" customHeight="1" outlineLevel="1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77"/>
      <c r="P594" s="203"/>
      <c r="Q594" s="78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1.25" customHeight="1" collapsed="1">
      <c r="A595" s="184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6"/>
      <c r="P595" s="203"/>
      <c r="Q595" s="204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</row>
    <row r="596" ht="11.25" hidden="1" customHeight="1" outlineLevel="1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77"/>
      <c r="P596" s="203"/>
      <c r="Q596" s="78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1.25" hidden="1" customHeight="1" outlineLevel="1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77"/>
      <c r="P597" s="203"/>
      <c r="Q597" s="78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1.25" customHeight="1" collapsed="1">
      <c r="A598" s="4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181"/>
      <c r="P598" s="201"/>
      <c r="Q598" s="202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1.25" customHeight="1">
      <c r="A599" s="184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6"/>
      <c r="P599" s="203"/>
      <c r="Q599" s="204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</row>
    <row r="600" ht="11.25" hidden="1" customHeight="1" outlineLevel="1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77"/>
      <c r="P600" s="203"/>
      <c r="Q600" s="78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1.25" hidden="1" customHeight="1" outlineLevel="1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77"/>
      <c r="P601" s="203"/>
      <c r="Q601" s="78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1.25" customHeight="1" collapsed="1">
      <c r="A602" s="184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6"/>
      <c r="P602" s="203"/>
      <c r="Q602" s="204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</row>
    <row r="603" ht="11.25" hidden="1" customHeight="1" outlineLevel="1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77"/>
      <c r="P603" s="203"/>
      <c r="Q603" s="78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1.25" hidden="1" customHeight="1" outlineLevel="1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77"/>
      <c r="P604" s="203"/>
      <c r="Q604" s="78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1.25" customHeight="1" collapsed="1">
      <c r="A605" s="4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181"/>
      <c r="P605" s="201"/>
      <c r="Q605" s="202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1.25" hidden="1" customHeight="1" outlineLevel="1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77"/>
      <c r="P606" s="203"/>
      <c r="Q606" s="78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1.25" hidden="1" customHeight="1" outlineLevel="1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77"/>
      <c r="P607" s="203"/>
      <c r="Q607" s="78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1.25" customHeight="1" collapsed="1">
      <c r="A608" s="4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181"/>
      <c r="P608" s="201"/>
      <c r="Q608" s="202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1.25" hidden="1" customHeight="1" outlineLevel="1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77"/>
      <c r="P609" s="203"/>
      <c r="Q609" s="78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1.25" hidden="1" customHeight="1" outlineLevel="1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77"/>
      <c r="P610" s="203"/>
      <c r="Q610" s="78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1.25" customHeight="1" collapsed="1">
      <c r="A611" s="4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181"/>
      <c r="P611" s="201"/>
      <c r="Q611" s="202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1.25" customHeight="1">
      <c r="A612" s="184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6"/>
      <c r="P612" s="203"/>
      <c r="Q612" s="204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</row>
    <row r="613" ht="11.25" customHeight="1">
      <c r="A613" s="9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74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1.25" hidden="1" customHeight="1" outlineLevel="1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77"/>
      <c r="P614" s="203"/>
      <c r="Q614" s="78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1.25" hidden="1" customHeight="1" outlineLevel="1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77"/>
      <c r="P615" s="203"/>
      <c r="Q615" s="78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1.25" customHeight="1" collapsed="1">
      <c r="A616" s="9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74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1.25" hidden="1" customHeight="1" outlineLevel="1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77"/>
      <c r="P617" s="203"/>
      <c r="Q617" s="78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1.25" hidden="1" customHeight="1" outlineLevel="1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77"/>
      <c r="P618" s="203"/>
      <c r="Q618" s="78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1.25" customHeight="1" collapsed="1">
      <c r="A619" s="184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6"/>
      <c r="P619" s="203"/>
      <c r="Q619" s="204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</row>
    <row r="620" ht="11.25" customHeight="1">
      <c r="A620" s="19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74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1.25" hidden="1" customHeight="1" outlineLevel="1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77"/>
      <c r="P621" s="203"/>
      <c r="Q621" s="78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1.25" hidden="1" customHeight="1" outlineLevel="1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77"/>
      <c r="P622" s="203"/>
      <c r="Q622" s="78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1.25" customHeight="1" collapsed="1">
      <c r="A623" s="9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74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1.25" hidden="1" customHeight="1" outlineLevel="1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77"/>
      <c r="P624" s="203"/>
      <c r="Q624" s="78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1.25" hidden="1" customHeight="1" outlineLevel="1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77"/>
      <c r="P625" s="203"/>
      <c r="Q625" s="78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1.25" customHeight="1" collapsed="1">
      <c r="A626" s="184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6"/>
      <c r="P626" s="203"/>
      <c r="Q626" s="204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</row>
    <row r="627" ht="11.25" customHeight="1">
      <c r="A627" s="9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74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1.25" hidden="1" customHeight="1" outlineLevel="1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77"/>
      <c r="P628" s="203"/>
      <c r="Q628" s="78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1.25" hidden="1" customHeight="1" outlineLevel="1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77"/>
      <c r="P629" s="203"/>
      <c r="Q629" s="78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1.25" customHeight="1" collapsed="1">
      <c r="A630" s="9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74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1.25" hidden="1" customHeight="1" outlineLevel="1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77"/>
      <c r="P631" s="203"/>
      <c r="Q631" s="78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1.25" hidden="1" customHeight="1" outlineLevel="1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77"/>
      <c r="P632" s="203"/>
      <c r="Q632" s="78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1.25" customHeight="1" collapsed="1">
      <c r="A633" s="184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6"/>
      <c r="P633" s="203"/>
      <c r="Q633" s="204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</row>
    <row r="634" ht="11.25" customHeight="1">
      <c r="A634" s="9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2"/>
      <c r="O634" s="174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1.25" hidden="1" customHeight="1" outlineLevel="1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77"/>
      <c r="P635" s="203"/>
      <c r="Q635" s="78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1.25" hidden="1" customHeight="1" outlineLevel="1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77"/>
      <c r="P636" s="203"/>
      <c r="Q636" s="78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1.25" customHeight="1" collapsed="1">
      <c r="A637" s="9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74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1.25" hidden="1" customHeight="1" outlineLevel="1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77"/>
      <c r="P638" s="203"/>
      <c r="Q638" s="78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1.25" hidden="1" customHeight="1" outlineLevel="1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77"/>
      <c r="P639" s="203"/>
      <c r="Q639" s="78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1.25" customHeight="1" collapsed="1">
      <c r="A640" s="9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74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1.25" hidden="1" customHeight="1" outlineLevel="1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77"/>
      <c r="P641" s="203"/>
      <c r="Q641" s="78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1.25" hidden="1" customHeight="1" outlineLevel="1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77"/>
      <c r="P642" s="203"/>
      <c r="Q642" s="78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1.25" customHeight="1" collapsed="1">
      <c r="A643" s="4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181"/>
      <c r="P643" s="201"/>
      <c r="Q643" s="202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1.25" customHeight="1">
      <c r="A644" s="184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6"/>
      <c r="P644" s="203"/>
      <c r="Q644" s="204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</row>
    <row r="645" ht="11.25" hidden="1" customHeight="1" outlineLevel="1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77"/>
      <c r="P645" s="203"/>
      <c r="Q645" s="78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1.25" hidden="1" customHeight="1" outlineLevel="1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77"/>
      <c r="P646" s="203"/>
      <c r="Q646" s="78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1.25" customHeight="1" collapsed="1">
      <c r="A647" s="4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193"/>
      <c r="O647" s="181"/>
      <c r="P647" s="201"/>
      <c r="Q647" s="202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1.25" customHeight="1">
      <c r="A648" s="42"/>
      <c r="B648" s="206"/>
      <c r="C648" s="206"/>
      <c r="D648" s="206"/>
      <c r="E648" s="206"/>
      <c r="F648" s="206"/>
      <c r="G648" s="206"/>
      <c r="H648" s="206"/>
      <c r="I648" s="206"/>
      <c r="J648" s="206"/>
      <c r="K648" s="206"/>
      <c r="L648" s="206"/>
      <c r="M648" s="206"/>
      <c r="N648" s="206"/>
      <c r="O648" s="174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74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1.25" customHeight="1">
      <c r="A650" s="11" t="s">
        <v>316</v>
      </c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74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1.25" customHeight="1">
      <c r="A651" s="11" t="s">
        <v>317</v>
      </c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74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1.25" customHeight="1">
      <c r="A652" s="42"/>
      <c r="B652" s="206"/>
      <c r="C652" s="206"/>
      <c r="D652" s="206"/>
      <c r="E652" s="206"/>
      <c r="F652" s="206"/>
      <c r="G652" s="206"/>
      <c r="H652" s="206"/>
      <c r="I652" s="206"/>
      <c r="J652" s="206"/>
      <c r="K652" s="206"/>
      <c r="L652" s="206"/>
      <c r="M652" s="206"/>
      <c r="N652" s="206"/>
      <c r="O652" s="174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74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1.25" customHeight="1">
      <c r="A654" s="2"/>
      <c r="B654" s="5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74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1.25" customHeight="1">
      <c r="A655" s="2" t="s">
        <v>355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74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1.25" customHeight="1">
      <c r="A656" s="7" t="s">
        <v>356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74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1.25" customHeight="1">
      <c r="A657" s="11" t="s">
        <v>316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2"/>
      <c r="O657" s="174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1.25" customHeight="1">
      <c r="A658" s="11" t="s">
        <v>317</v>
      </c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2"/>
      <c r="O658" s="174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1.25" customHeight="1">
      <c r="A659" s="7" t="s">
        <v>357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74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1.25" customHeight="1">
      <c r="A660" s="11" t="s">
        <v>316</v>
      </c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2"/>
      <c r="O660" s="174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1.25" customHeight="1">
      <c r="A661" s="11" t="s">
        <v>317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2"/>
      <c r="O661" s="174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1.25" customHeight="1">
      <c r="A662" s="7" t="s">
        <v>358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74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1.25" customHeight="1">
      <c r="A663" s="11" t="s">
        <v>316</v>
      </c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2"/>
      <c r="O663" s="174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1.25" customHeight="1">
      <c r="A664" s="11" t="s">
        <v>317</v>
      </c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2"/>
      <c r="O664" s="174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1.25" customHeight="1">
      <c r="A665" s="7" t="s">
        <v>359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74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1.25" customHeight="1">
      <c r="A666" s="11" t="s">
        <v>316</v>
      </c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2"/>
      <c r="O666" s="174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1.25" customHeight="1">
      <c r="A667" s="11" t="s">
        <v>317</v>
      </c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2"/>
      <c r="O667" s="174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1.25" customHeight="1">
      <c r="A668" s="7" t="s">
        <v>360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74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1.25" customHeight="1">
      <c r="A669" s="11" t="s">
        <v>316</v>
      </c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2"/>
      <c r="O669" s="174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1.25" customHeight="1">
      <c r="A670" s="11" t="s">
        <v>317</v>
      </c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2"/>
      <c r="O670" s="174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1.25" customHeight="1">
      <c r="A671" s="7" t="s">
        <v>361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74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1.25" customHeight="1">
      <c r="A672" s="11" t="s">
        <v>316</v>
      </c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2"/>
      <c r="O672" s="174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1.25" customHeight="1">
      <c r="A673" s="11" t="s">
        <v>317</v>
      </c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2"/>
      <c r="O673" s="174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1.25" customHeight="1">
      <c r="A674" s="7" t="s">
        <v>362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74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1.25" customHeight="1">
      <c r="A675" s="11" t="s">
        <v>316</v>
      </c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2"/>
      <c r="O675" s="174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1.25" customHeight="1">
      <c r="A676" s="11" t="s">
        <v>317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2"/>
      <c r="O676" s="174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74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1.25" customHeight="1">
      <c r="A678" s="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2"/>
      <c r="O678" s="174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1.25" customHeight="1">
      <c r="A679" s="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2"/>
      <c r="O679" s="174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74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74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74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74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74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74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74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74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74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74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74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74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74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74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74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74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74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74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74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74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74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74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74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74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74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74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74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74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74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74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74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74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74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74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74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74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74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74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74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74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74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74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74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74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74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74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74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74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74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74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74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74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74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74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74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74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74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74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74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74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74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74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74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74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74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74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74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74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74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74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74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74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74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74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74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74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74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74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74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74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74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74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74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74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74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74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74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74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74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74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74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74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74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74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74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74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74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74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74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74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74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74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74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74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74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74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74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74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74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74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74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74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74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74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74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74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74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74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74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74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74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74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74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74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74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74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74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74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74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74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74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74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74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74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74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74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74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74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74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74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74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74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74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74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74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74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74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74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74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74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74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74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74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74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74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74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74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74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74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74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74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74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74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74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74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74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74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74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74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74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74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74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74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74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74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74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74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74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74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74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74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74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74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74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74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74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74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74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74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74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74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74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74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74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74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74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74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74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74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74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74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74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74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74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74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74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74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74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74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74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74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74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74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74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74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74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74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74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74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74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74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74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74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74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74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74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74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74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74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74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74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74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74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74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74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74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74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74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74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74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74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74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74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74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74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74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74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74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74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74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74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74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74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74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74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74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74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74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74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74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74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74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74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74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74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74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74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74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74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74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74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74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74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74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74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74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74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74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74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74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74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74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74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74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74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74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74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74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74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74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74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74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74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74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74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74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74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74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74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74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74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74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74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74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74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74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74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174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174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174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174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174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174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174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174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174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174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174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174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174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174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2">
    <mergeCell ref="A1:N1"/>
    <mergeCell ref="P1:AB1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CC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 outlineLevelRow="1"/>
  <cols>
    <col customWidth="1" min="1" max="1" width="51.29"/>
    <col customWidth="1" min="2" max="2" width="25.14"/>
    <col customWidth="1" min="3" max="13" width="13.57"/>
    <col customWidth="1" min="14" max="14" width="14.71"/>
    <col customWidth="1" min="15" max="15" width="15.57"/>
    <col customWidth="1" min="16" max="26" width="9.14"/>
  </cols>
  <sheetData>
    <row r="1" ht="11.25" customHeight="1">
      <c r="A1" s="89" t="s">
        <v>363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.25" customHeight="1">
      <c r="A2" s="154"/>
      <c r="B2" s="154" t="s">
        <v>364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99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3" t="s">
        <v>365</v>
      </c>
      <c r="B3" s="3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207"/>
      <c r="B4" s="208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.25" customHeight="1">
      <c r="A5" s="154"/>
      <c r="B5" s="154"/>
      <c r="C5" s="210">
        <f t="shared" ref="C5:N5" si="1">C8+C11+C14+C17+C20+C26+C29+C32+C23</f>
        <v>0</v>
      </c>
      <c r="D5" s="210">
        <f t="shared" si="1"/>
        <v>0</v>
      </c>
      <c r="E5" s="210">
        <f t="shared" si="1"/>
        <v>0</v>
      </c>
      <c r="F5" s="210">
        <f t="shared" si="1"/>
        <v>0</v>
      </c>
      <c r="G5" s="210">
        <f t="shared" si="1"/>
        <v>0</v>
      </c>
      <c r="H5" s="210">
        <f t="shared" si="1"/>
        <v>0</v>
      </c>
      <c r="I5" s="210">
        <f t="shared" si="1"/>
        <v>0</v>
      </c>
      <c r="J5" s="210">
        <f t="shared" si="1"/>
        <v>0</v>
      </c>
      <c r="K5" s="210">
        <f t="shared" si="1"/>
        <v>0</v>
      </c>
      <c r="L5" s="210">
        <f t="shared" si="1"/>
        <v>0</v>
      </c>
      <c r="M5" s="210">
        <f t="shared" si="1"/>
        <v>0</v>
      </c>
      <c r="N5" s="210">
        <f t="shared" si="1"/>
        <v>0</v>
      </c>
      <c r="O5" s="21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customHeight="1">
      <c r="A6" s="154"/>
      <c r="B6" s="154"/>
      <c r="C6" s="210">
        <f t="shared" ref="C6:N6" si="2">C7+C10+C13+C16+C19+C25+C28+C31+C22</f>
        <v>0</v>
      </c>
      <c r="D6" s="210">
        <f t="shared" si="2"/>
        <v>0</v>
      </c>
      <c r="E6" s="210">
        <f t="shared" si="2"/>
        <v>0</v>
      </c>
      <c r="F6" s="210">
        <f t="shared" si="2"/>
        <v>0</v>
      </c>
      <c r="G6" s="210">
        <f t="shared" si="2"/>
        <v>0</v>
      </c>
      <c r="H6" s="210">
        <f t="shared" si="2"/>
        <v>0</v>
      </c>
      <c r="I6" s="210">
        <f t="shared" si="2"/>
        <v>0</v>
      </c>
      <c r="J6" s="210">
        <f t="shared" si="2"/>
        <v>0</v>
      </c>
      <c r="K6" s="210">
        <f t="shared" si="2"/>
        <v>0</v>
      </c>
      <c r="L6" s="210">
        <f t="shared" si="2"/>
        <v>0</v>
      </c>
      <c r="M6" s="210">
        <f t="shared" si="2"/>
        <v>0</v>
      </c>
      <c r="N6" s="210">
        <f t="shared" si="2"/>
        <v>0</v>
      </c>
      <c r="O6" s="212">
        <f>C6+D6+E6+F6+G6+H6+I6+J6+K6+L6+M6+N6</f>
        <v>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customHeight="1">
      <c r="A7" s="213"/>
      <c r="B7" s="213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ht="11.25" customHeight="1" outlineLevel="1">
      <c r="A8" s="11"/>
      <c r="B8" s="11"/>
      <c r="C8" s="216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7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</row>
    <row r="9" ht="11.25" customHeight="1" outlineLevel="1">
      <c r="A9" s="11"/>
      <c r="B9" s="11"/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</row>
    <row r="10" ht="11.25" customHeight="1">
      <c r="A10" s="213"/>
      <c r="B10" s="213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</row>
    <row r="11" ht="11.25" customHeight="1" outlineLevel="1">
      <c r="A11" s="11"/>
      <c r="B11" s="11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7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</row>
    <row r="12" ht="11.25" customHeight="1" outlineLevel="1">
      <c r="A12" s="11"/>
      <c r="B12" s="11"/>
      <c r="C12" s="216"/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</row>
    <row r="13" ht="11.25" customHeight="1">
      <c r="A13" s="213"/>
      <c r="B13" s="213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214"/>
      <c r="O13" s="214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</row>
    <row r="14" ht="11.25" customHeight="1" outlineLevel="1">
      <c r="A14" s="11"/>
      <c r="B14" s="11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7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</row>
    <row r="15" ht="11.25" customHeight="1" outlineLevel="1">
      <c r="A15" s="11"/>
      <c r="B15" s="11"/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</row>
    <row r="16" ht="11.25" customHeight="1">
      <c r="A16" s="213"/>
      <c r="B16" s="213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</row>
    <row r="17" ht="11.25" customHeight="1" outlineLevel="1">
      <c r="A17" s="11"/>
      <c r="B17" s="11"/>
      <c r="C17" s="216"/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7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</row>
    <row r="18" ht="11.25" customHeight="1" outlineLevel="1">
      <c r="A18" s="11"/>
      <c r="B18" s="11"/>
      <c r="C18" s="216"/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</row>
    <row r="19" ht="11.25" customHeight="1">
      <c r="A19" s="213"/>
      <c r="B19" s="213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</row>
    <row r="20" ht="11.25" customHeight="1" outlineLevel="1">
      <c r="A20" s="11"/>
      <c r="B20" s="11"/>
      <c r="C20" s="216"/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7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</row>
    <row r="21" ht="11.25" customHeight="1" outlineLevel="1">
      <c r="A21" s="11"/>
      <c r="B21" s="11"/>
      <c r="C21" s="216"/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</row>
    <row r="22" ht="11.25" customHeight="1">
      <c r="A22" s="213"/>
      <c r="B22" s="213"/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</row>
    <row r="23" ht="11.25" customHeight="1" outlineLevel="1">
      <c r="A23" s="11"/>
      <c r="B23" s="11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7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</row>
    <row r="24" ht="11.25" customHeight="1" outlineLevel="1">
      <c r="A24" s="11"/>
      <c r="B24" s="11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</row>
    <row r="25" ht="11.25" customHeight="1">
      <c r="A25" s="213"/>
      <c r="B25" s="213"/>
      <c r="C25" s="214"/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</row>
    <row r="26" ht="11.25" customHeight="1" outlineLevel="1">
      <c r="A26" s="11"/>
      <c r="B26" s="11"/>
      <c r="C26" s="216"/>
      <c r="D26" s="216"/>
      <c r="E26" s="218"/>
      <c r="F26" s="216"/>
      <c r="G26" s="216"/>
      <c r="H26" s="216"/>
      <c r="I26" s="216"/>
      <c r="J26" s="216"/>
      <c r="K26" s="216"/>
      <c r="L26" s="216"/>
      <c r="M26" s="216"/>
      <c r="N26" s="216"/>
      <c r="O26" s="217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</row>
    <row r="27" ht="11.25" customHeight="1" outlineLevel="1">
      <c r="A27" s="11"/>
      <c r="B27" s="11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</row>
    <row r="28" ht="11.25" customHeight="1">
      <c r="A28" s="219"/>
      <c r="B28" s="213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</row>
    <row r="29" ht="11.25" customHeight="1" outlineLevel="1">
      <c r="A29" s="11"/>
      <c r="B29" s="11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7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</row>
    <row r="30" ht="11.25" customHeight="1" outlineLevel="1">
      <c r="A30" s="11"/>
      <c r="B30" s="11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</row>
    <row r="31" ht="11.25" customHeight="1">
      <c r="A31" s="213"/>
      <c r="B31" s="213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</row>
    <row r="32" ht="11.25" customHeight="1" outlineLevel="1">
      <c r="A32" s="11"/>
      <c r="B32" s="11"/>
      <c r="C32" s="216"/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7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</row>
    <row r="33" ht="11.25" customHeight="1" outlineLevel="1">
      <c r="A33" s="11"/>
      <c r="B33" s="11"/>
      <c r="C33" s="216"/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</row>
    <row r="34" ht="11.25" customHeight="1">
      <c r="A34" s="207"/>
      <c r="B34" s="208"/>
      <c r="C34" s="209"/>
      <c r="D34" s="209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>
      <c r="A35" s="154"/>
      <c r="B35" s="154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>
      <c r="A36" s="154"/>
      <c r="B36" s="154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>
      <c r="A37" s="219"/>
      <c r="B37" s="219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 outlineLevel="1">
      <c r="A38" s="11"/>
      <c r="B38" s="11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 outlineLevel="1">
      <c r="A39" s="11"/>
      <c r="B39" s="11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>
      <c r="A40" s="219"/>
      <c r="B40" s="219"/>
      <c r="C40" s="220"/>
      <c r="D40" s="220"/>
      <c r="E40" s="220"/>
      <c r="F40" s="220"/>
      <c r="G40" s="220"/>
      <c r="H40" s="220"/>
      <c r="I40" s="220"/>
      <c r="J40" s="220"/>
      <c r="K40" s="220"/>
      <c r="L40" s="220"/>
      <c r="M40" s="220"/>
      <c r="N40" s="220"/>
      <c r="O40" s="221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 outlineLevel="1">
      <c r="A41" s="11"/>
      <c r="B41" s="11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 outlineLevel="1">
      <c r="A42" s="11"/>
      <c r="B42" s="11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.25" customHeight="1">
      <c r="A43" s="219"/>
      <c r="B43" s="219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1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 outlineLevel="1">
      <c r="A44" s="11"/>
      <c r="B44" s="11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 outlineLevel="1">
      <c r="A45" s="11"/>
      <c r="B45" s="11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219"/>
      <c r="B46" s="219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1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.25" customHeight="1" outlineLevel="1">
      <c r="A47" s="11"/>
      <c r="B47" s="11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 outlineLevel="1">
      <c r="A48" s="11"/>
      <c r="B48" s="11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  <c r="O48" s="22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>
      <c r="A49" s="219"/>
      <c r="B49" s="219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 outlineLevel="1">
      <c r="A50" s="11"/>
      <c r="B50" s="11"/>
      <c r="C50" s="223"/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 outlineLevel="1">
      <c r="A51" s="11"/>
      <c r="B51" s="11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>
      <c r="A52" s="213"/>
      <c r="B52" s="219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 outlineLevel="1">
      <c r="A53" s="11"/>
      <c r="B53" s="11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 outlineLevel="1">
      <c r="A54" s="11"/>
      <c r="B54" s="11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  <c r="O54" s="22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>
      <c r="A55" s="219"/>
      <c r="B55" s="219"/>
      <c r="C55" s="220"/>
      <c r="D55" s="220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 outlineLevel="1">
      <c r="A56" s="11"/>
      <c r="B56" s="11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 outlineLevel="1">
      <c r="A57" s="11"/>
      <c r="B57" s="11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>
      <c r="A58" s="207"/>
      <c r="B58" s="208"/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>
      <c r="A59" s="154"/>
      <c r="B59" s="154"/>
      <c r="C59" s="210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>
      <c r="A60" s="154"/>
      <c r="B60" s="154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>
      <c r="A61" s="224"/>
      <c r="B61" s="225"/>
      <c r="C61" s="226"/>
      <c r="D61" s="226"/>
      <c r="E61" s="226"/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>
      <c r="A62" s="154"/>
      <c r="B62" s="154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>
      <c r="A63" s="154"/>
      <c r="B63" s="154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219"/>
      <c r="B64" s="219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.25" customHeight="1" outlineLevel="1">
      <c r="A65" s="11"/>
      <c r="B65" s="11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 outlineLevel="1">
      <c r="A66" s="11"/>
      <c r="B66" s="11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.25" customHeight="1">
      <c r="A67" s="219"/>
      <c r="B67" s="219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1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 outlineLevel="1">
      <c r="A68" s="11"/>
      <c r="B68" s="11"/>
      <c r="C68" s="222"/>
      <c r="D68" s="222"/>
      <c r="E68" s="222"/>
      <c r="F68" s="222"/>
      <c r="G68" s="222"/>
      <c r="H68" s="222"/>
      <c r="I68" s="222"/>
      <c r="J68" s="222"/>
      <c r="K68" s="222"/>
      <c r="L68" s="222"/>
      <c r="M68" s="222"/>
      <c r="N68" s="222"/>
      <c r="O68" s="22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.25" customHeight="1" outlineLevel="1">
      <c r="A69" s="11"/>
      <c r="B69" s="11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1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.25" customHeight="1" outlineLevel="1">
      <c r="A71" s="11"/>
      <c r="B71" s="11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 outlineLevel="1">
      <c r="A72" s="11"/>
      <c r="B72" s="11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>
      <c r="A73" s="219"/>
      <c r="B73" s="219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1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 outlineLevel="1">
      <c r="A74" s="11"/>
      <c r="B74" s="11"/>
      <c r="C74" s="222"/>
      <c r="D74" s="222"/>
      <c r="E74" s="222"/>
      <c r="F74" s="222"/>
      <c r="G74" s="222"/>
      <c r="H74" s="222"/>
      <c r="I74" s="222"/>
      <c r="J74" s="222"/>
      <c r="K74" s="222"/>
      <c r="L74" s="222"/>
      <c r="M74" s="222"/>
      <c r="N74" s="222"/>
      <c r="O74" s="22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 outlineLevel="1">
      <c r="A75" s="11"/>
      <c r="B75" s="11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>
      <c r="A76" s="219"/>
      <c r="B76" s="219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1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 outlineLevel="1">
      <c r="A77" s="11"/>
      <c r="B77" s="11"/>
      <c r="C77" s="223"/>
      <c r="D77" s="223"/>
      <c r="E77" s="223"/>
      <c r="F77" s="223"/>
      <c r="G77" s="223"/>
      <c r="H77" s="223"/>
      <c r="I77" s="223"/>
      <c r="J77" s="223"/>
      <c r="K77" s="223"/>
      <c r="L77" s="223"/>
      <c r="M77" s="223"/>
      <c r="N77" s="223"/>
      <c r="O77" s="22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 outlineLevel="1">
      <c r="A78" s="11"/>
      <c r="B78" s="11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>
      <c r="A79" s="219"/>
      <c r="B79" s="219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1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 outlineLevel="1">
      <c r="A80" s="11"/>
      <c r="B80" s="11"/>
      <c r="C80" s="223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 outlineLevel="1">
      <c r="A81" s="11"/>
      <c r="B81" s="11"/>
      <c r="C81" s="222"/>
      <c r="D81" s="222"/>
      <c r="E81" s="222"/>
      <c r="F81" s="222"/>
      <c r="G81" s="222"/>
      <c r="H81" s="222"/>
      <c r="I81" s="222"/>
      <c r="J81" s="222"/>
      <c r="K81" s="222"/>
      <c r="L81" s="222"/>
      <c r="M81" s="222"/>
      <c r="N81" s="222"/>
      <c r="O81" s="22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>
      <c r="A82" s="219"/>
      <c r="B82" s="219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 outlineLevel="1">
      <c r="A83" s="11"/>
      <c r="B83" s="11"/>
      <c r="C83" s="222"/>
      <c r="D83" s="222"/>
      <c r="E83" s="222"/>
      <c r="F83" s="222"/>
      <c r="G83" s="222"/>
      <c r="H83" s="222"/>
      <c r="I83" s="222"/>
      <c r="J83" s="222"/>
      <c r="K83" s="222"/>
      <c r="L83" s="222"/>
      <c r="M83" s="222"/>
      <c r="N83" s="222"/>
      <c r="O83" s="22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 outlineLevel="1">
      <c r="A84" s="11"/>
      <c r="B84" s="11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>
      <c r="A85" s="219"/>
      <c r="B85" s="219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 outlineLevel="1">
      <c r="A86" s="11"/>
      <c r="B86" s="11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.25" customHeight="1" outlineLevel="1">
      <c r="A87" s="11"/>
      <c r="B87" s="11"/>
      <c r="C87" s="222"/>
      <c r="D87" s="222"/>
      <c r="E87" s="222"/>
      <c r="F87" s="222"/>
      <c r="G87" s="222"/>
      <c r="H87" s="222"/>
      <c r="I87" s="222"/>
      <c r="J87" s="222"/>
      <c r="K87" s="222"/>
      <c r="L87" s="222"/>
      <c r="M87" s="222"/>
      <c r="N87" s="222"/>
      <c r="O87" s="22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>
      <c r="A88" s="219"/>
      <c r="B88" s="219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 outlineLevel="1">
      <c r="A89" s="11"/>
      <c r="B89" s="11"/>
      <c r="C89" s="222"/>
      <c r="D89" s="222"/>
      <c r="E89" s="222"/>
      <c r="F89" s="222"/>
      <c r="G89" s="222"/>
      <c r="H89" s="222"/>
      <c r="I89" s="222"/>
      <c r="J89" s="222"/>
      <c r="K89" s="222"/>
      <c r="L89" s="222"/>
      <c r="M89" s="222"/>
      <c r="N89" s="222"/>
      <c r="O89" s="22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 outlineLevel="1">
      <c r="A90" s="11"/>
      <c r="B90" s="11"/>
      <c r="C90" s="222"/>
      <c r="D90" s="222"/>
      <c r="E90" s="222"/>
      <c r="F90" s="222"/>
      <c r="G90" s="222"/>
      <c r="H90" s="222"/>
      <c r="I90" s="222"/>
      <c r="J90" s="222"/>
      <c r="K90" s="222"/>
      <c r="L90" s="222"/>
      <c r="M90" s="222"/>
      <c r="N90" s="222"/>
      <c r="O90" s="22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>
      <c r="A91" s="219"/>
      <c r="B91" s="219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1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 outlineLevel="1">
      <c r="A92" s="11"/>
      <c r="B92" s="11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 outlineLevel="1">
      <c r="A93" s="11"/>
      <c r="B93" s="11"/>
      <c r="C93" s="222"/>
      <c r="D93" s="222"/>
      <c r="E93" s="222"/>
      <c r="F93" s="222"/>
      <c r="G93" s="222"/>
      <c r="H93" s="222"/>
      <c r="I93" s="222"/>
      <c r="J93" s="222"/>
      <c r="K93" s="222"/>
      <c r="L93" s="222"/>
      <c r="M93" s="222"/>
      <c r="N93" s="222"/>
      <c r="O93" s="22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>
      <c r="A94" s="219"/>
      <c r="B94" s="219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1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 outlineLevel="1">
      <c r="A95" s="11"/>
      <c r="B95" s="11"/>
      <c r="C95" s="222"/>
      <c r="D95" s="222"/>
      <c r="E95" s="222"/>
      <c r="F95" s="222"/>
      <c r="G95" s="222"/>
      <c r="H95" s="222"/>
      <c r="I95" s="222"/>
      <c r="J95" s="222"/>
      <c r="K95" s="222"/>
      <c r="L95" s="222"/>
      <c r="M95" s="222"/>
      <c r="N95" s="222"/>
      <c r="O95" s="22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 outlineLevel="1">
      <c r="A96" s="11"/>
      <c r="B96" s="11"/>
      <c r="C96" s="222"/>
      <c r="D96" s="222"/>
      <c r="E96" s="222"/>
      <c r="F96" s="222"/>
      <c r="G96" s="222"/>
      <c r="H96" s="222"/>
      <c r="I96" s="222"/>
      <c r="J96" s="222"/>
      <c r="K96" s="222"/>
      <c r="L96" s="222"/>
      <c r="M96" s="222"/>
      <c r="N96" s="222"/>
      <c r="O96" s="22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>
      <c r="A97" s="219"/>
      <c r="B97" s="219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1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 outlineLevel="1">
      <c r="A98" s="11"/>
      <c r="B98" s="11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 outlineLevel="1">
      <c r="A99" s="11"/>
      <c r="B99" s="11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>
      <c r="A100" s="219"/>
      <c r="B100" s="219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1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 outlineLevel="1">
      <c r="A101" s="11"/>
      <c r="B101" s="11"/>
      <c r="C101" s="222"/>
      <c r="D101" s="222"/>
      <c r="E101" s="222"/>
      <c r="F101" s="222"/>
      <c r="G101" s="222"/>
      <c r="H101" s="222"/>
      <c r="I101" s="222"/>
      <c r="J101" s="222"/>
      <c r="K101" s="222"/>
      <c r="L101" s="222"/>
      <c r="M101" s="222"/>
      <c r="N101" s="222"/>
      <c r="O101" s="22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 outlineLevel="1">
      <c r="A102" s="11"/>
      <c r="B102" s="11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.25" customHeight="1">
      <c r="A103" s="219"/>
      <c r="B103" s="219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1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 outlineLevel="1">
      <c r="A104" s="11"/>
      <c r="B104" s="11"/>
      <c r="C104" s="222"/>
      <c r="D104" s="222"/>
      <c r="E104" s="222"/>
      <c r="F104" s="222"/>
      <c r="G104" s="222"/>
      <c r="H104" s="222"/>
      <c r="I104" s="222"/>
      <c r="J104" s="222"/>
      <c r="K104" s="222"/>
      <c r="L104" s="222"/>
      <c r="M104" s="222"/>
      <c r="N104" s="222"/>
      <c r="O104" s="22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 outlineLevel="1">
      <c r="A105" s="11"/>
      <c r="B105" s="11"/>
      <c r="C105" s="222"/>
      <c r="D105" s="222"/>
      <c r="E105" s="222"/>
      <c r="F105" s="222"/>
      <c r="G105" s="222"/>
      <c r="H105" s="222"/>
      <c r="I105" s="222"/>
      <c r="J105" s="222"/>
      <c r="K105" s="222"/>
      <c r="L105" s="222"/>
      <c r="M105" s="222"/>
      <c r="N105" s="222"/>
      <c r="O105" s="22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.25" customHeight="1">
      <c r="A106" s="219"/>
      <c r="B106" s="219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1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.25" customHeight="1" outlineLevel="1">
      <c r="A107" s="11"/>
      <c r="B107" s="11"/>
      <c r="C107" s="223"/>
      <c r="D107" s="223"/>
      <c r="E107" s="223"/>
      <c r="F107" s="223"/>
      <c r="G107" s="223"/>
      <c r="H107" s="223"/>
      <c r="I107" s="223"/>
      <c r="J107" s="223"/>
      <c r="K107" s="223"/>
      <c r="L107" s="223"/>
      <c r="M107" s="223"/>
      <c r="N107" s="223"/>
      <c r="O107" s="223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.25" customHeight="1" outlineLevel="1">
      <c r="A108" s="11"/>
      <c r="B108" s="11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.25" customHeight="1">
      <c r="A109" s="224"/>
      <c r="B109" s="225"/>
      <c r="C109" s="226"/>
      <c r="D109" s="226"/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.25" customHeight="1">
      <c r="A110" s="154"/>
      <c r="B110" s="154"/>
      <c r="C110" s="210"/>
      <c r="D110" s="210"/>
      <c r="E110" s="210"/>
      <c r="F110" s="210"/>
      <c r="G110" s="210"/>
      <c r="H110" s="210"/>
      <c r="I110" s="210"/>
      <c r="J110" s="210"/>
      <c r="K110" s="210"/>
      <c r="L110" s="210"/>
      <c r="M110" s="210"/>
      <c r="N110" s="210"/>
      <c r="O110" s="211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154"/>
      <c r="B111" s="154"/>
      <c r="C111" s="210"/>
      <c r="D111" s="210"/>
      <c r="E111" s="210"/>
      <c r="F111" s="210"/>
      <c r="G111" s="210"/>
      <c r="H111" s="210"/>
      <c r="I111" s="210"/>
      <c r="J111" s="210"/>
      <c r="K111" s="210"/>
      <c r="L111" s="210"/>
      <c r="M111" s="210"/>
      <c r="N111" s="210"/>
      <c r="O111" s="21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219"/>
      <c r="B112" s="219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1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 outlineLevel="1">
      <c r="A113" s="11"/>
      <c r="B113" s="11"/>
      <c r="C113" s="222"/>
      <c r="D113" s="222"/>
      <c r="E113" s="222"/>
      <c r="F113" s="222"/>
      <c r="G113" s="222"/>
      <c r="H113" s="222"/>
      <c r="I113" s="222"/>
      <c r="J113" s="222"/>
      <c r="K113" s="222"/>
      <c r="L113" s="222"/>
      <c r="M113" s="222"/>
      <c r="N113" s="222"/>
      <c r="O113" s="22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 outlineLevel="1">
      <c r="A114" s="11"/>
      <c r="B114" s="11"/>
      <c r="C114" s="222"/>
      <c r="D114" s="222"/>
      <c r="E114" s="222"/>
      <c r="F114" s="222"/>
      <c r="G114" s="222"/>
      <c r="H114" s="222"/>
      <c r="I114" s="222"/>
      <c r="J114" s="222"/>
      <c r="K114" s="222"/>
      <c r="L114" s="222"/>
      <c r="M114" s="222"/>
      <c r="N114" s="222"/>
      <c r="O114" s="22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>
      <c r="A115" s="219"/>
      <c r="B115" s="219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1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 outlineLevel="1">
      <c r="A116" s="11"/>
      <c r="B116" s="11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 outlineLevel="1">
      <c r="A117" s="11"/>
      <c r="B117" s="11"/>
      <c r="C117" s="222"/>
      <c r="D117" s="222"/>
      <c r="E117" s="222"/>
      <c r="F117" s="222"/>
      <c r="G117" s="222"/>
      <c r="H117" s="222"/>
      <c r="I117" s="222"/>
      <c r="J117" s="222"/>
      <c r="K117" s="222"/>
      <c r="L117" s="222"/>
      <c r="M117" s="222"/>
      <c r="N117" s="222"/>
      <c r="O117" s="22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>
      <c r="A118" s="219"/>
      <c r="B118" s="219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1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 outlineLevel="1">
      <c r="A119" s="11"/>
      <c r="B119" s="11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 outlineLevel="1">
      <c r="A120" s="11"/>
      <c r="B120" s="11"/>
      <c r="C120" s="222"/>
      <c r="D120" s="222"/>
      <c r="E120" s="222"/>
      <c r="F120" s="222"/>
      <c r="G120" s="222"/>
      <c r="H120" s="222"/>
      <c r="I120" s="222"/>
      <c r="J120" s="222"/>
      <c r="K120" s="222"/>
      <c r="L120" s="222"/>
      <c r="M120" s="222"/>
      <c r="N120" s="222"/>
      <c r="O120" s="22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>
      <c r="A121" s="219"/>
      <c r="B121" s="219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1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 outlineLevel="1">
      <c r="A122" s="11"/>
      <c r="B122" s="11"/>
      <c r="C122" s="223"/>
      <c r="D122" s="223"/>
      <c r="E122" s="223"/>
      <c r="F122" s="223"/>
      <c r="G122" s="223"/>
      <c r="H122" s="223"/>
      <c r="I122" s="223"/>
      <c r="J122" s="223"/>
      <c r="K122" s="223"/>
      <c r="L122" s="223"/>
      <c r="M122" s="223"/>
      <c r="N122" s="223"/>
      <c r="O122" s="22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 outlineLevel="1">
      <c r="A123" s="11"/>
      <c r="B123" s="11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>
      <c r="A124" s="219"/>
      <c r="B124" s="219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1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 outlineLevel="1">
      <c r="A125" s="11"/>
      <c r="B125" s="11"/>
      <c r="C125" s="223"/>
      <c r="D125" s="223"/>
      <c r="E125" s="223"/>
      <c r="F125" s="223"/>
      <c r="G125" s="223"/>
      <c r="H125" s="223"/>
      <c r="I125" s="223"/>
      <c r="J125" s="223"/>
      <c r="K125" s="223"/>
      <c r="L125" s="223"/>
      <c r="M125" s="223"/>
      <c r="N125" s="223"/>
      <c r="O125" s="22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 outlineLevel="1">
      <c r="A126" s="11"/>
      <c r="B126" s="11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>
      <c r="A127" s="219"/>
      <c r="B127" s="219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1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 outlineLevel="1">
      <c r="A128" s="11"/>
      <c r="B128" s="11"/>
      <c r="C128" s="222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 outlineLevel="1">
      <c r="A129" s="11"/>
      <c r="B129" s="11"/>
      <c r="C129" s="222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>
      <c r="A130" s="219"/>
      <c r="B130" s="219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1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 outlineLevel="1">
      <c r="A131" s="11"/>
      <c r="B131" s="11"/>
      <c r="C131" s="222"/>
      <c r="D131" s="222"/>
      <c r="E131" s="222"/>
      <c r="F131" s="222"/>
      <c r="G131" s="222"/>
      <c r="H131" s="222"/>
      <c r="I131" s="222"/>
      <c r="J131" s="222"/>
      <c r="K131" s="222"/>
      <c r="L131" s="222"/>
      <c r="M131" s="222"/>
      <c r="N131" s="222"/>
      <c r="O131" s="22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 outlineLevel="1">
      <c r="A132" s="11"/>
      <c r="B132" s="11"/>
      <c r="C132" s="222"/>
      <c r="D132" s="222"/>
      <c r="E132" s="222"/>
      <c r="F132" s="222"/>
      <c r="G132" s="222"/>
      <c r="H132" s="222"/>
      <c r="I132" s="222"/>
      <c r="J132" s="222"/>
      <c r="K132" s="222"/>
      <c r="L132" s="222"/>
      <c r="M132" s="222"/>
      <c r="N132" s="222"/>
      <c r="O132" s="22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219"/>
      <c r="B133" s="219"/>
      <c r="C133" s="220"/>
      <c r="D133" s="220"/>
      <c r="E133" s="220"/>
      <c r="F133" s="220"/>
      <c r="G133" s="220"/>
      <c r="H133" s="220"/>
      <c r="I133" s="220"/>
      <c r="J133" s="220"/>
      <c r="K133" s="220"/>
      <c r="L133" s="220"/>
      <c r="M133" s="220"/>
      <c r="N133" s="220"/>
      <c r="O133" s="221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 outlineLevel="1">
      <c r="A134" s="11"/>
      <c r="B134" s="11"/>
      <c r="C134" s="222"/>
      <c r="D134" s="222"/>
      <c r="E134" s="222"/>
      <c r="F134" s="222"/>
      <c r="G134" s="222"/>
      <c r="H134" s="222"/>
      <c r="I134" s="222"/>
      <c r="J134" s="222"/>
      <c r="K134" s="222"/>
      <c r="L134" s="222"/>
      <c r="M134" s="222"/>
      <c r="N134" s="222"/>
      <c r="O134" s="22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 outlineLevel="1">
      <c r="A135" s="11"/>
      <c r="B135" s="11"/>
      <c r="C135" s="222"/>
      <c r="D135" s="222"/>
      <c r="E135" s="222"/>
      <c r="F135" s="222"/>
      <c r="G135" s="222"/>
      <c r="H135" s="222"/>
      <c r="I135" s="222"/>
      <c r="J135" s="222"/>
      <c r="K135" s="222"/>
      <c r="L135" s="222"/>
      <c r="M135" s="222"/>
      <c r="N135" s="222"/>
      <c r="O135" s="22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>
      <c r="A136" s="219"/>
      <c r="B136" s="219"/>
      <c r="C136" s="220"/>
      <c r="D136" s="220"/>
      <c r="E136" s="220"/>
      <c r="F136" s="220"/>
      <c r="G136" s="220"/>
      <c r="H136" s="220"/>
      <c r="I136" s="220"/>
      <c r="J136" s="220"/>
      <c r="K136" s="220"/>
      <c r="L136" s="220"/>
      <c r="M136" s="220"/>
      <c r="N136" s="220"/>
      <c r="O136" s="221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 outlineLevel="1">
      <c r="A137" s="11"/>
      <c r="B137" s="11"/>
      <c r="C137" s="222"/>
      <c r="D137" s="222"/>
      <c r="E137" s="222"/>
      <c r="F137" s="222"/>
      <c r="G137" s="222"/>
      <c r="H137" s="222"/>
      <c r="I137" s="222"/>
      <c r="J137" s="222"/>
      <c r="K137" s="222"/>
      <c r="L137" s="222"/>
      <c r="M137" s="222"/>
      <c r="N137" s="222"/>
      <c r="O137" s="22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 outlineLevel="1">
      <c r="A138" s="11"/>
      <c r="B138" s="11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>
      <c r="A139" s="219"/>
      <c r="B139" s="219"/>
      <c r="C139" s="220"/>
      <c r="D139" s="220"/>
      <c r="E139" s="220"/>
      <c r="F139" s="220"/>
      <c r="G139" s="220"/>
      <c r="H139" s="220"/>
      <c r="I139" s="220"/>
      <c r="J139" s="220"/>
      <c r="K139" s="220"/>
      <c r="L139" s="220"/>
      <c r="M139" s="220"/>
      <c r="N139" s="220"/>
      <c r="O139" s="221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 outlineLevel="1">
      <c r="A140" s="11"/>
      <c r="B140" s="11"/>
      <c r="C140" s="222"/>
      <c r="D140" s="222"/>
      <c r="E140" s="222"/>
      <c r="F140" s="222"/>
      <c r="G140" s="222"/>
      <c r="H140" s="222"/>
      <c r="I140" s="222"/>
      <c r="J140" s="222"/>
      <c r="K140" s="222"/>
      <c r="L140" s="222"/>
      <c r="M140" s="222"/>
      <c r="N140" s="222"/>
      <c r="O140" s="22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 outlineLevel="1">
      <c r="A141" s="11"/>
      <c r="B141" s="11"/>
      <c r="C141" s="222"/>
      <c r="D141" s="222"/>
      <c r="E141" s="222"/>
      <c r="F141" s="222"/>
      <c r="G141" s="222"/>
      <c r="H141" s="222"/>
      <c r="I141" s="222"/>
      <c r="J141" s="222"/>
      <c r="K141" s="222"/>
      <c r="L141" s="222"/>
      <c r="M141" s="222"/>
      <c r="N141" s="222"/>
      <c r="O141" s="22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>
      <c r="A142" s="219"/>
      <c r="B142" s="219"/>
      <c r="C142" s="220"/>
      <c r="D142" s="220"/>
      <c r="E142" s="220"/>
      <c r="F142" s="220"/>
      <c r="G142" s="220"/>
      <c r="H142" s="220"/>
      <c r="I142" s="220"/>
      <c r="J142" s="220"/>
      <c r="K142" s="220"/>
      <c r="L142" s="220"/>
      <c r="M142" s="220"/>
      <c r="N142" s="220"/>
      <c r="O142" s="221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 outlineLevel="1">
      <c r="A143" s="11"/>
      <c r="B143" s="11"/>
      <c r="C143" s="222"/>
      <c r="D143" s="222"/>
      <c r="E143" s="222"/>
      <c r="F143" s="222"/>
      <c r="G143" s="222"/>
      <c r="H143" s="222"/>
      <c r="I143" s="222"/>
      <c r="J143" s="222"/>
      <c r="K143" s="222"/>
      <c r="L143" s="222"/>
      <c r="M143" s="222"/>
      <c r="N143" s="222"/>
      <c r="O143" s="22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 outlineLevel="1">
      <c r="A144" s="11"/>
      <c r="B144" s="11"/>
      <c r="C144" s="222"/>
      <c r="D144" s="222"/>
      <c r="E144" s="222"/>
      <c r="F144" s="222"/>
      <c r="G144" s="222"/>
      <c r="H144" s="222"/>
      <c r="I144" s="222"/>
      <c r="J144" s="222"/>
      <c r="K144" s="222"/>
      <c r="L144" s="222"/>
      <c r="M144" s="222"/>
      <c r="N144" s="222"/>
      <c r="O144" s="22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>
      <c r="A145" s="219"/>
      <c r="B145" s="219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1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 outlineLevel="1">
      <c r="A146" s="11"/>
      <c r="B146" s="11"/>
      <c r="C146" s="222"/>
      <c r="D146" s="222"/>
      <c r="E146" s="222"/>
      <c r="F146" s="222"/>
      <c r="G146" s="222"/>
      <c r="H146" s="222"/>
      <c r="I146" s="222"/>
      <c r="J146" s="222"/>
      <c r="K146" s="222"/>
      <c r="L146" s="222"/>
      <c r="M146" s="222"/>
      <c r="N146" s="222"/>
      <c r="O146" s="22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 outlineLevel="1">
      <c r="A147" s="11"/>
      <c r="B147" s="11"/>
      <c r="C147" s="222"/>
      <c r="D147" s="222"/>
      <c r="E147" s="222"/>
      <c r="F147" s="222"/>
      <c r="G147" s="222"/>
      <c r="H147" s="222"/>
      <c r="I147" s="222"/>
      <c r="J147" s="222"/>
      <c r="K147" s="222"/>
      <c r="L147" s="222"/>
      <c r="M147" s="222"/>
      <c r="N147" s="222"/>
      <c r="O147" s="22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>
      <c r="A148" s="219"/>
      <c r="B148" s="219"/>
      <c r="C148" s="220"/>
      <c r="D148" s="220"/>
      <c r="E148" s="220"/>
      <c r="F148" s="220"/>
      <c r="G148" s="220"/>
      <c r="H148" s="220"/>
      <c r="I148" s="220"/>
      <c r="J148" s="220"/>
      <c r="K148" s="220"/>
      <c r="L148" s="220"/>
      <c r="M148" s="220"/>
      <c r="N148" s="220"/>
      <c r="O148" s="221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 outlineLevel="1">
      <c r="A149" s="11"/>
      <c r="B149" s="11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 outlineLevel="1">
      <c r="A150" s="11"/>
      <c r="B150" s="11"/>
      <c r="C150" s="222"/>
      <c r="D150" s="222"/>
      <c r="E150" s="222"/>
      <c r="F150" s="222"/>
      <c r="G150" s="222"/>
      <c r="H150" s="222"/>
      <c r="I150" s="222"/>
      <c r="J150" s="222"/>
      <c r="K150" s="222"/>
      <c r="L150" s="222"/>
      <c r="M150" s="222"/>
      <c r="N150" s="222"/>
      <c r="O150" s="22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>
      <c r="A151" s="219"/>
      <c r="B151" s="219"/>
      <c r="C151" s="220"/>
      <c r="D151" s="220"/>
      <c r="E151" s="220"/>
      <c r="F151" s="220"/>
      <c r="G151" s="220"/>
      <c r="H151" s="220"/>
      <c r="I151" s="220"/>
      <c r="J151" s="220"/>
      <c r="K151" s="220"/>
      <c r="L151" s="220"/>
      <c r="M151" s="220"/>
      <c r="N151" s="220"/>
      <c r="O151" s="221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 outlineLevel="1">
      <c r="A152" s="11"/>
      <c r="B152" s="11"/>
      <c r="C152" s="222"/>
      <c r="D152" s="222"/>
      <c r="E152" s="222"/>
      <c r="F152" s="222"/>
      <c r="G152" s="222"/>
      <c r="H152" s="222"/>
      <c r="I152" s="222"/>
      <c r="J152" s="222"/>
      <c r="K152" s="222"/>
      <c r="L152" s="222"/>
      <c r="M152" s="222"/>
      <c r="N152" s="222"/>
      <c r="O152" s="22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 outlineLevel="1">
      <c r="A153" s="11"/>
      <c r="B153" s="11"/>
      <c r="C153" s="222"/>
      <c r="D153" s="222"/>
      <c r="E153" s="222"/>
      <c r="F153" s="222"/>
      <c r="G153" s="222"/>
      <c r="H153" s="222"/>
      <c r="I153" s="222"/>
      <c r="J153" s="222"/>
      <c r="K153" s="222"/>
      <c r="L153" s="222"/>
      <c r="M153" s="222"/>
      <c r="N153" s="222"/>
      <c r="O153" s="22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>
      <c r="A154" s="219"/>
      <c r="B154" s="219"/>
      <c r="C154" s="220"/>
      <c r="D154" s="220"/>
      <c r="E154" s="220"/>
      <c r="F154" s="220"/>
      <c r="G154" s="220"/>
      <c r="H154" s="220"/>
      <c r="I154" s="220"/>
      <c r="J154" s="220"/>
      <c r="K154" s="220"/>
      <c r="L154" s="220"/>
      <c r="M154" s="220"/>
      <c r="N154" s="220"/>
      <c r="O154" s="221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 outlineLevel="1">
      <c r="A155" s="11"/>
      <c r="B155" s="11"/>
      <c r="C155" s="222"/>
      <c r="D155" s="222"/>
      <c r="E155" s="222"/>
      <c r="F155" s="222"/>
      <c r="G155" s="222"/>
      <c r="H155" s="222"/>
      <c r="I155" s="222"/>
      <c r="J155" s="222"/>
      <c r="K155" s="222"/>
      <c r="L155" s="222"/>
      <c r="M155" s="222"/>
      <c r="N155" s="222"/>
      <c r="O155" s="22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 outlineLevel="1">
      <c r="A156" s="11"/>
      <c r="B156" s="11"/>
      <c r="C156" s="222"/>
      <c r="D156" s="222"/>
      <c r="E156" s="222"/>
      <c r="F156" s="222"/>
      <c r="G156" s="222"/>
      <c r="H156" s="222"/>
      <c r="I156" s="222"/>
      <c r="J156" s="222"/>
      <c r="K156" s="222"/>
      <c r="L156" s="222"/>
      <c r="M156" s="222"/>
      <c r="N156" s="222"/>
      <c r="O156" s="22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>
      <c r="A157" s="219"/>
      <c r="B157" s="219"/>
      <c r="C157" s="220"/>
      <c r="D157" s="220"/>
      <c r="E157" s="220"/>
      <c r="F157" s="220"/>
      <c r="G157" s="220"/>
      <c r="H157" s="220"/>
      <c r="I157" s="220"/>
      <c r="J157" s="220"/>
      <c r="K157" s="220"/>
      <c r="L157" s="220"/>
      <c r="M157" s="220"/>
      <c r="N157" s="220"/>
      <c r="O157" s="221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 outlineLevel="1">
      <c r="A158" s="11"/>
      <c r="B158" s="11"/>
      <c r="C158" s="223"/>
      <c r="D158" s="223"/>
      <c r="E158" s="223"/>
      <c r="F158" s="223"/>
      <c r="G158" s="223"/>
      <c r="H158" s="223"/>
      <c r="I158" s="223"/>
      <c r="J158" s="223"/>
      <c r="K158" s="223"/>
      <c r="L158" s="223"/>
      <c r="M158" s="223"/>
      <c r="N158" s="223"/>
      <c r="O158" s="22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 outlineLevel="1">
      <c r="A159" s="11"/>
      <c r="B159" s="11"/>
      <c r="C159" s="222"/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>
      <c r="A160" s="219"/>
      <c r="B160" s="219"/>
      <c r="C160" s="220"/>
      <c r="D160" s="220"/>
      <c r="E160" s="220"/>
      <c r="F160" s="220"/>
      <c r="G160" s="220"/>
      <c r="H160" s="220"/>
      <c r="I160" s="220"/>
      <c r="J160" s="220"/>
      <c r="K160" s="220"/>
      <c r="L160" s="220"/>
      <c r="M160" s="220"/>
      <c r="N160" s="220"/>
      <c r="O160" s="221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 outlineLevel="1">
      <c r="A161" s="11"/>
      <c r="B161" s="11"/>
      <c r="C161" s="222"/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 outlineLevel="1">
      <c r="A162" s="11"/>
      <c r="B162" s="11"/>
      <c r="C162" s="222"/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>
      <c r="A163" s="207"/>
      <c r="B163" s="208"/>
      <c r="C163" s="209"/>
      <c r="D163" s="209"/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>
      <c r="A164" s="154"/>
      <c r="B164" s="154"/>
      <c r="C164" s="210"/>
      <c r="D164" s="210"/>
      <c r="E164" s="210"/>
      <c r="F164" s="210"/>
      <c r="G164" s="210"/>
      <c r="H164" s="210"/>
      <c r="I164" s="210"/>
      <c r="J164" s="210"/>
      <c r="K164" s="210"/>
      <c r="L164" s="210"/>
      <c r="M164" s="210"/>
      <c r="N164" s="210"/>
      <c r="O164" s="211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>
      <c r="A165" s="154"/>
      <c r="B165" s="154"/>
      <c r="C165" s="210"/>
      <c r="D165" s="210"/>
      <c r="E165" s="210"/>
      <c r="F165" s="210"/>
      <c r="G165" s="210"/>
      <c r="H165" s="210"/>
      <c r="I165" s="210"/>
      <c r="J165" s="210"/>
      <c r="K165" s="210"/>
      <c r="L165" s="210"/>
      <c r="M165" s="210"/>
      <c r="N165" s="210"/>
      <c r="O165" s="21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>
      <c r="A166" s="224"/>
      <c r="B166" s="225"/>
      <c r="C166" s="227"/>
      <c r="D166" s="228"/>
      <c r="E166" s="228"/>
      <c r="F166" s="228"/>
      <c r="G166" s="228"/>
      <c r="H166" s="228"/>
      <c r="I166" s="228"/>
      <c r="J166" s="228"/>
      <c r="K166" s="228"/>
      <c r="L166" s="228"/>
      <c r="M166" s="228"/>
      <c r="N166" s="228"/>
      <c r="O166" s="227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</row>
    <row r="167" ht="11.25" customHeight="1">
      <c r="A167" s="154"/>
      <c r="B167" s="154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</row>
    <row r="168" ht="11.25" customHeight="1">
      <c r="A168" s="154"/>
      <c r="B168" s="154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</row>
    <row r="169" ht="11.25" customHeight="1">
      <c r="A169" s="213"/>
      <c r="B169" s="213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</row>
    <row r="170" ht="11.25" customHeight="1" outlineLevel="1">
      <c r="A170" s="11"/>
      <c r="B170" s="11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7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</row>
    <row r="171" ht="11.25" customHeight="1" outlineLevel="1">
      <c r="A171" s="11"/>
      <c r="B171" s="11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</row>
    <row r="172" ht="11.25" customHeight="1">
      <c r="A172" s="213"/>
      <c r="B172" s="213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</row>
    <row r="173" ht="11.25" customHeight="1" outlineLevel="1">
      <c r="A173" s="11"/>
      <c r="B173" s="11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7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</row>
    <row r="174" ht="11.25" customHeight="1" outlineLevel="1">
      <c r="A174" s="11"/>
      <c r="B174" s="11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</row>
    <row r="175" ht="11.25" customHeight="1">
      <c r="A175" s="213"/>
      <c r="B175" s="213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</row>
    <row r="176" ht="11.25" customHeight="1" outlineLevel="1">
      <c r="A176" s="11"/>
      <c r="B176" s="11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7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</row>
    <row r="177" ht="11.25" customHeight="1" outlineLevel="1">
      <c r="A177" s="11"/>
      <c r="B177" s="11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</row>
    <row r="178" ht="11.25" customHeight="1">
      <c r="A178" s="213"/>
      <c r="B178" s="213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</row>
    <row r="179" ht="11.25" customHeight="1" outlineLevel="1">
      <c r="A179" s="11"/>
      <c r="B179" s="11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7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</row>
    <row r="180" ht="11.25" customHeight="1" outlineLevel="1">
      <c r="A180" s="11"/>
      <c r="B180" s="11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</row>
    <row r="181" ht="11.25" customHeight="1">
      <c r="A181" s="213"/>
      <c r="B181" s="213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</row>
    <row r="182" ht="11.25" customHeight="1" outlineLevel="1">
      <c r="A182" s="11"/>
      <c r="B182" s="11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7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</row>
    <row r="183" ht="11.25" customHeight="1" outlineLevel="1">
      <c r="A183" s="11"/>
      <c r="B183" s="11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</row>
    <row r="184" ht="11.25" customHeight="1">
      <c r="A184" s="224"/>
      <c r="B184" s="225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</row>
    <row r="185" ht="11.25" customHeight="1">
      <c r="A185" s="154"/>
      <c r="B185" s="154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11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</row>
    <row r="186" ht="11.25" customHeight="1">
      <c r="A186" s="154"/>
      <c r="B186" s="154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</row>
    <row r="187" ht="11.25" customHeight="1">
      <c r="A187" s="213"/>
      <c r="B187" s="213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</row>
    <row r="188" ht="11.25" customHeight="1" outlineLevel="1">
      <c r="A188" s="11"/>
      <c r="B188" s="11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7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</row>
    <row r="189" ht="11.25" customHeight="1" outlineLevel="1">
      <c r="A189" s="11"/>
      <c r="B189" s="11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</row>
    <row r="190" ht="11.25" customHeight="1">
      <c r="A190" s="219"/>
      <c r="B190" s="213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</row>
    <row r="191" ht="11.25" customHeight="1" outlineLevel="1">
      <c r="A191" s="11"/>
      <c r="B191" s="11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7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</row>
    <row r="192" ht="11.25" customHeight="1" outlineLevel="1">
      <c r="A192" s="11"/>
      <c r="B192" s="11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</row>
    <row r="193" ht="11.25" customHeight="1">
      <c r="A193" s="219"/>
      <c r="B193" s="213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</row>
    <row r="194" ht="11.25" customHeight="1" outlineLevel="1">
      <c r="A194" s="11"/>
      <c r="B194" s="11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7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</row>
    <row r="195" ht="11.25" customHeight="1" outlineLevel="1">
      <c r="A195" s="11"/>
      <c r="B195" s="11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</row>
    <row r="196" ht="11.25" customHeight="1">
      <c r="A196" s="219"/>
      <c r="B196" s="213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</row>
    <row r="197" ht="11.25" customHeight="1" outlineLevel="1">
      <c r="A197" s="11"/>
      <c r="B197" s="11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7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</row>
    <row r="198" ht="11.25" customHeight="1" outlineLevel="1">
      <c r="A198" s="11"/>
      <c r="B198" s="11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</row>
    <row r="199" ht="11.25" customHeight="1">
      <c r="A199" s="219"/>
      <c r="B199" s="213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</row>
    <row r="200" ht="11.25" customHeight="1" outlineLevel="1">
      <c r="A200" s="11"/>
      <c r="B200" s="11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7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</row>
    <row r="201" ht="11.25" customHeight="1" outlineLevel="1">
      <c r="A201" s="11"/>
      <c r="B201" s="11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</row>
    <row r="202" ht="11.25" customHeight="1">
      <c r="A202" s="219"/>
      <c r="B202" s="213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</row>
    <row r="203" ht="11.25" customHeight="1" outlineLevel="1">
      <c r="A203" s="11"/>
      <c r="B203" s="11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7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</row>
    <row r="204" ht="11.25" customHeight="1" outlineLevel="1">
      <c r="A204" s="11"/>
      <c r="B204" s="11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</row>
    <row r="205" ht="11.25" customHeight="1">
      <c r="A205" s="219"/>
      <c r="B205" s="213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</row>
    <row r="206" ht="11.25" customHeight="1" outlineLevel="1">
      <c r="A206" s="11"/>
      <c r="B206" s="11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7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</row>
    <row r="207" ht="11.25" customHeight="1" outlineLevel="1">
      <c r="A207" s="11"/>
      <c r="B207" s="11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</row>
    <row r="208" ht="11.25" customHeight="1">
      <c r="A208" s="224"/>
      <c r="B208" s="225"/>
      <c r="C208" s="226"/>
      <c r="D208" s="226"/>
      <c r="E208" s="226"/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>
      <c r="A209" s="154"/>
      <c r="B209" s="154"/>
      <c r="C209" s="210"/>
      <c r="D209" s="210"/>
      <c r="E209" s="210"/>
      <c r="F209" s="210"/>
      <c r="G209" s="210"/>
      <c r="H209" s="210"/>
      <c r="I209" s="210"/>
      <c r="J209" s="210"/>
      <c r="K209" s="210"/>
      <c r="L209" s="210"/>
      <c r="M209" s="210"/>
      <c r="N209" s="210"/>
      <c r="O209" s="211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>
      <c r="A210" s="154"/>
      <c r="B210" s="154"/>
      <c r="C210" s="210"/>
      <c r="D210" s="210"/>
      <c r="E210" s="210"/>
      <c r="F210" s="210"/>
      <c r="G210" s="210"/>
      <c r="H210" s="210"/>
      <c r="I210" s="210"/>
      <c r="J210" s="210"/>
      <c r="K210" s="210"/>
      <c r="L210" s="210"/>
      <c r="M210" s="210"/>
      <c r="N210" s="210"/>
      <c r="O210" s="211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>
      <c r="A211" s="219"/>
      <c r="B211" s="219"/>
      <c r="C211" s="220"/>
      <c r="D211" s="220"/>
      <c r="E211" s="220"/>
      <c r="F211" s="220"/>
      <c r="G211" s="220"/>
      <c r="H211" s="220"/>
      <c r="I211" s="220"/>
      <c r="J211" s="220"/>
      <c r="K211" s="220"/>
      <c r="L211" s="220"/>
      <c r="M211" s="220"/>
      <c r="N211" s="220"/>
      <c r="O211" s="221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 outlineLevel="1">
      <c r="A212" s="11"/>
      <c r="B212" s="11"/>
      <c r="C212" s="222"/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 outlineLevel="1">
      <c r="A213" s="11"/>
      <c r="B213" s="11"/>
      <c r="C213" s="222"/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19"/>
      <c r="B214" s="219"/>
      <c r="C214" s="220"/>
      <c r="D214" s="220"/>
      <c r="E214" s="220"/>
      <c r="F214" s="220"/>
      <c r="G214" s="220"/>
      <c r="H214" s="220"/>
      <c r="I214" s="220"/>
      <c r="J214" s="220"/>
      <c r="K214" s="220"/>
      <c r="L214" s="220"/>
      <c r="M214" s="220"/>
      <c r="N214" s="220"/>
      <c r="O214" s="221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 outlineLevel="1">
      <c r="A215" s="11"/>
      <c r="B215" s="11"/>
      <c r="C215" s="222"/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 outlineLevel="1">
      <c r="A216" s="11"/>
      <c r="B216" s="11"/>
      <c r="C216" s="222"/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24"/>
      <c r="B217" s="225"/>
      <c r="C217" s="226"/>
      <c r="D217" s="226"/>
      <c r="E217" s="226"/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154"/>
      <c r="B218" s="154"/>
      <c r="C218" s="210"/>
      <c r="D218" s="210"/>
      <c r="E218" s="210"/>
      <c r="F218" s="210"/>
      <c r="G218" s="210"/>
      <c r="H218" s="210"/>
      <c r="I218" s="210"/>
      <c r="J218" s="210"/>
      <c r="K218" s="210"/>
      <c r="L218" s="210"/>
      <c r="M218" s="210"/>
      <c r="N218" s="210"/>
      <c r="O218" s="211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154"/>
      <c r="B219" s="154"/>
      <c r="C219" s="210"/>
      <c r="D219" s="210"/>
      <c r="E219" s="210"/>
      <c r="F219" s="210"/>
      <c r="G219" s="210"/>
      <c r="H219" s="210"/>
      <c r="I219" s="210"/>
      <c r="J219" s="210"/>
      <c r="K219" s="210"/>
      <c r="L219" s="210"/>
      <c r="M219" s="210"/>
      <c r="N219" s="210"/>
      <c r="O219" s="211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19"/>
      <c r="B220" s="219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1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30"/>
      <c r="B547" s="230"/>
      <c r="C547" s="230"/>
      <c r="D547" s="230"/>
      <c r="E547" s="230"/>
      <c r="F547" s="230"/>
      <c r="G547" s="230"/>
      <c r="H547" s="230"/>
      <c r="I547" s="230"/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  <c r="V547" s="230"/>
      <c r="W547" s="230"/>
      <c r="X547" s="230"/>
      <c r="Y547" s="230"/>
      <c r="Z547" s="230"/>
    </row>
    <row r="548" ht="11.25" customHeight="1">
      <c r="A548" s="215"/>
      <c r="B548" s="215"/>
      <c r="C548" s="215"/>
      <c r="D548" s="215"/>
      <c r="E548" s="215"/>
      <c r="F548" s="215"/>
      <c r="G548" s="215"/>
      <c r="H548" s="215"/>
      <c r="I548" s="215"/>
      <c r="J548" s="215"/>
      <c r="K548" s="215"/>
      <c r="L548" s="215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</row>
    <row r="549" ht="11.25" customHeight="1">
      <c r="A549" s="215"/>
      <c r="B549" s="215"/>
      <c r="C549" s="215"/>
      <c r="D549" s="215"/>
      <c r="E549" s="215"/>
      <c r="F549" s="215"/>
      <c r="G549" s="215"/>
      <c r="H549" s="215"/>
      <c r="I549" s="215"/>
      <c r="J549" s="215"/>
      <c r="K549" s="215"/>
      <c r="L549" s="215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</row>
    <row r="550" ht="11.25" customHeight="1">
      <c r="A550" s="231"/>
      <c r="B550" s="231"/>
      <c r="C550" s="231"/>
      <c r="D550" s="231"/>
      <c r="E550" s="231"/>
      <c r="F550" s="231"/>
      <c r="G550" s="231"/>
      <c r="H550" s="231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31"/>
      <c r="T550" s="231"/>
      <c r="U550" s="231"/>
      <c r="V550" s="231"/>
      <c r="W550" s="231"/>
      <c r="X550" s="231"/>
      <c r="Y550" s="231"/>
      <c r="Z550" s="231"/>
    </row>
    <row r="551" ht="11.25" customHeight="1">
      <c r="A551" s="215"/>
      <c r="B551" s="215"/>
      <c r="C551" s="215"/>
      <c r="D551" s="215"/>
      <c r="E551" s="215"/>
      <c r="F551" s="215"/>
      <c r="G551" s="215"/>
      <c r="H551" s="215"/>
      <c r="I551" s="215"/>
      <c r="J551" s="215"/>
      <c r="K551" s="215"/>
      <c r="L551" s="215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</row>
    <row r="552" ht="11.25" customHeight="1">
      <c r="A552" s="215"/>
      <c r="B552" s="215"/>
      <c r="C552" s="215"/>
      <c r="D552" s="215"/>
      <c r="E552" s="215"/>
      <c r="F552" s="215"/>
      <c r="G552" s="215"/>
      <c r="H552" s="215"/>
      <c r="I552" s="215"/>
      <c r="J552" s="215"/>
      <c r="K552" s="215"/>
      <c r="L552" s="215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</row>
    <row r="553" ht="11.25" customHeight="1">
      <c r="A553" s="231"/>
      <c r="B553" s="231"/>
      <c r="C553" s="231"/>
      <c r="D553" s="231"/>
      <c r="E553" s="231"/>
      <c r="F553" s="231"/>
      <c r="G553" s="231"/>
      <c r="H553" s="231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31"/>
      <c r="T553" s="231"/>
      <c r="U553" s="231"/>
      <c r="V553" s="231"/>
      <c r="W553" s="231"/>
      <c r="X553" s="231"/>
      <c r="Y553" s="231"/>
      <c r="Z553" s="231"/>
    </row>
    <row r="554" ht="11.25" customHeight="1">
      <c r="A554" s="215"/>
      <c r="B554" s="215"/>
      <c r="C554" s="215"/>
      <c r="D554" s="215"/>
      <c r="E554" s="215"/>
      <c r="F554" s="215"/>
      <c r="G554" s="215"/>
      <c r="H554" s="215"/>
      <c r="I554" s="215"/>
      <c r="J554" s="215"/>
      <c r="K554" s="215"/>
      <c r="L554" s="215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</row>
    <row r="555" ht="11.25" customHeight="1">
      <c r="A555" s="215"/>
      <c r="B555" s="215"/>
      <c r="C555" s="215"/>
      <c r="D555" s="215"/>
      <c r="E555" s="215"/>
      <c r="F555" s="215"/>
      <c r="G555" s="215"/>
      <c r="H555" s="215"/>
      <c r="I555" s="215"/>
      <c r="J555" s="215"/>
      <c r="K555" s="215"/>
      <c r="L555" s="215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31"/>
      <c r="B559" s="231"/>
      <c r="C559" s="231"/>
      <c r="D559" s="231"/>
      <c r="E559" s="231"/>
      <c r="F559" s="231"/>
      <c r="G559" s="231"/>
      <c r="H559" s="231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31"/>
      <c r="T559" s="231"/>
      <c r="U559" s="231"/>
      <c r="V559" s="231"/>
      <c r="W559" s="231"/>
      <c r="X559" s="231"/>
      <c r="Y559" s="231"/>
      <c r="Z559" s="231"/>
    </row>
    <row r="560" ht="11.25" customHeight="1">
      <c r="A560" s="215"/>
      <c r="B560" s="215"/>
      <c r="C560" s="215"/>
      <c r="D560" s="215"/>
      <c r="E560" s="215"/>
      <c r="F560" s="215"/>
      <c r="G560" s="215"/>
      <c r="H560" s="215"/>
      <c r="I560" s="215"/>
      <c r="J560" s="215"/>
      <c r="K560" s="215"/>
      <c r="L560" s="215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</row>
    <row r="561" ht="11.25" customHeight="1">
      <c r="A561" s="215"/>
      <c r="B561" s="215"/>
      <c r="C561" s="215"/>
      <c r="D561" s="215"/>
      <c r="E561" s="215"/>
      <c r="F561" s="215"/>
      <c r="G561" s="215"/>
      <c r="H561" s="215"/>
      <c r="I561" s="215"/>
      <c r="J561" s="215"/>
      <c r="K561" s="215"/>
      <c r="L561" s="215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30"/>
      <c r="B599" s="230"/>
      <c r="C599" s="230"/>
      <c r="D599" s="230"/>
      <c r="E599" s="230"/>
      <c r="F599" s="230"/>
      <c r="G599" s="230"/>
      <c r="H599" s="230"/>
      <c r="I599" s="230"/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  <c r="V599" s="230"/>
      <c r="W599" s="230"/>
      <c r="X599" s="230"/>
      <c r="Y599" s="230"/>
      <c r="Z599" s="230"/>
    </row>
    <row r="600" ht="11.25" customHeight="1">
      <c r="A600" s="215"/>
      <c r="B600" s="215"/>
      <c r="C600" s="215"/>
      <c r="D600" s="215"/>
      <c r="E600" s="215"/>
      <c r="F600" s="215"/>
      <c r="G600" s="215"/>
      <c r="H600" s="215"/>
      <c r="I600" s="215"/>
      <c r="J600" s="215"/>
      <c r="K600" s="215"/>
      <c r="L600" s="215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</row>
    <row r="601" ht="11.25" customHeight="1">
      <c r="A601" s="215"/>
      <c r="B601" s="215"/>
      <c r="C601" s="215"/>
      <c r="D601" s="215"/>
      <c r="E601" s="215"/>
      <c r="F601" s="215"/>
      <c r="G601" s="215"/>
      <c r="H601" s="215"/>
      <c r="I601" s="215"/>
      <c r="J601" s="215"/>
      <c r="K601" s="215"/>
      <c r="L601" s="215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</row>
    <row r="602" ht="11.25" customHeight="1">
      <c r="A602" s="231"/>
      <c r="B602" s="231"/>
      <c r="C602" s="231"/>
      <c r="D602" s="231"/>
      <c r="E602" s="231"/>
      <c r="F602" s="231"/>
      <c r="G602" s="231"/>
      <c r="H602" s="231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31"/>
      <c r="T602" s="231"/>
      <c r="U602" s="231"/>
      <c r="V602" s="231"/>
      <c r="W602" s="231"/>
      <c r="X602" s="231"/>
      <c r="Y602" s="231"/>
      <c r="Z602" s="231"/>
    </row>
    <row r="603" ht="11.25" customHeight="1">
      <c r="A603" s="215"/>
      <c r="B603" s="215"/>
      <c r="C603" s="215"/>
      <c r="D603" s="215"/>
      <c r="E603" s="215"/>
      <c r="F603" s="215"/>
      <c r="G603" s="215"/>
      <c r="H603" s="215"/>
      <c r="I603" s="215"/>
      <c r="J603" s="215"/>
      <c r="K603" s="215"/>
      <c r="L603" s="215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</row>
    <row r="604" ht="11.25" customHeight="1">
      <c r="A604" s="215"/>
      <c r="B604" s="215"/>
      <c r="C604" s="215"/>
      <c r="D604" s="215"/>
      <c r="E604" s="215"/>
      <c r="F604" s="215"/>
      <c r="G604" s="215"/>
      <c r="H604" s="215"/>
      <c r="I604" s="215"/>
      <c r="J604" s="215"/>
      <c r="K604" s="215"/>
      <c r="L604" s="215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</row>
    <row r="605" ht="11.25" customHeight="1">
      <c r="A605" s="230"/>
      <c r="B605" s="230"/>
      <c r="C605" s="230"/>
      <c r="D605" s="230"/>
      <c r="E605" s="230"/>
      <c r="F605" s="230"/>
      <c r="G605" s="230"/>
      <c r="H605" s="230"/>
      <c r="I605" s="230"/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  <c r="V605" s="230"/>
      <c r="W605" s="230"/>
      <c r="X605" s="230"/>
      <c r="Y605" s="230"/>
      <c r="Z605" s="230"/>
    </row>
    <row r="606" ht="11.25" customHeight="1">
      <c r="A606" s="215"/>
      <c r="B606" s="215"/>
      <c r="C606" s="215"/>
      <c r="D606" s="215"/>
      <c r="E606" s="215"/>
      <c r="F606" s="215"/>
      <c r="G606" s="215"/>
      <c r="H606" s="215"/>
      <c r="I606" s="215"/>
      <c r="J606" s="215"/>
      <c r="K606" s="215"/>
      <c r="L606" s="215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</row>
    <row r="607" ht="11.25" customHeight="1">
      <c r="A607" s="215"/>
      <c r="B607" s="215"/>
      <c r="C607" s="215"/>
      <c r="D607" s="215"/>
      <c r="E607" s="215"/>
      <c r="F607" s="215"/>
      <c r="G607" s="215"/>
      <c r="H607" s="215"/>
      <c r="I607" s="215"/>
      <c r="J607" s="215"/>
      <c r="K607" s="215"/>
      <c r="L607" s="215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</row>
    <row r="608" ht="11.25" customHeight="1">
      <c r="A608" s="215"/>
      <c r="B608" s="215"/>
      <c r="C608" s="215"/>
      <c r="D608" s="215"/>
      <c r="E608" s="215"/>
      <c r="F608" s="215"/>
      <c r="G608" s="215"/>
      <c r="H608" s="215"/>
      <c r="I608" s="215"/>
      <c r="J608" s="215"/>
      <c r="K608" s="215"/>
      <c r="L608" s="215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</row>
    <row r="609" ht="11.25" customHeight="1">
      <c r="A609" s="215"/>
      <c r="B609" s="215"/>
      <c r="C609" s="215"/>
      <c r="D609" s="215"/>
      <c r="E609" s="215"/>
      <c r="F609" s="215"/>
      <c r="G609" s="215"/>
      <c r="H609" s="215"/>
      <c r="I609" s="215"/>
      <c r="J609" s="215"/>
      <c r="K609" s="215"/>
      <c r="L609" s="215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</row>
    <row r="610" ht="11.25" customHeight="1">
      <c r="A610" s="215"/>
      <c r="B610" s="215"/>
      <c r="C610" s="215"/>
      <c r="D610" s="215"/>
      <c r="E610" s="215"/>
      <c r="F610" s="215"/>
      <c r="G610" s="215"/>
      <c r="H610" s="215"/>
      <c r="I610" s="215"/>
      <c r="J610" s="215"/>
      <c r="K610" s="215"/>
      <c r="L610" s="215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</row>
    <row r="611" ht="11.25" customHeight="1">
      <c r="A611" s="215"/>
      <c r="B611" s="215"/>
      <c r="C611" s="215"/>
      <c r="D611" s="215"/>
      <c r="E611" s="215"/>
      <c r="F611" s="215"/>
      <c r="G611" s="215"/>
      <c r="H611" s="215"/>
      <c r="I611" s="215"/>
      <c r="J611" s="215"/>
      <c r="K611" s="215"/>
      <c r="L611" s="215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</row>
    <row r="612" ht="11.25" customHeight="1">
      <c r="A612" s="215"/>
      <c r="B612" s="215"/>
      <c r="C612" s="215"/>
      <c r="D612" s="215"/>
      <c r="E612" s="215"/>
      <c r="F612" s="215"/>
      <c r="G612" s="215"/>
      <c r="H612" s="215"/>
      <c r="I612" s="215"/>
      <c r="J612" s="215"/>
      <c r="K612" s="215"/>
      <c r="L612" s="215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</row>
    <row r="613" ht="11.25" customHeight="1">
      <c r="A613" s="215"/>
      <c r="B613" s="215"/>
      <c r="C613" s="215"/>
      <c r="D613" s="215"/>
      <c r="E613" s="215"/>
      <c r="F613" s="215"/>
      <c r="G613" s="215"/>
      <c r="H613" s="215"/>
      <c r="I613" s="215"/>
      <c r="J613" s="215"/>
      <c r="K613" s="215"/>
      <c r="L613" s="215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3:$O$220"/>
  <mergeCells count="1">
    <mergeCell ref="A1:O1"/>
  </mergeCells>
  <printOptions/>
  <pageMargins bottom="0.0" footer="0.0" header="0.0" left="0.0" right="0.0" top="0.0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CC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Row="2"/>
  <cols>
    <col customWidth="1" min="1" max="1" width="49.71"/>
    <col customWidth="1" min="2" max="13" width="14.86"/>
    <col customWidth="1" min="14" max="15" width="17.57"/>
    <col customWidth="1" min="16" max="16" width="11.43"/>
    <col customWidth="1" min="17" max="26" width="8.71"/>
  </cols>
  <sheetData>
    <row r="1" ht="14.25" customHeight="1">
      <c r="A1" s="89" t="s">
        <v>366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31" t="s">
        <v>14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68" t="s">
        <v>200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10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92" t="s">
        <v>356</v>
      </c>
      <c r="B5" s="232">
        <f t="shared" ref="B5:M5" si="1">SUM(B6:B30)</f>
        <v>0</v>
      </c>
      <c r="C5" s="232">
        <f t="shared" si="1"/>
        <v>0</v>
      </c>
      <c r="D5" s="232">
        <f t="shared" si="1"/>
        <v>0</v>
      </c>
      <c r="E5" s="232">
        <f t="shared" si="1"/>
        <v>0</v>
      </c>
      <c r="F5" s="232">
        <f t="shared" si="1"/>
        <v>0</v>
      </c>
      <c r="G5" s="232">
        <f t="shared" si="1"/>
        <v>0</v>
      </c>
      <c r="H5" s="232">
        <f t="shared" si="1"/>
        <v>0</v>
      </c>
      <c r="I5" s="232">
        <f t="shared" si="1"/>
        <v>0</v>
      </c>
      <c r="J5" s="232">
        <f t="shared" si="1"/>
        <v>0</v>
      </c>
      <c r="K5" s="232">
        <f t="shared" si="1"/>
        <v>0</v>
      </c>
      <c r="L5" s="232">
        <f t="shared" si="1"/>
        <v>0</v>
      </c>
      <c r="M5" s="232">
        <f t="shared" si="1"/>
        <v>0</v>
      </c>
      <c r="N5" s="232">
        <f t="shared" ref="N5:N30" si="3">B5+C5+D5+E5+F5+G5+H5+I5+J5+K5+L5+M5</f>
        <v>0</v>
      </c>
      <c r="O5" s="233"/>
      <c r="P5" s="233"/>
      <c r="Q5" s="2"/>
      <c r="R5" s="2"/>
      <c r="S5" s="2"/>
      <c r="T5" s="2"/>
      <c r="U5" s="2"/>
      <c r="V5" s="2"/>
      <c r="W5" s="2"/>
      <c r="X5" s="2"/>
      <c r="Y5" s="2"/>
      <c r="Z5" s="2"/>
    </row>
    <row r="6" ht="12.0" customHeight="1" outlineLevel="1">
      <c r="A6" s="11" t="str">
        <f>A$192</f>
        <v/>
      </c>
      <c r="B6" s="12">
        <f t="shared" ref="B6:M6" si="2">($C224/12*D$223+$C276/12*D$275+$C302/12*D$301+$C328/12*D$327+$C432/12*D$431+$C458/12*D$457+$C484/12*D$483+$C510/12*D$509+$C562/12*D$561+$C536/12*D$535+D$587*$C588/12+D$249*$C250/12+D$353*$C354/12+D$379*$C380/12+D$405*$C406/12)*B192/1000</f>
        <v>0</v>
      </c>
      <c r="C6" s="12">
        <f t="shared" si="2"/>
        <v>0</v>
      </c>
      <c r="D6" s="12">
        <f t="shared" si="2"/>
        <v>0</v>
      </c>
      <c r="E6" s="12">
        <f t="shared" si="2"/>
        <v>0</v>
      </c>
      <c r="F6" s="12">
        <f t="shared" si="2"/>
        <v>0</v>
      </c>
      <c r="G6" s="12">
        <f t="shared" si="2"/>
        <v>0</v>
      </c>
      <c r="H6" s="12">
        <f t="shared" si="2"/>
        <v>0</v>
      </c>
      <c r="I6" s="12">
        <f t="shared" si="2"/>
        <v>0</v>
      </c>
      <c r="J6" s="12">
        <f t="shared" si="2"/>
        <v>0</v>
      </c>
      <c r="K6" s="12">
        <f t="shared" si="2"/>
        <v>0</v>
      </c>
      <c r="L6" s="12">
        <f t="shared" si="2"/>
        <v>0</v>
      </c>
      <c r="M6" s="12">
        <f t="shared" si="2"/>
        <v>0</v>
      </c>
      <c r="N6" s="12">
        <f t="shared" si="3"/>
        <v>0</v>
      </c>
      <c r="O6" s="23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0" customHeight="1" outlineLevel="1">
      <c r="A7" s="11" t="str">
        <f>A$193</f>
        <v/>
      </c>
      <c r="B7" s="12">
        <f t="shared" ref="B7:M7" si="4">($C225/12*D$223+$C277/12*D$275+$C303/12*D$301+$C329/12*D$327+$C433/12*D$431+$C459/12*D$457+$C485/12*D$483+$C511/12*D$509+$C563/12*D$561+$C537/12*D$535+D$587*$C589/12+D$249*$C251/12+D$353*$C355/12+D$379*$C381/12+D$405*$C407/12)*B193/1000</f>
        <v>0</v>
      </c>
      <c r="C7" s="12">
        <f t="shared" si="4"/>
        <v>0</v>
      </c>
      <c r="D7" s="12">
        <f t="shared" si="4"/>
        <v>0</v>
      </c>
      <c r="E7" s="12">
        <f t="shared" si="4"/>
        <v>0</v>
      </c>
      <c r="F7" s="12">
        <f t="shared" si="4"/>
        <v>0</v>
      </c>
      <c r="G7" s="12">
        <f t="shared" si="4"/>
        <v>0</v>
      </c>
      <c r="H7" s="12">
        <f t="shared" si="4"/>
        <v>0</v>
      </c>
      <c r="I7" s="12">
        <f t="shared" si="4"/>
        <v>0</v>
      </c>
      <c r="J7" s="12">
        <f t="shared" si="4"/>
        <v>0</v>
      </c>
      <c r="K7" s="12">
        <f t="shared" si="4"/>
        <v>0</v>
      </c>
      <c r="L7" s="12">
        <f t="shared" si="4"/>
        <v>0</v>
      </c>
      <c r="M7" s="12">
        <f t="shared" si="4"/>
        <v>0</v>
      </c>
      <c r="N7" s="12">
        <f t="shared" si="3"/>
        <v>0</v>
      </c>
      <c r="O7" s="233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0" customHeight="1" outlineLevel="1">
      <c r="A8" s="11" t="str">
        <f>A$194</f>
        <v/>
      </c>
      <c r="B8" s="12">
        <f t="shared" ref="B8:M8" si="5">($C226/12*D$223+$C278/12*D$275+$C304/12*D$301+$C330/12*D$327+$C434/12*D$431+$C460/12*D$457+$C486/12*D$483+$C512/12*D$509+$C564/12*D$561+$C538/12*D$535+D$587*$C590/12+D$249*$C252/12+D$353*$C356/12+D$379*$C382/12+D$405*$C408/12)*B194/1000</f>
        <v>0</v>
      </c>
      <c r="C8" s="12">
        <f t="shared" si="5"/>
        <v>0</v>
      </c>
      <c r="D8" s="12">
        <f t="shared" si="5"/>
        <v>0</v>
      </c>
      <c r="E8" s="12">
        <f t="shared" si="5"/>
        <v>0</v>
      </c>
      <c r="F8" s="12">
        <f t="shared" si="5"/>
        <v>0</v>
      </c>
      <c r="G8" s="12">
        <f t="shared" si="5"/>
        <v>0</v>
      </c>
      <c r="H8" s="12">
        <f t="shared" si="5"/>
        <v>0</v>
      </c>
      <c r="I8" s="12">
        <f t="shared" si="5"/>
        <v>0</v>
      </c>
      <c r="J8" s="12">
        <f t="shared" si="5"/>
        <v>0</v>
      </c>
      <c r="K8" s="12">
        <f t="shared" si="5"/>
        <v>0</v>
      </c>
      <c r="L8" s="12">
        <f t="shared" si="5"/>
        <v>0</v>
      </c>
      <c r="M8" s="12">
        <f t="shared" si="5"/>
        <v>0</v>
      </c>
      <c r="N8" s="12">
        <f t="shared" si="3"/>
        <v>0</v>
      </c>
      <c r="O8" s="233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0" customHeight="1" outlineLevel="1">
      <c r="A9" s="11" t="str">
        <f>A$195</f>
        <v/>
      </c>
      <c r="B9" s="12">
        <f t="shared" ref="B9:M9" si="6">($C227/12*D$223+$C279/12*D$275+$C305/12*D$301+$C331/12*D$327+$C435/12*D$431+$C461/12*D$457+$C487/12*D$483+$C513/12*D$509+$C565/12*D$561+$C539/12*D$535+D$587*$C591/12+D$249*$C253/12+D$353*$C357/12+D$379*$C383/12+D$405*$C409/12)*B195/1000</f>
        <v>0</v>
      </c>
      <c r="C9" s="12">
        <f t="shared" si="6"/>
        <v>0</v>
      </c>
      <c r="D9" s="12">
        <f t="shared" si="6"/>
        <v>0</v>
      </c>
      <c r="E9" s="12">
        <f t="shared" si="6"/>
        <v>0</v>
      </c>
      <c r="F9" s="12">
        <f t="shared" si="6"/>
        <v>0</v>
      </c>
      <c r="G9" s="12">
        <f t="shared" si="6"/>
        <v>0</v>
      </c>
      <c r="H9" s="12">
        <f t="shared" si="6"/>
        <v>0</v>
      </c>
      <c r="I9" s="12">
        <f t="shared" si="6"/>
        <v>0</v>
      </c>
      <c r="J9" s="12">
        <f t="shared" si="6"/>
        <v>0</v>
      </c>
      <c r="K9" s="12">
        <f t="shared" si="6"/>
        <v>0</v>
      </c>
      <c r="L9" s="12">
        <f t="shared" si="6"/>
        <v>0</v>
      </c>
      <c r="M9" s="12">
        <f t="shared" si="6"/>
        <v>0</v>
      </c>
      <c r="N9" s="12">
        <f t="shared" si="3"/>
        <v>0</v>
      </c>
      <c r="O9" s="233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0" customHeight="1" outlineLevel="1">
      <c r="A10" s="11" t="str">
        <f>A$196</f>
        <v/>
      </c>
      <c r="B10" s="12">
        <f t="shared" ref="B10:M10" si="7">($C228/12*D$223+$C280/12*D$275+$C306/12*D$301+$C332/12*D$327+$C436/12*D$431+$C462/12*D$457+$C488/12*D$483+$C514/12*D$509+$C566/12*D$561+$C540/12*D$535+D$587*$C592/12+D$249*$C254/12+D$353*$C358/12+D$379*$C384/12+D$405*$C410/12)*B196/1000</f>
        <v>0</v>
      </c>
      <c r="C10" s="12">
        <f t="shared" si="7"/>
        <v>0</v>
      </c>
      <c r="D10" s="12">
        <f t="shared" si="7"/>
        <v>0</v>
      </c>
      <c r="E10" s="12">
        <f t="shared" si="7"/>
        <v>0</v>
      </c>
      <c r="F10" s="12">
        <f t="shared" si="7"/>
        <v>0</v>
      </c>
      <c r="G10" s="12">
        <f t="shared" si="7"/>
        <v>0</v>
      </c>
      <c r="H10" s="12">
        <f t="shared" si="7"/>
        <v>0</v>
      </c>
      <c r="I10" s="12">
        <f t="shared" si="7"/>
        <v>0</v>
      </c>
      <c r="J10" s="12">
        <f t="shared" si="7"/>
        <v>0</v>
      </c>
      <c r="K10" s="12">
        <f t="shared" si="7"/>
        <v>0</v>
      </c>
      <c r="L10" s="12">
        <f t="shared" si="7"/>
        <v>0</v>
      </c>
      <c r="M10" s="12">
        <f t="shared" si="7"/>
        <v>0</v>
      </c>
      <c r="N10" s="12">
        <f t="shared" si="3"/>
        <v>0</v>
      </c>
      <c r="O10" s="23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0" customHeight="1" outlineLevel="1">
      <c r="A11" s="11" t="str">
        <f>A$197</f>
        <v/>
      </c>
      <c r="B11" s="12">
        <f t="shared" ref="B11:M11" si="8">($C229/12*D$223+$C281/12*D$275+$C307/12*D$301+$C333/12*D$327+$C437/12*D$431+$C463/12*D$457+$C489/12*D$483+$C515/12*D$509+$C567/12*D$561+$C541/12*D$535+D$587*$C593/12+D$249*$C255/12+D$353*$C359/12+D$379*$C385/12+D$405*$C411/12)*B197/1000</f>
        <v>0</v>
      </c>
      <c r="C11" s="12">
        <f t="shared" si="8"/>
        <v>0</v>
      </c>
      <c r="D11" s="12">
        <f t="shared" si="8"/>
        <v>0</v>
      </c>
      <c r="E11" s="12">
        <f t="shared" si="8"/>
        <v>0</v>
      </c>
      <c r="F11" s="12">
        <f t="shared" si="8"/>
        <v>0</v>
      </c>
      <c r="G11" s="12">
        <f t="shared" si="8"/>
        <v>0</v>
      </c>
      <c r="H11" s="12">
        <f t="shared" si="8"/>
        <v>0</v>
      </c>
      <c r="I11" s="12">
        <f t="shared" si="8"/>
        <v>0</v>
      </c>
      <c r="J11" s="12">
        <f t="shared" si="8"/>
        <v>0</v>
      </c>
      <c r="K11" s="12">
        <f t="shared" si="8"/>
        <v>0</v>
      </c>
      <c r="L11" s="12">
        <f t="shared" si="8"/>
        <v>0</v>
      </c>
      <c r="M11" s="12">
        <f t="shared" si="8"/>
        <v>0</v>
      </c>
      <c r="N11" s="12">
        <f t="shared" si="3"/>
        <v>0</v>
      </c>
      <c r="O11" s="23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0" customHeight="1" outlineLevel="1">
      <c r="A12" s="11" t="str">
        <f>A$198</f>
        <v/>
      </c>
      <c r="B12" s="12">
        <f t="shared" ref="B12:M12" si="9">($C230/12*D$223+$C282/12*D$275+$C308/12*D$301+$C334/12*D$327+$C438/12*D$431+$C464/12*D$457+$C490/12*D$483+$C516/12*D$509+$C568/12*D$561+$C542/12*D$535+D$587*$C594/12+D$249*$C256/12+D$353*$C360/12+D$379*$C386/12+D$405*$C412/12)*B198/1000</f>
        <v>0</v>
      </c>
      <c r="C12" s="12">
        <f t="shared" si="9"/>
        <v>0</v>
      </c>
      <c r="D12" s="12">
        <f t="shared" si="9"/>
        <v>0</v>
      </c>
      <c r="E12" s="12">
        <f t="shared" si="9"/>
        <v>0</v>
      </c>
      <c r="F12" s="12">
        <f t="shared" si="9"/>
        <v>0</v>
      </c>
      <c r="G12" s="12">
        <f t="shared" si="9"/>
        <v>0</v>
      </c>
      <c r="H12" s="12">
        <f t="shared" si="9"/>
        <v>0</v>
      </c>
      <c r="I12" s="12">
        <f t="shared" si="9"/>
        <v>0</v>
      </c>
      <c r="J12" s="12">
        <f t="shared" si="9"/>
        <v>0</v>
      </c>
      <c r="K12" s="12">
        <f t="shared" si="9"/>
        <v>0</v>
      </c>
      <c r="L12" s="12">
        <f t="shared" si="9"/>
        <v>0</v>
      </c>
      <c r="M12" s="12">
        <f t="shared" si="9"/>
        <v>0</v>
      </c>
      <c r="N12" s="12">
        <f t="shared" si="3"/>
        <v>0</v>
      </c>
      <c r="O12" s="23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0" customHeight="1" outlineLevel="1">
      <c r="A13" s="11" t="str">
        <f>A$199</f>
        <v/>
      </c>
      <c r="B13" s="12">
        <f t="shared" ref="B13:M13" si="10">($C231/12*D$223+$C283/12*D$275+$C309/12*D$301+$C335/12*D$327+$C439/12*D$431+$C465/12*D$457+$C491/12*D$483+$C517/12*D$509+$C569/12*D$561+$C543/12*D$535+D$587*$C595/12+D$249*$C257/12+D$353*$C361/12+D$379*$C387/12+D$405*$C413/12)*B199/1000</f>
        <v>0</v>
      </c>
      <c r="C13" s="12">
        <f t="shared" si="10"/>
        <v>0</v>
      </c>
      <c r="D13" s="12">
        <f t="shared" si="10"/>
        <v>0</v>
      </c>
      <c r="E13" s="12">
        <f t="shared" si="10"/>
        <v>0</v>
      </c>
      <c r="F13" s="12">
        <f t="shared" si="10"/>
        <v>0</v>
      </c>
      <c r="G13" s="12">
        <f t="shared" si="10"/>
        <v>0</v>
      </c>
      <c r="H13" s="12">
        <f t="shared" si="10"/>
        <v>0</v>
      </c>
      <c r="I13" s="12">
        <f t="shared" si="10"/>
        <v>0</v>
      </c>
      <c r="J13" s="12">
        <f t="shared" si="10"/>
        <v>0</v>
      </c>
      <c r="K13" s="12">
        <f t="shared" si="10"/>
        <v>0</v>
      </c>
      <c r="L13" s="12">
        <f t="shared" si="10"/>
        <v>0</v>
      </c>
      <c r="M13" s="12">
        <f t="shared" si="10"/>
        <v>0</v>
      </c>
      <c r="N13" s="12">
        <f t="shared" si="3"/>
        <v>0</v>
      </c>
      <c r="O13" s="23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0" customHeight="1" outlineLevel="1">
      <c r="A14" s="11" t="str">
        <f>A$200</f>
        <v/>
      </c>
      <c r="B14" s="12">
        <f t="shared" ref="B14:M14" si="11">($C232/12*D$223+$C284/12*D$275+$C310/12*D$301+$C336/12*D$327+$C440/12*D$431+$C466/12*D$457+$C492/12*D$483+$C518/12*D$509+$C570/12*D$561+$C544/12*D$535+D$587*$C596/12+D$249*$C258/12+D$353*$C362/12+D$379*$C388/12+D$405*$C414/12)*B200/1000</f>
        <v>0</v>
      </c>
      <c r="C14" s="12">
        <f t="shared" si="11"/>
        <v>0</v>
      </c>
      <c r="D14" s="12">
        <f t="shared" si="11"/>
        <v>0</v>
      </c>
      <c r="E14" s="12">
        <f t="shared" si="11"/>
        <v>0</v>
      </c>
      <c r="F14" s="12">
        <f t="shared" si="11"/>
        <v>0</v>
      </c>
      <c r="G14" s="12">
        <f t="shared" si="11"/>
        <v>0</v>
      </c>
      <c r="H14" s="12">
        <f t="shared" si="11"/>
        <v>0</v>
      </c>
      <c r="I14" s="12">
        <f t="shared" si="11"/>
        <v>0</v>
      </c>
      <c r="J14" s="12">
        <f t="shared" si="11"/>
        <v>0</v>
      </c>
      <c r="K14" s="12">
        <f t="shared" si="11"/>
        <v>0</v>
      </c>
      <c r="L14" s="12">
        <f t="shared" si="11"/>
        <v>0</v>
      </c>
      <c r="M14" s="12">
        <f t="shared" si="11"/>
        <v>0</v>
      </c>
      <c r="N14" s="12">
        <f t="shared" si="3"/>
        <v>0</v>
      </c>
      <c r="O14" s="23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0" customHeight="1" outlineLevel="1">
      <c r="A15" s="11" t="str">
        <f>A$201</f>
        <v/>
      </c>
      <c r="B15" s="12">
        <f t="shared" ref="B15:M15" si="12">($C233/12*D$223+$C285/12*D$275+$C311/12*D$301+$C337/12*D$327+$C441/12*D$431+$C467/12*D$457+$C493/12*D$483+$C519/12*D$509+$C571/12*D$561+$C545/12*D$535+D$587*$C597/12+D$249*$C259/12+D$353*$C363/12+D$379*$C389/12+D$405*$C415/12)*B201/1000</f>
        <v>0</v>
      </c>
      <c r="C15" s="12">
        <f t="shared" si="12"/>
        <v>0</v>
      </c>
      <c r="D15" s="12">
        <f t="shared" si="12"/>
        <v>0</v>
      </c>
      <c r="E15" s="12">
        <f t="shared" si="12"/>
        <v>0</v>
      </c>
      <c r="F15" s="12">
        <f t="shared" si="12"/>
        <v>0</v>
      </c>
      <c r="G15" s="12">
        <f t="shared" si="12"/>
        <v>0</v>
      </c>
      <c r="H15" s="12">
        <f t="shared" si="12"/>
        <v>0</v>
      </c>
      <c r="I15" s="12">
        <f t="shared" si="12"/>
        <v>0</v>
      </c>
      <c r="J15" s="12">
        <f t="shared" si="12"/>
        <v>0</v>
      </c>
      <c r="K15" s="12">
        <f t="shared" si="12"/>
        <v>0</v>
      </c>
      <c r="L15" s="12">
        <f t="shared" si="12"/>
        <v>0</v>
      </c>
      <c r="M15" s="12">
        <f t="shared" si="12"/>
        <v>0</v>
      </c>
      <c r="N15" s="12">
        <f t="shared" si="3"/>
        <v>0</v>
      </c>
      <c r="O15" s="23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0" customHeight="1" outlineLevel="1">
      <c r="A16" s="11" t="str">
        <f t="shared" ref="A16:A18" si="14">A$202</f>
        <v/>
      </c>
      <c r="B16" s="12">
        <f t="shared" ref="B16:M16" si="13">($C234/12*D$223+$C286/12*D$275+$C312/12*D$301+$C338/12*D$327+$C442/12*D$431+$C468/12*D$457+$C494/12*D$483+$C520/12*D$509+$C572/12*D$561+$C546/12*D$535+D$587*$C598/12+D$249*$C260/12+D$353*$C364/12+D$379*$C390/12+D$405*$C416/12)*B202/1000</f>
        <v>0</v>
      </c>
      <c r="C16" s="12">
        <f t="shared" si="13"/>
        <v>0</v>
      </c>
      <c r="D16" s="12">
        <f t="shared" si="13"/>
        <v>0</v>
      </c>
      <c r="E16" s="12">
        <f t="shared" si="13"/>
        <v>0</v>
      </c>
      <c r="F16" s="12">
        <f t="shared" si="13"/>
        <v>0</v>
      </c>
      <c r="G16" s="12">
        <f t="shared" si="13"/>
        <v>0</v>
      </c>
      <c r="H16" s="12">
        <f t="shared" si="13"/>
        <v>0</v>
      </c>
      <c r="I16" s="12">
        <f t="shared" si="13"/>
        <v>0</v>
      </c>
      <c r="J16" s="12">
        <f t="shared" si="13"/>
        <v>0</v>
      </c>
      <c r="K16" s="12">
        <f t="shared" si="13"/>
        <v>0</v>
      </c>
      <c r="L16" s="12">
        <f t="shared" si="13"/>
        <v>0</v>
      </c>
      <c r="M16" s="12">
        <f t="shared" si="13"/>
        <v>0</v>
      </c>
      <c r="N16" s="12">
        <f t="shared" si="3"/>
        <v>0</v>
      </c>
      <c r="O16" s="23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0" customHeight="1" outlineLevel="1">
      <c r="A17" s="11" t="str">
        <f t="shared" si="14"/>
        <v/>
      </c>
      <c r="B17" s="12">
        <f t="shared" ref="B17:M17" si="15">($C235/12*D$223+$C287/12*D$275+$C313/12*D$301+$C339/12*D$327+$C443/12*D$431+$C469/12*D$457+$C495/12*D$483+$C521/12*D$509+$C573/12*D$561+$C547/12*D$535+D$587*$C599/12+D$249*$C261/12+D$353*$C365/12+D$379*$C391/12+D$405*$C417/12)*B203/1000</f>
        <v>0</v>
      </c>
      <c r="C17" s="12">
        <f t="shared" si="15"/>
        <v>0</v>
      </c>
      <c r="D17" s="12">
        <f t="shared" si="15"/>
        <v>0</v>
      </c>
      <c r="E17" s="12">
        <f t="shared" si="15"/>
        <v>0</v>
      </c>
      <c r="F17" s="12">
        <f t="shared" si="15"/>
        <v>0</v>
      </c>
      <c r="G17" s="12">
        <f t="shared" si="15"/>
        <v>0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0</v>
      </c>
      <c r="L17" s="12">
        <f t="shared" si="15"/>
        <v>0</v>
      </c>
      <c r="M17" s="12">
        <f t="shared" si="15"/>
        <v>0</v>
      </c>
      <c r="N17" s="12">
        <f t="shared" si="3"/>
        <v>0</v>
      </c>
      <c r="O17" s="23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0" customHeight="1" outlineLevel="1">
      <c r="A18" s="11" t="str">
        <f t="shared" si="14"/>
        <v/>
      </c>
      <c r="B18" s="12">
        <f t="shared" ref="B18:M18" si="16">($C236/12*D$223+$C288/12*D$275+$C314/12*D$301+$C340/12*D$327+$C444/12*D$431+$C470/12*D$457+$C496/12*D$483+$C522/12*D$509+$C574/12*D$561+$C548/12*D$535+D$587*$C600/12+D$249*$C262/12+D$353*$C366/12+D$379*$C392/12+D$405*$C418/12)*B204/1000</f>
        <v>0</v>
      </c>
      <c r="C18" s="12">
        <f t="shared" si="16"/>
        <v>0</v>
      </c>
      <c r="D18" s="12">
        <f t="shared" si="16"/>
        <v>0</v>
      </c>
      <c r="E18" s="12">
        <f t="shared" si="16"/>
        <v>0</v>
      </c>
      <c r="F18" s="12">
        <f t="shared" si="16"/>
        <v>0</v>
      </c>
      <c r="G18" s="12">
        <f t="shared" si="16"/>
        <v>0</v>
      </c>
      <c r="H18" s="12">
        <f t="shared" si="16"/>
        <v>0</v>
      </c>
      <c r="I18" s="12">
        <f t="shared" si="16"/>
        <v>0</v>
      </c>
      <c r="J18" s="12">
        <f t="shared" si="16"/>
        <v>0</v>
      </c>
      <c r="K18" s="12">
        <f t="shared" si="16"/>
        <v>0</v>
      </c>
      <c r="L18" s="12">
        <f t="shared" si="16"/>
        <v>0</v>
      </c>
      <c r="M18" s="12">
        <f t="shared" si="16"/>
        <v>0</v>
      </c>
      <c r="N18" s="12">
        <f t="shared" si="3"/>
        <v>0</v>
      </c>
      <c r="O18" s="23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0" customHeight="1" outlineLevel="1">
      <c r="A19" s="11" t="str">
        <f>A$205</f>
        <v/>
      </c>
      <c r="B19" s="12">
        <f t="shared" ref="B19:M19" si="17">($C237/12*D$223+$C289/12*D$275+$C315/12*D$301+$C341/12*D$327+$C445/12*D$431+$C471/12*D$457+$C497/12*D$483+$C523/12*D$509+$C575/12*D$561+$C549/12*D$535+D$587*$C601/12+D$249*$C263/12+D$353*$C367/12+D$379*$C393/12+D$405*$C419/12)*B205/1000</f>
        <v>0</v>
      </c>
      <c r="C19" s="12">
        <f t="shared" si="17"/>
        <v>0</v>
      </c>
      <c r="D19" s="12">
        <f t="shared" si="17"/>
        <v>0</v>
      </c>
      <c r="E19" s="12">
        <f t="shared" si="17"/>
        <v>0</v>
      </c>
      <c r="F19" s="12">
        <f t="shared" si="17"/>
        <v>0</v>
      </c>
      <c r="G19" s="12">
        <f t="shared" si="17"/>
        <v>0</v>
      </c>
      <c r="H19" s="12">
        <f t="shared" si="17"/>
        <v>0</v>
      </c>
      <c r="I19" s="12">
        <f t="shared" si="17"/>
        <v>0</v>
      </c>
      <c r="J19" s="12">
        <f t="shared" si="17"/>
        <v>0</v>
      </c>
      <c r="K19" s="12">
        <f t="shared" si="17"/>
        <v>0</v>
      </c>
      <c r="L19" s="12">
        <f t="shared" si="17"/>
        <v>0</v>
      </c>
      <c r="M19" s="12">
        <f t="shared" si="17"/>
        <v>0</v>
      </c>
      <c r="N19" s="12">
        <f t="shared" si="3"/>
        <v>0</v>
      </c>
      <c r="O19" s="23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0" customHeight="1" outlineLevel="1">
      <c r="A20" s="11" t="str">
        <f>A$206</f>
        <v/>
      </c>
      <c r="B20" s="12">
        <f t="shared" ref="B20:M20" si="18">($C238/12*D$223+$C290/12*D$275+$C316/12*D$301+$C342/12*D$327+$C446/12*D$431+$C472/12*D$457+$C498/12*D$483+$C524/12*D$509+$C576/12*D$561+$C550/12*D$535+D$587*$C602/12+D$249*$C264/12+D$353*$C368/12+D$379*$C394/12+D$405*$C420/12)*B206/1000</f>
        <v>0</v>
      </c>
      <c r="C20" s="12">
        <f t="shared" si="18"/>
        <v>0</v>
      </c>
      <c r="D20" s="12">
        <f t="shared" si="18"/>
        <v>0</v>
      </c>
      <c r="E20" s="12">
        <f t="shared" si="18"/>
        <v>0</v>
      </c>
      <c r="F20" s="12">
        <f t="shared" si="18"/>
        <v>0</v>
      </c>
      <c r="G20" s="12">
        <f t="shared" si="18"/>
        <v>0</v>
      </c>
      <c r="H20" s="12">
        <f t="shared" si="18"/>
        <v>0</v>
      </c>
      <c r="I20" s="12">
        <f t="shared" si="18"/>
        <v>0</v>
      </c>
      <c r="J20" s="12">
        <f t="shared" si="18"/>
        <v>0</v>
      </c>
      <c r="K20" s="12">
        <f t="shared" si="18"/>
        <v>0</v>
      </c>
      <c r="L20" s="12">
        <f t="shared" si="18"/>
        <v>0</v>
      </c>
      <c r="M20" s="12">
        <f t="shared" si="18"/>
        <v>0</v>
      </c>
      <c r="N20" s="12">
        <f t="shared" si="3"/>
        <v>0</v>
      </c>
      <c r="O20" s="23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0" customHeight="1" outlineLevel="1">
      <c r="A21" s="11" t="str">
        <f>A$207</f>
        <v/>
      </c>
      <c r="B21" s="12">
        <f t="shared" ref="B21:M21" si="19">($C239/12*D$223+$C291/12*D$275+$C317/12*D$301+$C343/12*D$327+$C447/12*D$431+$C473/12*D$457+$C499/12*D$483+$C525/12*D$509+$C577/12*D$561+$C551/12*D$535+D$587*$C603/12+D$249*$C265/12+D$353*$C369/12+D$379*$C395/12+D$405*$C421/12)*B207/1000</f>
        <v>0</v>
      </c>
      <c r="C21" s="12">
        <f t="shared" si="19"/>
        <v>0</v>
      </c>
      <c r="D21" s="12">
        <f t="shared" si="19"/>
        <v>0</v>
      </c>
      <c r="E21" s="12">
        <f t="shared" si="19"/>
        <v>0</v>
      </c>
      <c r="F21" s="12">
        <f t="shared" si="19"/>
        <v>0</v>
      </c>
      <c r="G21" s="12">
        <f t="shared" si="19"/>
        <v>0</v>
      </c>
      <c r="H21" s="12">
        <f t="shared" si="19"/>
        <v>0</v>
      </c>
      <c r="I21" s="12">
        <f t="shared" si="19"/>
        <v>0</v>
      </c>
      <c r="J21" s="12">
        <f t="shared" si="19"/>
        <v>0</v>
      </c>
      <c r="K21" s="12">
        <f t="shared" si="19"/>
        <v>0</v>
      </c>
      <c r="L21" s="12">
        <f t="shared" si="19"/>
        <v>0</v>
      </c>
      <c r="M21" s="12">
        <f t="shared" si="19"/>
        <v>0</v>
      </c>
      <c r="N21" s="12">
        <f t="shared" si="3"/>
        <v>0</v>
      </c>
      <c r="O21" s="23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0" customHeight="1" outlineLevel="1">
      <c r="A22" s="11" t="str">
        <f>A$208</f>
        <v/>
      </c>
      <c r="B22" s="12">
        <f t="shared" ref="B22:M22" si="20">($C240/12*D$223+$C292/12*D$275+$C318/12*D$301+$C344/12*D$327+$C448/12*D$431+$C474/12*D$457+$C500/12*D$483+$C526/12*D$509+$C578/12*D$561+$C552/12*D$535+D$587*$C604/12+D$249*$C266/12+D$353*$C370/12+D$379*$C396/12+D$405*$C422/12)*B208/1000</f>
        <v>0</v>
      </c>
      <c r="C22" s="12">
        <f t="shared" si="20"/>
        <v>0</v>
      </c>
      <c r="D22" s="12">
        <f t="shared" si="20"/>
        <v>0</v>
      </c>
      <c r="E22" s="12">
        <f t="shared" si="20"/>
        <v>0</v>
      </c>
      <c r="F22" s="12">
        <f t="shared" si="20"/>
        <v>0</v>
      </c>
      <c r="G22" s="12">
        <f t="shared" si="20"/>
        <v>0</v>
      </c>
      <c r="H22" s="12">
        <f t="shared" si="20"/>
        <v>0</v>
      </c>
      <c r="I22" s="12">
        <f t="shared" si="20"/>
        <v>0</v>
      </c>
      <c r="J22" s="12">
        <f t="shared" si="20"/>
        <v>0</v>
      </c>
      <c r="K22" s="12">
        <f t="shared" si="20"/>
        <v>0</v>
      </c>
      <c r="L22" s="12">
        <f t="shared" si="20"/>
        <v>0</v>
      </c>
      <c r="M22" s="12">
        <f t="shared" si="20"/>
        <v>0</v>
      </c>
      <c r="N22" s="12">
        <f t="shared" si="3"/>
        <v>0</v>
      </c>
      <c r="O22" s="23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0" customHeight="1" outlineLevel="1">
      <c r="A23" s="11" t="str">
        <f>A$209</f>
        <v/>
      </c>
      <c r="B23" s="12">
        <f t="shared" ref="B23:M23" si="21">($C241/12*D$223+$C293/12*D$275+$C319/12*D$301+$C345/12*D$327+$C449/12*D$431+$C475/12*D$457+$C501/12*D$483+$C527/12*D$509+$C579/12*D$561+$C553/12*D$535+D$587*$C605/12+D$249*$C267/12+D$353*$C371/12+D$379*$C397/12+D$405*$C423/12)*B209/1000</f>
        <v>0</v>
      </c>
      <c r="C23" s="12">
        <f t="shared" si="21"/>
        <v>0</v>
      </c>
      <c r="D23" s="12">
        <f t="shared" si="21"/>
        <v>0</v>
      </c>
      <c r="E23" s="12">
        <f t="shared" si="21"/>
        <v>0</v>
      </c>
      <c r="F23" s="12">
        <f t="shared" si="21"/>
        <v>0</v>
      </c>
      <c r="G23" s="12">
        <f t="shared" si="21"/>
        <v>0</v>
      </c>
      <c r="H23" s="12">
        <f t="shared" si="21"/>
        <v>0</v>
      </c>
      <c r="I23" s="12">
        <f t="shared" si="21"/>
        <v>0</v>
      </c>
      <c r="J23" s="12">
        <f t="shared" si="21"/>
        <v>0</v>
      </c>
      <c r="K23" s="12">
        <f t="shared" si="21"/>
        <v>0</v>
      </c>
      <c r="L23" s="12">
        <f t="shared" si="21"/>
        <v>0</v>
      </c>
      <c r="M23" s="12">
        <f t="shared" si="21"/>
        <v>0</v>
      </c>
      <c r="N23" s="12">
        <f t="shared" si="3"/>
        <v>0</v>
      </c>
      <c r="O23" s="23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0" customHeight="1" outlineLevel="1">
      <c r="A24" s="11" t="str">
        <f>A$210</f>
        <v/>
      </c>
      <c r="B24" s="12">
        <f t="shared" ref="B24:M24" si="22">($C242/12*D$223+$C294/12*D$275+$C320/12*D$301+$C346/12*D$327+$C450/12*D$431+$C476/12*D$457+$C502/12*D$483+$C528/12*D$509+$C580/12*D$561+$C554/12*D$535+D$587*$C606/12+D$249*$C268/12+D$353*$C372/12+D$379*$C398/12+D$405*$C424/12)*B210/1000</f>
        <v>0</v>
      </c>
      <c r="C24" s="12">
        <f t="shared" si="22"/>
        <v>0</v>
      </c>
      <c r="D24" s="12">
        <f t="shared" si="22"/>
        <v>0</v>
      </c>
      <c r="E24" s="12">
        <f t="shared" si="22"/>
        <v>0</v>
      </c>
      <c r="F24" s="12">
        <f t="shared" si="22"/>
        <v>0</v>
      </c>
      <c r="G24" s="12">
        <f t="shared" si="22"/>
        <v>0</v>
      </c>
      <c r="H24" s="12">
        <f t="shared" si="22"/>
        <v>0</v>
      </c>
      <c r="I24" s="12">
        <f t="shared" si="22"/>
        <v>0</v>
      </c>
      <c r="J24" s="12">
        <f t="shared" si="22"/>
        <v>0</v>
      </c>
      <c r="K24" s="12">
        <f t="shared" si="22"/>
        <v>0</v>
      </c>
      <c r="L24" s="12">
        <f t="shared" si="22"/>
        <v>0</v>
      </c>
      <c r="M24" s="12">
        <f t="shared" si="22"/>
        <v>0</v>
      </c>
      <c r="N24" s="12">
        <f t="shared" si="3"/>
        <v>0</v>
      </c>
      <c r="O24" s="23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0" customHeight="1" outlineLevel="1">
      <c r="A25" s="11" t="str">
        <f>A$211</f>
        <v/>
      </c>
      <c r="B25" s="12">
        <f t="shared" ref="B25:M25" si="23">($C243/12*D$223+$C295/12*D$275+$C321/12*D$301+$C347/12*D$327+$C451/12*D$431+$C477/12*D$457+$C503/12*D$483+$C529/12*D$509+$C581/12*D$561+$C555/12*D$535+D$587*$C607/12+D$249*$C269/12+D$353*$C373/12+D$379*$C399/12+D$405*$C425/12)*B211/1000</f>
        <v>0</v>
      </c>
      <c r="C25" s="12">
        <f t="shared" si="23"/>
        <v>0</v>
      </c>
      <c r="D25" s="12">
        <f t="shared" si="23"/>
        <v>0</v>
      </c>
      <c r="E25" s="12">
        <f t="shared" si="23"/>
        <v>0</v>
      </c>
      <c r="F25" s="12">
        <f t="shared" si="23"/>
        <v>0</v>
      </c>
      <c r="G25" s="12">
        <f t="shared" si="23"/>
        <v>0</v>
      </c>
      <c r="H25" s="12">
        <f t="shared" si="23"/>
        <v>0</v>
      </c>
      <c r="I25" s="12">
        <f t="shared" si="23"/>
        <v>0</v>
      </c>
      <c r="J25" s="12">
        <f t="shared" si="23"/>
        <v>0</v>
      </c>
      <c r="K25" s="12">
        <f t="shared" si="23"/>
        <v>0</v>
      </c>
      <c r="L25" s="12">
        <f t="shared" si="23"/>
        <v>0</v>
      </c>
      <c r="M25" s="12">
        <f t="shared" si="23"/>
        <v>0</v>
      </c>
      <c r="N25" s="12">
        <f t="shared" si="3"/>
        <v>0</v>
      </c>
      <c r="O25" s="23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0" customHeight="1" outlineLevel="1">
      <c r="A26" s="11" t="str">
        <f>A$212</f>
        <v/>
      </c>
      <c r="B26" s="12">
        <f t="shared" ref="B26:M26" si="24">($C244/12*D$223+$C296/12*D$275+$C322/12*D$301+$C348/12*D$327+$C452/12*D$431+$C478/12*D$457+$C504/12*D$483+$C530/12*D$509+$C582/12*D$561+$C556/12*D$535+D$587*$C608/12+D$249*$C270/12+D$353*$C374/12+D$379*$C400/12+D$405*$C426/12)*B212/1000</f>
        <v>0</v>
      </c>
      <c r="C26" s="12">
        <f t="shared" si="24"/>
        <v>0</v>
      </c>
      <c r="D26" s="12">
        <f t="shared" si="24"/>
        <v>0</v>
      </c>
      <c r="E26" s="12">
        <f t="shared" si="24"/>
        <v>0</v>
      </c>
      <c r="F26" s="12">
        <f t="shared" si="24"/>
        <v>0</v>
      </c>
      <c r="G26" s="12">
        <f t="shared" si="24"/>
        <v>0</v>
      </c>
      <c r="H26" s="12">
        <f t="shared" si="24"/>
        <v>0</v>
      </c>
      <c r="I26" s="12">
        <f t="shared" si="24"/>
        <v>0</v>
      </c>
      <c r="J26" s="12">
        <f t="shared" si="24"/>
        <v>0</v>
      </c>
      <c r="K26" s="12">
        <f t="shared" si="24"/>
        <v>0</v>
      </c>
      <c r="L26" s="12">
        <f t="shared" si="24"/>
        <v>0</v>
      </c>
      <c r="M26" s="12">
        <f t="shared" si="24"/>
        <v>0</v>
      </c>
      <c r="N26" s="12">
        <f t="shared" si="3"/>
        <v>0</v>
      </c>
      <c r="O26" s="23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0" customHeight="1" outlineLevel="1">
      <c r="A27" s="11" t="str">
        <f>A$213</f>
        <v/>
      </c>
      <c r="B27" s="12">
        <f t="shared" ref="B27:M27" si="25">($C245/12*D$223+$C297/12*D$275+$C323/12*D$301+$C349/12*D$327+$C453/12*D$431+$C479/12*D$457+$C505/12*D$483+$C531/12*D$509+$C583/12*D$561+$C557/12*D$535+D$587*$C609/12+D$249*$C271/12+D$353*$C375/12+D$379*$C401/12+D$405*$C427/12)*B213/1000</f>
        <v>0</v>
      </c>
      <c r="C27" s="12">
        <f t="shared" si="25"/>
        <v>0</v>
      </c>
      <c r="D27" s="12">
        <f t="shared" si="25"/>
        <v>0</v>
      </c>
      <c r="E27" s="12">
        <f t="shared" si="25"/>
        <v>0</v>
      </c>
      <c r="F27" s="12">
        <f t="shared" si="25"/>
        <v>0</v>
      </c>
      <c r="G27" s="12">
        <f t="shared" si="25"/>
        <v>0</v>
      </c>
      <c r="H27" s="12">
        <f t="shared" si="25"/>
        <v>0</v>
      </c>
      <c r="I27" s="12">
        <f t="shared" si="25"/>
        <v>0</v>
      </c>
      <c r="J27" s="12">
        <f t="shared" si="25"/>
        <v>0</v>
      </c>
      <c r="K27" s="12">
        <f t="shared" si="25"/>
        <v>0</v>
      </c>
      <c r="L27" s="12">
        <f t="shared" si="25"/>
        <v>0</v>
      </c>
      <c r="M27" s="12">
        <f t="shared" si="25"/>
        <v>0</v>
      </c>
      <c r="N27" s="12">
        <f t="shared" si="3"/>
        <v>0</v>
      </c>
      <c r="O27" s="23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0" customHeight="1" outlineLevel="1">
      <c r="A28" s="11" t="str">
        <f t="shared" ref="A28:A31" si="27">A$214</f>
        <v/>
      </c>
      <c r="B28" s="12">
        <f t="shared" ref="B28:M28" si="26">($C246/12*D$223+$C298/12*D$275+$C324/12*D$301+$C350/12*D$327+$C454/12*D$431+$C480/12*D$457+$C506/12*D$483+$C532/12*D$509+$C584/12*D$561+$C558/12*D$535+D$587*$C610/12+D$249*$C272/12+D$353*$C376/12+D$379*$C402/12+D$405*$C428/12)*B214/1000</f>
        <v>0</v>
      </c>
      <c r="C28" s="12">
        <f t="shared" si="26"/>
        <v>0</v>
      </c>
      <c r="D28" s="12">
        <f t="shared" si="26"/>
        <v>0</v>
      </c>
      <c r="E28" s="12">
        <f t="shared" si="26"/>
        <v>0</v>
      </c>
      <c r="F28" s="12">
        <f t="shared" si="26"/>
        <v>0</v>
      </c>
      <c r="G28" s="12">
        <f t="shared" si="26"/>
        <v>0</v>
      </c>
      <c r="H28" s="12">
        <f t="shared" si="26"/>
        <v>0</v>
      </c>
      <c r="I28" s="12">
        <f t="shared" si="26"/>
        <v>0</v>
      </c>
      <c r="J28" s="12">
        <f t="shared" si="26"/>
        <v>0</v>
      </c>
      <c r="K28" s="12">
        <f t="shared" si="26"/>
        <v>0</v>
      </c>
      <c r="L28" s="12">
        <f t="shared" si="26"/>
        <v>0</v>
      </c>
      <c r="M28" s="12">
        <f t="shared" si="26"/>
        <v>0</v>
      </c>
      <c r="N28" s="12">
        <f t="shared" si="3"/>
        <v>0</v>
      </c>
      <c r="O28" s="23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0" customHeight="1" outlineLevel="1">
      <c r="A29" s="11" t="str">
        <f t="shared" si="27"/>
        <v/>
      </c>
      <c r="B29" s="12">
        <f t="shared" ref="B29:M29" si="28">($C247/12*D$223+$C299/12*D$275+$C325/12*D$301+$C351/12*D$327+$C455/12*D$431+$C481/12*D$457+$C507/12*D$483+$C533/12*D$509+$C585/12*D$561+$C559/12*D$535+D$587*$C611/12+D$249*$C273/12+D$353*$C377/12+D$379*$C403/12+D$405*$C429/12)*B215/1000</f>
        <v>0</v>
      </c>
      <c r="C29" s="12">
        <f t="shared" si="28"/>
        <v>0</v>
      </c>
      <c r="D29" s="12">
        <f t="shared" si="28"/>
        <v>0</v>
      </c>
      <c r="E29" s="12">
        <f t="shared" si="28"/>
        <v>0</v>
      </c>
      <c r="F29" s="12">
        <f t="shared" si="28"/>
        <v>0</v>
      </c>
      <c r="G29" s="12">
        <f t="shared" si="28"/>
        <v>0</v>
      </c>
      <c r="H29" s="12">
        <f t="shared" si="28"/>
        <v>0</v>
      </c>
      <c r="I29" s="12">
        <f t="shared" si="28"/>
        <v>0</v>
      </c>
      <c r="J29" s="12">
        <f t="shared" si="28"/>
        <v>0</v>
      </c>
      <c r="K29" s="12">
        <f t="shared" si="28"/>
        <v>0</v>
      </c>
      <c r="L29" s="12">
        <f t="shared" si="28"/>
        <v>0</v>
      </c>
      <c r="M29" s="12">
        <f t="shared" si="28"/>
        <v>0</v>
      </c>
      <c r="N29" s="12">
        <f t="shared" si="3"/>
        <v>0</v>
      </c>
      <c r="O29" s="23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 outlineLevel="1">
      <c r="A30" s="11" t="str">
        <f t="shared" si="27"/>
        <v/>
      </c>
      <c r="B30" s="12">
        <f t="shared" ref="B30:M30" si="29">($C248/12*D$223+$C300/12*D$275+$C326/12*D$301+$C352/12*D$327+$C456/12*D$431+$C482/12*D$457+$C508/12*D$483+$C534/12*D$509+$C586/12*D$561+$C560/12*D$535+D$587*$C612/12+D$249*$C274/12+D$353*$C378/12+D$379*$C404/12+D$405*$C430/12)*B216/1000</f>
        <v>0</v>
      </c>
      <c r="C30" s="12">
        <f t="shared" si="29"/>
        <v>0</v>
      </c>
      <c r="D30" s="12">
        <f t="shared" si="29"/>
        <v>0</v>
      </c>
      <c r="E30" s="12">
        <f t="shared" si="29"/>
        <v>0</v>
      </c>
      <c r="F30" s="12">
        <f t="shared" si="29"/>
        <v>0</v>
      </c>
      <c r="G30" s="12">
        <f t="shared" si="29"/>
        <v>0</v>
      </c>
      <c r="H30" s="12">
        <f t="shared" si="29"/>
        <v>0</v>
      </c>
      <c r="I30" s="12">
        <f t="shared" si="29"/>
        <v>0</v>
      </c>
      <c r="J30" s="12">
        <f t="shared" si="29"/>
        <v>0</v>
      </c>
      <c r="K30" s="12">
        <f t="shared" si="29"/>
        <v>0</v>
      </c>
      <c r="L30" s="12">
        <f t="shared" si="29"/>
        <v>0</v>
      </c>
      <c r="M30" s="12">
        <f t="shared" si="29"/>
        <v>0</v>
      </c>
      <c r="N30" s="12">
        <f t="shared" si="3"/>
        <v>0</v>
      </c>
      <c r="O30" s="23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0" customHeight="1" outlineLevel="1">
      <c r="A31" s="11" t="str">
        <f t="shared" si="27"/>
        <v/>
      </c>
      <c r="B31" s="12">
        <f t="shared" ref="B31:M31" si="30">($C249/12*D$223+$C301/12*D$275+$C327/12*D$301+$C353/12*D$327+$C457/12*D$431+$C483/12*D$457+$C509/12*D$483+$C535/12*D$509+$C587/12*D$561+$C561/12*D$535+D$587*$C613/12+D$249*$C275/12+D$353*$C379/12+D$379*$C405/12+D$405*$C431/12)*B217/1000</f>
        <v>0</v>
      </c>
      <c r="C31" s="12">
        <f t="shared" si="30"/>
        <v>0</v>
      </c>
      <c r="D31" s="12">
        <f t="shared" si="30"/>
        <v>0</v>
      </c>
      <c r="E31" s="12">
        <f t="shared" si="30"/>
        <v>0</v>
      </c>
      <c r="F31" s="12">
        <f t="shared" si="30"/>
        <v>0</v>
      </c>
      <c r="G31" s="12">
        <f t="shared" si="30"/>
        <v>0</v>
      </c>
      <c r="H31" s="12">
        <f t="shared" si="30"/>
        <v>0</v>
      </c>
      <c r="I31" s="12">
        <f t="shared" si="30"/>
        <v>0</v>
      </c>
      <c r="J31" s="12">
        <f t="shared" si="30"/>
        <v>0</v>
      </c>
      <c r="K31" s="12">
        <f t="shared" si="30"/>
        <v>0</v>
      </c>
      <c r="L31" s="12">
        <f t="shared" si="30"/>
        <v>0</v>
      </c>
      <c r="M31" s="12">
        <f t="shared" si="30"/>
        <v>0</v>
      </c>
      <c r="N31" s="12"/>
      <c r="O31" s="23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 outlineLevel="1">
      <c r="A32" s="192" t="s">
        <v>357</v>
      </c>
      <c r="B32" s="232">
        <f t="shared" ref="B32:M32" si="31">SUM(B33:B57)</f>
        <v>0</v>
      </c>
      <c r="C32" s="232">
        <f t="shared" si="31"/>
        <v>0</v>
      </c>
      <c r="D32" s="232">
        <f t="shared" si="31"/>
        <v>0</v>
      </c>
      <c r="E32" s="232">
        <f t="shared" si="31"/>
        <v>0</v>
      </c>
      <c r="F32" s="232">
        <f t="shared" si="31"/>
        <v>0</v>
      </c>
      <c r="G32" s="232">
        <f t="shared" si="31"/>
        <v>0</v>
      </c>
      <c r="H32" s="232">
        <f t="shared" si="31"/>
        <v>0</v>
      </c>
      <c r="I32" s="232">
        <f t="shared" si="31"/>
        <v>0</v>
      </c>
      <c r="J32" s="232">
        <f t="shared" si="31"/>
        <v>0</v>
      </c>
      <c r="K32" s="232">
        <f t="shared" si="31"/>
        <v>0</v>
      </c>
      <c r="L32" s="232">
        <f t="shared" si="31"/>
        <v>0</v>
      </c>
      <c r="M32" s="232">
        <f t="shared" si="31"/>
        <v>0</v>
      </c>
      <c r="N32" s="232">
        <f t="shared" ref="N32:N121" si="33">B32+C32+D32+E32+F32+G32+H32+I32+J32+K32+L32+M32</f>
        <v>0</v>
      </c>
      <c r="O32" s="233"/>
      <c r="P32" s="233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0" customHeight="1" outlineLevel="1">
      <c r="A33" s="11" t="str">
        <f>A$192</f>
        <v/>
      </c>
      <c r="B33" s="12">
        <f t="shared" ref="B33:B34" si="34">($C667/12*D$666+$C693/12*D$692+$C719/12*D$718+$C745/12*D$744+$C641/12*D$640+$C615/12*D$614+$C$771/12*D$770+$C$797/12*D$796)*B192/1000</f>
        <v>0</v>
      </c>
      <c r="C33" s="12">
        <f t="shared" ref="C33:M33" si="32">($C667/12*E$666+$C693/12*E$692+$C719/12*E$718+$C745/12*E$744+$C641/12*E$640+$C615/12*E$614+$C$771/12*E770+$C$797/12*E796)*C192/1000</f>
        <v>0</v>
      </c>
      <c r="D33" s="12">
        <f t="shared" si="32"/>
        <v>0</v>
      </c>
      <c r="E33" s="12">
        <f t="shared" si="32"/>
        <v>0</v>
      </c>
      <c r="F33" s="12">
        <f t="shared" si="32"/>
        <v>0</v>
      </c>
      <c r="G33" s="12">
        <f t="shared" si="32"/>
        <v>0</v>
      </c>
      <c r="H33" s="12">
        <f t="shared" si="32"/>
        <v>0</v>
      </c>
      <c r="I33" s="12">
        <f t="shared" si="32"/>
        <v>0</v>
      </c>
      <c r="J33" s="12">
        <f t="shared" si="32"/>
        <v>0</v>
      </c>
      <c r="K33" s="12">
        <f t="shared" si="32"/>
        <v>0</v>
      </c>
      <c r="L33" s="12">
        <f t="shared" si="32"/>
        <v>0</v>
      </c>
      <c r="M33" s="12">
        <f t="shared" si="32"/>
        <v>0</v>
      </c>
      <c r="N33" s="12">
        <f t="shared" si="33"/>
        <v>0</v>
      </c>
      <c r="O33" s="23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0" customHeight="1" outlineLevel="1">
      <c r="A34" s="11" t="str">
        <f>A$193</f>
        <v/>
      </c>
      <c r="B34" s="12">
        <f t="shared" si="34"/>
        <v>0</v>
      </c>
      <c r="C34" s="12">
        <f t="shared" ref="C34:M34" si="35">($C668/12*E$666+$C694/12*E$692+$C720/12*E$718+$C746/12*E$744+$C642/12*E$640+$C616/12*E$614+$C$771/12*E771+$C$797/12*E797)*C193/1000</f>
        <v>0</v>
      </c>
      <c r="D34" s="12">
        <f t="shared" si="35"/>
        <v>0</v>
      </c>
      <c r="E34" s="12">
        <f t="shared" si="35"/>
        <v>0</v>
      </c>
      <c r="F34" s="12">
        <f t="shared" si="35"/>
        <v>0</v>
      </c>
      <c r="G34" s="12">
        <f t="shared" si="35"/>
        <v>0</v>
      </c>
      <c r="H34" s="12">
        <f t="shared" si="35"/>
        <v>0</v>
      </c>
      <c r="I34" s="12">
        <f t="shared" si="35"/>
        <v>0</v>
      </c>
      <c r="J34" s="12">
        <f t="shared" si="35"/>
        <v>0</v>
      </c>
      <c r="K34" s="12">
        <f t="shared" si="35"/>
        <v>0</v>
      </c>
      <c r="L34" s="12">
        <f t="shared" si="35"/>
        <v>0</v>
      </c>
      <c r="M34" s="12">
        <f t="shared" si="35"/>
        <v>0</v>
      </c>
      <c r="N34" s="12">
        <f t="shared" si="33"/>
        <v>0</v>
      </c>
      <c r="O34" s="23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0" customHeight="1" outlineLevel="1">
      <c r="A35" s="11" t="str">
        <f>A$194</f>
        <v/>
      </c>
      <c r="B35" s="12">
        <f t="shared" ref="B35:M35" si="36">($C669/12*D$666+$C695/12*D$692+$C721/12*D$718+$C747/12*D$744+$C643/12*D$640+$C617/12*D$614+$C$771/12*D772+$C$797/12*D798)*B194/1000</f>
        <v>0</v>
      </c>
      <c r="C35" s="12">
        <f t="shared" si="36"/>
        <v>0</v>
      </c>
      <c r="D35" s="12">
        <f t="shared" si="36"/>
        <v>0</v>
      </c>
      <c r="E35" s="12">
        <f t="shared" si="36"/>
        <v>0</v>
      </c>
      <c r="F35" s="12">
        <f t="shared" si="36"/>
        <v>0</v>
      </c>
      <c r="G35" s="12">
        <f t="shared" si="36"/>
        <v>0</v>
      </c>
      <c r="H35" s="12">
        <f t="shared" si="36"/>
        <v>0</v>
      </c>
      <c r="I35" s="12">
        <f t="shared" si="36"/>
        <v>0</v>
      </c>
      <c r="J35" s="12">
        <f t="shared" si="36"/>
        <v>0</v>
      </c>
      <c r="K35" s="12">
        <f t="shared" si="36"/>
        <v>0</v>
      </c>
      <c r="L35" s="12">
        <f t="shared" si="36"/>
        <v>0</v>
      </c>
      <c r="M35" s="12">
        <f t="shared" si="36"/>
        <v>0</v>
      </c>
      <c r="N35" s="12">
        <f t="shared" si="33"/>
        <v>0</v>
      </c>
      <c r="O35" s="23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0" customHeight="1" outlineLevel="1">
      <c r="A36" s="11" t="str">
        <f>A$195</f>
        <v/>
      </c>
      <c r="B36" s="12">
        <f t="shared" ref="B36:M36" si="37">($C670/12*D$666+$C696/12*D$692+$C722/12*D$718+$C748/12*D$744+$C644/12*D$640+$C618/12*D$614+$C$771/12*D773+$C$797/12*D799)*B195/1000</f>
        <v>0</v>
      </c>
      <c r="C36" s="12">
        <f t="shared" si="37"/>
        <v>0</v>
      </c>
      <c r="D36" s="12">
        <f t="shared" si="37"/>
        <v>0</v>
      </c>
      <c r="E36" s="12">
        <f t="shared" si="37"/>
        <v>0</v>
      </c>
      <c r="F36" s="12">
        <f t="shared" si="37"/>
        <v>0</v>
      </c>
      <c r="G36" s="12">
        <f t="shared" si="37"/>
        <v>0</v>
      </c>
      <c r="H36" s="12">
        <f t="shared" si="37"/>
        <v>0</v>
      </c>
      <c r="I36" s="12">
        <f t="shared" si="37"/>
        <v>0</v>
      </c>
      <c r="J36" s="12">
        <f t="shared" si="37"/>
        <v>0</v>
      </c>
      <c r="K36" s="12">
        <f t="shared" si="37"/>
        <v>0</v>
      </c>
      <c r="L36" s="12">
        <f t="shared" si="37"/>
        <v>0</v>
      </c>
      <c r="M36" s="12">
        <f t="shared" si="37"/>
        <v>0</v>
      </c>
      <c r="N36" s="12">
        <f t="shared" si="33"/>
        <v>0</v>
      </c>
      <c r="O36" s="23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0" customHeight="1" outlineLevel="1">
      <c r="A37" s="11" t="str">
        <f>A$196</f>
        <v/>
      </c>
      <c r="B37" s="12">
        <f t="shared" ref="B37:M37" si="38">($C671/12*D$666+$C697/12*D$692+$C723/12*D$718+$C749/12*D$744+$C645/12*D$640+$C619/12*D$614+$C$771/12*D774+$C$797/12*D800)*B196/1000</f>
        <v>0</v>
      </c>
      <c r="C37" s="12">
        <f t="shared" si="38"/>
        <v>0</v>
      </c>
      <c r="D37" s="12">
        <f t="shared" si="38"/>
        <v>0</v>
      </c>
      <c r="E37" s="12">
        <f t="shared" si="38"/>
        <v>0</v>
      </c>
      <c r="F37" s="12">
        <f t="shared" si="38"/>
        <v>0</v>
      </c>
      <c r="G37" s="12">
        <f t="shared" si="38"/>
        <v>0</v>
      </c>
      <c r="H37" s="12">
        <f t="shared" si="38"/>
        <v>0</v>
      </c>
      <c r="I37" s="12">
        <f t="shared" si="38"/>
        <v>0</v>
      </c>
      <c r="J37" s="12">
        <f t="shared" si="38"/>
        <v>0</v>
      </c>
      <c r="K37" s="12">
        <f t="shared" si="38"/>
        <v>0</v>
      </c>
      <c r="L37" s="12">
        <f t="shared" si="38"/>
        <v>0</v>
      </c>
      <c r="M37" s="12">
        <f t="shared" si="38"/>
        <v>0</v>
      </c>
      <c r="N37" s="12">
        <f t="shared" si="33"/>
        <v>0</v>
      </c>
      <c r="O37" s="23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0" customHeight="1" outlineLevel="1">
      <c r="A38" s="11" t="str">
        <f>A$197</f>
        <v/>
      </c>
      <c r="B38" s="12">
        <f t="shared" ref="B38:M38" si="39">($C672/12*D$666+$C698/12*D$692+$C724/12*D$718+$C750/12*D$744+$C646/12*D$640+$C620/12*D$614+$C$771/12*D775+$C$797/12*D801)*B197/1000</f>
        <v>0</v>
      </c>
      <c r="C38" s="12">
        <f t="shared" si="39"/>
        <v>0</v>
      </c>
      <c r="D38" s="12">
        <f t="shared" si="39"/>
        <v>0</v>
      </c>
      <c r="E38" s="12">
        <f t="shared" si="39"/>
        <v>0</v>
      </c>
      <c r="F38" s="12">
        <f t="shared" si="39"/>
        <v>0</v>
      </c>
      <c r="G38" s="12">
        <f t="shared" si="39"/>
        <v>0</v>
      </c>
      <c r="H38" s="12">
        <f t="shared" si="39"/>
        <v>0</v>
      </c>
      <c r="I38" s="12">
        <f t="shared" si="39"/>
        <v>0</v>
      </c>
      <c r="J38" s="12">
        <f t="shared" si="39"/>
        <v>0</v>
      </c>
      <c r="K38" s="12">
        <f t="shared" si="39"/>
        <v>0</v>
      </c>
      <c r="L38" s="12">
        <f t="shared" si="39"/>
        <v>0</v>
      </c>
      <c r="M38" s="12">
        <f t="shared" si="39"/>
        <v>0</v>
      </c>
      <c r="N38" s="12">
        <f t="shared" si="33"/>
        <v>0</v>
      </c>
      <c r="O38" s="23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 outlineLevel="1">
      <c r="A39" s="11" t="str">
        <f>A$198</f>
        <v/>
      </c>
      <c r="B39" s="12">
        <f t="shared" ref="B39:M39" si="40">($C673/12*D$666+$C699/12*D$692+$C725/12*D$718+$C751/12*D$744+$C647/12*D$640+$C621/12*D$614+$C$771/12*D776+$C$797/12*D802)*B198/1000</f>
        <v>0</v>
      </c>
      <c r="C39" s="12">
        <f t="shared" si="40"/>
        <v>0</v>
      </c>
      <c r="D39" s="12">
        <f t="shared" si="40"/>
        <v>0</v>
      </c>
      <c r="E39" s="12">
        <f t="shared" si="40"/>
        <v>0</v>
      </c>
      <c r="F39" s="12">
        <f t="shared" si="40"/>
        <v>0</v>
      </c>
      <c r="G39" s="12">
        <f t="shared" si="40"/>
        <v>0</v>
      </c>
      <c r="H39" s="12">
        <f t="shared" si="40"/>
        <v>0</v>
      </c>
      <c r="I39" s="12">
        <f t="shared" si="40"/>
        <v>0</v>
      </c>
      <c r="J39" s="12">
        <f t="shared" si="40"/>
        <v>0</v>
      </c>
      <c r="K39" s="12">
        <f t="shared" si="40"/>
        <v>0</v>
      </c>
      <c r="L39" s="12">
        <f t="shared" si="40"/>
        <v>0</v>
      </c>
      <c r="M39" s="12">
        <f t="shared" si="40"/>
        <v>0</v>
      </c>
      <c r="N39" s="12">
        <f t="shared" si="33"/>
        <v>0</v>
      </c>
      <c r="O39" s="23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0" customHeight="1" outlineLevel="1">
      <c r="A40" s="11" t="str">
        <f>A$199</f>
        <v/>
      </c>
      <c r="B40" s="12">
        <f t="shared" ref="B40:M40" si="41">($C674/12*D$666+$C700/12*D$692+$C726/12*D$718+$C752/12*D$744+$C648/12*D$640+$C622/12*D$614+$C$771/12*D777+$C$797/12*D803)*B199/1000</f>
        <v>0</v>
      </c>
      <c r="C40" s="12">
        <f t="shared" si="41"/>
        <v>0</v>
      </c>
      <c r="D40" s="12">
        <f t="shared" si="41"/>
        <v>0</v>
      </c>
      <c r="E40" s="12">
        <f t="shared" si="41"/>
        <v>0</v>
      </c>
      <c r="F40" s="12">
        <f t="shared" si="41"/>
        <v>0</v>
      </c>
      <c r="G40" s="12">
        <f t="shared" si="41"/>
        <v>0</v>
      </c>
      <c r="H40" s="12">
        <f t="shared" si="41"/>
        <v>0</v>
      </c>
      <c r="I40" s="12">
        <f t="shared" si="41"/>
        <v>0</v>
      </c>
      <c r="J40" s="12">
        <f t="shared" si="41"/>
        <v>0</v>
      </c>
      <c r="K40" s="12">
        <f t="shared" si="41"/>
        <v>0</v>
      </c>
      <c r="L40" s="12">
        <f t="shared" si="41"/>
        <v>0</v>
      </c>
      <c r="M40" s="12">
        <f t="shared" si="41"/>
        <v>0</v>
      </c>
      <c r="N40" s="12">
        <f t="shared" si="33"/>
        <v>0</v>
      </c>
      <c r="O40" s="23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0" customHeight="1" outlineLevel="1">
      <c r="A41" s="11" t="str">
        <f>A$200</f>
        <v/>
      </c>
      <c r="B41" s="12">
        <f t="shared" ref="B41:M41" si="42">($C675/12*D$666+$C701/12*D$692+$C727/12*D$718+$C753/12*D$744+$C649/12*D$640+$C623/12*D$614+$C$771/12*D778+$C$797/12*D804)*B200/1000</f>
        <v>0</v>
      </c>
      <c r="C41" s="12">
        <f t="shared" si="42"/>
        <v>0</v>
      </c>
      <c r="D41" s="12">
        <f t="shared" si="42"/>
        <v>0</v>
      </c>
      <c r="E41" s="12">
        <f t="shared" si="42"/>
        <v>0</v>
      </c>
      <c r="F41" s="12">
        <f t="shared" si="42"/>
        <v>0</v>
      </c>
      <c r="G41" s="12">
        <f t="shared" si="42"/>
        <v>0</v>
      </c>
      <c r="H41" s="12">
        <f t="shared" si="42"/>
        <v>0</v>
      </c>
      <c r="I41" s="12">
        <f t="shared" si="42"/>
        <v>0</v>
      </c>
      <c r="J41" s="12">
        <f t="shared" si="42"/>
        <v>0</v>
      </c>
      <c r="K41" s="12">
        <f t="shared" si="42"/>
        <v>0</v>
      </c>
      <c r="L41" s="12">
        <f t="shared" si="42"/>
        <v>0</v>
      </c>
      <c r="M41" s="12">
        <f t="shared" si="42"/>
        <v>0</v>
      </c>
      <c r="N41" s="12">
        <f t="shared" si="33"/>
        <v>0</v>
      </c>
      <c r="O41" s="23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0" customHeight="1" outlineLevel="1">
      <c r="A42" s="11" t="str">
        <f t="shared" ref="A42:A57" si="44">A$201</f>
        <v/>
      </c>
      <c r="B42" s="12">
        <f t="shared" ref="B42:M42" si="43">($C676/12*D$666+$C702/12*D$692+$C728/12*D$718+$C754/12*D$744+$C650/12*D$640+$C624/12*D$614+$C$771/12*D779+$C$797/12*D805)*B201/1000</f>
        <v>0</v>
      </c>
      <c r="C42" s="12">
        <f t="shared" si="43"/>
        <v>0</v>
      </c>
      <c r="D42" s="12">
        <f t="shared" si="43"/>
        <v>0</v>
      </c>
      <c r="E42" s="12">
        <f t="shared" si="43"/>
        <v>0</v>
      </c>
      <c r="F42" s="12">
        <f t="shared" si="43"/>
        <v>0</v>
      </c>
      <c r="G42" s="12">
        <f t="shared" si="43"/>
        <v>0</v>
      </c>
      <c r="H42" s="12">
        <f t="shared" si="43"/>
        <v>0</v>
      </c>
      <c r="I42" s="12">
        <f t="shared" si="43"/>
        <v>0</v>
      </c>
      <c r="J42" s="12">
        <f t="shared" si="43"/>
        <v>0</v>
      </c>
      <c r="K42" s="12">
        <f t="shared" si="43"/>
        <v>0</v>
      </c>
      <c r="L42" s="12">
        <f t="shared" si="43"/>
        <v>0</v>
      </c>
      <c r="M42" s="12">
        <f t="shared" si="43"/>
        <v>0</v>
      </c>
      <c r="N42" s="12">
        <f t="shared" si="33"/>
        <v>0</v>
      </c>
      <c r="O42" s="23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0" customHeight="1" outlineLevel="1">
      <c r="A43" s="11" t="str">
        <f t="shared" si="44"/>
        <v/>
      </c>
      <c r="B43" s="12">
        <f t="shared" ref="B43:M43" si="45">($C677/12*D$666+$C703/12*D$692+$C729/12*D$718+$C755/12*D$744+$C651/12*D$640+$C625/12*D$614+$C$771/12*D780+$C$797/12*D806)*B202/1000</f>
        <v>0</v>
      </c>
      <c r="C43" s="12">
        <f t="shared" si="45"/>
        <v>0</v>
      </c>
      <c r="D43" s="12">
        <f t="shared" si="45"/>
        <v>0</v>
      </c>
      <c r="E43" s="12">
        <f t="shared" si="45"/>
        <v>0</v>
      </c>
      <c r="F43" s="12">
        <f t="shared" si="45"/>
        <v>0</v>
      </c>
      <c r="G43" s="12">
        <f t="shared" si="45"/>
        <v>0</v>
      </c>
      <c r="H43" s="12">
        <f t="shared" si="45"/>
        <v>0</v>
      </c>
      <c r="I43" s="12">
        <f t="shared" si="45"/>
        <v>0</v>
      </c>
      <c r="J43" s="12">
        <f t="shared" si="45"/>
        <v>0</v>
      </c>
      <c r="K43" s="12">
        <f t="shared" si="45"/>
        <v>0</v>
      </c>
      <c r="L43" s="12">
        <f t="shared" si="45"/>
        <v>0</v>
      </c>
      <c r="M43" s="12">
        <f t="shared" si="45"/>
        <v>0</v>
      </c>
      <c r="N43" s="12">
        <f t="shared" si="33"/>
        <v>0</v>
      </c>
      <c r="O43" s="23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0" customHeight="1" outlineLevel="1">
      <c r="A44" s="11" t="str">
        <f t="shared" si="44"/>
        <v/>
      </c>
      <c r="B44" s="12">
        <f t="shared" ref="B44:M44" si="46">($C678/12*D$666+$C704/12*D$692+$C730/12*D$718+$C756/12*D$744+$C652/12*D$640+$C626/12*D$614+$C$771/12*D781+$C$797/12*D807)*B203/1000</f>
        <v>0</v>
      </c>
      <c r="C44" s="12">
        <f t="shared" si="46"/>
        <v>0</v>
      </c>
      <c r="D44" s="12">
        <f t="shared" si="46"/>
        <v>0</v>
      </c>
      <c r="E44" s="12">
        <f t="shared" si="46"/>
        <v>0</v>
      </c>
      <c r="F44" s="12">
        <f t="shared" si="46"/>
        <v>0</v>
      </c>
      <c r="G44" s="12">
        <f t="shared" si="46"/>
        <v>0</v>
      </c>
      <c r="H44" s="12">
        <f t="shared" si="46"/>
        <v>0</v>
      </c>
      <c r="I44" s="12">
        <f t="shared" si="46"/>
        <v>0</v>
      </c>
      <c r="J44" s="12">
        <f t="shared" si="46"/>
        <v>0</v>
      </c>
      <c r="K44" s="12">
        <f t="shared" si="46"/>
        <v>0</v>
      </c>
      <c r="L44" s="12">
        <f t="shared" si="46"/>
        <v>0</v>
      </c>
      <c r="M44" s="12">
        <f t="shared" si="46"/>
        <v>0</v>
      </c>
      <c r="N44" s="12">
        <f t="shared" si="33"/>
        <v>0</v>
      </c>
      <c r="O44" s="23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0" customHeight="1" outlineLevel="1">
      <c r="A45" s="11" t="str">
        <f t="shared" si="44"/>
        <v/>
      </c>
      <c r="B45" s="12">
        <f t="shared" ref="B45:M45" si="47">($C679/12*D$666+$C705/12*D$692+$C731/12*D$718+$C757/12*D$744+$C653/12*D$640+$C627/12*D$614+$C$771/12*D782+$C$797/12*D808)*B204/1000</f>
        <v>0</v>
      </c>
      <c r="C45" s="12">
        <f t="shared" si="47"/>
        <v>0</v>
      </c>
      <c r="D45" s="12">
        <f t="shared" si="47"/>
        <v>0</v>
      </c>
      <c r="E45" s="12">
        <f t="shared" si="47"/>
        <v>0</v>
      </c>
      <c r="F45" s="12">
        <f t="shared" si="47"/>
        <v>0</v>
      </c>
      <c r="G45" s="12">
        <f t="shared" si="47"/>
        <v>0</v>
      </c>
      <c r="H45" s="12">
        <f t="shared" si="47"/>
        <v>0</v>
      </c>
      <c r="I45" s="12">
        <f t="shared" si="47"/>
        <v>0</v>
      </c>
      <c r="J45" s="12">
        <f t="shared" si="47"/>
        <v>0</v>
      </c>
      <c r="K45" s="12">
        <f t="shared" si="47"/>
        <v>0</v>
      </c>
      <c r="L45" s="12">
        <f t="shared" si="47"/>
        <v>0</v>
      </c>
      <c r="M45" s="12">
        <f t="shared" si="47"/>
        <v>0</v>
      </c>
      <c r="N45" s="12">
        <f t="shared" si="33"/>
        <v>0</v>
      </c>
      <c r="O45" s="23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0" customHeight="1" outlineLevel="1">
      <c r="A46" s="11" t="str">
        <f t="shared" si="44"/>
        <v/>
      </c>
      <c r="B46" s="12">
        <f t="shared" ref="B46:M46" si="48">($C680/12*D$666+$C706/12*D$692+$C732/12*D$718+$C758/12*D$744+$C654/12*D$640+$C628/12*D$614+$C$771/12*D783+$C$797/12*D809)*B205/1000</f>
        <v>0</v>
      </c>
      <c r="C46" s="12">
        <f t="shared" si="48"/>
        <v>0</v>
      </c>
      <c r="D46" s="12">
        <f t="shared" si="48"/>
        <v>0</v>
      </c>
      <c r="E46" s="12">
        <f t="shared" si="48"/>
        <v>0</v>
      </c>
      <c r="F46" s="12">
        <f t="shared" si="48"/>
        <v>0</v>
      </c>
      <c r="G46" s="12">
        <f t="shared" si="48"/>
        <v>0</v>
      </c>
      <c r="H46" s="12">
        <f t="shared" si="48"/>
        <v>0</v>
      </c>
      <c r="I46" s="12">
        <f t="shared" si="48"/>
        <v>0</v>
      </c>
      <c r="J46" s="12">
        <f t="shared" si="48"/>
        <v>0</v>
      </c>
      <c r="K46" s="12">
        <f t="shared" si="48"/>
        <v>0</v>
      </c>
      <c r="L46" s="12">
        <f t="shared" si="48"/>
        <v>0</v>
      </c>
      <c r="M46" s="12">
        <f t="shared" si="48"/>
        <v>0</v>
      </c>
      <c r="N46" s="12">
        <f t="shared" si="33"/>
        <v>0</v>
      </c>
      <c r="O46" s="23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0" customHeight="1" outlineLevel="1">
      <c r="A47" s="11" t="str">
        <f t="shared" si="44"/>
        <v/>
      </c>
      <c r="B47" s="12">
        <f t="shared" ref="B47:M47" si="49">($C681/12*D$666+$C707/12*D$692+$C733/12*D$718+$C759/12*D$744+$C655/12*D$640+$C629/12*D$614+$C$771/12*D784+$C$797/12*D810)*B206/1000</f>
        <v>0</v>
      </c>
      <c r="C47" s="12">
        <f t="shared" si="49"/>
        <v>0</v>
      </c>
      <c r="D47" s="12">
        <f t="shared" si="49"/>
        <v>0</v>
      </c>
      <c r="E47" s="12">
        <f t="shared" si="49"/>
        <v>0</v>
      </c>
      <c r="F47" s="12">
        <f t="shared" si="49"/>
        <v>0</v>
      </c>
      <c r="G47" s="12">
        <f t="shared" si="49"/>
        <v>0</v>
      </c>
      <c r="H47" s="12">
        <f t="shared" si="49"/>
        <v>0</v>
      </c>
      <c r="I47" s="12">
        <f t="shared" si="49"/>
        <v>0</v>
      </c>
      <c r="J47" s="12">
        <f t="shared" si="49"/>
        <v>0</v>
      </c>
      <c r="K47" s="12">
        <f t="shared" si="49"/>
        <v>0</v>
      </c>
      <c r="L47" s="12">
        <f t="shared" si="49"/>
        <v>0</v>
      </c>
      <c r="M47" s="12">
        <f t="shared" si="49"/>
        <v>0</v>
      </c>
      <c r="N47" s="12">
        <f t="shared" si="33"/>
        <v>0</v>
      </c>
      <c r="O47" s="23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0" customHeight="1" outlineLevel="1">
      <c r="A48" s="11" t="str">
        <f t="shared" si="44"/>
        <v/>
      </c>
      <c r="B48" s="12">
        <f t="shared" ref="B48:M48" si="50">($C682/12*D$666+$C708/12*D$692+$C734/12*D$718+$C760/12*D$744+$C656/12*D$640+$C630/12*D$614+$C$771/12*D785+$C$797/12*D811)*B207/1000</f>
        <v>0</v>
      </c>
      <c r="C48" s="12">
        <f t="shared" si="50"/>
        <v>0</v>
      </c>
      <c r="D48" s="12">
        <f t="shared" si="50"/>
        <v>0</v>
      </c>
      <c r="E48" s="12">
        <f t="shared" si="50"/>
        <v>0</v>
      </c>
      <c r="F48" s="12">
        <f t="shared" si="50"/>
        <v>0</v>
      </c>
      <c r="G48" s="12">
        <f t="shared" si="50"/>
        <v>0</v>
      </c>
      <c r="H48" s="12">
        <f t="shared" si="50"/>
        <v>0</v>
      </c>
      <c r="I48" s="12">
        <f t="shared" si="50"/>
        <v>0</v>
      </c>
      <c r="J48" s="12">
        <f t="shared" si="50"/>
        <v>0</v>
      </c>
      <c r="K48" s="12">
        <f t="shared" si="50"/>
        <v>0</v>
      </c>
      <c r="L48" s="12">
        <f t="shared" si="50"/>
        <v>0</v>
      </c>
      <c r="M48" s="12">
        <f t="shared" si="50"/>
        <v>0</v>
      </c>
      <c r="N48" s="12">
        <f t="shared" si="33"/>
        <v>0</v>
      </c>
      <c r="O48" s="23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0" customHeight="1" outlineLevel="1">
      <c r="A49" s="11" t="str">
        <f t="shared" si="44"/>
        <v/>
      </c>
      <c r="B49" s="12">
        <f t="shared" ref="B49:M49" si="51">($C683/12*D$666+$C709/12*D$692+$C735/12*D$718+$C761/12*D$744+$C657/12*D$640+$C631/12*D$614+$C$771/12*D786+$C$797/12*D812)*B208/1000</f>
        <v>0</v>
      </c>
      <c r="C49" s="12">
        <f t="shared" si="51"/>
        <v>0</v>
      </c>
      <c r="D49" s="12">
        <f t="shared" si="51"/>
        <v>0</v>
      </c>
      <c r="E49" s="12">
        <f t="shared" si="51"/>
        <v>0</v>
      </c>
      <c r="F49" s="12">
        <f t="shared" si="51"/>
        <v>0</v>
      </c>
      <c r="G49" s="12">
        <f t="shared" si="51"/>
        <v>0</v>
      </c>
      <c r="H49" s="12">
        <f t="shared" si="51"/>
        <v>0</v>
      </c>
      <c r="I49" s="12">
        <f t="shared" si="51"/>
        <v>0</v>
      </c>
      <c r="J49" s="12">
        <f t="shared" si="51"/>
        <v>0</v>
      </c>
      <c r="K49" s="12">
        <f t="shared" si="51"/>
        <v>0</v>
      </c>
      <c r="L49" s="12">
        <f t="shared" si="51"/>
        <v>0</v>
      </c>
      <c r="M49" s="12">
        <f t="shared" si="51"/>
        <v>0</v>
      </c>
      <c r="N49" s="12">
        <f t="shared" si="33"/>
        <v>0</v>
      </c>
      <c r="O49" s="23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0" customHeight="1" outlineLevel="1">
      <c r="A50" s="11" t="str">
        <f t="shared" si="44"/>
        <v/>
      </c>
      <c r="B50" s="12">
        <f t="shared" ref="B50:M50" si="52">($C684/12*D$666+$C710/12*D$692+$C736/12*D$718+$C762/12*D$744+$C658/12*D$640+$C632/12*D$614+$C$771/12*D787+$C$797/12*D813)*B209/1000</f>
        <v>0</v>
      </c>
      <c r="C50" s="12">
        <f t="shared" si="52"/>
        <v>0</v>
      </c>
      <c r="D50" s="12">
        <f t="shared" si="52"/>
        <v>0</v>
      </c>
      <c r="E50" s="12">
        <f t="shared" si="52"/>
        <v>0</v>
      </c>
      <c r="F50" s="12">
        <f t="shared" si="52"/>
        <v>0</v>
      </c>
      <c r="G50" s="12">
        <f t="shared" si="52"/>
        <v>0</v>
      </c>
      <c r="H50" s="12">
        <f t="shared" si="52"/>
        <v>0</v>
      </c>
      <c r="I50" s="12">
        <f t="shared" si="52"/>
        <v>0</v>
      </c>
      <c r="J50" s="12">
        <f t="shared" si="52"/>
        <v>0</v>
      </c>
      <c r="K50" s="12">
        <f t="shared" si="52"/>
        <v>0</v>
      </c>
      <c r="L50" s="12">
        <f t="shared" si="52"/>
        <v>0</v>
      </c>
      <c r="M50" s="12">
        <f t="shared" si="52"/>
        <v>0</v>
      </c>
      <c r="N50" s="12">
        <f t="shared" si="33"/>
        <v>0</v>
      </c>
      <c r="O50" s="23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0" customHeight="1" outlineLevel="1">
      <c r="A51" s="11" t="str">
        <f t="shared" si="44"/>
        <v/>
      </c>
      <c r="B51" s="12">
        <f t="shared" ref="B51:M51" si="53">($C685/12*D$666+$C711/12*D$692+$C737/12*D$718+$C763/12*D$744+$C659/12*D$640+$C633/12*D$614+$C$771/12*D788+$C$797/12*D814)*B210/1000</f>
        <v>0</v>
      </c>
      <c r="C51" s="12">
        <f t="shared" si="53"/>
        <v>0</v>
      </c>
      <c r="D51" s="12">
        <f t="shared" si="53"/>
        <v>0</v>
      </c>
      <c r="E51" s="12">
        <f t="shared" si="53"/>
        <v>0</v>
      </c>
      <c r="F51" s="12">
        <f t="shared" si="53"/>
        <v>0</v>
      </c>
      <c r="G51" s="12">
        <f t="shared" si="53"/>
        <v>0</v>
      </c>
      <c r="H51" s="12">
        <f t="shared" si="53"/>
        <v>0</v>
      </c>
      <c r="I51" s="12">
        <f t="shared" si="53"/>
        <v>0</v>
      </c>
      <c r="J51" s="12">
        <f t="shared" si="53"/>
        <v>0</v>
      </c>
      <c r="K51" s="12">
        <f t="shared" si="53"/>
        <v>0</v>
      </c>
      <c r="L51" s="12">
        <f t="shared" si="53"/>
        <v>0</v>
      </c>
      <c r="M51" s="12">
        <f t="shared" si="53"/>
        <v>0</v>
      </c>
      <c r="N51" s="12">
        <f t="shared" si="33"/>
        <v>0</v>
      </c>
      <c r="O51" s="23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0" customHeight="1" outlineLevel="1">
      <c r="A52" s="11" t="str">
        <f t="shared" si="44"/>
        <v/>
      </c>
      <c r="B52" s="12">
        <f t="shared" ref="B52:M52" si="54">($C686/12*D$666+$C712/12*D$692+$C738/12*D$718+$C764/12*D$744+$C660/12*D$640+$C634/12*D$614+$C$771/12*D789+$C$797/12*D815)*B211/1000</f>
        <v>0</v>
      </c>
      <c r="C52" s="12">
        <f t="shared" si="54"/>
        <v>0</v>
      </c>
      <c r="D52" s="12">
        <f t="shared" si="54"/>
        <v>0</v>
      </c>
      <c r="E52" s="12">
        <f t="shared" si="54"/>
        <v>0</v>
      </c>
      <c r="F52" s="12">
        <f t="shared" si="54"/>
        <v>0</v>
      </c>
      <c r="G52" s="12">
        <f t="shared" si="54"/>
        <v>0</v>
      </c>
      <c r="H52" s="12">
        <f t="shared" si="54"/>
        <v>0</v>
      </c>
      <c r="I52" s="12">
        <f t="shared" si="54"/>
        <v>0</v>
      </c>
      <c r="J52" s="12">
        <f t="shared" si="54"/>
        <v>0</v>
      </c>
      <c r="K52" s="12">
        <f t="shared" si="54"/>
        <v>0</v>
      </c>
      <c r="L52" s="12">
        <f t="shared" si="54"/>
        <v>0</v>
      </c>
      <c r="M52" s="12">
        <f t="shared" si="54"/>
        <v>0</v>
      </c>
      <c r="N52" s="12">
        <f t="shared" si="33"/>
        <v>0</v>
      </c>
      <c r="O52" s="23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0" customHeight="1" outlineLevel="1">
      <c r="A53" s="11" t="str">
        <f t="shared" si="44"/>
        <v/>
      </c>
      <c r="B53" s="12">
        <f t="shared" ref="B53:M53" si="55">($C687/12*D$666+$C713/12*D$692+$C739/12*D$718+$C765/12*D$744+$C661/12*D$640+$C635/12*D$614+$C$771/12*D790+$C$797/12*D816)*B212/1000</f>
        <v>0</v>
      </c>
      <c r="C53" s="12">
        <f t="shared" si="55"/>
        <v>0</v>
      </c>
      <c r="D53" s="12">
        <f t="shared" si="55"/>
        <v>0</v>
      </c>
      <c r="E53" s="12">
        <f t="shared" si="55"/>
        <v>0</v>
      </c>
      <c r="F53" s="12">
        <f t="shared" si="55"/>
        <v>0</v>
      </c>
      <c r="G53" s="12">
        <f t="shared" si="55"/>
        <v>0</v>
      </c>
      <c r="H53" s="12">
        <f t="shared" si="55"/>
        <v>0</v>
      </c>
      <c r="I53" s="12">
        <f t="shared" si="55"/>
        <v>0</v>
      </c>
      <c r="J53" s="12">
        <f t="shared" si="55"/>
        <v>0</v>
      </c>
      <c r="K53" s="12">
        <f t="shared" si="55"/>
        <v>0</v>
      </c>
      <c r="L53" s="12">
        <f t="shared" si="55"/>
        <v>0</v>
      </c>
      <c r="M53" s="12">
        <f t="shared" si="55"/>
        <v>0</v>
      </c>
      <c r="N53" s="12">
        <f t="shared" si="33"/>
        <v>0</v>
      </c>
      <c r="O53" s="23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 outlineLevel="1">
      <c r="A54" s="11" t="str">
        <f t="shared" si="44"/>
        <v/>
      </c>
      <c r="B54" s="12">
        <f t="shared" ref="B54:M54" si="56">($C688/12*D$666+$C714/12*D$692+$C740/12*D$718+$C766/12*D$744+$C662/12*D$640+$C636/12*D$614+$C$771/12*D791+$C$797/12*D817)*B213/1000</f>
        <v>0</v>
      </c>
      <c r="C54" s="12">
        <f t="shared" si="56"/>
        <v>0</v>
      </c>
      <c r="D54" s="12">
        <f t="shared" si="56"/>
        <v>0</v>
      </c>
      <c r="E54" s="12">
        <f t="shared" si="56"/>
        <v>0</v>
      </c>
      <c r="F54" s="12">
        <f t="shared" si="56"/>
        <v>0</v>
      </c>
      <c r="G54" s="12">
        <f t="shared" si="56"/>
        <v>0</v>
      </c>
      <c r="H54" s="12">
        <f t="shared" si="56"/>
        <v>0</v>
      </c>
      <c r="I54" s="12">
        <f t="shared" si="56"/>
        <v>0</v>
      </c>
      <c r="J54" s="12">
        <f t="shared" si="56"/>
        <v>0</v>
      </c>
      <c r="K54" s="12">
        <f t="shared" si="56"/>
        <v>0</v>
      </c>
      <c r="L54" s="12">
        <f t="shared" si="56"/>
        <v>0</v>
      </c>
      <c r="M54" s="12">
        <f t="shared" si="56"/>
        <v>0</v>
      </c>
      <c r="N54" s="12">
        <f t="shared" si="33"/>
        <v>0</v>
      </c>
      <c r="O54" s="23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0" customHeight="1" outlineLevel="1">
      <c r="A55" s="11" t="str">
        <f t="shared" si="44"/>
        <v/>
      </c>
      <c r="B55" s="12">
        <f t="shared" ref="B55:M55" si="57">($C689/12*D$666+$C715/12*D$692+$C741/12*D$718+$C767/12*D$744+$C663/12*D$640+$C637/12*D$614+$C$771/12*D792+$C$797/12*D818)*B214/1000</f>
        <v>0</v>
      </c>
      <c r="C55" s="12">
        <f t="shared" si="57"/>
        <v>0</v>
      </c>
      <c r="D55" s="12">
        <f t="shared" si="57"/>
        <v>0</v>
      </c>
      <c r="E55" s="12">
        <f t="shared" si="57"/>
        <v>0</v>
      </c>
      <c r="F55" s="12">
        <f t="shared" si="57"/>
        <v>0</v>
      </c>
      <c r="G55" s="12">
        <f t="shared" si="57"/>
        <v>0</v>
      </c>
      <c r="H55" s="12">
        <f t="shared" si="57"/>
        <v>0</v>
      </c>
      <c r="I55" s="12">
        <f t="shared" si="57"/>
        <v>0</v>
      </c>
      <c r="J55" s="12">
        <f t="shared" si="57"/>
        <v>0</v>
      </c>
      <c r="K55" s="12">
        <f t="shared" si="57"/>
        <v>0</v>
      </c>
      <c r="L55" s="12">
        <f t="shared" si="57"/>
        <v>0</v>
      </c>
      <c r="M55" s="12">
        <f t="shared" si="57"/>
        <v>0</v>
      </c>
      <c r="N55" s="12">
        <f t="shared" si="33"/>
        <v>0</v>
      </c>
      <c r="O55" s="23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0" customHeight="1" outlineLevel="1">
      <c r="A56" s="11" t="str">
        <f t="shared" si="44"/>
        <v/>
      </c>
      <c r="B56" s="12">
        <f t="shared" ref="B56:M56" si="58">($C690/12*D$666+$C716/12*D$692+$C742/12*D$718+$C768/12*D$744+$C664/12*D$640+$C638/12*D$614+$C$771/12*D793+$C$797/12*D819)*B215/1000</f>
        <v>0</v>
      </c>
      <c r="C56" s="12">
        <f t="shared" si="58"/>
        <v>0</v>
      </c>
      <c r="D56" s="12">
        <f t="shared" si="58"/>
        <v>0</v>
      </c>
      <c r="E56" s="12">
        <f t="shared" si="58"/>
        <v>0</v>
      </c>
      <c r="F56" s="12">
        <f t="shared" si="58"/>
        <v>0</v>
      </c>
      <c r="G56" s="12">
        <f t="shared" si="58"/>
        <v>0</v>
      </c>
      <c r="H56" s="12">
        <f t="shared" si="58"/>
        <v>0</v>
      </c>
      <c r="I56" s="12">
        <f t="shared" si="58"/>
        <v>0</v>
      </c>
      <c r="J56" s="12">
        <f t="shared" si="58"/>
        <v>0</v>
      </c>
      <c r="K56" s="12">
        <f t="shared" si="58"/>
        <v>0</v>
      </c>
      <c r="L56" s="12">
        <f t="shared" si="58"/>
        <v>0</v>
      </c>
      <c r="M56" s="12">
        <f t="shared" si="58"/>
        <v>0</v>
      </c>
      <c r="N56" s="12">
        <f t="shared" si="33"/>
        <v>0</v>
      </c>
      <c r="O56" s="23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0" customHeight="1" outlineLevel="1">
      <c r="A57" s="11" t="str">
        <f t="shared" si="44"/>
        <v/>
      </c>
      <c r="B57" s="12">
        <f t="shared" ref="B57:M57" si="59">($C691/12*D$666+$C717/12*D$692+$C743/12*D$718+$C769/12*D$744+$C665/12*D$640+$C639/12*D$614+$C$771/12*D794+$C$797/12*D820)*B216/1000</f>
        <v>0</v>
      </c>
      <c r="C57" s="12">
        <f t="shared" si="59"/>
        <v>0</v>
      </c>
      <c r="D57" s="12">
        <f t="shared" si="59"/>
        <v>0</v>
      </c>
      <c r="E57" s="12">
        <f t="shared" si="59"/>
        <v>0</v>
      </c>
      <c r="F57" s="12">
        <f t="shared" si="59"/>
        <v>0</v>
      </c>
      <c r="G57" s="12">
        <f t="shared" si="59"/>
        <v>0</v>
      </c>
      <c r="H57" s="12">
        <f t="shared" si="59"/>
        <v>0</v>
      </c>
      <c r="I57" s="12">
        <f t="shared" si="59"/>
        <v>0</v>
      </c>
      <c r="J57" s="12">
        <f t="shared" si="59"/>
        <v>0</v>
      </c>
      <c r="K57" s="12">
        <f t="shared" si="59"/>
        <v>0</v>
      </c>
      <c r="L57" s="12">
        <f t="shared" si="59"/>
        <v>0</v>
      </c>
      <c r="M57" s="12">
        <f t="shared" si="59"/>
        <v>0</v>
      </c>
      <c r="N57" s="12">
        <f t="shared" si="33"/>
        <v>0</v>
      </c>
      <c r="O57" s="23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 outlineLevel="1">
      <c r="A58" s="192" t="s">
        <v>358</v>
      </c>
      <c r="B58" s="232">
        <f t="shared" ref="B58:M58" si="60">SUM(B59:B83)</f>
        <v>0</v>
      </c>
      <c r="C58" s="232">
        <f t="shared" si="60"/>
        <v>0</v>
      </c>
      <c r="D58" s="232">
        <f t="shared" si="60"/>
        <v>0</v>
      </c>
      <c r="E58" s="232">
        <f t="shared" si="60"/>
        <v>0</v>
      </c>
      <c r="F58" s="232">
        <f t="shared" si="60"/>
        <v>0</v>
      </c>
      <c r="G58" s="232">
        <f t="shared" si="60"/>
        <v>0</v>
      </c>
      <c r="H58" s="232">
        <f t="shared" si="60"/>
        <v>0</v>
      </c>
      <c r="I58" s="232">
        <f t="shared" si="60"/>
        <v>0</v>
      </c>
      <c r="J58" s="232">
        <f t="shared" si="60"/>
        <v>0</v>
      </c>
      <c r="K58" s="232">
        <f t="shared" si="60"/>
        <v>0</v>
      </c>
      <c r="L58" s="232">
        <f t="shared" si="60"/>
        <v>0</v>
      </c>
      <c r="M58" s="232">
        <f t="shared" si="60"/>
        <v>0</v>
      </c>
      <c r="N58" s="232">
        <f t="shared" si="33"/>
        <v>0</v>
      </c>
      <c r="O58" s="23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0" customHeight="1" outlineLevel="1">
      <c r="A59" s="11" t="str">
        <f>A$192</f>
        <v/>
      </c>
      <c r="B59" s="12">
        <f t="shared" ref="B59:M59" si="61">($C824/12*D$823+$C850/12*D$849)*B192/1000</f>
        <v>0</v>
      </c>
      <c r="C59" s="12">
        <f t="shared" si="61"/>
        <v>0</v>
      </c>
      <c r="D59" s="12">
        <f t="shared" si="61"/>
        <v>0</v>
      </c>
      <c r="E59" s="12">
        <f t="shared" si="61"/>
        <v>0</v>
      </c>
      <c r="F59" s="12">
        <f t="shared" si="61"/>
        <v>0</v>
      </c>
      <c r="G59" s="12">
        <f t="shared" si="61"/>
        <v>0</v>
      </c>
      <c r="H59" s="12">
        <f t="shared" si="61"/>
        <v>0</v>
      </c>
      <c r="I59" s="12">
        <f t="shared" si="61"/>
        <v>0</v>
      </c>
      <c r="J59" s="12">
        <f t="shared" si="61"/>
        <v>0</v>
      </c>
      <c r="K59" s="12">
        <f t="shared" si="61"/>
        <v>0</v>
      </c>
      <c r="L59" s="12">
        <f t="shared" si="61"/>
        <v>0</v>
      </c>
      <c r="M59" s="12">
        <f t="shared" si="61"/>
        <v>0</v>
      </c>
      <c r="N59" s="12">
        <f t="shared" si="33"/>
        <v>0</v>
      </c>
      <c r="O59" s="23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0" customHeight="1" outlineLevel="1">
      <c r="A60" s="11" t="str">
        <f>A$193</f>
        <v/>
      </c>
      <c r="B60" s="12">
        <f t="shared" ref="B60:M60" si="62">($C825/12*D$823+$C851/12*D$849)*B193/1000</f>
        <v>0</v>
      </c>
      <c r="C60" s="12">
        <f t="shared" si="62"/>
        <v>0</v>
      </c>
      <c r="D60" s="12">
        <f t="shared" si="62"/>
        <v>0</v>
      </c>
      <c r="E60" s="12">
        <f t="shared" si="62"/>
        <v>0</v>
      </c>
      <c r="F60" s="12">
        <f t="shared" si="62"/>
        <v>0</v>
      </c>
      <c r="G60" s="12">
        <f t="shared" si="62"/>
        <v>0</v>
      </c>
      <c r="H60" s="12">
        <f t="shared" si="62"/>
        <v>0</v>
      </c>
      <c r="I60" s="12">
        <f t="shared" si="62"/>
        <v>0</v>
      </c>
      <c r="J60" s="12">
        <f t="shared" si="62"/>
        <v>0</v>
      </c>
      <c r="K60" s="12">
        <f t="shared" si="62"/>
        <v>0</v>
      </c>
      <c r="L60" s="12">
        <f t="shared" si="62"/>
        <v>0</v>
      </c>
      <c r="M60" s="12">
        <f t="shared" si="62"/>
        <v>0</v>
      </c>
      <c r="N60" s="12">
        <f t="shared" si="33"/>
        <v>0</v>
      </c>
      <c r="O60" s="23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0" customHeight="1" outlineLevel="1">
      <c r="A61" s="11" t="str">
        <f>A$194</f>
        <v/>
      </c>
      <c r="B61" s="12">
        <f t="shared" ref="B61:M61" si="63">($C826/12*D$823+$C852/12*D$849)*B194/1000</f>
        <v>0</v>
      </c>
      <c r="C61" s="12">
        <f t="shared" si="63"/>
        <v>0</v>
      </c>
      <c r="D61" s="12">
        <f t="shared" si="63"/>
        <v>0</v>
      </c>
      <c r="E61" s="12">
        <f t="shared" si="63"/>
        <v>0</v>
      </c>
      <c r="F61" s="12">
        <f t="shared" si="63"/>
        <v>0</v>
      </c>
      <c r="G61" s="12">
        <f t="shared" si="63"/>
        <v>0</v>
      </c>
      <c r="H61" s="12">
        <f t="shared" si="63"/>
        <v>0</v>
      </c>
      <c r="I61" s="12">
        <f t="shared" si="63"/>
        <v>0</v>
      </c>
      <c r="J61" s="12">
        <f t="shared" si="63"/>
        <v>0</v>
      </c>
      <c r="K61" s="12">
        <f t="shared" si="63"/>
        <v>0</v>
      </c>
      <c r="L61" s="12">
        <f t="shared" si="63"/>
        <v>0</v>
      </c>
      <c r="M61" s="12">
        <f t="shared" si="63"/>
        <v>0</v>
      </c>
      <c r="N61" s="12">
        <f t="shared" si="33"/>
        <v>0</v>
      </c>
      <c r="O61" s="23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0" customHeight="1" outlineLevel="1">
      <c r="A62" s="11" t="str">
        <f>A$195</f>
        <v/>
      </c>
      <c r="B62" s="12">
        <f t="shared" ref="B62:M62" si="64">($C827/12*D$823+$C853/12*D$849)*B195/1000</f>
        <v>0</v>
      </c>
      <c r="C62" s="12">
        <f t="shared" si="64"/>
        <v>0</v>
      </c>
      <c r="D62" s="12">
        <f t="shared" si="64"/>
        <v>0</v>
      </c>
      <c r="E62" s="12">
        <f t="shared" si="64"/>
        <v>0</v>
      </c>
      <c r="F62" s="12">
        <f t="shared" si="64"/>
        <v>0</v>
      </c>
      <c r="G62" s="12">
        <f t="shared" si="64"/>
        <v>0</v>
      </c>
      <c r="H62" s="12">
        <f t="shared" si="64"/>
        <v>0</v>
      </c>
      <c r="I62" s="12">
        <f t="shared" si="64"/>
        <v>0</v>
      </c>
      <c r="J62" s="12">
        <f t="shared" si="64"/>
        <v>0</v>
      </c>
      <c r="K62" s="12">
        <f t="shared" si="64"/>
        <v>0</v>
      </c>
      <c r="L62" s="12">
        <f t="shared" si="64"/>
        <v>0</v>
      </c>
      <c r="M62" s="12">
        <f t="shared" si="64"/>
        <v>0</v>
      </c>
      <c r="N62" s="12">
        <f t="shared" si="33"/>
        <v>0</v>
      </c>
      <c r="O62" s="23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0" customHeight="1" outlineLevel="1">
      <c r="A63" s="11" t="str">
        <f>A$196</f>
        <v/>
      </c>
      <c r="B63" s="12">
        <f t="shared" ref="B63:M63" si="65">($C828/12*D$823+$C854/12*D$849)*B196/1000</f>
        <v>0</v>
      </c>
      <c r="C63" s="12">
        <f t="shared" si="65"/>
        <v>0</v>
      </c>
      <c r="D63" s="12">
        <f t="shared" si="65"/>
        <v>0</v>
      </c>
      <c r="E63" s="12">
        <f t="shared" si="65"/>
        <v>0</v>
      </c>
      <c r="F63" s="12">
        <f t="shared" si="65"/>
        <v>0</v>
      </c>
      <c r="G63" s="12">
        <f t="shared" si="65"/>
        <v>0</v>
      </c>
      <c r="H63" s="12">
        <f t="shared" si="65"/>
        <v>0</v>
      </c>
      <c r="I63" s="12">
        <f t="shared" si="65"/>
        <v>0</v>
      </c>
      <c r="J63" s="12">
        <f t="shared" si="65"/>
        <v>0</v>
      </c>
      <c r="K63" s="12">
        <f t="shared" si="65"/>
        <v>0</v>
      </c>
      <c r="L63" s="12">
        <f t="shared" si="65"/>
        <v>0</v>
      </c>
      <c r="M63" s="12">
        <f t="shared" si="65"/>
        <v>0</v>
      </c>
      <c r="N63" s="12">
        <f t="shared" si="33"/>
        <v>0</v>
      </c>
      <c r="O63" s="23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0" customHeight="1" outlineLevel="1">
      <c r="A64" s="11" t="str">
        <f>A$197</f>
        <v/>
      </c>
      <c r="B64" s="12">
        <f t="shared" ref="B64:M64" si="66">($C829/12*D$823+$C855/12*D$849)*B197/1000</f>
        <v>0</v>
      </c>
      <c r="C64" s="12">
        <f t="shared" si="66"/>
        <v>0</v>
      </c>
      <c r="D64" s="12">
        <f t="shared" si="66"/>
        <v>0</v>
      </c>
      <c r="E64" s="12">
        <f t="shared" si="66"/>
        <v>0</v>
      </c>
      <c r="F64" s="12">
        <f t="shared" si="66"/>
        <v>0</v>
      </c>
      <c r="G64" s="12">
        <f t="shared" si="66"/>
        <v>0</v>
      </c>
      <c r="H64" s="12">
        <f t="shared" si="66"/>
        <v>0</v>
      </c>
      <c r="I64" s="12">
        <f t="shared" si="66"/>
        <v>0</v>
      </c>
      <c r="J64" s="12">
        <f t="shared" si="66"/>
        <v>0</v>
      </c>
      <c r="K64" s="12">
        <f t="shared" si="66"/>
        <v>0</v>
      </c>
      <c r="L64" s="12">
        <f t="shared" si="66"/>
        <v>0</v>
      </c>
      <c r="M64" s="12">
        <f t="shared" si="66"/>
        <v>0</v>
      </c>
      <c r="N64" s="12">
        <f t="shared" si="33"/>
        <v>0</v>
      </c>
      <c r="O64" s="23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0" customHeight="1" outlineLevel="1">
      <c r="A65" s="11" t="str">
        <f>A$198</f>
        <v/>
      </c>
      <c r="B65" s="12">
        <f t="shared" ref="B65:M65" si="67">($C830/12*D$823+$C856/12*D$849)*B198/1000</f>
        <v>0</v>
      </c>
      <c r="C65" s="12">
        <f t="shared" si="67"/>
        <v>0</v>
      </c>
      <c r="D65" s="12">
        <f t="shared" si="67"/>
        <v>0</v>
      </c>
      <c r="E65" s="12">
        <f t="shared" si="67"/>
        <v>0</v>
      </c>
      <c r="F65" s="12">
        <f t="shared" si="67"/>
        <v>0</v>
      </c>
      <c r="G65" s="12">
        <f t="shared" si="67"/>
        <v>0</v>
      </c>
      <c r="H65" s="12">
        <f t="shared" si="67"/>
        <v>0</v>
      </c>
      <c r="I65" s="12">
        <f t="shared" si="67"/>
        <v>0</v>
      </c>
      <c r="J65" s="12">
        <f t="shared" si="67"/>
        <v>0</v>
      </c>
      <c r="K65" s="12">
        <f t="shared" si="67"/>
        <v>0</v>
      </c>
      <c r="L65" s="12">
        <f t="shared" si="67"/>
        <v>0</v>
      </c>
      <c r="M65" s="12">
        <f t="shared" si="67"/>
        <v>0</v>
      </c>
      <c r="N65" s="12">
        <f t="shared" si="33"/>
        <v>0</v>
      </c>
      <c r="O65" s="23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0" customHeight="1" outlineLevel="1">
      <c r="A66" s="11" t="str">
        <f>A$199</f>
        <v/>
      </c>
      <c r="B66" s="12">
        <f t="shared" ref="B66:M66" si="68">($C831/12*D$823+$C857/12*D$849)*B199/1000</f>
        <v>0</v>
      </c>
      <c r="C66" s="12">
        <f t="shared" si="68"/>
        <v>0</v>
      </c>
      <c r="D66" s="12">
        <f t="shared" si="68"/>
        <v>0</v>
      </c>
      <c r="E66" s="12">
        <f t="shared" si="68"/>
        <v>0</v>
      </c>
      <c r="F66" s="12">
        <f t="shared" si="68"/>
        <v>0</v>
      </c>
      <c r="G66" s="12">
        <f t="shared" si="68"/>
        <v>0</v>
      </c>
      <c r="H66" s="12">
        <f t="shared" si="68"/>
        <v>0</v>
      </c>
      <c r="I66" s="12">
        <f t="shared" si="68"/>
        <v>0</v>
      </c>
      <c r="J66" s="12">
        <f t="shared" si="68"/>
        <v>0</v>
      </c>
      <c r="K66" s="12">
        <f t="shared" si="68"/>
        <v>0</v>
      </c>
      <c r="L66" s="12">
        <f t="shared" si="68"/>
        <v>0</v>
      </c>
      <c r="M66" s="12">
        <f t="shared" si="68"/>
        <v>0</v>
      </c>
      <c r="N66" s="12">
        <f t="shared" si="33"/>
        <v>0</v>
      </c>
      <c r="O66" s="23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0" customHeight="1" outlineLevel="1">
      <c r="A67" s="11" t="str">
        <f>A$200</f>
        <v/>
      </c>
      <c r="B67" s="12">
        <f t="shared" ref="B67:M67" si="69">($C832/12*D$823+$C858/12*D$849)*B200/1000</f>
        <v>0</v>
      </c>
      <c r="C67" s="12">
        <f t="shared" si="69"/>
        <v>0</v>
      </c>
      <c r="D67" s="12">
        <f t="shared" si="69"/>
        <v>0</v>
      </c>
      <c r="E67" s="12">
        <f t="shared" si="69"/>
        <v>0</v>
      </c>
      <c r="F67" s="12">
        <f t="shared" si="69"/>
        <v>0</v>
      </c>
      <c r="G67" s="12">
        <f t="shared" si="69"/>
        <v>0</v>
      </c>
      <c r="H67" s="12">
        <f t="shared" si="69"/>
        <v>0</v>
      </c>
      <c r="I67" s="12">
        <f t="shared" si="69"/>
        <v>0</v>
      </c>
      <c r="J67" s="12">
        <f t="shared" si="69"/>
        <v>0</v>
      </c>
      <c r="K67" s="12">
        <f t="shared" si="69"/>
        <v>0</v>
      </c>
      <c r="L67" s="12">
        <f t="shared" si="69"/>
        <v>0</v>
      </c>
      <c r="M67" s="12">
        <f t="shared" si="69"/>
        <v>0</v>
      </c>
      <c r="N67" s="12">
        <f t="shared" si="33"/>
        <v>0</v>
      </c>
      <c r="O67" s="23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0" customHeight="1" outlineLevel="1">
      <c r="A68" s="11" t="str">
        <f t="shared" ref="A68:A83" si="71">A$201</f>
        <v/>
      </c>
      <c r="B68" s="12">
        <f t="shared" ref="B68:M68" si="70">($C833/12*D$823+$C859/12*D$849)*B201/1000</f>
        <v>0</v>
      </c>
      <c r="C68" s="12">
        <f t="shared" si="70"/>
        <v>0</v>
      </c>
      <c r="D68" s="12">
        <f t="shared" si="70"/>
        <v>0</v>
      </c>
      <c r="E68" s="12">
        <f t="shared" si="70"/>
        <v>0</v>
      </c>
      <c r="F68" s="12">
        <f t="shared" si="70"/>
        <v>0</v>
      </c>
      <c r="G68" s="12">
        <f t="shared" si="70"/>
        <v>0</v>
      </c>
      <c r="H68" s="12">
        <f t="shared" si="70"/>
        <v>0</v>
      </c>
      <c r="I68" s="12">
        <f t="shared" si="70"/>
        <v>0</v>
      </c>
      <c r="J68" s="12">
        <f t="shared" si="70"/>
        <v>0</v>
      </c>
      <c r="K68" s="12">
        <f t="shared" si="70"/>
        <v>0</v>
      </c>
      <c r="L68" s="12">
        <f t="shared" si="70"/>
        <v>0</v>
      </c>
      <c r="M68" s="12">
        <f t="shared" si="70"/>
        <v>0</v>
      </c>
      <c r="N68" s="12">
        <f t="shared" si="33"/>
        <v>0</v>
      </c>
      <c r="O68" s="23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0" customHeight="1" outlineLevel="1">
      <c r="A69" s="11" t="str">
        <f t="shared" si="71"/>
        <v/>
      </c>
      <c r="B69" s="12">
        <f t="shared" ref="B69:M69" si="72">($C834/12*D$823+$C860/12*D$849)*B202/1000</f>
        <v>0</v>
      </c>
      <c r="C69" s="12">
        <f t="shared" si="72"/>
        <v>0</v>
      </c>
      <c r="D69" s="12">
        <f t="shared" si="72"/>
        <v>0</v>
      </c>
      <c r="E69" s="12">
        <f t="shared" si="72"/>
        <v>0</v>
      </c>
      <c r="F69" s="12">
        <f t="shared" si="72"/>
        <v>0</v>
      </c>
      <c r="G69" s="12">
        <f t="shared" si="72"/>
        <v>0</v>
      </c>
      <c r="H69" s="12">
        <f t="shared" si="72"/>
        <v>0</v>
      </c>
      <c r="I69" s="12">
        <f t="shared" si="72"/>
        <v>0</v>
      </c>
      <c r="J69" s="12">
        <f t="shared" si="72"/>
        <v>0</v>
      </c>
      <c r="K69" s="12">
        <f t="shared" si="72"/>
        <v>0</v>
      </c>
      <c r="L69" s="12">
        <f t="shared" si="72"/>
        <v>0</v>
      </c>
      <c r="M69" s="12">
        <f t="shared" si="72"/>
        <v>0</v>
      </c>
      <c r="N69" s="12">
        <f t="shared" si="33"/>
        <v>0</v>
      </c>
      <c r="O69" s="23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0" customHeight="1" outlineLevel="1">
      <c r="A70" s="11" t="str">
        <f t="shared" si="71"/>
        <v/>
      </c>
      <c r="B70" s="12">
        <f t="shared" ref="B70:M70" si="73">($C$835/12*D823+$C$861/12*D849)*B203/1000</f>
        <v>0</v>
      </c>
      <c r="C70" s="12">
        <f t="shared" si="73"/>
        <v>0</v>
      </c>
      <c r="D70" s="12">
        <f t="shared" si="73"/>
        <v>0</v>
      </c>
      <c r="E70" s="12">
        <f t="shared" si="73"/>
        <v>0</v>
      </c>
      <c r="F70" s="12">
        <f t="shared" si="73"/>
        <v>0</v>
      </c>
      <c r="G70" s="12">
        <f t="shared" si="73"/>
        <v>0</v>
      </c>
      <c r="H70" s="12">
        <f t="shared" si="73"/>
        <v>0</v>
      </c>
      <c r="I70" s="12">
        <f t="shared" si="73"/>
        <v>0</v>
      </c>
      <c r="J70" s="12">
        <f t="shared" si="73"/>
        <v>0</v>
      </c>
      <c r="K70" s="12">
        <f t="shared" si="73"/>
        <v>0</v>
      </c>
      <c r="L70" s="12">
        <f t="shared" si="73"/>
        <v>0</v>
      </c>
      <c r="M70" s="12">
        <f t="shared" si="73"/>
        <v>0</v>
      </c>
      <c r="N70" s="12">
        <f t="shared" si="33"/>
        <v>0</v>
      </c>
      <c r="O70" s="23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0" customHeight="1" outlineLevel="1">
      <c r="A71" s="11" t="str">
        <f t="shared" si="71"/>
        <v/>
      </c>
      <c r="B71" s="12">
        <f t="shared" ref="B71:M71" si="74">($C836/12*D$823+$C862/12*D$849)*B204/1000</f>
        <v>0</v>
      </c>
      <c r="C71" s="12">
        <f t="shared" si="74"/>
        <v>0</v>
      </c>
      <c r="D71" s="12">
        <f t="shared" si="74"/>
        <v>0</v>
      </c>
      <c r="E71" s="12">
        <f t="shared" si="74"/>
        <v>0</v>
      </c>
      <c r="F71" s="12">
        <f t="shared" si="74"/>
        <v>0</v>
      </c>
      <c r="G71" s="12">
        <f t="shared" si="74"/>
        <v>0</v>
      </c>
      <c r="H71" s="12">
        <f t="shared" si="74"/>
        <v>0</v>
      </c>
      <c r="I71" s="12">
        <f t="shared" si="74"/>
        <v>0</v>
      </c>
      <c r="J71" s="12">
        <f t="shared" si="74"/>
        <v>0</v>
      </c>
      <c r="K71" s="12">
        <f t="shared" si="74"/>
        <v>0</v>
      </c>
      <c r="L71" s="12">
        <f t="shared" si="74"/>
        <v>0</v>
      </c>
      <c r="M71" s="12">
        <f t="shared" si="74"/>
        <v>0</v>
      </c>
      <c r="N71" s="12">
        <f t="shared" si="33"/>
        <v>0</v>
      </c>
      <c r="O71" s="23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0" customHeight="1" outlineLevel="1">
      <c r="A72" s="11" t="str">
        <f t="shared" si="71"/>
        <v/>
      </c>
      <c r="B72" s="12">
        <f t="shared" ref="B72:M72" si="75">($C837/12*D$823+$C863/12*D$849)*B205/1000</f>
        <v>0</v>
      </c>
      <c r="C72" s="12">
        <f t="shared" si="75"/>
        <v>0</v>
      </c>
      <c r="D72" s="12">
        <f t="shared" si="75"/>
        <v>0</v>
      </c>
      <c r="E72" s="12">
        <f t="shared" si="75"/>
        <v>0</v>
      </c>
      <c r="F72" s="12">
        <f t="shared" si="75"/>
        <v>0</v>
      </c>
      <c r="G72" s="12">
        <f t="shared" si="75"/>
        <v>0</v>
      </c>
      <c r="H72" s="12">
        <f t="shared" si="75"/>
        <v>0</v>
      </c>
      <c r="I72" s="12">
        <f t="shared" si="75"/>
        <v>0</v>
      </c>
      <c r="J72" s="12">
        <f t="shared" si="75"/>
        <v>0</v>
      </c>
      <c r="K72" s="12">
        <f t="shared" si="75"/>
        <v>0</v>
      </c>
      <c r="L72" s="12">
        <f t="shared" si="75"/>
        <v>0</v>
      </c>
      <c r="M72" s="12">
        <f t="shared" si="75"/>
        <v>0</v>
      </c>
      <c r="N72" s="12">
        <f t="shared" si="33"/>
        <v>0</v>
      </c>
      <c r="O72" s="23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0" customHeight="1" outlineLevel="1">
      <c r="A73" s="11" t="str">
        <f t="shared" si="71"/>
        <v/>
      </c>
      <c r="B73" s="12">
        <f t="shared" ref="B73:M73" si="76">($C838/12*D$823+$C864/12*D$849)*B206/1000</f>
        <v>0</v>
      </c>
      <c r="C73" s="12">
        <f t="shared" si="76"/>
        <v>0</v>
      </c>
      <c r="D73" s="12">
        <f t="shared" si="76"/>
        <v>0</v>
      </c>
      <c r="E73" s="12">
        <f t="shared" si="76"/>
        <v>0</v>
      </c>
      <c r="F73" s="12">
        <f t="shared" si="76"/>
        <v>0</v>
      </c>
      <c r="G73" s="12">
        <f t="shared" si="76"/>
        <v>0</v>
      </c>
      <c r="H73" s="12">
        <f t="shared" si="76"/>
        <v>0</v>
      </c>
      <c r="I73" s="12">
        <f t="shared" si="76"/>
        <v>0</v>
      </c>
      <c r="J73" s="12">
        <f t="shared" si="76"/>
        <v>0</v>
      </c>
      <c r="K73" s="12">
        <f t="shared" si="76"/>
        <v>0</v>
      </c>
      <c r="L73" s="12">
        <f t="shared" si="76"/>
        <v>0</v>
      </c>
      <c r="M73" s="12">
        <f t="shared" si="76"/>
        <v>0</v>
      </c>
      <c r="N73" s="12">
        <f t="shared" si="33"/>
        <v>0</v>
      </c>
      <c r="O73" s="23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0" customHeight="1" outlineLevel="1">
      <c r="A74" s="11" t="str">
        <f t="shared" si="71"/>
        <v/>
      </c>
      <c r="B74" s="12">
        <f t="shared" ref="B74:M74" si="77">($C839/12*D$823+$C865/12*D$849)*B207/1000</f>
        <v>0</v>
      </c>
      <c r="C74" s="12">
        <f t="shared" si="77"/>
        <v>0</v>
      </c>
      <c r="D74" s="12">
        <f t="shared" si="77"/>
        <v>0</v>
      </c>
      <c r="E74" s="12">
        <f t="shared" si="77"/>
        <v>0</v>
      </c>
      <c r="F74" s="12">
        <f t="shared" si="77"/>
        <v>0</v>
      </c>
      <c r="G74" s="12">
        <f t="shared" si="77"/>
        <v>0</v>
      </c>
      <c r="H74" s="12">
        <f t="shared" si="77"/>
        <v>0</v>
      </c>
      <c r="I74" s="12">
        <f t="shared" si="77"/>
        <v>0</v>
      </c>
      <c r="J74" s="12">
        <f t="shared" si="77"/>
        <v>0</v>
      </c>
      <c r="K74" s="12">
        <f t="shared" si="77"/>
        <v>0</v>
      </c>
      <c r="L74" s="12">
        <f t="shared" si="77"/>
        <v>0</v>
      </c>
      <c r="M74" s="12">
        <f t="shared" si="77"/>
        <v>0</v>
      </c>
      <c r="N74" s="12">
        <f t="shared" si="33"/>
        <v>0</v>
      </c>
      <c r="O74" s="23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0" customHeight="1" outlineLevel="1">
      <c r="A75" s="11" t="str">
        <f t="shared" si="71"/>
        <v/>
      </c>
      <c r="B75" s="12">
        <f t="shared" ref="B75:M75" si="78">($C840/12*D$823+$C866/12*D$849)*B208/1000</f>
        <v>0</v>
      </c>
      <c r="C75" s="12">
        <f t="shared" si="78"/>
        <v>0</v>
      </c>
      <c r="D75" s="12">
        <f t="shared" si="78"/>
        <v>0</v>
      </c>
      <c r="E75" s="12">
        <f t="shared" si="78"/>
        <v>0</v>
      </c>
      <c r="F75" s="12">
        <f t="shared" si="78"/>
        <v>0</v>
      </c>
      <c r="G75" s="12">
        <f t="shared" si="78"/>
        <v>0</v>
      </c>
      <c r="H75" s="12">
        <f t="shared" si="78"/>
        <v>0</v>
      </c>
      <c r="I75" s="12">
        <f t="shared" si="78"/>
        <v>0</v>
      </c>
      <c r="J75" s="12">
        <f t="shared" si="78"/>
        <v>0</v>
      </c>
      <c r="K75" s="12">
        <f t="shared" si="78"/>
        <v>0</v>
      </c>
      <c r="L75" s="12">
        <f t="shared" si="78"/>
        <v>0</v>
      </c>
      <c r="M75" s="12">
        <f t="shared" si="78"/>
        <v>0</v>
      </c>
      <c r="N75" s="12">
        <f t="shared" si="33"/>
        <v>0</v>
      </c>
      <c r="O75" s="23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0" customHeight="1" outlineLevel="1">
      <c r="A76" s="11" t="str">
        <f t="shared" si="71"/>
        <v/>
      </c>
      <c r="B76" s="12">
        <f t="shared" ref="B76:M76" si="79">($C841/12*D$823+$C867/12*D$849)*B209/1000</f>
        <v>0</v>
      </c>
      <c r="C76" s="12">
        <f t="shared" si="79"/>
        <v>0</v>
      </c>
      <c r="D76" s="12">
        <f t="shared" si="79"/>
        <v>0</v>
      </c>
      <c r="E76" s="12">
        <f t="shared" si="79"/>
        <v>0</v>
      </c>
      <c r="F76" s="12">
        <f t="shared" si="79"/>
        <v>0</v>
      </c>
      <c r="G76" s="12">
        <f t="shared" si="79"/>
        <v>0</v>
      </c>
      <c r="H76" s="12">
        <f t="shared" si="79"/>
        <v>0</v>
      </c>
      <c r="I76" s="12">
        <f t="shared" si="79"/>
        <v>0</v>
      </c>
      <c r="J76" s="12">
        <f t="shared" si="79"/>
        <v>0</v>
      </c>
      <c r="K76" s="12">
        <f t="shared" si="79"/>
        <v>0</v>
      </c>
      <c r="L76" s="12">
        <f t="shared" si="79"/>
        <v>0</v>
      </c>
      <c r="M76" s="12">
        <f t="shared" si="79"/>
        <v>0</v>
      </c>
      <c r="N76" s="12">
        <f t="shared" si="33"/>
        <v>0</v>
      </c>
      <c r="O76" s="23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0" customHeight="1" outlineLevel="1">
      <c r="A77" s="11" t="str">
        <f t="shared" si="71"/>
        <v/>
      </c>
      <c r="B77" s="12">
        <f t="shared" ref="B77:M77" si="80">($C842/12*D$823+$C868/12*D$849)*B210/1000</f>
        <v>0</v>
      </c>
      <c r="C77" s="12">
        <f t="shared" si="80"/>
        <v>0</v>
      </c>
      <c r="D77" s="12">
        <f t="shared" si="80"/>
        <v>0</v>
      </c>
      <c r="E77" s="12">
        <f t="shared" si="80"/>
        <v>0</v>
      </c>
      <c r="F77" s="12">
        <f t="shared" si="80"/>
        <v>0</v>
      </c>
      <c r="G77" s="12">
        <f t="shared" si="80"/>
        <v>0</v>
      </c>
      <c r="H77" s="12">
        <f t="shared" si="80"/>
        <v>0</v>
      </c>
      <c r="I77" s="12">
        <f t="shared" si="80"/>
        <v>0</v>
      </c>
      <c r="J77" s="12">
        <f t="shared" si="80"/>
        <v>0</v>
      </c>
      <c r="K77" s="12">
        <f t="shared" si="80"/>
        <v>0</v>
      </c>
      <c r="L77" s="12">
        <f t="shared" si="80"/>
        <v>0</v>
      </c>
      <c r="M77" s="12">
        <f t="shared" si="80"/>
        <v>0</v>
      </c>
      <c r="N77" s="12">
        <f t="shared" si="33"/>
        <v>0</v>
      </c>
      <c r="O77" s="23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0" customHeight="1" outlineLevel="1">
      <c r="A78" s="11" t="str">
        <f t="shared" si="71"/>
        <v/>
      </c>
      <c r="B78" s="12">
        <f t="shared" ref="B78:M78" si="81">($C843/12*D$823+$C869/12*D$849)*B211/1000</f>
        <v>0</v>
      </c>
      <c r="C78" s="12">
        <f t="shared" si="81"/>
        <v>0</v>
      </c>
      <c r="D78" s="12">
        <f t="shared" si="81"/>
        <v>0</v>
      </c>
      <c r="E78" s="12">
        <f t="shared" si="81"/>
        <v>0</v>
      </c>
      <c r="F78" s="12">
        <f t="shared" si="81"/>
        <v>0</v>
      </c>
      <c r="G78" s="12">
        <f t="shared" si="81"/>
        <v>0</v>
      </c>
      <c r="H78" s="12">
        <f t="shared" si="81"/>
        <v>0</v>
      </c>
      <c r="I78" s="12">
        <f t="shared" si="81"/>
        <v>0</v>
      </c>
      <c r="J78" s="12">
        <f t="shared" si="81"/>
        <v>0</v>
      </c>
      <c r="K78" s="12">
        <f t="shared" si="81"/>
        <v>0</v>
      </c>
      <c r="L78" s="12">
        <f t="shared" si="81"/>
        <v>0</v>
      </c>
      <c r="M78" s="12">
        <f t="shared" si="81"/>
        <v>0</v>
      </c>
      <c r="N78" s="12">
        <f t="shared" si="33"/>
        <v>0</v>
      </c>
      <c r="O78" s="23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0" customHeight="1" outlineLevel="1">
      <c r="A79" s="11" t="str">
        <f t="shared" si="71"/>
        <v/>
      </c>
      <c r="B79" s="12">
        <f t="shared" ref="B79:M79" si="82">($C844/12*D$823+$C870/12*D$849)*B212/1000</f>
        <v>0</v>
      </c>
      <c r="C79" s="12">
        <f t="shared" si="82"/>
        <v>0</v>
      </c>
      <c r="D79" s="12">
        <f t="shared" si="82"/>
        <v>0</v>
      </c>
      <c r="E79" s="12">
        <f t="shared" si="82"/>
        <v>0</v>
      </c>
      <c r="F79" s="12">
        <f t="shared" si="82"/>
        <v>0</v>
      </c>
      <c r="G79" s="12">
        <f t="shared" si="82"/>
        <v>0</v>
      </c>
      <c r="H79" s="12">
        <f t="shared" si="82"/>
        <v>0</v>
      </c>
      <c r="I79" s="12">
        <f t="shared" si="82"/>
        <v>0</v>
      </c>
      <c r="J79" s="12">
        <f t="shared" si="82"/>
        <v>0</v>
      </c>
      <c r="K79" s="12">
        <f t="shared" si="82"/>
        <v>0</v>
      </c>
      <c r="L79" s="12">
        <f t="shared" si="82"/>
        <v>0</v>
      </c>
      <c r="M79" s="12">
        <f t="shared" si="82"/>
        <v>0</v>
      </c>
      <c r="N79" s="12">
        <f t="shared" si="33"/>
        <v>0</v>
      </c>
      <c r="O79" s="23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0" customHeight="1" outlineLevel="1">
      <c r="A80" s="11" t="str">
        <f t="shared" si="71"/>
        <v/>
      </c>
      <c r="B80" s="12">
        <f>($C845/12*D$823+$D$871/12*$D$849)*B213/1000</f>
        <v>0</v>
      </c>
      <c r="C80" s="12">
        <f>($C845/12*E$823+$E$871/12*$E$849)*C213/1000</f>
        <v>0</v>
      </c>
      <c r="D80" s="12">
        <f>($C845/12*F$823+$F$871/12*$F$849)*D213/1000</f>
        <v>0</v>
      </c>
      <c r="E80" s="12">
        <f>($C845/12*G$823+$G$871/12*$G$849)*E213/1000</f>
        <v>0</v>
      </c>
      <c r="F80" s="12">
        <f>($C845/12*H$823+$H$871/12*$H$849)*F213/1000</f>
        <v>0</v>
      </c>
      <c r="G80" s="12">
        <f>($C845/12*I$823+$I$871/12*$I$849)*G213/1000</f>
        <v>0</v>
      </c>
      <c r="H80" s="12">
        <f>($C845/12*J$823+$J$871/12*$J$849)*H213/1000</f>
        <v>0</v>
      </c>
      <c r="I80" s="12">
        <f>($C845/12*K$823+$K$871/12*$K$849)*I213/1000</f>
        <v>0</v>
      </c>
      <c r="J80" s="12">
        <f>($C845/12*L$823+$L$871/12*$L$849)*J213/1000</f>
        <v>0</v>
      </c>
      <c r="K80" s="12">
        <f>($C845/12*M$823+$M$871/12*$M$849)*K213/1000</f>
        <v>0</v>
      </c>
      <c r="L80" s="12">
        <f t="shared" ref="L80:M80" si="83">($C845/12*N$823+$N$871/12*$N$849)*L213/1000</f>
        <v>0</v>
      </c>
      <c r="M80" s="12">
        <f t="shared" si="83"/>
        <v>0</v>
      </c>
      <c r="N80" s="12">
        <f t="shared" si="33"/>
        <v>0</v>
      </c>
      <c r="O80" s="23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0" customHeight="1" outlineLevel="1">
      <c r="A81" s="11" t="str">
        <f t="shared" si="71"/>
        <v/>
      </c>
      <c r="B81" s="12">
        <f t="shared" ref="B81:M81" si="84">($C846/12*D$823+$C872/12*D$849)*B214/1000</f>
        <v>0</v>
      </c>
      <c r="C81" s="12">
        <f t="shared" si="84"/>
        <v>0</v>
      </c>
      <c r="D81" s="12">
        <f t="shared" si="84"/>
        <v>0</v>
      </c>
      <c r="E81" s="12">
        <f t="shared" si="84"/>
        <v>0</v>
      </c>
      <c r="F81" s="12">
        <f t="shared" si="84"/>
        <v>0</v>
      </c>
      <c r="G81" s="12">
        <f t="shared" si="84"/>
        <v>0</v>
      </c>
      <c r="H81" s="12">
        <f t="shared" si="84"/>
        <v>0</v>
      </c>
      <c r="I81" s="12">
        <f t="shared" si="84"/>
        <v>0</v>
      </c>
      <c r="J81" s="12">
        <f t="shared" si="84"/>
        <v>0</v>
      </c>
      <c r="K81" s="12">
        <f t="shared" si="84"/>
        <v>0</v>
      </c>
      <c r="L81" s="12">
        <f t="shared" si="84"/>
        <v>0</v>
      </c>
      <c r="M81" s="12">
        <f t="shared" si="84"/>
        <v>0</v>
      </c>
      <c r="N81" s="12">
        <f t="shared" si="33"/>
        <v>0</v>
      </c>
      <c r="O81" s="23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0" customHeight="1" outlineLevel="1">
      <c r="A82" s="11" t="str">
        <f t="shared" si="71"/>
        <v/>
      </c>
      <c r="B82" s="12">
        <f t="shared" ref="B82:M82" si="85">($C847/12*D$823+$C873/12*D$849)*B215/1000</f>
        <v>0</v>
      </c>
      <c r="C82" s="12">
        <f t="shared" si="85"/>
        <v>0</v>
      </c>
      <c r="D82" s="12">
        <f t="shared" si="85"/>
        <v>0</v>
      </c>
      <c r="E82" s="12">
        <f t="shared" si="85"/>
        <v>0</v>
      </c>
      <c r="F82" s="12">
        <f t="shared" si="85"/>
        <v>0</v>
      </c>
      <c r="G82" s="12">
        <f t="shared" si="85"/>
        <v>0</v>
      </c>
      <c r="H82" s="12">
        <f t="shared" si="85"/>
        <v>0</v>
      </c>
      <c r="I82" s="12">
        <f t="shared" si="85"/>
        <v>0</v>
      </c>
      <c r="J82" s="12">
        <f t="shared" si="85"/>
        <v>0</v>
      </c>
      <c r="K82" s="12">
        <f t="shared" si="85"/>
        <v>0</v>
      </c>
      <c r="L82" s="12">
        <f t="shared" si="85"/>
        <v>0</v>
      </c>
      <c r="M82" s="12">
        <f t="shared" si="85"/>
        <v>0</v>
      </c>
      <c r="N82" s="12">
        <f t="shared" si="33"/>
        <v>0</v>
      </c>
      <c r="O82" s="23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0" customHeight="1" outlineLevel="1">
      <c r="A83" s="11" t="str">
        <f t="shared" si="71"/>
        <v/>
      </c>
      <c r="B83" s="12">
        <f t="shared" ref="B83:M83" si="86">($C848/12*D$823+$C874/12*D$849)*B216/1000</f>
        <v>0</v>
      </c>
      <c r="C83" s="12">
        <f t="shared" si="86"/>
        <v>0</v>
      </c>
      <c r="D83" s="12">
        <f t="shared" si="86"/>
        <v>0</v>
      </c>
      <c r="E83" s="12">
        <f t="shared" si="86"/>
        <v>0</v>
      </c>
      <c r="F83" s="12">
        <f t="shared" si="86"/>
        <v>0</v>
      </c>
      <c r="G83" s="12">
        <f t="shared" si="86"/>
        <v>0</v>
      </c>
      <c r="H83" s="12">
        <f t="shared" si="86"/>
        <v>0</v>
      </c>
      <c r="I83" s="12">
        <f t="shared" si="86"/>
        <v>0</v>
      </c>
      <c r="J83" s="12">
        <f t="shared" si="86"/>
        <v>0</v>
      </c>
      <c r="K83" s="12">
        <f t="shared" si="86"/>
        <v>0</v>
      </c>
      <c r="L83" s="12">
        <f t="shared" si="86"/>
        <v>0</v>
      </c>
      <c r="M83" s="12">
        <f t="shared" si="86"/>
        <v>0</v>
      </c>
      <c r="N83" s="12">
        <f t="shared" si="33"/>
        <v>0</v>
      </c>
      <c r="O83" s="23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 outlineLevel="1">
      <c r="A84" s="192" t="s">
        <v>359</v>
      </c>
      <c r="B84" s="232">
        <f t="shared" ref="B84:M84" si="87">SUM(B85:B109)</f>
        <v>0</v>
      </c>
      <c r="C84" s="232">
        <f t="shared" si="87"/>
        <v>0</v>
      </c>
      <c r="D84" s="232">
        <f t="shared" si="87"/>
        <v>0</v>
      </c>
      <c r="E84" s="232">
        <f t="shared" si="87"/>
        <v>0</v>
      </c>
      <c r="F84" s="232">
        <f t="shared" si="87"/>
        <v>0</v>
      </c>
      <c r="G84" s="232">
        <f t="shared" si="87"/>
        <v>0</v>
      </c>
      <c r="H84" s="232">
        <f t="shared" si="87"/>
        <v>0</v>
      </c>
      <c r="I84" s="232">
        <f t="shared" si="87"/>
        <v>0</v>
      </c>
      <c r="J84" s="232">
        <f t="shared" si="87"/>
        <v>0</v>
      </c>
      <c r="K84" s="232">
        <f t="shared" si="87"/>
        <v>0</v>
      </c>
      <c r="L84" s="232">
        <f t="shared" si="87"/>
        <v>0</v>
      </c>
      <c r="M84" s="232">
        <f t="shared" si="87"/>
        <v>0</v>
      </c>
      <c r="N84" s="232">
        <f t="shared" si="33"/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0" customHeight="1" outlineLevel="1">
      <c r="A85" s="11" t="str">
        <f>A$192</f>
        <v/>
      </c>
      <c r="B85" s="12">
        <f t="shared" ref="B85:M85" si="88">($C877/12*D$876+$C903/12*D$902)*B192/1000</f>
        <v>0</v>
      </c>
      <c r="C85" s="12">
        <f t="shared" si="88"/>
        <v>0</v>
      </c>
      <c r="D85" s="12">
        <f t="shared" si="88"/>
        <v>0</v>
      </c>
      <c r="E85" s="12">
        <f t="shared" si="88"/>
        <v>0</v>
      </c>
      <c r="F85" s="12">
        <f t="shared" si="88"/>
        <v>0</v>
      </c>
      <c r="G85" s="12">
        <f t="shared" si="88"/>
        <v>0</v>
      </c>
      <c r="H85" s="12">
        <f t="shared" si="88"/>
        <v>0</v>
      </c>
      <c r="I85" s="12">
        <f t="shared" si="88"/>
        <v>0</v>
      </c>
      <c r="J85" s="12">
        <f t="shared" si="88"/>
        <v>0</v>
      </c>
      <c r="K85" s="12">
        <f t="shared" si="88"/>
        <v>0</v>
      </c>
      <c r="L85" s="12">
        <f t="shared" si="88"/>
        <v>0</v>
      </c>
      <c r="M85" s="12">
        <f t="shared" si="88"/>
        <v>0</v>
      </c>
      <c r="N85" s="12">
        <f t="shared" si="33"/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0" customHeight="1" outlineLevel="1">
      <c r="A86" s="11" t="str">
        <f>A$193</f>
        <v/>
      </c>
      <c r="B86" s="12">
        <f t="shared" ref="B86:M86" si="89">($C878/12*D$876+$C904/12*D$902)*B193/1000</f>
        <v>0</v>
      </c>
      <c r="C86" s="12">
        <f t="shared" si="89"/>
        <v>0</v>
      </c>
      <c r="D86" s="12">
        <f t="shared" si="89"/>
        <v>0</v>
      </c>
      <c r="E86" s="12">
        <f t="shared" si="89"/>
        <v>0</v>
      </c>
      <c r="F86" s="12">
        <f t="shared" si="89"/>
        <v>0</v>
      </c>
      <c r="G86" s="12">
        <f t="shared" si="89"/>
        <v>0</v>
      </c>
      <c r="H86" s="12">
        <f t="shared" si="89"/>
        <v>0</v>
      </c>
      <c r="I86" s="12">
        <f t="shared" si="89"/>
        <v>0</v>
      </c>
      <c r="J86" s="12">
        <f t="shared" si="89"/>
        <v>0</v>
      </c>
      <c r="K86" s="12">
        <f t="shared" si="89"/>
        <v>0</v>
      </c>
      <c r="L86" s="12">
        <f t="shared" si="89"/>
        <v>0</v>
      </c>
      <c r="M86" s="12">
        <f t="shared" si="89"/>
        <v>0</v>
      </c>
      <c r="N86" s="12">
        <f t="shared" si="33"/>
        <v>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0" customHeight="1" outlineLevel="1">
      <c r="A87" s="11" t="str">
        <f>A$194</f>
        <v/>
      </c>
      <c r="B87" s="12">
        <f t="shared" ref="B87:M87" si="90">($C879/12*D$876+$C905/12*D$902)*B194/1000</f>
        <v>0</v>
      </c>
      <c r="C87" s="12">
        <f t="shared" si="90"/>
        <v>0</v>
      </c>
      <c r="D87" s="12">
        <f t="shared" si="90"/>
        <v>0</v>
      </c>
      <c r="E87" s="12">
        <f t="shared" si="90"/>
        <v>0</v>
      </c>
      <c r="F87" s="12">
        <f t="shared" si="90"/>
        <v>0</v>
      </c>
      <c r="G87" s="12">
        <f t="shared" si="90"/>
        <v>0</v>
      </c>
      <c r="H87" s="12">
        <f t="shared" si="90"/>
        <v>0</v>
      </c>
      <c r="I87" s="12">
        <f t="shared" si="90"/>
        <v>0</v>
      </c>
      <c r="J87" s="12">
        <f t="shared" si="90"/>
        <v>0</v>
      </c>
      <c r="K87" s="12">
        <f t="shared" si="90"/>
        <v>0</v>
      </c>
      <c r="L87" s="12">
        <f t="shared" si="90"/>
        <v>0</v>
      </c>
      <c r="M87" s="12">
        <f t="shared" si="90"/>
        <v>0</v>
      </c>
      <c r="N87" s="12">
        <f t="shared" si="33"/>
        <v>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0" customHeight="1" outlineLevel="1">
      <c r="A88" s="11" t="str">
        <f>A$195</f>
        <v/>
      </c>
      <c r="B88" s="12">
        <f t="shared" ref="B88:M88" si="91">($C880/12*D$876+$C906/12*D$902)*B195/1000</f>
        <v>0</v>
      </c>
      <c r="C88" s="12">
        <f t="shared" si="91"/>
        <v>0</v>
      </c>
      <c r="D88" s="12">
        <f t="shared" si="91"/>
        <v>0</v>
      </c>
      <c r="E88" s="12">
        <f t="shared" si="91"/>
        <v>0</v>
      </c>
      <c r="F88" s="12">
        <f t="shared" si="91"/>
        <v>0</v>
      </c>
      <c r="G88" s="12">
        <f t="shared" si="91"/>
        <v>0</v>
      </c>
      <c r="H88" s="12">
        <f t="shared" si="91"/>
        <v>0</v>
      </c>
      <c r="I88" s="12">
        <f t="shared" si="91"/>
        <v>0</v>
      </c>
      <c r="J88" s="12">
        <f t="shared" si="91"/>
        <v>0</v>
      </c>
      <c r="K88" s="12">
        <f t="shared" si="91"/>
        <v>0</v>
      </c>
      <c r="L88" s="12">
        <f t="shared" si="91"/>
        <v>0</v>
      </c>
      <c r="M88" s="12">
        <f t="shared" si="91"/>
        <v>0</v>
      </c>
      <c r="N88" s="12">
        <f t="shared" si="33"/>
        <v>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0" customHeight="1" outlineLevel="1">
      <c r="A89" s="11" t="str">
        <f>A$196</f>
        <v/>
      </c>
      <c r="B89" s="12">
        <f t="shared" ref="B89:M89" si="92">($C881/12*D$876+$C907/12*D$902)*B196/1000</f>
        <v>0</v>
      </c>
      <c r="C89" s="12">
        <f t="shared" si="92"/>
        <v>0</v>
      </c>
      <c r="D89" s="12">
        <f t="shared" si="92"/>
        <v>0</v>
      </c>
      <c r="E89" s="12">
        <f t="shared" si="92"/>
        <v>0</v>
      </c>
      <c r="F89" s="12">
        <f t="shared" si="92"/>
        <v>0</v>
      </c>
      <c r="G89" s="12">
        <f t="shared" si="92"/>
        <v>0</v>
      </c>
      <c r="H89" s="12">
        <f t="shared" si="92"/>
        <v>0</v>
      </c>
      <c r="I89" s="12">
        <f t="shared" si="92"/>
        <v>0</v>
      </c>
      <c r="J89" s="12">
        <f t="shared" si="92"/>
        <v>0</v>
      </c>
      <c r="K89" s="12">
        <f t="shared" si="92"/>
        <v>0</v>
      </c>
      <c r="L89" s="12">
        <f t="shared" si="92"/>
        <v>0</v>
      </c>
      <c r="M89" s="12">
        <f t="shared" si="92"/>
        <v>0</v>
      </c>
      <c r="N89" s="12">
        <f t="shared" si="33"/>
        <v>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0" customHeight="1" outlineLevel="1">
      <c r="A90" s="11" t="str">
        <f>A$197</f>
        <v/>
      </c>
      <c r="B90" s="12">
        <f t="shared" ref="B90:M90" si="93">($C882/12*D$876+$C908/12*D$902)*B197/1000</f>
        <v>0</v>
      </c>
      <c r="C90" s="12">
        <f t="shared" si="93"/>
        <v>0</v>
      </c>
      <c r="D90" s="12">
        <f t="shared" si="93"/>
        <v>0</v>
      </c>
      <c r="E90" s="12">
        <f t="shared" si="93"/>
        <v>0</v>
      </c>
      <c r="F90" s="12">
        <f t="shared" si="93"/>
        <v>0</v>
      </c>
      <c r="G90" s="12">
        <f t="shared" si="93"/>
        <v>0</v>
      </c>
      <c r="H90" s="12">
        <f t="shared" si="93"/>
        <v>0</v>
      </c>
      <c r="I90" s="12">
        <f t="shared" si="93"/>
        <v>0</v>
      </c>
      <c r="J90" s="12">
        <f t="shared" si="93"/>
        <v>0</v>
      </c>
      <c r="K90" s="12">
        <f t="shared" si="93"/>
        <v>0</v>
      </c>
      <c r="L90" s="12">
        <f t="shared" si="93"/>
        <v>0</v>
      </c>
      <c r="M90" s="12">
        <f t="shared" si="93"/>
        <v>0</v>
      </c>
      <c r="N90" s="12">
        <f t="shared" si="33"/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0" customHeight="1" outlineLevel="1">
      <c r="A91" s="11" t="str">
        <f>A$198</f>
        <v/>
      </c>
      <c r="B91" s="12">
        <f t="shared" ref="B91:M91" si="94">($C883/12*D$876+$C909/12*D$902)*B198/1000</f>
        <v>0</v>
      </c>
      <c r="C91" s="12">
        <f t="shared" si="94"/>
        <v>0</v>
      </c>
      <c r="D91" s="12">
        <f t="shared" si="94"/>
        <v>0</v>
      </c>
      <c r="E91" s="12">
        <f t="shared" si="94"/>
        <v>0</v>
      </c>
      <c r="F91" s="12">
        <f t="shared" si="94"/>
        <v>0</v>
      </c>
      <c r="G91" s="12">
        <f t="shared" si="94"/>
        <v>0</v>
      </c>
      <c r="H91" s="12">
        <f t="shared" si="94"/>
        <v>0</v>
      </c>
      <c r="I91" s="12">
        <f t="shared" si="94"/>
        <v>0</v>
      </c>
      <c r="J91" s="12">
        <f t="shared" si="94"/>
        <v>0</v>
      </c>
      <c r="K91" s="12">
        <f t="shared" si="94"/>
        <v>0</v>
      </c>
      <c r="L91" s="12">
        <f t="shared" si="94"/>
        <v>0</v>
      </c>
      <c r="M91" s="12">
        <f t="shared" si="94"/>
        <v>0</v>
      </c>
      <c r="N91" s="12">
        <f t="shared" si="33"/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0" customHeight="1" outlineLevel="1">
      <c r="A92" s="11" t="str">
        <f>A$199</f>
        <v/>
      </c>
      <c r="B92" s="12">
        <f t="shared" ref="B92:M92" si="95">($C884/12*D$876+$C910/12*D$902)*B199/1000</f>
        <v>0</v>
      </c>
      <c r="C92" s="12">
        <f t="shared" si="95"/>
        <v>0</v>
      </c>
      <c r="D92" s="12">
        <f t="shared" si="95"/>
        <v>0</v>
      </c>
      <c r="E92" s="12">
        <f t="shared" si="95"/>
        <v>0</v>
      </c>
      <c r="F92" s="12">
        <f t="shared" si="95"/>
        <v>0</v>
      </c>
      <c r="G92" s="12">
        <f t="shared" si="95"/>
        <v>0</v>
      </c>
      <c r="H92" s="12">
        <f t="shared" si="95"/>
        <v>0</v>
      </c>
      <c r="I92" s="12">
        <f t="shared" si="95"/>
        <v>0</v>
      </c>
      <c r="J92" s="12">
        <f t="shared" si="95"/>
        <v>0</v>
      </c>
      <c r="K92" s="12">
        <f t="shared" si="95"/>
        <v>0</v>
      </c>
      <c r="L92" s="12">
        <f t="shared" si="95"/>
        <v>0</v>
      </c>
      <c r="M92" s="12">
        <f t="shared" si="95"/>
        <v>0</v>
      </c>
      <c r="N92" s="12">
        <f t="shared" si="33"/>
        <v>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0" customHeight="1" outlineLevel="1">
      <c r="A93" s="11" t="str">
        <f>A$200</f>
        <v/>
      </c>
      <c r="B93" s="12">
        <f t="shared" ref="B93:M93" si="96">($C885/12*D$876+$C911/12*D$902)*B200/1000</f>
        <v>0</v>
      </c>
      <c r="C93" s="12">
        <f t="shared" si="96"/>
        <v>0</v>
      </c>
      <c r="D93" s="12">
        <f t="shared" si="96"/>
        <v>0</v>
      </c>
      <c r="E93" s="12">
        <f t="shared" si="96"/>
        <v>0</v>
      </c>
      <c r="F93" s="12">
        <f t="shared" si="96"/>
        <v>0</v>
      </c>
      <c r="G93" s="12">
        <f t="shared" si="96"/>
        <v>0</v>
      </c>
      <c r="H93" s="12">
        <f t="shared" si="96"/>
        <v>0</v>
      </c>
      <c r="I93" s="12">
        <f t="shared" si="96"/>
        <v>0</v>
      </c>
      <c r="J93" s="12">
        <f t="shared" si="96"/>
        <v>0</v>
      </c>
      <c r="K93" s="12">
        <f t="shared" si="96"/>
        <v>0</v>
      </c>
      <c r="L93" s="12">
        <f t="shared" si="96"/>
        <v>0</v>
      </c>
      <c r="M93" s="12">
        <f t="shared" si="96"/>
        <v>0</v>
      </c>
      <c r="N93" s="12">
        <f t="shared" si="33"/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0" customHeight="1" outlineLevel="1">
      <c r="A94" s="11" t="str">
        <f>A$201</f>
        <v/>
      </c>
      <c r="B94" s="12">
        <f t="shared" ref="B94:M94" si="97">($C886/12*D$876+$C912/12*D$902)*B201/1000</f>
        <v>0</v>
      </c>
      <c r="C94" s="12">
        <f t="shared" si="97"/>
        <v>0</v>
      </c>
      <c r="D94" s="12">
        <f t="shared" si="97"/>
        <v>0</v>
      </c>
      <c r="E94" s="12">
        <f t="shared" si="97"/>
        <v>0</v>
      </c>
      <c r="F94" s="12">
        <f t="shared" si="97"/>
        <v>0</v>
      </c>
      <c r="G94" s="12">
        <f t="shared" si="97"/>
        <v>0</v>
      </c>
      <c r="H94" s="12">
        <f t="shared" si="97"/>
        <v>0</v>
      </c>
      <c r="I94" s="12">
        <f t="shared" si="97"/>
        <v>0</v>
      </c>
      <c r="J94" s="12">
        <f t="shared" si="97"/>
        <v>0</v>
      </c>
      <c r="K94" s="12">
        <f t="shared" si="97"/>
        <v>0</v>
      </c>
      <c r="L94" s="12">
        <f t="shared" si="97"/>
        <v>0</v>
      </c>
      <c r="M94" s="12">
        <f t="shared" si="97"/>
        <v>0</v>
      </c>
      <c r="N94" s="12">
        <f t="shared" si="33"/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0" customHeight="1" outlineLevel="1">
      <c r="A95" s="11" t="str">
        <f t="shared" ref="A95:A109" si="99">A$202</f>
        <v/>
      </c>
      <c r="B95" s="12">
        <f t="shared" ref="B95:M95" si="98">($C887/12*D$876+$C913/12*D$902)*B202/1000</f>
        <v>0</v>
      </c>
      <c r="C95" s="12">
        <f t="shared" si="98"/>
        <v>0</v>
      </c>
      <c r="D95" s="12">
        <f t="shared" si="98"/>
        <v>0</v>
      </c>
      <c r="E95" s="12">
        <f t="shared" si="98"/>
        <v>0</v>
      </c>
      <c r="F95" s="12">
        <f t="shared" si="98"/>
        <v>0</v>
      </c>
      <c r="G95" s="12">
        <f t="shared" si="98"/>
        <v>0</v>
      </c>
      <c r="H95" s="12">
        <f t="shared" si="98"/>
        <v>0</v>
      </c>
      <c r="I95" s="12">
        <f t="shared" si="98"/>
        <v>0</v>
      </c>
      <c r="J95" s="12">
        <f t="shared" si="98"/>
        <v>0</v>
      </c>
      <c r="K95" s="12">
        <f t="shared" si="98"/>
        <v>0</v>
      </c>
      <c r="L95" s="12">
        <f t="shared" si="98"/>
        <v>0</v>
      </c>
      <c r="M95" s="12">
        <f t="shared" si="98"/>
        <v>0</v>
      </c>
      <c r="N95" s="12">
        <f t="shared" si="33"/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0" customHeight="1" outlineLevel="1">
      <c r="A96" s="11" t="str">
        <f t="shared" si="99"/>
        <v/>
      </c>
      <c r="B96" s="12">
        <f t="shared" ref="B96:M96" si="100">($C888/12*D$876+$C914/12*D$902)*B203/1000</f>
        <v>0</v>
      </c>
      <c r="C96" s="12">
        <f t="shared" si="100"/>
        <v>0</v>
      </c>
      <c r="D96" s="12">
        <f t="shared" si="100"/>
        <v>0</v>
      </c>
      <c r="E96" s="12">
        <f t="shared" si="100"/>
        <v>0</v>
      </c>
      <c r="F96" s="12">
        <f t="shared" si="100"/>
        <v>0</v>
      </c>
      <c r="G96" s="12">
        <f t="shared" si="100"/>
        <v>0</v>
      </c>
      <c r="H96" s="12">
        <f t="shared" si="100"/>
        <v>0</v>
      </c>
      <c r="I96" s="12">
        <f t="shared" si="100"/>
        <v>0</v>
      </c>
      <c r="J96" s="12">
        <f t="shared" si="100"/>
        <v>0</v>
      </c>
      <c r="K96" s="12">
        <f t="shared" si="100"/>
        <v>0</v>
      </c>
      <c r="L96" s="12">
        <f t="shared" si="100"/>
        <v>0</v>
      </c>
      <c r="M96" s="12">
        <f t="shared" si="100"/>
        <v>0</v>
      </c>
      <c r="N96" s="12">
        <f t="shared" si="33"/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0" customHeight="1" outlineLevel="1">
      <c r="A97" s="11" t="str">
        <f t="shared" si="99"/>
        <v/>
      </c>
      <c r="B97" s="12">
        <f t="shared" ref="B97:M97" si="101">($C889/12*D$876+$C915/12*D$902)*B204/1000</f>
        <v>0</v>
      </c>
      <c r="C97" s="12">
        <f t="shared" si="101"/>
        <v>0</v>
      </c>
      <c r="D97" s="12">
        <f t="shared" si="101"/>
        <v>0</v>
      </c>
      <c r="E97" s="12">
        <f t="shared" si="101"/>
        <v>0</v>
      </c>
      <c r="F97" s="12">
        <f t="shared" si="101"/>
        <v>0</v>
      </c>
      <c r="G97" s="12">
        <f t="shared" si="101"/>
        <v>0</v>
      </c>
      <c r="H97" s="12">
        <f t="shared" si="101"/>
        <v>0</v>
      </c>
      <c r="I97" s="12">
        <f t="shared" si="101"/>
        <v>0</v>
      </c>
      <c r="J97" s="12">
        <f t="shared" si="101"/>
        <v>0</v>
      </c>
      <c r="K97" s="12">
        <f t="shared" si="101"/>
        <v>0</v>
      </c>
      <c r="L97" s="12">
        <f t="shared" si="101"/>
        <v>0</v>
      </c>
      <c r="M97" s="12">
        <f t="shared" si="101"/>
        <v>0</v>
      </c>
      <c r="N97" s="12">
        <f t="shared" si="33"/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0" customHeight="1" outlineLevel="1">
      <c r="A98" s="11" t="str">
        <f t="shared" si="99"/>
        <v/>
      </c>
      <c r="B98" s="12">
        <f t="shared" ref="B98:M98" si="102">($C890/12*D$876+$C916/12*D$902)*B205/1000</f>
        <v>0</v>
      </c>
      <c r="C98" s="12">
        <f t="shared" si="102"/>
        <v>0</v>
      </c>
      <c r="D98" s="12">
        <f t="shared" si="102"/>
        <v>0</v>
      </c>
      <c r="E98" s="12">
        <f t="shared" si="102"/>
        <v>0</v>
      </c>
      <c r="F98" s="12">
        <f t="shared" si="102"/>
        <v>0</v>
      </c>
      <c r="G98" s="12">
        <f t="shared" si="102"/>
        <v>0</v>
      </c>
      <c r="H98" s="12">
        <f t="shared" si="102"/>
        <v>0</v>
      </c>
      <c r="I98" s="12">
        <f t="shared" si="102"/>
        <v>0</v>
      </c>
      <c r="J98" s="12">
        <f t="shared" si="102"/>
        <v>0</v>
      </c>
      <c r="K98" s="12">
        <f t="shared" si="102"/>
        <v>0</v>
      </c>
      <c r="L98" s="12">
        <f t="shared" si="102"/>
        <v>0</v>
      </c>
      <c r="M98" s="12">
        <f t="shared" si="102"/>
        <v>0</v>
      </c>
      <c r="N98" s="12">
        <f t="shared" si="33"/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0" customHeight="1" outlineLevel="1">
      <c r="A99" s="11" t="str">
        <f t="shared" si="99"/>
        <v/>
      </c>
      <c r="B99" s="12">
        <f t="shared" ref="B99:M99" si="103">($C891/12*D$876+$C917/12*D$902)*B206/1000</f>
        <v>0</v>
      </c>
      <c r="C99" s="12">
        <f t="shared" si="103"/>
        <v>0</v>
      </c>
      <c r="D99" s="12">
        <f t="shared" si="103"/>
        <v>0</v>
      </c>
      <c r="E99" s="12">
        <f t="shared" si="103"/>
        <v>0</v>
      </c>
      <c r="F99" s="12">
        <f t="shared" si="103"/>
        <v>0</v>
      </c>
      <c r="G99" s="12">
        <f t="shared" si="103"/>
        <v>0</v>
      </c>
      <c r="H99" s="12">
        <f t="shared" si="103"/>
        <v>0</v>
      </c>
      <c r="I99" s="12">
        <f t="shared" si="103"/>
        <v>0</v>
      </c>
      <c r="J99" s="12">
        <f t="shared" si="103"/>
        <v>0</v>
      </c>
      <c r="K99" s="12">
        <f t="shared" si="103"/>
        <v>0</v>
      </c>
      <c r="L99" s="12">
        <f t="shared" si="103"/>
        <v>0</v>
      </c>
      <c r="M99" s="12">
        <f t="shared" si="103"/>
        <v>0</v>
      </c>
      <c r="N99" s="12">
        <f t="shared" si="33"/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0" customHeight="1" outlineLevel="1">
      <c r="A100" s="11" t="str">
        <f t="shared" si="99"/>
        <v/>
      </c>
      <c r="B100" s="12">
        <f t="shared" ref="B100:M100" si="104">($C892/12*D$876+$C918/12*D$902)*B207/1000</f>
        <v>0</v>
      </c>
      <c r="C100" s="12">
        <f t="shared" si="104"/>
        <v>0</v>
      </c>
      <c r="D100" s="12">
        <f t="shared" si="104"/>
        <v>0</v>
      </c>
      <c r="E100" s="12">
        <f t="shared" si="104"/>
        <v>0</v>
      </c>
      <c r="F100" s="12">
        <f t="shared" si="104"/>
        <v>0</v>
      </c>
      <c r="G100" s="12">
        <f t="shared" si="104"/>
        <v>0</v>
      </c>
      <c r="H100" s="12">
        <f t="shared" si="104"/>
        <v>0</v>
      </c>
      <c r="I100" s="12">
        <f t="shared" si="104"/>
        <v>0</v>
      </c>
      <c r="J100" s="12">
        <f t="shared" si="104"/>
        <v>0</v>
      </c>
      <c r="K100" s="12">
        <f t="shared" si="104"/>
        <v>0</v>
      </c>
      <c r="L100" s="12">
        <f t="shared" si="104"/>
        <v>0</v>
      </c>
      <c r="M100" s="12">
        <f t="shared" si="104"/>
        <v>0</v>
      </c>
      <c r="N100" s="12">
        <f t="shared" si="33"/>
        <v>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0" customHeight="1" outlineLevel="1">
      <c r="A101" s="11" t="str">
        <f t="shared" si="99"/>
        <v/>
      </c>
      <c r="B101" s="12">
        <f t="shared" ref="B101:M101" si="105">($C893/12*D$876+$C919/12*D$902)*B208/1000</f>
        <v>0</v>
      </c>
      <c r="C101" s="12">
        <f t="shared" si="105"/>
        <v>0</v>
      </c>
      <c r="D101" s="12">
        <f t="shared" si="105"/>
        <v>0</v>
      </c>
      <c r="E101" s="12">
        <f t="shared" si="105"/>
        <v>0</v>
      </c>
      <c r="F101" s="12">
        <f t="shared" si="105"/>
        <v>0</v>
      </c>
      <c r="G101" s="12">
        <f t="shared" si="105"/>
        <v>0</v>
      </c>
      <c r="H101" s="12">
        <f t="shared" si="105"/>
        <v>0</v>
      </c>
      <c r="I101" s="12">
        <f t="shared" si="105"/>
        <v>0</v>
      </c>
      <c r="J101" s="12">
        <f t="shared" si="105"/>
        <v>0</v>
      </c>
      <c r="K101" s="12">
        <f t="shared" si="105"/>
        <v>0</v>
      </c>
      <c r="L101" s="12">
        <f t="shared" si="105"/>
        <v>0</v>
      </c>
      <c r="M101" s="12">
        <f t="shared" si="105"/>
        <v>0</v>
      </c>
      <c r="N101" s="12">
        <f t="shared" si="33"/>
        <v>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0" customHeight="1" outlineLevel="1">
      <c r="A102" s="11" t="str">
        <f t="shared" si="99"/>
        <v/>
      </c>
      <c r="B102" s="12">
        <f t="shared" ref="B102:M102" si="106">($C894/12*D$876+$C920/12*D$902)*B209/1000</f>
        <v>0</v>
      </c>
      <c r="C102" s="12">
        <f t="shared" si="106"/>
        <v>0</v>
      </c>
      <c r="D102" s="12">
        <f t="shared" si="106"/>
        <v>0</v>
      </c>
      <c r="E102" s="12">
        <f t="shared" si="106"/>
        <v>0</v>
      </c>
      <c r="F102" s="12">
        <f t="shared" si="106"/>
        <v>0</v>
      </c>
      <c r="G102" s="12">
        <f t="shared" si="106"/>
        <v>0</v>
      </c>
      <c r="H102" s="12">
        <f t="shared" si="106"/>
        <v>0</v>
      </c>
      <c r="I102" s="12">
        <f t="shared" si="106"/>
        <v>0</v>
      </c>
      <c r="J102" s="12">
        <f t="shared" si="106"/>
        <v>0</v>
      </c>
      <c r="K102" s="12">
        <f t="shared" si="106"/>
        <v>0</v>
      </c>
      <c r="L102" s="12">
        <f t="shared" si="106"/>
        <v>0</v>
      </c>
      <c r="M102" s="12">
        <f t="shared" si="106"/>
        <v>0</v>
      </c>
      <c r="N102" s="12">
        <f t="shared" si="33"/>
        <v>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0" customHeight="1" outlineLevel="1">
      <c r="A103" s="11" t="str">
        <f t="shared" si="99"/>
        <v/>
      </c>
      <c r="B103" s="12">
        <f t="shared" ref="B103:M103" si="107">($C895/12*D$876+$C921/12*D$902)*B210/1000</f>
        <v>0</v>
      </c>
      <c r="C103" s="12">
        <f t="shared" si="107"/>
        <v>0</v>
      </c>
      <c r="D103" s="12">
        <f t="shared" si="107"/>
        <v>0</v>
      </c>
      <c r="E103" s="12">
        <f t="shared" si="107"/>
        <v>0</v>
      </c>
      <c r="F103" s="12">
        <f t="shared" si="107"/>
        <v>0</v>
      </c>
      <c r="G103" s="12">
        <f t="shared" si="107"/>
        <v>0</v>
      </c>
      <c r="H103" s="12">
        <f t="shared" si="107"/>
        <v>0</v>
      </c>
      <c r="I103" s="12">
        <f t="shared" si="107"/>
        <v>0</v>
      </c>
      <c r="J103" s="12">
        <f t="shared" si="107"/>
        <v>0</v>
      </c>
      <c r="K103" s="12">
        <f t="shared" si="107"/>
        <v>0</v>
      </c>
      <c r="L103" s="12">
        <f t="shared" si="107"/>
        <v>0</v>
      </c>
      <c r="M103" s="12">
        <f t="shared" si="107"/>
        <v>0</v>
      </c>
      <c r="N103" s="12">
        <f t="shared" si="33"/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0" customHeight="1" outlineLevel="1">
      <c r="A104" s="11" t="str">
        <f t="shared" si="99"/>
        <v/>
      </c>
      <c r="B104" s="12">
        <f t="shared" ref="B104:M104" si="108">($C896/12*D$876+$C922/12*D$902)*B211/1000</f>
        <v>0</v>
      </c>
      <c r="C104" s="12">
        <f t="shared" si="108"/>
        <v>0</v>
      </c>
      <c r="D104" s="12">
        <f t="shared" si="108"/>
        <v>0</v>
      </c>
      <c r="E104" s="12">
        <f t="shared" si="108"/>
        <v>0</v>
      </c>
      <c r="F104" s="12">
        <f t="shared" si="108"/>
        <v>0</v>
      </c>
      <c r="G104" s="12">
        <f t="shared" si="108"/>
        <v>0</v>
      </c>
      <c r="H104" s="12">
        <f t="shared" si="108"/>
        <v>0</v>
      </c>
      <c r="I104" s="12">
        <f t="shared" si="108"/>
        <v>0</v>
      </c>
      <c r="J104" s="12">
        <f t="shared" si="108"/>
        <v>0</v>
      </c>
      <c r="K104" s="12">
        <f t="shared" si="108"/>
        <v>0</v>
      </c>
      <c r="L104" s="12">
        <f t="shared" si="108"/>
        <v>0</v>
      </c>
      <c r="M104" s="12">
        <f t="shared" si="108"/>
        <v>0</v>
      </c>
      <c r="N104" s="12">
        <f t="shared" si="33"/>
        <v>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0" customHeight="1" outlineLevel="1">
      <c r="A105" s="11" t="str">
        <f t="shared" si="99"/>
        <v/>
      </c>
      <c r="B105" s="12">
        <f t="shared" ref="B105:M105" si="109">($C897/12*D$876+$C923/12*D$902)*B212/1000</f>
        <v>0</v>
      </c>
      <c r="C105" s="12">
        <f t="shared" si="109"/>
        <v>0</v>
      </c>
      <c r="D105" s="12">
        <f t="shared" si="109"/>
        <v>0</v>
      </c>
      <c r="E105" s="12">
        <f t="shared" si="109"/>
        <v>0</v>
      </c>
      <c r="F105" s="12">
        <f t="shared" si="109"/>
        <v>0</v>
      </c>
      <c r="G105" s="12">
        <f t="shared" si="109"/>
        <v>0</v>
      </c>
      <c r="H105" s="12">
        <f t="shared" si="109"/>
        <v>0</v>
      </c>
      <c r="I105" s="12">
        <f t="shared" si="109"/>
        <v>0</v>
      </c>
      <c r="J105" s="12">
        <f t="shared" si="109"/>
        <v>0</v>
      </c>
      <c r="K105" s="12">
        <f t="shared" si="109"/>
        <v>0</v>
      </c>
      <c r="L105" s="12">
        <f t="shared" si="109"/>
        <v>0</v>
      </c>
      <c r="M105" s="12">
        <f t="shared" si="109"/>
        <v>0</v>
      </c>
      <c r="N105" s="12">
        <f t="shared" si="33"/>
        <v>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0" customHeight="1" outlineLevel="1">
      <c r="A106" s="11" t="str">
        <f t="shared" si="99"/>
        <v/>
      </c>
      <c r="B106" s="12">
        <f t="shared" ref="B106:M106" si="110">($E$898/12*$E$876+$E$924*$E$902)*B213/1000</f>
        <v>0</v>
      </c>
      <c r="C106" s="12">
        <f t="shared" si="110"/>
        <v>0</v>
      </c>
      <c r="D106" s="12">
        <f t="shared" si="110"/>
        <v>0</v>
      </c>
      <c r="E106" s="12">
        <f t="shared" si="110"/>
        <v>0</v>
      </c>
      <c r="F106" s="12">
        <f t="shared" si="110"/>
        <v>0</v>
      </c>
      <c r="G106" s="12">
        <f t="shared" si="110"/>
        <v>0</v>
      </c>
      <c r="H106" s="12">
        <f t="shared" si="110"/>
        <v>0</v>
      </c>
      <c r="I106" s="12">
        <f t="shared" si="110"/>
        <v>0</v>
      </c>
      <c r="J106" s="12">
        <f t="shared" si="110"/>
        <v>0</v>
      </c>
      <c r="K106" s="12">
        <f t="shared" si="110"/>
        <v>0</v>
      </c>
      <c r="L106" s="12">
        <f t="shared" si="110"/>
        <v>0</v>
      </c>
      <c r="M106" s="12">
        <f t="shared" si="110"/>
        <v>0</v>
      </c>
      <c r="N106" s="12">
        <f t="shared" si="33"/>
        <v>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0" customHeight="1" outlineLevel="1">
      <c r="A107" s="11" t="str">
        <f t="shared" si="99"/>
        <v/>
      </c>
      <c r="B107" s="12">
        <f t="shared" ref="B107:M107" si="111">($C899/12*D$876+$C925/12*D$902)*B214/1000</f>
        <v>0</v>
      </c>
      <c r="C107" s="12">
        <f t="shared" si="111"/>
        <v>0</v>
      </c>
      <c r="D107" s="12">
        <f t="shared" si="111"/>
        <v>0</v>
      </c>
      <c r="E107" s="12">
        <f t="shared" si="111"/>
        <v>0</v>
      </c>
      <c r="F107" s="12">
        <f t="shared" si="111"/>
        <v>0</v>
      </c>
      <c r="G107" s="12">
        <f t="shared" si="111"/>
        <v>0</v>
      </c>
      <c r="H107" s="12">
        <f t="shared" si="111"/>
        <v>0</v>
      </c>
      <c r="I107" s="12">
        <f t="shared" si="111"/>
        <v>0</v>
      </c>
      <c r="J107" s="12">
        <f t="shared" si="111"/>
        <v>0</v>
      </c>
      <c r="K107" s="12">
        <f t="shared" si="111"/>
        <v>0</v>
      </c>
      <c r="L107" s="12">
        <f t="shared" si="111"/>
        <v>0</v>
      </c>
      <c r="M107" s="12">
        <f t="shared" si="111"/>
        <v>0</v>
      </c>
      <c r="N107" s="12">
        <f t="shared" si="33"/>
        <v>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0" customHeight="1" outlineLevel="1">
      <c r="A108" s="11" t="str">
        <f t="shared" si="99"/>
        <v/>
      </c>
      <c r="B108" s="12">
        <f t="shared" ref="B108:M108" si="112">($C900/12*D$876+$C926/12*D$902)*B215/1000</f>
        <v>0</v>
      </c>
      <c r="C108" s="12">
        <f t="shared" si="112"/>
        <v>0</v>
      </c>
      <c r="D108" s="12">
        <f t="shared" si="112"/>
        <v>0</v>
      </c>
      <c r="E108" s="12">
        <f t="shared" si="112"/>
        <v>0</v>
      </c>
      <c r="F108" s="12">
        <f t="shared" si="112"/>
        <v>0</v>
      </c>
      <c r="G108" s="12">
        <f t="shared" si="112"/>
        <v>0</v>
      </c>
      <c r="H108" s="12">
        <f t="shared" si="112"/>
        <v>0</v>
      </c>
      <c r="I108" s="12">
        <f t="shared" si="112"/>
        <v>0</v>
      </c>
      <c r="J108" s="12">
        <f t="shared" si="112"/>
        <v>0</v>
      </c>
      <c r="K108" s="12">
        <f t="shared" si="112"/>
        <v>0</v>
      </c>
      <c r="L108" s="12">
        <f t="shared" si="112"/>
        <v>0</v>
      </c>
      <c r="M108" s="12">
        <f t="shared" si="112"/>
        <v>0</v>
      </c>
      <c r="N108" s="12">
        <f t="shared" si="33"/>
        <v>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0" customHeight="1" outlineLevel="1">
      <c r="A109" s="11" t="str">
        <f t="shared" si="99"/>
        <v/>
      </c>
      <c r="B109" s="12">
        <f t="shared" ref="B109:M109" si="113">($C901/12*D$876+$C927/12*D$902)*B216/1000</f>
        <v>0</v>
      </c>
      <c r="C109" s="12">
        <f t="shared" si="113"/>
        <v>0</v>
      </c>
      <c r="D109" s="12">
        <f t="shared" si="113"/>
        <v>0</v>
      </c>
      <c r="E109" s="12">
        <f t="shared" si="113"/>
        <v>0</v>
      </c>
      <c r="F109" s="12">
        <f t="shared" si="113"/>
        <v>0</v>
      </c>
      <c r="G109" s="12">
        <f t="shared" si="113"/>
        <v>0</v>
      </c>
      <c r="H109" s="12">
        <f t="shared" si="113"/>
        <v>0</v>
      </c>
      <c r="I109" s="12">
        <f t="shared" si="113"/>
        <v>0</v>
      </c>
      <c r="J109" s="12">
        <f t="shared" si="113"/>
        <v>0</v>
      </c>
      <c r="K109" s="12">
        <f t="shared" si="113"/>
        <v>0</v>
      </c>
      <c r="L109" s="12">
        <f t="shared" si="113"/>
        <v>0</v>
      </c>
      <c r="M109" s="12">
        <f t="shared" si="113"/>
        <v>0</v>
      </c>
      <c r="N109" s="12">
        <f t="shared" si="33"/>
        <v>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 outlineLevel="1">
      <c r="A110" s="192" t="s">
        <v>360</v>
      </c>
      <c r="B110" s="232">
        <f t="shared" ref="B110:M110" si="114">SUM(B111:B135)</f>
        <v>0</v>
      </c>
      <c r="C110" s="232">
        <f t="shared" si="114"/>
        <v>0</v>
      </c>
      <c r="D110" s="232">
        <f t="shared" si="114"/>
        <v>0</v>
      </c>
      <c r="E110" s="232">
        <f t="shared" si="114"/>
        <v>0</v>
      </c>
      <c r="F110" s="232">
        <f t="shared" si="114"/>
        <v>0</v>
      </c>
      <c r="G110" s="232">
        <f t="shared" si="114"/>
        <v>0</v>
      </c>
      <c r="H110" s="232">
        <f t="shared" si="114"/>
        <v>0</v>
      </c>
      <c r="I110" s="232">
        <f t="shared" si="114"/>
        <v>0</v>
      </c>
      <c r="J110" s="232">
        <f t="shared" si="114"/>
        <v>0</v>
      </c>
      <c r="K110" s="232">
        <f t="shared" si="114"/>
        <v>0</v>
      </c>
      <c r="L110" s="232">
        <f t="shared" si="114"/>
        <v>0</v>
      </c>
      <c r="M110" s="232">
        <f t="shared" si="114"/>
        <v>0</v>
      </c>
      <c r="N110" s="232">
        <f t="shared" si="33"/>
        <v>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0" customHeight="1" outlineLevel="1">
      <c r="A111" s="11" t="str">
        <f>A$192</f>
        <v/>
      </c>
      <c r="B111" s="12">
        <f t="shared" ref="B111:M111" si="115">($C930/12*D$929)*B192/1000</f>
        <v>0</v>
      </c>
      <c r="C111" s="12">
        <f t="shared" si="115"/>
        <v>0</v>
      </c>
      <c r="D111" s="12">
        <f t="shared" si="115"/>
        <v>0</v>
      </c>
      <c r="E111" s="12">
        <f t="shared" si="115"/>
        <v>0</v>
      </c>
      <c r="F111" s="12">
        <f t="shared" si="115"/>
        <v>0</v>
      </c>
      <c r="G111" s="12">
        <f t="shared" si="115"/>
        <v>0</v>
      </c>
      <c r="H111" s="12">
        <f t="shared" si="115"/>
        <v>0</v>
      </c>
      <c r="I111" s="12">
        <f t="shared" si="115"/>
        <v>0</v>
      </c>
      <c r="J111" s="12">
        <f t="shared" si="115"/>
        <v>0</v>
      </c>
      <c r="K111" s="12">
        <f t="shared" si="115"/>
        <v>0</v>
      </c>
      <c r="L111" s="12">
        <f t="shared" si="115"/>
        <v>0</v>
      </c>
      <c r="M111" s="12">
        <f t="shared" si="115"/>
        <v>0</v>
      </c>
      <c r="N111" s="12">
        <f t="shared" si="33"/>
        <v>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0" customHeight="1" outlineLevel="1">
      <c r="A112" s="11" t="str">
        <f>A$193</f>
        <v/>
      </c>
      <c r="B112" s="12">
        <f t="shared" ref="B112:M112" si="116">($C931/12*D$929)*B193/1000</f>
        <v>0</v>
      </c>
      <c r="C112" s="12">
        <f t="shared" si="116"/>
        <v>0</v>
      </c>
      <c r="D112" s="12">
        <f t="shared" si="116"/>
        <v>0</v>
      </c>
      <c r="E112" s="12">
        <f t="shared" si="116"/>
        <v>0</v>
      </c>
      <c r="F112" s="12">
        <f t="shared" si="116"/>
        <v>0</v>
      </c>
      <c r="G112" s="12">
        <f t="shared" si="116"/>
        <v>0</v>
      </c>
      <c r="H112" s="12">
        <f t="shared" si="116"/>
        <v>0</v>
      </c>
      <c r="I112" s="12">
        <f t="shared" si="116"/>
        <v>0</v>
      </c>
      <c r="J112" s="12">
        <f t="shared" si="116"/>
        <v>0</v>
      </c>
      <c r="K112" s="12">
        <f t="shared" si="116"/>
        <v>0</v>
      </c>
      <c r="L112" s="12">
        <f t="shared" si="116"/>
        <v>0</v>
      </c>
      <c r="M112" s="12">
        <f t="shared" si="116"/>
        <v>0</v>
      </c>
      <c r="N112" s="12">
        <f t="shared" si="33"/>
        <v>0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0" customHeight="1" outlineLevel="1">
      <c r="A113" s="11" t="str">
        <f>A$194</f>
        <v/>
      </c>
      <c r="B113" s="12">
        <f t="shared" ref="B113:M113" si="117">($C932/12*D$929)*B194/1000</f>
        <v>0</v>
      </c>
      <c r="C113" s="12">
        <f t="shared" si="117"/>
        <v>0</v>
      </c>
      <c r="D113" s="12">
        <f t="shared" si="117"/>
        <v>0</v>
      </c>
      <c r="E113" s="12">
        <f t="shared" si="117"/>
        <v>0</v>
      </c>
      <c r="F113" s="12">
        <f t="shared" si="117"/>
        <v>0</v>
      </c>
      <c r="G113" s="12">
        <f t="shared" si="117"/>
        <v>0</v>
      </c>
      <c r="H113" s="12">
        <f t="shared" si="117"/>
        <v>0</v>
      </c>
      <c r="I113" s="12">
        <f t="shared" si="117"/>
        <v>0</v>
      </c>
      <c r="J113" s="12">
        <f t="shared" si="117"/>
        <v>0</v>
      </c>
      <c r="K113" s="12">
        <f t="shared" si="117"/>
        <v>0</v>
      </c>
      <c r="L113" s="12">
        <f t="shared" si="117"/>
        <v>0</v>
      </c>
      <c r="M113" s="12">
        <f t="shared" si="117"/>
        <v>0</v>
      </c>
      <c r="N113" s="12">
        <f t="shared" si="33"/>
        <v>0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0" customHeight="1" outlineLevel="1">
      <c r="A114" s="11" t="str">
        <f>A$195</f>
        <v/>
      </c>
      <c r="B114" s="12">
        <f t="shared" ref="B114:M114" si="118">($C933/12*D$929)*B195/1000</f>
        <v>0</v>
      </c>
      <c r="C114" s="12">
        <f t="shared" si="118"/>
        <v>0</v>
      </c>
      <c r="D114" s="12">
        <f t="shared" si="118"/>
        <v>0</v>
      </c>
      <c r="E114" s="12">
        <f t="shared" si="118"/>
        <v>0</v>
      </c>
      <c r="F114" s="12">
        <f t="shared" si="118"/>
        <v>0</v>
      </c>
      <c r="G114" s="12">
        <f t="shared" si="118"/>
        <v>0</v>
      </c>
      <c r="H114" s="12">
        <f t="shared" si="118"/>
        <v>0</v>
      </c>
      <c r="I114" s="12">
        <f t="shared" si="118"/>
        <v>0</v>
      </c>
      <c r="J114" s="12">
        <f t="shared" si="118"/>
        <v>0</v>
      </c>
      <c r="K114" s="12">
        <f t="shared" si="118"/>
        <v>0</v>
      </c>
      <c r="L114" s="12">
        <f t="shared" si="118"/>
        <v>0</v>
      </c>
      <c r="M114" s="12">
        <f t="shared" si="118"/>
        <v>0</v>
      </c>
      <c r="N114" s="12">
        <f t="shared" si="33"/>
        <v>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0" customHeight="1" outlineLevel="1">
      <c r="A115" s="11" t="str">
        <f>A$196</f>
        <v/>
      </c>
      <c r="B115" s="12">
        <f t="shared" ref="B115:M115" si="119">($C934/12*D$929)*B196/1000</f>
        <v>0</v>
      </c>
      <c r="C115" s="12">
        <f t="shared" si="119"/>
        <v>0</v>
      </c>
      <c r="D115" s="12">
        <f t="shared" si="119"/>
        <v>0</v>
      </c>
      <c r="E115" s="12">
        <f t="shared" si="119"/>
        <v>0</v>
      </c>
      <c r="F115" s="12">
        <f t="shared" si="119"/>
        <v>0</v>
      </c>
      <c r="G115" s="12">
        <f t="shared" si="119"/>
        <v>0</v>
      </c>
      <c r="H115" s="12">
        <f t="shared" si="119"/>
        <v>0</v>
      </c>
      <c r="I115" s="12">
        <f t="shared" si="119"/>
        <v>0</v>
      </c>
      <c r="J115" s="12">
        <f t="shared" si="119"/>
        <v>0</v>
      </c>
      <c r="K115" s="12">
        <f t="shared" si="119"/>
        <v>0</v>
      </c>
      <c r="L115" s="12">
        <f t="shared" si="119"/>
        <v>0</v>
      </c>
      <c r="M115" s="12">
        <f t="shared" si="119"/>
        <v>0</v>
      </c>
      <c r="N115" s="12">
        <f t="shared" si="33"/>
        <v>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0" customHeight="1" outlineLevel="1">
      <c r="A116" s="11" t="str">
        <f>A$197</f>
        <v/>
      </c>
      <c r="B116" s="12">
        <f t="shared" ref="B116:M116" si="120">($C935/12*D$929)*B197/1000</f>
        <v>0</v>
      </c>
      <c r="C116" s="12">
        <f t="shared" si="120"/>
        <v>0</v>
      </c>
      <c r="D116" s="12">
        <f t="shared" si="120"/>
        <v>0</v>
      </c>
      <c r="E116" s="12">
        <f t="shared" si="120"/>
        <v>0</v>
      </c>
      <c r="F116" s="12">
        <f t="shared" si="120"/>
        <v>0</v>
      </c>
      <c r="G116" s="12">
        <f t="shared" si="120"/>
        <v>0</v>
      </c>
      <c r="H116" s="12">
        <f t="shared" si="120"/>
        <v>0</v>
      </c>
      <c r="I116" s="12">
        <f t="shared" si="120"/>
        <v>0</v>
      </c>
      <c r="J116" s="12">
        <f t="shared" si="120"/>
        <v>0</v>
      </c>
      <c r="K116" s="12">
        <f t="shared" si="120"/>
        <v>0</v>
      </c>
      <c r="L116" s="12">
        <f t="shared" si="120"/>
        <v>0</v>
      </c>
      <c r="M116" s="12">
        <f t="shared" si="120"/>
        <v>0</v>
      </c>
      <c r="N116" s="12">
        <f t="shared" si="33"/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0" customHeight="1" outlineLevel="1">
      <c r="A117" s="11" t="str">
        <f>A$198</f>
        <v/>
      </c>
      <c r="B117" s="12">
        <f t="shared" ref="B117:M117" si="121">($C936/12*D$929)*B198/1000</f>
        <v>0</v>
      </c>
      <c r="C117" s="12">
        <f t="shared" si="121"/>
        <v>0</v>
      </c>
      <c r="D117" s="12">
        <f t="shared" si="121"/>
        <v>0</v>
      </c>
      <c r="E117" s="12">
        <f t="shared" si="121"/>
        <v>0</v>
      </c>
      <c r="F117" s="12">
        <f t="shared" si="121"/>
        <v>0</v>
      </c>
      <c r="G117" s="12">
        <f t="shared" si="121"/>
        <v>0</v>
      </c>
      <c r="H117" s="12">
        <f t="shared" si="121"/>
        <v>0</v>
      </c>
      <c r="I117" s="12">
        <f t="shared" si="121"/>
        <v>0</v>
      </c>
      <c r="J117" s="12">
        <f t="shared" si="121"/>
        <v>0</v>
      </c>
      <c r="K117" s="12">
        <f t="shared" si="121"/>
        <v>0</v>
      </c>
      <c r="L117" s="12">
        <f t="shared" si="121"/>
        <v>0</v>
      </c>
      <c r="M117" s="12">
        <f t="shared" si="121"/>
        <v>0</v>
      </c>
      <c r="N117" s="12">
        <f t="shared" si="33"/>
        <v>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0" customHeight="1" outlineLevel="1">
      <c r="A118" s="11" t="str">
        <f>A$199</f>
        <v/>
      </c>
      <c r="B118" s="12">
        <f t="shared" ref="B118:M118" si="122">($C937/12*D$929)*B199/1000</f>
        <v>0</v>
      </c>
      <c r="C118" s="12">
        <f t="shared" si="122"/>
        <v>0</v>
      </c>
      <c r="D118" s="12">
        <f t="shared" si="122"/>
        <v>0</v>
      </c>
      <c r="E118" s="12">
        <f t="shared" si="122"/>
        <v>0</v>
      </c>
      <c r="F118" s="12">
        <f t="shared" si="122"/>
        <v>0</v>
      </c>
      <c r="G118" s="12">
        <f t="shared" si="122"/>
        <v>0</v>
      </c>
      <c r="H118" s="12">
        <f t="shared" si="122"/>
        <v>0</v>
      </c>
      <c r="I118" s="12">
        <f t="shared" si="122"/>
        <v>0</v>
      </c>
      <c r="J118" s="12">
        <f t="shared" si="122"/>
        <v>0</v>
      </c>
      <c r="K118" s="12">
        <f t="shared" si="122"/>
        <v>0</v>
      </c>
      <c r="L118" s="12">
        <f t="shared" si="122"/>
        <v>0</v>
      </c>
      <c r="M118" s="12">
        <f t="shared" si="122"/>
        <v>0</v>
      </c>
      <c r="N118" s="12">
        <f t="shared" si="33"/>
        <v>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0" customHeight="1" outlineLevel="1">
      <c r="A119" s="11" t="str">
        <f>A$200</f>
        <v/>
      </c>
      <c r="B119" s="12">
        <f t="shared" ref="B119:M119" si="123">($C938/12*D$929)*B200/1000</f>
        <v>0</v>
      </c>
      <c r="C119" s="12">
        <f t="shared" si="123"/>
        <v>0</v>
      </c>
      <c r="D119" s="12">
        <f t="shared" si="123"/>
        <v>0</v>
      </c>
      <c r="E119" s="12">
        <f t="shared" si="123"/>
        <v>0</v>
      </c>
      <c r="F119" s="12">
        <f t="shared" si="123"/>
        <v>0</v>
      </c>
      <c r="G119" s="12">
        <f t="shared" si="123"/>
        <v>0</v>
      </c>
      <c r="H119" s="12">
        <f t="shared" si="123"/>
        <v>0</v>
      </c>
      <c r="I119" s="12">
        <f t="shared" si="123"/>
        <v>0</v>
      </c>
      <c r="J119" s="12">
        <f t="shared" si="123"/>
        <v>0</v>
      </c>
      <c r="K119" s="12">
        <f t="shared" si="123"/>
        <v>0</v>
      </c>
      <c r="L119" s="12">
        <f t="shared" si="123"/>
        <v>0</v>
      </c>
      <c r="M119" s="12">
        <f t="shared" si="123"/>
        <v>0</v>
      </c>
      <c r="N119" s="12">
        <f t="shared" si="33"/>
        <v>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0" customHeight="1" outlineLevel="1">
      <c r="A120" s="11" t="str">
        <f t="shared" ref="A120:A135" si="125">A$201</f>
        <v/>
      </c>
      <c r="B120" s="12">
        <f t="shared" ref="B120:M120" si="124">($C939/12*D$929)*B201/1000</f>
        <v>0</v>
      </c>
      <c r="C120" s="12">
        <f t="shared" si="124"/>
        <v>0</v>
      </c>
      <c r="D120" s="12">
        <f t="shared" si="124"/>
        <v>0</v>
      </c>
      <c r="E120" s="12">
        <f t="shared" si="124"/>
        <v>0</v>
      </c>
      <c r="F120" s="12">
        <f t="shared" si="124"/>
        <v>0</v>
      </c>
      <c r="G120" s="12">
        <f t="shared" si="124"/>
        <v>0</v>
      </c>
      <c r="H120" s="12">
        <f t="shared" si="124"/>
        <v>0</v>
      </c>
      <c r="I120" s="12">
        <f t="shared" si="124"/>
        <v>0</v>
      </c>
      <c r="J120" s="12">
        <f t="shared" si="124"/>
        <v>0</v>
      </c>
      <c r="K120" s="12">
        <f t="shared" si="124"/>
        <v>0</v>
      </c>
      <c r="L120" s="12">
        <f t="shared" si="124"/>
        <v>0</v>
      </c>
      <c r="M120" s="12">
        <f t="shared" si="124"/>
        <v>0</v>
      </c>
      <c r="N120" s="12">
        <f t="shared" si="33"/>
        <v>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0" customHeight="1" outlineLevel="1">
      <c r="A121" s="11" t="str">
        <f t="shared" si="125"/>
        <v/>
      </c>
      <c r="B121" s="12">
        <f t="shared" ref="B121:M121" si="126">($C940/12*D$929)*B202/1000</f>
        <v>0</v>
      </c>
      <c r="C121" s="12">
        <f t="shared" si="126"/>
        <v>0</v>
      </c>
      <c r="D121" s="12">
        <f t="shared" si="126"/>
        <v>0</v>
      </c>
      <c r="E121" s="12">
        <f t="shared" si="126"/>
        <v>0</v>
      </c>
      <c r="F121" s="12">
        <f t="shared" si="126"/>
        <v>0</v>
      </c>
      <c r="G121" s="12">
        <f t="shared" si="126"/>
        <v>0</v>
      </c>
      <c r="H121" s="12">
        <f t="shared" si="126"/>
        <v>0</v>
      </c>
      <c r="I121" s="12">
        <f t="shared" si="126"/>
        <v>0</v>
      </c>
      <c r="J121" s="12">
        <f t="shared" si="126"/>
        <v>0</v>
      </c>
      <c r="K121" s="12">
        <f t="shared" si="126"/>
        <v>0</v>
      </c>
      <c r="L121" s="12">
        <f t="shared" si="126"/>
        <v>0</v>
      </c>
      <c r="M121" s="12">
        <f t="shared" si="126"/>
        <v>0</v>
      </c>
      <c r="N121" s="12">
        <f t="shared" si="33"/>
        <v>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0" customHeight="1" outlineLevel="1">
      <c r="A122" s="11" t="str">
        <f t="shared" si="125"/>
        <v/>
      </c>
      <c r="B122" s="12">
        <f t="shared" ref="B122:M122" si="127">($C941/12*D$929)*B203/1000</f>
        <v>0</v>
      </c>
      <c r="C122" s="12">
        <f t="shared" si="127"/>
        <v>0</v>
      </c>
      <c r="D122" s="12">
        <f t="shared" si="127"/>
        <v>0</v>
      </c>
      <c r="E122" s="12">
        <f t="shared" si="127"/>
        <v>0</v>
      </c>
      <c r="F122" s="12">
        <f t="shared" si="127"/>
        <v>0</v>
      </c>
      <c r="G122" s="12">
        <f t="shared" si="127"/>
        <v>0</v>
      </c>
      <c r="H122" s="12">
        <f t="shared" si="127"/>
        <v>0</v>
      </c>
      <c r="I122" s="12">
        <f t="shared" si="127"/>
        <v>0</v>
      </c>
      <c r="J122" s="12">
        <f t="shared" si="127"/>
        <v>0</v>
      </c>
      <c r="K122" s="12">
        <f t="shared" si="127"/>
        <v>0</v>
      </c>
      <c r="L122" s="12">
        <f t="shared" si="127"/>
        <v>0</v>
      </c>
      <c r="M122" s="12">
        <f t="shared" si="127"/>
        <v>0</v>
      </c>
      <c r="N122" s="1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0" customHeight="1" outlineLevel="1">
      <c r="A123" s="11" t="str">
        <f t="shared" si="125"/>
        <v/>
      </c>
      <c r="B123" s="12">
        <f t="shared" ref="B123:M123" si="128">($C942/12*D$929)*B204/1000</f>
        <v>0</v>
      </c>
      <c r="C123" s="12">
        <f t="shared" si="128"/>
        <v>0</v>
      </c>
      <c r="D123" s="12">
        <f t="shared" si="128"/>
        <v>0</v>
      </c>
      <c r="E123" s="12">
        <f t="shared" si="128"/>
        <v>0</v>
      </c>
      <c r="F123" s="12">
        <f t="shared" si="128"/>
        <v>0</v>
      </c>
      <c r="G123" s="12">
        <f t="shared" si="128"/>
        <v>0</v>
      </c>
      <c r="H123" s="12">
        <f t="shared" si="128"/>
        <v>0</v>
      </c>
      <c r="I123" s="12">
        <f t="shared" si="128"/>
        <v>0</v>
      </c>
      <c r="J123" s="12">
        <f t="shared" si="128"/>
        <v>0</v>
      </c>
      <c r="K123" s="12">
        <f t="shared" si="128"/>
        <v>0</v>
      </c>
      <c r="L123" s="12">
        <f t="shared" si="128"/>
        <v>0</v>
      </c>
      <c r="M123" s="12">
        <f t="shared" si="128"/>
        <v>0</v>
      </c>
      <c r="N123" s="12">
        <f t="shared" ref="N123:N187" si="130">B123+C123+D123+E123+F123+G123+H123+I123+J123+K123+L123+M123</f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0" customHeight="1" outlineLevel="1">
      <c r="A124" s="11" t="str">
        <f t="shared" si="125"/>
        <v/>
      </c>
      <c r="B124" s="12">
        <f t="shared" ref="B124:M124" si="129">($C943/12*D$929)*B205/1000</f>
        <v>0</v>
      </c>
      <c r="C124" s="12">
        <f t="shared" si="129"/>
        <v>0</v>
      </c>
      <c r="D124" s="12">
        <f t="shared" si="129"/>
        <v>0</v>
      </c>
      <c r="E124" s="12">
        <f t="shared" si="129"/>
        <v>0</v>
      </c>
      <c r="F124" s="12">
        <f t="shared" si="129"/>
        <v>0</v>
      </c>
      <c r="G124" s="12">
        <f t="shared" si="129"/>
        <v>0</v>
      </c>
      <c r="H124" s="12">
        <f t="shared" si="129"/>
        <v>0</v>
      </c>
      <c r="I124" s="12">
        <f t="shared" si="129"/>
        <v>0</v>
      </c>
      <c r="J124" s="12">
        <f t="shared" si="129"/>
        <v>0</v>
      </c>
      <c r="K124" s="12">
        <f t="shared" si="129"/>
        <v>0</v>
      </c>
      <c r="L124" s="12">
        <f t="shared" si="129"/>
        <v>0</v>
      </c>
      <c r="M124" s="12">
        <f t="shared" si="129"/>
        <v>0</v>
      </c>
      <c r="N124" s="12">
        <f t="shared" si="130"/>
        <v>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0" customHeight="1" outlineLevel="1">
      <c r="A125" s="11" t="str">
        <f t="shared" si="125"/>
        <v/>
      </c>
      <c r="B125" s="12">
        <f t="shared" ref="B125:M125" si="131">($C944/12*D$929)*B206/1000</f>
        <v>0</v>
      </c>
      <c r="C125" s="12">
        <f t="shared" si="131"/>
        <v>0</v>
      </c>
      <c r="D125" s="12">
        <f t="shared" si="131"/>
        <v>0</v>
      </c>
      <c r="E125" s="12">
        <f t="shared" si="131"/>
        <v>0</v>
      </c>
      <c r="F125" s="12">
        <f t="shared" si="131"/>
        <v>0</v>
      </c>
      <c r="G125" s="12">
        <f t="shared" si="131"/>
        <v>0</v>
      </c>
      <c r="H125" s="12">
        <f t="shared" si="131"/>
        <v>0</v>
      </c>
      <c r="I125" s="12">
        <f t="shared" si="131"/>
        <v>0</v>
      </c>
      <c r="J125" s="12">
        <f t="shared" si="131"/>
        <v>0</v>
      </c>
      <c r="K125" s="12">
        <f t="shared" si="131"/>
        <v>0</v>
      </c>
      <c r="L125" s="12">
        <f t="shared" si="131"/>
        <v>0</v>
      </c>
      <c r="M125" s="12">
        <f t="shared" si="131"/>
        <v>0</v>
      </c>
      <c r="N125" s="12">
        <f t="shared" si="130"/>
        <v>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0" customHeight="1" outlineLevel="1">
      <c r="A126" s="11" t="str">
        <f t="shared" si="125"/>
        <v/>
      </c>
      <c r="B126" s="12">
        <f t="shared" ref="B126:M126" si="132">($C945/12*D$929)*B207/1000</f>
        <v>0</v>
      </c>
      <c r="C126" s="12">
        <f t="shared" si="132"/>
        <v>0</v>
      </c>
      <c r="D126" s="12">
        <f t="shared" si="132"/>
        <v>0</v>
      </c>
      <c r="E126" s="12">
        <f t="shared" si="132"/>
        <v>0</v>
      </c>
      <c r="F126" s="12">
        <f t="shared" si="132"/>
        <v>0</v>
      </c>
      <c r="G126" s="12">
        <f t="shared" si="132"/>
        <v>0</v>
      </c>
      <c r="H126" s="12">
        <f t="shared" si="132"/>
        <v>0</v>
      </c>
      <c r="I126" s="12">
        <f t="shared" si="132"/>
        <v>0</v>
      </c>
      <c r="J126" s="12">
        <f t="shared" si="132"/>
        <v>0</v>
      </c>
      <c r="K126" s="12">
        <f t="shared" si="132"/>
        <v>0</v>
      </c>
      <c r="L126" s="12">
        <f t="shared" si="132"/>
        <v>0</v>
      </c>
      <c r="M126" s="12">
        <f t="shared" si="132"/>
        <v>0</v>
      </c>
      <c r="N126" s="12">
        <f t="shared" si="130"/>
        <v>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0" customHeight="1" outlineLevel="1">
      <c r="A127" s="11" t="str">
        <f t="shared" si="125"/>
        <v/>
      </c>
      <c r="B127" s="12">
        <f t="shared" ref="B127:M127" si="133">($C946/12*D$929)*B208/1000</f>
        <v>0</v>
      </c>
      <c r="C127" s="12">
        <f t="shared" si="133"/>
        <v>0</v>
      </c>
      <c r="D127" s="12">
        <f t="shared" si="133"/>
        <v>0</v>
      </c>
      <c r="E127" s="12">
        <f t="shared" si="133"/>
        <v>0</v>
      </c>
      <c r="F127" s="12">
        <f t="shared" si="133"/>
        <v>0</v>
      </c>
      <c r="G127" s="12">
        <f t="shared" si="133"/>
        <v>0</v>
      </c>
      <c r="H127" s="12">
        <f t="shared" si="133"/>
        <v>0</v>
      </c>
      <c r="I127" s="12">
        <f t="shared" si="133"/>
        <v>0</v>
      </c>
      <c r="J127" s="12">
        <f t="shared" si="133"/>
        <v>0</v>
      </c>
      <c r="K127" s="12">
        <f t="shared" si="133"/>
        <v>0</v>
      </c>
      <c r="L127" s="12">
        <f t="shared" si="133"/>
        <v>0</v>
      </c>
      <c r="M127" s="12">
        <f t="shared" si="133"/>
        <v>0</v>
      </c>
      <c r="N127" s="12">
        <f t="shared" si="130"/>
        <v>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0" customHeight="1" outlineLevel="1">
      <c r="A128" s="11" t="str">
        <f t="shared" si="125"/>
        <v/>
      </c>
      <c r="B128" s="12">
        <f t="shared" ref="B128:M128" si="134">($C947/12*D$929)*B209/1000</f>
        <v>0</v>
      </c>
      <c r="C128" s="12">
        <f t="shared" si="134"/>
        <v>0</v>
      </c>
      <c r="D128" s="12">
        <f t="shared" si="134"/>
        <v>0</v>
      </c>
      <c r="E128" s="12">
        <f t="shared" si="134"/>
        <v>0</v>
      </c>
      <c r="F128" s="12">
        <f t="shared" si="134"/>
        <v>0</v>
      </c>
      <c r="G128" s="12">
        <f t="shared" si="134"/>
        <v>0</v>
      </c>
      <c r="H128" s="12">
        <f t="shared" si="134"/>
        <v>0</v>
      </c>
      <c r="I128" s="12">
        <f t="shared" si="134"/>
        <v>0</v>
      </c>
      <c r="J128" s="12">
        <f t="shared" si="134"/>
        <v>0</v>
      </c>
      <c r="K128" s="12">
        <f t="shared" si="134"/>
        <v>0</v>
      </c>
      <c r="L128" s="12">
        <f t="shared" si="134"/>
        <v>0</v>
      </c>
      <c r="M128" s="12">
        <f t="shared" si="134"/>
        <v>0</v>
      </c>
      <c r="N128" s="12">
        <f t="shared" si="130"/>
        <v>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0" customHeight="1" outlineLevel="1">
      <c r="A129" s="11" t="str">
        <f t="shared" si="125"/>
        <v/>
      </c>
      <c r="B129" s="12">
        <f t="shared" ref="B129:M129" si="135">($C948/12*D$929)*B210/1000</f>
        <v>0</v>
      </c>
      <c r="C129" s="12">
        <f t="shared" si="135"/>
        <v>0</v>
      </c>
      <c r="D129" s="12">
        <f t="shared" si="135"/>
        <v>0</v>
      </c>
      <c r="E129" s="12">
        <f t="shared" si="135"/>
        <v>0</v>
      </c>
      <c r="F129" s="12">
        <f t="shared" si="135"/>
        <v>0</v>
      </c>
      <c r="G129" s="12">
        <f t="shared" si="135"/>
        <v>0</v>
      </c>
      <c r="H129" s="12">
        <f t="shared" si="135"/>
        <v>0</v>
      </c>
      <c r="I129" s="12">
        <f t="shared" si="135"/>
        <v>0</v>
      </c>
      <c r="J129" s="12">
        <f t="shared" si="135"/>
        <v>0</v>
      </c>
      <c r="K129" s="12">
        <f t="shared" si="135"/>
        <v>0</v>
      </c>
      <c r="L129" s="12">
        <f t="shared" si="135"/>
        <v>0</v>
      </c>
      <c r="M129" s="12">
        <f t="shared" si="135"/>
        <v>0</v>
      </c>
      <c r="N129" s="12">
        <f t="shared" si="130"/>
        <v>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0" customHeight="1" outlineLevel="1">
      <c r="A130" s="11" t="str">
        <f t="shared" si="125"/>
        <v/>
      </c>
      <c r="B130" s="12">
        <f t="shared" ref="B130:M130" si="136">($C949/12*D$929)*B211/1000</f>
        <v>0</v>
      </c>
      <c r="C130" s="12">
        <f t="shared" si="136"/>
        <v>0</v>
      </c>
      <c r="D130" s="12">
        <f t="shared" si="136"/>
        <v>0</v>
      </c>
      <c r="E130" s="12">
        <f t="shared" si="136"/>
        <v>0</v>
      </c>
      <c r="F130" s="12">
        <f t="shared" si="136"/>
        <v>0</v>
      </c>
      <c r="G130" s="12">
        <f t="shared" si="136"/>
        <v>0</v>
      </c>
      <c r="H130" s="12">
        <f t="shared" si="136"/>
        <v>0</v>
      </c>
      <c r="I130" s="12">
        <f t="shared" si="136"/>
        <v>0</v>
      </c>
      <c r="J130" s="12">
        <f t="shared" si="136"/>
        <v>0</v>
      </c>
      <c r="K130" s="12">
        <f t="shared" si="136"/>
        <v>0</v>
      </c>
      <c r="L130" s="12">
        <f t="shared" si="136"/>
        <v>0</v>
      </c>
      <c r="M130" s="12">
        <f t="shared" si="136"/>
        <v>0</v>
      </c>
      <c r="N130" s="12">
        <f t="shared" si="130"/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0" customHeight="1" outlineLevel="1">
      <c r="A131" s="11" t="str">
        <f t="shared" si="125"/>
        <v/>
      </c>
      <c r="B131" s="12">
        <f t="shared" ref="B131:M131" si="137">($C950/12*D$929)*B212/1000</f>
        <v>0</v>
      </c>
      <c r="C131" s="12">
        <f t="shared" si="137"/>
        <v>0</v>
      </c>
      <c r="D131" s="12">
        <f t="shared" si="137"/>
        <v>0</v>
      </c>
      <c r="E131" s="12">
        <f t="shared" si="137"/>
        <v>0</v>
      </c>
      <c r="F131" s="12">
        <f t="shared" si="137"/>
        <v>0</v>
      </c>
      <c r="G131" s="12">
        <f t="shared" si="137"/>
        <v>0</v>
      </c>
      <c r="H131" s="12">
        <f t="shared" si="137"/>
        <v>0</v>
      </c>
      <c r="I131" s="12">
        <f t="shared" si="137"/>
        <v>0</v>
      </c>
      <c r="J131" s="12">
        <f t="shared" si="137"/>
        <v>0</v>
      </c>
      <c r="K131" s="12">
        <f t="shared" si="137"/>
        <v>0</v>
      </c>
      <c r="L131" s="12">
        <f t="shared" si="137"/>
        <v>0</v>
      </c>
      <c r="M131" s="12">
        <f t="shared" si="137"/>
        <v>0</v>
      </c>
      <c r="N131" s="12">
        <f t="shared" si="130"/>
        <v>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0" customHeight="1" outlineLevel="1">
      <c r="A132" s="11" t="str">
        <f t="shared" si="125"/>
        <v/>
      </c>
      <c r="B132" s="12">
        <f t="shared" ref="B132:M132" si="138">($D$951*$D$929)*B213/1000</f>
        <v>0</v>
      </c>
      <c r="C132" s="12">
        <f t="shared" si="138"/>
        <v>0</v>
      </c>
      <c r="D132" s="12">
        <f t="shared" si="138"/>
        <v>0</v>
      </c>
      <c r="E132" s="12">
        <f t="shared" si="138"/>
        <v>0</v>
      </c>
      <c r="F132" s="12">
        <f t="shared" si="138"/>
        <v>0</v>
      </c>
      <c r="G132" s="12">
        <f t="shared" si="138"/>
        <v>0</v>
      </c>
      <c r="H132" s="12">
        <f t="shared" si="138"/>
        <v>0</v>
      </c>
      <c r="I132" s="12">
        <f t="shared" si="138"/>
        <v>0</v>
      </c>
      <c r="J132" s="12">
        <f t="shared" si="138"/>
        <v>0</v>
      </c>
      <c r="K132" s="12">
        <f t="shared" si="138"/>
        <v>0</v>
      </c>
      <c r="L132" s="12">
        <f t="shared" si="138"/>
        <v>0</v>
      </c>
      <c r="M132" s="12">
        <f t="shared" si="138"/>
        <v>0</v>
      </c>
      <c r="N132" s="12">
        <f t="shared" si="130"/>
        <v>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0" customHeight="1" outlineLevel="1">
      <c r="A133" s="11" t="str">
        <f t="shared" si="125"/>
        <v/>
      </c>
      <c r="B133" s="12">
        <f t="shared" ref="B133:M133" si="139">($C952/12*D$929)*B214/1000</f>
        <v>0</v>
      </c>
      <c r="C133" s="12">
        <f t="shared" si="139"/>
        <v>0</v>
      </c>
      <c r="D133" s="12">
        <f t="shared" si="139"/>
        <v>0</v>
      </c>
      <c r="E133" s="12">
        <f t="shared" si="139"/>
        <v>0</v>
      </c>
      <c r="F133" s="12">
        <f t="shared" si="139"/>
        <v>0</v>
      </c>
      <c r="G133" s="12">
        <f t="shared" si="139"/>
        <v>0</v>
      </c>
      <c r="H133" s="12">
        <f t="shared" si="139"/>
        <v>0</v>
      </c>
      <c r="I133" s="12">
        <f t="shared" si="139"/>
        <v>0</v>
      </c>
      <c r="J133" s="12">
        <f t="shared" si="139"/>
        <v>0</v>
      </c>
      <c r="K133" s="12">
        <f t="shared" si="139"/>
        <v>0</v>
      </c>
      <c r="L133" s="12">
        <f t="shared" si="139"/>
        <v>0</v>
      </c>
      <c r="M133" s="12">
        <f t="shared" si="139"/>
        <v>0</v>
      </c>
      <c r="N133" s="12">
        <f t="shared" si="130"/>
        <v>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0" customHeight="1" outlineLevel="1">
      <c r="A134" s="11" t="str">
        <f t="shared" si="125"/>
        <v/>
      </c>
      <c r="B134" s="12">
        <f t="shared" ref="B134:M134" si="140">($C953/12*D$929)*B215/1000</f>
        <v>0</v>
      </c>
      <c r="C134" s="12">
        <f t="shared" si="140"/>
        <v>0</v>
      </c>
      <c r="D134" s="12">
        <f t="shared" si="140"/>
        <v>0</v>
      </c>
      <c r="E134" s="12">
        <f t="shared" si="140"/>
        <v>0</v>
      </c>
      <c r="F134" s="12">
        <f t="shared" si="140"/>
        <v>0</v>
      </c>
      <c r="G134" s="12">
        <f t="shared" si="140"/>
        <v>0</v>
      </c>
      <c r="H134" s="12">
        <f t="shared" si="140"/>
        <v>0</v>
      </c>
      <c r="I134" s="12">
        <f t="shared" si="140"/>
        <v>0</v>
      </c>
      <c r="J134" s="12">
        <f t="shared" si="140"/>
        <v>0</v>
      </c>
      <c r="K134" s="12">
        <f t="shared" si="140"/>
        <v>0</v>
      </c>
      <c r="L134" s="12">
        <f t="shared" si="140"/>
        <v>0</v>
      </c>
      <c r="M134" s="12">
        <f t="shared" si="140"/>
        <v>0</v>
      </c>
      <c r="N134" s="12">
        <f t="shared" si="130"/>
        <v>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0" customHeight="1" outlineLevel="1">
      <c r="A135" s="11" t="str">
        <f t="shared" si="125"/>
        <v/>
      </c>
      <c r="B135" s="12">
        <f t="shared" ref="B135:M135" si="141">($C954/12*D$929)*B216/1000</f>
        <v>0</v>
      </c>
      <c r="C135" s="12">
        <f t="shared" si="141"/>
        <v>0</v>
      </c>
      <c r="D135" s="12">
        <f t="shared" si="141"/>
        <v>0</v>
      </c>
      <c r="E135" s="12">
        <f t="shared" si="141"/>
        <v>0</v>
      </c>
      <c r="F135" s="12">
        <f t="shared" si="141"/>
        <v>0</v>
      </c>
      <c r="G135" s="12">
        <f t="shared" si="141"/>
        <v>0</v>
      </c>
      <c r="H135" s="12">
        <f t="shared" si="141"/>
        <v>0</v>
      </c>
      <c r="I135" s="12">
        <f t="shared" si="141"/>
        <v>0</v>
      </c>
      <c r="J135" s="12">
        <f t="shared" si="141"/>
        <v>0</v>
      </c>
      <c r="K135" s="12">
        <f t="shared" si="141"/>
        <v>0</v>
      </c>
      <c r="L135" s="12">
        <f t="shared" si="141"/>
        <v>0</v>
      </c>
      <c r="M135" s="12">
        <f t="shared" si="141"/>
        <v>0</v>
      </c>
      <c r="N135" s="12">
        <f t="shared" si="130"/>
        <v>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 outlineLevel="1">
      <c r="A136" s="192" t="s">
        <v>361</v>
      </c>
      <c r="B136" s="232">
        <f t="shared" ref="B136:M136" si="142">SUM(B137:B161)</f>
        <v>0</v>
      </c>
      <c r="C136" s="232">
        <f t="shared" si="142"/>
        <v>0</v>
      </c>
      <c r="D136" s="232">
        <f t="shared" si="142"/>
        <v>0</v>
      </c>
      <c r="E136" s="232">
        <f t="shared" si="142"/>
        <v>0</v>
      </c>
      <c r="F136" s="232">
        <f t="shared" si="142"/>
        <v>0</v>
      </c>
      <c r="G136" s="232">
        <f t="shared" si="142"/>
        <v>0</v>
      </c>
      <c r="H136" s="232">
        <f t="shared" si="142"/>
        <v>0</v>
      </c>
      <c r="I136" s="232">
        <f t="shared" si="142"/>
        <v>0</v>
      </c>
      <c r="J136" s="232">
        <f t="shared" si="142"/>
        <v>0</v>
      </c>
      <c r="K136" s="232">
        <f t="shared" si="142"/>
        <v>0</v>
      </c>
      <c r="L136" s="232">
        <f t="shared" si="142"/>
        <v>0</v>
      </c>
      <c r="M136" s="232">
        <f t="shared" si="142"/>
        <v>0</v>
      </c>
      <c r="N136" s="232">
        <f t="shared" si="130"/>
        <v>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0" customHeight="1" outlineLevel="1">
      <c r="A137" s="11" t="str">
        <f>A$192</f>
        <v/>
      </c>
      <c r="B137" s="12">
        <f t="shared" ref="B137:M137" si="143">($C957/12*D$956+$C983/12*D$982)*B192/1000</f>
        <v>0</v>
      </c>
      <c r="C137" s="12">
        <f t="shared" si="143"/>
        <v>0</v>
      </c>
      <c r="D137" s="12">
        <f t="shared" si="143"/>
        <v>0</v>
      </c>
      <c r="E137" s="12">
        <f t="shared" si="143"/>
        <v>0</v>
      </c>
      <c r="F137" s="12">
        <f t="shared" si="143"/>
        <v>0</v>
      </c>
      <c r="G137" s="12">
        <f t="shared" si="143"/>
        <v>0</v>
      </c>
      <c r="H137" s="12">
        <f t="shared" si="143"/>
        <v>0</v>
      </c>
      <c r="I137" s="12">
        <f t="shared" si="143"/>
        <v>0</v>
      </c>
      <c r="J137" s="12">
        <f t="shared" si="143"/>
        <v>0</v>
      </c>
      <c r="K137" s="12">
        <f t="shared" si="143"/>
        <v>0</v>
      </c>
      <c r="L137" s="12">
        <f t="shared" si="143"/>
        <v>0</v>
      </c>
      <c r="M137" s="12">
        <f t="shared" si="143"/>
        <v>0</v>
      </c>
      <c r="N137" s="12">
        <f t="shared" si="130"/>
        <v>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0" customHeight="1" outlineLevel="1">
      <c r="A138" s="11" t="str">
        <f>A$193</f>
        <v/>
      </c>
      <c r="B138" s="12">
        <f t="shared" ref="B138:M138" si="144">($C958/12*D$956+$C984/12*D$982)*B193/1000</f>
        <v>0</v>
      </c>
      <c r="C138" s="12">
        <f t="shared" si="144"/>
        <v>0</v>
      </c>
      <c r="D138" s="12">
        <f t="shared" si="144"/>
        <v>0</v>
      </c>
      <c r="E138" s="12">
        <f t="shared" si="144"/>
        <v>0</v>
      </c>
      <c r="F138" s="12">
        <f t="shared" si="144"/>
        <v>0</v>
      </c>
      <c r="G138" s="12">
        <f t="shared" si="144"/>
        <v>0</v>
      </c>
      <c r="H138" s="12">
        <f t="shared" si="144"/>
        <v>0</v>
      </c>
      <c r="I138" s="12">
        <f t="shared" si="144"/>
        <v>0</v>
      </c>
      <c r="J138" s="12">
        <f t="shared" si="144"/>
        <v>0</v>
      </c>
      <c r="K138" s="12">
        <f t="shared" si="144"/>
        <v>0</v>
      </c>
      <c r="L138" s="12">
        <f t="shared" si="144"/>
        <v>0</v>
      </c>
      <c r="M138" s="12">
        <f t="shared" si="144"/>
        <v>0</v>
      </c>
      <c r="N138" s="12">
        <f t="shared" si="130"/>
        <v>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0" customHeight="1" outlineLevel="1">
      <c r="A139" s="11" t="str">
        <f>A$194</f>
        <v/>
      </c>
      <c r="B139" s="12">
        <f t="shared" ref="B139:M139" si="145">($C959/12*D$956+$C985/12*D$982)*B194/1000</f>
        <v>0</v>
      </c>
      <c r="C139" s="12">
        <f t="shared" si="145"/>
        <v>0</v>
      </c>
      <c r="D139" s="12">
        <f t="shared" si="145"/>
        <v>0</v>
      </c>
      <c r="E139" s="12">
        <f t="shared" si="145"/>
        <v>0</v>
      </c>
      <c r="F139" s="12">
        <f t="shared" si="145"/>
        <v>0</v>
      </c>
      <c r="G139" s="12">
        <f t="shared" si="145"/>
        <v>0</v>
      </c>
      <c r="H139" s="12">
        <f t="shared" si="145"/>
        <v>0</v>
      </c>
      <c r="I139" s="12">
        <f t="shared" si="145"/>
        <v>0</v>
      </c>
      <c r="J139" s="12">
        <f t="shared" si="145"/>
        <v>0</v>
      </c>
      <c r="K139" s="12">
        <f t="shared" si="145"/>
        <v>0</v>
      </c>
      <c r="L139" s="12">
        <f t="shared" si="145"/>
        <v>0</v>
      </c>
      <c r="M139" s="12">
        <f t="shared" si="145"/>
        <v>0</v>
      </c>
      <c r="N139" s="12">
        <f t="shared" si="130"/>
        <v>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0" customHeight="1" outlineLevel="1">
      <c r="A140" s="11" t="str">
        <f>A$195</f>
        <v/>
      </c>
      <c r="B140" s="12">
        <f t="shared" ref="B140:M140" si="146">($C960/12*D$956+$C986/12*D$982)*B195/1000</f>
        <v>0</v>
      </c>
      <c r="C140" s="12">
        <f t="shared" si="146"/>
        <v>0</v>
      </c>
      <c r="D140" s="12">
        <f t="shared" si="146"/>
        <v>0</v>
      </c>
      <c r="E140" s="12">
        <f t="shared" si="146"/>
        <v>0</v>
      </c>
      <c r="F140" s="12">
        <f t="shared" si="146"/>
        <v>0</v>
      </c>
      <c r="G140" s="12">
        <f t="shared" si="146"/>
        <v>0</v>
      </c>
      <c r="H140" s="12">
        <f t="shared" si="146"/>
        <v>0</v>
      </c>
      <c r="I140" s="12">
        <f t="shared" si="146"/>
        <v>0</v>
      </c>
      <c r="J140" s="12">
        <f t="shared" si="146"/>
        <v>0</v>
      </c>
      <c r="K140" s="12">
        <f t="shared" si="146"/>
        <v>0</v>
      </c>
      <c r="L140" s="12">
        <f t="shared" si="146"/>
        <v>0</v>
      </c>
      <c r="M140" s="12">
        <f t="shared" si="146"/>
        <v>0</v>
      </c>
      <c r="N140" s="12">
        <f t="shared" si="130"/>
        <v>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0" customHeight="1" outlineLevel="1">
      <c r="A141" s="11" t="str">
        <f>A$196</f>
        <v/>
      </c>
      <c r="B141" s="12">
        <f t="shared" ref="B141:M141" si="147">($C961/12*D$956+$C987/12*D$982)*B196/1000</f>
        <v>0</v>
      </c>
      <c r="C141" s="12">
        <f t="shared" si="147"/>
        <v>0</v>
      </c>
      <c r="D141" s="12">
        <f t="shared" si="147"/>
        <v>0</v>
      </c>
      <c r="E141" s="12">
        <f t="shared" si="147"/>
        <v>0</v>
      </c>
      <c r="F141" s="12">
        <f t="shared" si="147"/>
        <v>0</v>
      </c>
      <c r="G141" s="12">
        <f t="shared" si="147"/>
        <v>0</v>
      </c>
      <c r="H141" s="12">
        <f t="shared" si="147"/>
        <v>0</v>
      </c>
      <c r="I141" s="12">
        <f t="shared" si="147"/>
        <v>0</v>
      </c>
      <c r="J141" s="12">
        <f t="shared" si="147"/>
        <v>0</v>
      </c>
      <c r="K141" s="12">
        <f t="shared" si="147"/>
        <v>0</v>
      </c>
      <c r="L141" s="12">
        <f t="shared" si="147"/>
        <v>0</v>
      </c>
      <c r="M141" s="12">
        <f t="shared" si="147"/>
        <v>0</v>
      </c>
      <c r="N141" s="12">
        <f t="shared" si="130"/>
        <v>0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0" customHeight="1" outlineLevel="1">
      <c r="A142" s="11" t="str">
        <f>A$197</f>
        <v/>
      </c>
      <c r="B142" s="12">
        <f t="shared" ref="B142:M142" si="148">($C962/12*D$956+$C988/12*D$982)*B197/1000</f>
        <v>0</v>
      </c>
      <c r="C142" s="12">
        <f t="shared" si="148"/>
        <v>0</v>
      </c>
      <c r="D142" s="12">
        <f t="shared" si="148"/>
        <v>0</v>
      </c>
      <c r="E142" s="12">
        <f t="shared" si="148"/>
        <v>0</v>
      </c>
      <c r="F142" s="12">
        <f t="shared" si="148"/>
        <v>0</v>
      </c>
      <c r="G142" s="12">
        <f t="shared" si="148"/>
        <v>0</v>
      </c>
      <c r="H142" s="12">
        <f t="shared" si="148"/>
        <v>0</v>
      </c>
      <c r="I142" s="12">
        <f t="shared" si="148"/>
        <v>0</v>
      </c>
      <c r="J142" s="12">
        <f t="shared" si="148"/>
        <v>0</v>
      </c>
      <c r="K142" s="12">
        <f t="shared" si="148"/>
        <v>0</v>
      </c>
      <c r="L142" s="12">
        <f t="shared" si="148"/>
        <v>0</v>
      </c>
      <c r="M142" s="12">
        <f t="shared" si="148"/>
        <v>0</v>
      </c>
      <c r="N142" s="12">
        <f t="shared" si="130"/>
        <v>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0" customHeight="1" outlineLevel="1">
      <c r="A143" s="11" t="str">
        <f>A$198</f>
        <v/>
      </c>
      <c r="B143" s="12">
        <f t="shared" ref="B143:M143" si="149">($C963/12*D$956+$C989/12*D$982)*B198/1000</f>
        <v>0</v>
      </c>
      <c r="C143" s="12">
        <f t="shared" si="149"/>
        <v>0</v>
      </c>
      <c r="D143" s="12">
        <f t="shared" si="149"/>
        <v>0</v>
      </c>
      <c r="E143" s="12">
        <f t="shared" si="149"/>
        <v>0</v>
      </c>
      <c r="F143" s="12">
        <f t="shared" si="149"/>
        <v>0</v>
      </c>
      <c r="G143" s="12">
        <f t="shared" si="149"/>
        <v>0</v>
      </c>
      <c r="H143" s="12">
        <f t="shared" si="149"/>
        <v>0</v>
      </c>
      <c r="I143" s="12">
        <f t="shared" si="149"/>
        <v>0</v>
      </c>
      <c r="J143" s="12">
        <f t="shared" si="149"/>
        <v>0</v>
      </c>
      <c r="K143" s="12">
        <f t="shared" si="149"/>
        <v>0</v>
      </c>
      <c r="L143" s="12">
        <f t="shared" si="149"/>
        <v>0</v>
      </c>
      <c r="M143" s="12">
        <f t="shared" si="149"/>
        <v>0</v>
      </c>
      <c r="N143" s="12">
        <f t="shared" si="130"/>
        <v>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0" customHeight="1" outlineLevel="1">
      <c r="A144" s="11" t="str">
        <f>A$199</f>
        <v/>
      </c>
      <c r="B144" s="12">
        <f t="shared" ref="B144:M144" si="150">($C964/12*D$956+$C990/12*D$982)*B199/1000</f>
        <v>0</v>
      </c>
      <c r="C144" s="12">
        <f t="shared" si="150"/>
        <v>0</v>
      </c>
      <c r="D144" s="12">
        <f t="shared" si="150"/>
        <v>0</v>
      </c>
      <c r="E144" s="12">
        <f t="shared" si="150"/>
        <v>0</v>
      </c>
      <c r="F144" s="12">
        <f t="shared" si="150"/>
        <v>0</v>
      </c>
      <c r="G144" s="12">
        <f t="shared" si="150"/>
        <v>0</v>
      </c>
      <c r="H144" s="12">
        <f t="shared" si="150"/>
        <v>0</v>
      </c>
      <c r="I144" s="12">
        <f t="shared" si="150"/>
        <v>0</v>
      </c>
      <c r="J144" s="12">
        <f t="shared" si="150"/>
        <v>0</v>
      </c>
      <c r="K144" s="12">
        <f t="shared" si="150"/>
        <v>0</v>
      </c>
      <c r="L144" s="12">
        <f t="shared" si="150"/>
        <v>0</v>
      </c>
      <c r="M144" s="12">
        <f t="shared" si="150"/>
        <v>0</v>
      </c>
      <c r="N144" s="12">
        <f t="shared" si="130"/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 outlineLevel="1">
      <c r="A145" s="11" t="str">
        <f>A$200</f>
        <v/>
      </c>
      <c r="B145" s="12">
        <f t="shared" ref="B145:M145" si="151">($C965/12*D$956+$C991/12*D$982)*B200/1000</f>
        <v>0</v>
      </c>
      <c r="C145" s="12">
        <f t="shared" si="151"/>
        <v>0</v>
      </c>
      <c r="D145" s="12">
        <f t="shared" si="151"/>
        <v>0</v>
      </c>
      <c r="E145" s="12">
        <f t="shared" si="151"/>
        <v>0</v>
      </c>
      <c r="F145" s="12">
        <f t="shared" si="151"/>
        <v>0</v>
      </c>
      <c r="G145" s="12">
        <f t="shared" si="151"/>
        <v>0</v>
      </c>
      <c r="H145" s="12">
        <f t="shared" si="151"/>
        <v>0</v>
      </c>
      <c r="I145" s="12">
        <f t="shared" si="151"/>
        <v>0</v>
      </c>
      <c r="J145" s="12">
        <f t="shared" si="151"/>
        <v>0</v>
      </c>
      <c r="K145" s="12">
        <f t="shared" si="151"/>
        <v>0</v>
      </c>
      <c r="L145" s="12">
        <f t="shared" si="151"/>
        <v>0</v>
      </c>
      <c r="M145" s="12">
        <f t="shared" si="151"/>
        <v>0</v>
      </c>
      <c r="N145" s="12">
        <f t="shared" si="130"/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0" customHeight="1" outlineLevel="1">
      <c r="A146" s="11" t="str">
        <f t="shared" ref="A146:A161" si="153">A$201</f>
        <v/>
      </c>
      <c r="B146" s="12">
        <f t="shared" ref="B146:M146" si="152">($C966/12*D$956+$C992/12*D$982)*B201/1000</f>
        <v>0</v>
      </c>
      <c r="C146" s="12">
        <f t="shared" si="152"/>
        <v>0</v>
      </c>
      <c r="D146" s="12">
        <f t="shared" si="152"/>
        <v>0</v>
      </c>
      <c r="E146" s="12">
        <f t="shared" si="152"/>
        <v>0</v>
      </c>
      <c r="F146" s="12">
        <f t="shared" si="152"/>
        <v>0</v>
      </c>
      <c r="G146" s="12">
        <f t="shared" si="152"/>
        <v>0</v>
      </c>
      <c r="H146" s="12">
        <f t="shared" si="152"/>
        <v>0</v>
      </c>
      <c r="I146" s="12">
        <f t="shared" si="152"/>
        <v>0</v>
      </c>
      <c r="J146" s="12">
        <f t="shared" si="152"/>
        <v>0</v>
      </c>
      <c r="K146" s="12">
        <f t="shared" si="152"/>
        <v>0</v>
      </c>
      <c r="L146" s="12">
        <f t="shared" si="152"/>
        <v>0</v>
      </c>
      <c r="M146" s="12">
        <f t="shared" si="152"/>
        <v>0</v>
      </c>
      <c r="N146" s="12">
        <f t="shared" si="130"/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0" customHeight="1" outlineLevel="1">
      <c r="A147" s="11" t="str">
        <f t="shared" si="153"/>
        <v/>
      </c>
      <c r="B147" s="12">
        <f t="shared" ref="B147:M147" si="154">($C967/12*D$956+$C993/12*D$982)*B202/1000</f>
        <v>0</v>
      </c>
      <c r="C147" s="12">
        <f t="shared" si="154"/>
        <v>0</v>
      </c>
      <c r="D147" s="12">
        <f t="shared" si="154"/>
        <v>0</v>
      </c>
      <c r="E147" s="12">
        <f t="shared" si="154"/>
        <v>0</v>
      </c>
      <c r="F147" s="12">
        <f t="shared" si="154"/>
        <v>0</v>
      </c>
      <c r="G147" s="12">
        <f t="shared" si="154"/>
        <v>0</v>
      </c>
      <c r="H147" s="12">
        <f t="shared" si="154"/>
        <v>0</v>
      </c>
      <c r="I147" s="12">
        <f t="shared" si="154"/>
        <v>0</v>
      </c>
      <c r="J147" s="12">
        <f t="shared" si="154"/>
        <v>0</v>
      </c>
      <c r="K147" s="12">
        <f t="shared" si="154"/>
        <v>0</v>
      </c>
      <c r="L147" s="12">
        <f t="shared" si="154"/>
        <v>0</v>
      </c>
      <c r="M147" s="12">
        <f t="shared" si="154"/>
        <v>0</v>
      </c>
      <c r="N147" s="12">
        <f t="shared" si="130"/>
        <v>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0" customHeight="1" outlineLevel="1">
      <c r="A148" s="11" t="str">
        <f t="shared" si="153"/>
        <v/>
      </c>
      <c r="B148" s="12">
        <f t="shared" ref="B148:M148" si="155">($C968/12*D$956+$C994/12*D$982)*B203/1000</f>
        <v>0</v>
      </c>
      <c r="C148" s="12">
        <f t="shared" si="155"/>
        <v>0</v>
      </c>
      <c r="D148" s="12">
        <f t="shared" si="155"/>
        <v>0</v>
      </c>
      <c r="E148" s="12">
        <f t="shared" si="155"/>
        <v>0</v>
      </c>
      <c r="F148" s="12">
        <f t="shared" si="155"/>
        <v>0</v>
      </c>
      <c r="G148" s="12">
        <f t="shared" si="155"/>
        <v>0</v>
      </c>
      <c r="H148" s="12">
        <f t="shared" si="155"/>
        <v>0</v>
      </c>
      <c r="I148" s="12">
        <f t="shared" si="155"/>
        <v>0</v>
      </c>
      <c r="J148" s="12">
        <f t="shared" si="155"/>
        <v>0</v>
      </c>
      <c r="K148" s="12">
        <f t="shared" si="155"/>
        <v>0</v>
      </c>
      <c r="L148" s="12">
        <f t="shared" si="155"/>
        <v>0</v>
      </c>
      <c r="M148" s="12">
        <f t="shared" si="155"/>
        <v>0</v>
      </c>
      <c r="N148" s="12">
        <f t="shared" si="130"/>
        <v>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0" customHeight="1" outlineLevel="1">
      <c r="A149" s="11" t="str">
        <f t="shared" si="153"/>
        <v/>
      </c>
      <c r="B149" s="12">
        <f t="shared" ref="B149:M149" si="156">($C969/12*D$956+$C995/12*D$982)*B204/1000</f>
        <v>0</v>
      </c>
      <c r="C149" s="12">
        <f t="shared" si="156"/>
        <v>0</v>
      </c>
      <c r="D149" s="12">
        <f t="shared" si="156"/>
        <v>0</v>
      </c>
      <c r="E149" s="12">
        <f t="shared" si="156"/>
        <v>0</v>
      </c>
      <c r="F149" s="12">
        <f t="shared" si="156"/>
        <v>0</v>
      </c>
      <c r="G149" s="12">
        <f t="shared" si="156"/>
        <v>0</v>
      </c>
      <c r="H149" s="12">
        <f t="shared" si="156"/>
        <v>0</v>
      </c>
      <c r="I149" s="12">
        <f t="shared" si="156"/>
        <v>0</v>
      </c>
      <c r="J149" s="12">
        <f t="shared" si="156"/>
        <v>0</v>
      </c>
      <c r="K149" s="12">
        <f t="shared" si="156"/>
        <v>0</v>
      </c>
      <c r="L149" s="12">
        <f t="shared" si="156"/>
        <v>0</v>
      </c>
      <c r="M149" s="12">
        <f t="shared" si="156"/>
        <v>0</v>
      </c>
      <c r="N149" s="12">
        <f t="shared" si="130"/>
        <v>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0" customHeight="1" outlineLevel="1">
      <c r="A150" s="11" t="str">
        <f t="shared" si="153"/>
        <v/>
      </c>
      <c r="B150" s="12">
        <f t="shared" ref="B150:M150" si="157">($C970/12*D$956+$C996/12*D$982)*B205/1000</f>
        <v>0</v>
      </c>
      <c r="C150" s="12">
        <f t="shared" si="157"/>
        <v>0</v>
      </c>
      <c r="D150" s="12">
        <f t="shared" si="157"/>
        <v>0</v>
      </c>
      <c r="E150" s="12">
        <f t="shared" si="157"/>
        <v>0</v>
      </c>
      <c r="F150" s="12">
        <f t="shared" si="157"/>
        <v>0</v>
      </c>
      <c r="G150" s="12">
        <f t="shared" si="157"/>
        <v>0</v>
      </c>
      <c r="H150" s="12">
        <f t="shared" si="157"/>
        <v>0</v>
      </c>
      <c r="I150" s="12">
        <f t="shared" si="157"/>
        <v>0</v>
      </c>
      <c r="J150" s="12">
        <f t="shared" si="157"/>
        <v>0</v>
      </c>
      <c r="K150" s="12">
        <f t="shared" si="157"/>
        <v>0</v>
      </c>
      <c r="L150" s="12">
        <f t="shared" si="157"/>
        <v>0</v>
      </c>
      <c r="M150" s="12">
        <f t="shared" si="157"/>
        <v>0</v>
      </c>
      <c r="N150" s="12">
        <f t="shared" si="130"/>
        <v>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0" customHeight="1" outlineLevel="1">
      <c r="A151" s="11" t="str">
        <f t="shared" si="153"/>
        <v/>
      </c>
      <c r="B151" s="12">
        <f t="shared" ref="B151:M151" si="158">($C971/12*D$956+$C997/12*D$982)*B206/1000</f>
        <v>0</v>
      </c>
      <c r="C151" s="12">
        <f t="shared" si="158"/>
        <v>0</v>
      </c>
      <c r="D151" s="12">
        <f t="shared" si="158"/>
        <v>0</v>
      </c>
      <c r="E151" s="12">
        <f t="shared" si="158"/>
        <v>0</v>
      </c>
      <c r="F151" s="12">
        <f t="shared" si="158"/>
        <v>0</v>
      </c>
      <c r="G151" s="12">
        <f t="shared" si="158"/>
        <v>0</v>
      </c>
      <c r="H151" s="12">
        <f t="shared" si="158"/>
        <v>0</v>
      </c>
      <c r="I151" s="12">
        <f t="shared" si="158"/>
        <v>0</v>
      </c>
      <c r="J151" s="12">
        <f t="shared" si="158"/>
        <v>0</v>
      </c>
      <c r="K151" s="12">
        <f t="shared" si="158"/>
        <v>0</v>
      </c>
      <c r="L151" s="12">
        <f t="shared" si="158"/>
        <v>0</v>
      </c>
      <c r="M151" s="12">
        <f t="shared" si="158"/>
        <v>0</v>
      </c>
      <c r="N151" s="12">
        <f t="shared" si="130"/>
        <v>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0" customHeight="1" outlineLevel="1">
      <c r="A152" s="11" t="str">
        <f t="shared" si="153"/>
        <v/>
      </c>
      <c r="B152" s="12">
        <f t="shared" ref="B152:M152" si="159">($C972/12*D$956+$C998/12*D$982)*B207/1000</f>
        <v>0</v>
      </c>
      <c r="C152" s="12">
        <f t="shared" si="159"/>
        <v>0</v>
      </c>
      <c r="D152" s="12">
        <f t="shared" si="159"/>
        <v>0</v>
      </c>
      <c r="E152" s="12">
        <f t="shared" si="159"/>
        <v>0</v>
      </c>
      <c r="F152" s="12">
        <f t="shared" si="159"/>
        <v>0</v>
      </c>
      <c r="G152" s="12">
        <f t="shared" si="159"/>
        <v>0</v>
      </c>
      <c r="H152" s="12">
        <f t="shared" si="159"/>
        <v>0</v>
      </c>
      <c r="I152" s="12">
        <f t="shared" si="159"/>
        <v>0</v>
      </c>
      <c r="J152" s="12">
        <f t="shared" si="159"/>
        <v>0</v>
      </c>
      <c r="K152" s="12">
        <f t="shared" si="159"/>
        <v>0</v>
      </c>
      <c r="L152" s="12">
        <f t="shared" si="159"/>
        <v>0</v>
      </c>
      <c r="M152" s="12">
        <f t="shared" si="159"/>
        <v>0</v>
      </c>
      <c r="N152" s="12">
        <f t="shared" si="130"/>
        <v>0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0" customHeight="1" outlineLevel="1">
      <c r="A153" s="11" t="str">
        <f t="shared" si="153"/>
        <v/>
      </c>
      <c r="B153" s="12">
        <f t="shared" ref="B153:M153" si="160">($C973/12*D$956+$C999/12*D$982)*B208/1000</f>
        <v>0</v>
      </c>
      <c r="C153" s="12">
        <f t="shared" si="160"/>
        <v>0</v>
      </c>
      <c r="D153" s="12">
        <f t="shared" si="160"/>
        <v>0</v>
      </c>
      <c r="E153" s="12">
        <f t="shared" si="160"/>
        <v>0</v>
      </c>
      <c r="F153" s="12">
        <f t="shared" si="160"/>
        <v>0</v>
      </c>
      <c r="G153" s="12">
        <f t="shared" si="160"/>
        <v>0</v>
      </c>
      <c r="H153" s="12">
        <f t="shared" si="160"/>
        <v>0</v>
      </c>
      <c r="I153" s="12">
        <f t="shared" si="160"/>
        <v>0</v>
      </c>
      <c r="J153" s="12">
        <f t="shared" si="160"/>
        <v>0</v>
      </c>
      <c r="K153" s="12">
        <f t="shared" si="160"/>
        <v>0</v>
      </c>
      <c r="L153" s="12">
        <f t="shared" si="160"/>
        <v>0</v>
      </c>
      <c r="M153" s="12">
        <f t="shared" si="160"/>
        <v>0</v>
      </c>
      <c r="N153" s="12">
        <f t="shared" si="130"/>
        <v>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0" customHeight="1" outlineLevel="1">
      <c r="A154" s="11" t="str">
        <f t="shared" si="153"/>
        <v/>
      </c>
      <c r="B154" s="12">
        <f t="shared" ref="B154:M154" si="161">($C974/12*D$956+$C1000/12*D$982)*B209/1000</f>
        <v>0</v>
      </c>
      <c r="C154" s="12">
        <f t="shared" si="161"/>
        <v>0</v>
      </c>
      <c r="D154" s="12">
        <f t="shared" si="161"/>
        <v>0</v>
      </c>
      <c r="E154" s="12">
        <f t="shared" si="161"/>
        <v>0</v>
      </c>
      <c r="F154" s="12">
        <f t="shared" si="161"/>
        <v>0</v>
      </c>
      <c r="G154" s="12">
        <f t="shared" si="161"/>
        <v>0</v>
      </c>
      <c r="H154" s="12">
        <f t="shared" si="161"/>
        <v>0</v>
      </c>
      <c r="I154" s="12">
        <f t="shared" si="161"/>
        <v>0</v>
      </c>
      <c r="J154" s="12">
        <f t="shared" si="161"/>
        <v>0</v>
      </c>
      <c r="K154" s="12">
        <f t="shared" si="161"/>
        <v>0</v>
      </c>
      <c r="L154" s="12">
        <f t="shared" si="161"/>
        <v>0</v>
      </c>
      <c r="M154" s="12">
        <f t="shared" si="161"/>
        <v>0</v>
      </c>
      <c r="N154" s="12">
        <f t="shared" si="130"/>
        <v>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0" customHeight="1" outlineLevel="1">
      <c r="A155" s="11" t="str">
        <f t="shared" si="153"/>
        <v/>
      </c>
      <c r="B155" s="12">
        <f t="shared" ref="B155:M155" si="162">($C975/12*D$956+$C1001/12*D$982)*B210/1000</f>
        <v>0</v>
      </c>
      <c r="C155" s="12">
        <f t="shared" si="162"/>
        <v>0</v>
      </c>
      <c r="D155" s="12">
        <f t="shared" si="162"/>
        <v>0</v>
      </c>
      <c r="E155" s="12">
        <f t="shared" si="162"/>
        <v>0</v>
      </c>
      <c r="F155" s="12">
        <f t="shared" si="162"/>
        <v>0</v>
      </c>
      <c r="G155" s="12">
        <f t="shared" si="162"/>
        <v>0</v>
      </c>
      <c r="H155" s="12">
        <f t="shared" si="162"/>
        <v>0</v>
      </c>
      <c r="I155" s="12">
        <f t="shared" si="162"/>
        <v>0</v>
      </c>
      <c r="J155" s="12">
        <f t="shared" si="162"/>
        <v>0</v>
      </c>
      <c r="K155" s="12">
        <f t="shared" si="162"/>
        <v>0</v>
      </c>
      <c r="L155" s="12">
        <f t="shared" si="162"/>
        <v>0</v>
      </c>
      <c r="M155" s="12">
        <f t="shared" si="162"/>
        <v>0</v>
      </c>
      <c r="N155" s="12">
        <f t="shared" si="130"/>
        <v>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0" customHeight="1" outlineLevel="1">
      <c r="A156" s="11" t="str">
        <f t="shared" si="153"/>
        <v/>
      </c>
      <c r="B156" s="12">
        <f t="shared" ref="B156:M156" si="163">($C976/12*D$956+$C1002/12*D$982)*B211/1000</f>
        <v>0</v>
      </c>
      <c r="C156" s="12">
        <f t="shared" si="163"/>
        <v>0</v>
      </c>
      <c r="D156" s="12">
        <f t="shared" si="163"/>
        <v>0</v>
      </c>
      <c r="E156" s="12">
        <f t="shared" si="163"/>
        <v>0</v>
      </c>
      <c r="F156" s="12">
        <f t="shared" si="163"/>
        <v>0</v>
      </c>
      <c r="G156" s="12">
        <f t="shared" si="163"/>
        <v>0</v>
      </c>
      <c r="H156" s="12">
        <f t="shared" si="163"/>
        <v>0</v>
      </c>
      <c r="I156" s="12">
        <f t="shared" si="163"/>
        <v>0</v>
      </c>
      <c r="J156" s="12">
        <f t="shared" si="163"/>
        <v>0</v>
      </c>
      <c r="K156" s="12">
        <f t="shared" si="163"/>
        <v>0</v>
      </c>
      <c r="L156" s="12">
        <f t="shared" si="163"/>
        <v>0</v>
      </c>
      <c r="M156" s="12">
        <f t="shared" si="163"/>
        <v>0</v>
      </c>
      <c r="N156" s="12">
        <f t="shared" si="130"/>
        <v>0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0" customHeight="1" outlineLevel="1">
      <c r="A157" s="11" t="str">
        <f t="shared" si="153"/>
        <v/>
      </c>
      <c r="B157" s="12">
        <f t="shared" ref="B157:M157" si="164">($C977/12*D$956+$C1003/12*D$982)*B212/1000</f>
        <v>0</v>
      </c>
      <c r="C157" s="12">
        <f t="shared" si="164"/>
        <v>0</v>
      </c>
      <c r="D157" s="12">
        <f t="shared" si="164"/>
        <v>0</v>
      </c>
      <c r="E157" s="12">
        <f t="shared" si="164"/>
        <v>0</v>
      </c>
      <c r="F157" s="12">
        <f t="shared" si="164"/>
        <v>0</v>
      </c>
      <c r="G157" s="12">
        <f t="shared" si="164"/>
        <v>0</v>
      </c>
      <c r="H157" s="12">
        <f t="shared" si="164"/>
        <v>0</v>
      </c>
      <c r="I157" s="12">
        <f t="shared" si="164"/>
        <v>0</v>
      </c>
      <c r="J157" s="12">
        <f t="shared" si="164"/>
        <v>0</v>
      </c>
      <c r="K157" s="12">
        <f t="shared" si="164"/>
        <v>0</v>
      </c>
      <c r="L157" s="12">
        <f t="shared" si="164"/>
        <v>0</v>
      </c>
      <c r="M157" s="12">
        <f t="shared" si="164"/>
        <v>0</v>
      </c>
      <c r="N157" s="12">
        <f t="shared" si="130"/>
        <v>0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0" customHeight="1" outlineLevel="1">
      <c r="A158" s="11" t="str">
        <f t="shared" si="153"/>
        <v/>
      </c>
      <c r="B158" s="12">
        <f t="shared" ref="B158:M158" si="165">($C978/12*D$956+$C1004/12*D$982)*B213/1000</f>
        <v>0</v>
      </c>
      <c r="C158" s="12">
        <f t="shared" si="165"/>
        <v>0</v>
      </c>
      <c r="D158" s="12">
        <f t="shared" si="165"/>
        <v>0</v>
      </c>
      <c r="E158" s="12">
        <f t="shared" si="165"/>
        <v>0</v>
      </c>
      <c r="F158" s="12">
        <f t="shared" si="165"/>
        <v>0</v>
      </c>
      <c r="G158" s="12">
        <f t="shared" si="165"/>
        <v>0</v>
      </c>
      <c r="H158" s="12">
        <f t="shared" si="165"/>
        <v>0</v>
      </c>
      <c r="I158" s="12">
        <f t="shared" si="165"/>
        <v>0</v>
      </c>
      <c r="J158" s="12">
        <f t="shared" si="165"/>
        <v>0</v>
      </c>
      <c r="K158" s="12">
        <f t="shared" si="165"/>
        <v>0</v>
      </c>
      <c r="L158" s="12">
        <f t="shared" si="165"/>
        <v>0</v>
      </c>
      <c r="M158" s="12">
        <f t="shared" si="165"/>
        <v>0</v>
      </c>
      <c r="N158" s="12">
        <f t="shared" si="130"/>
        <v>0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0" customHeight="1" outlineLevel="1">
      <c r="A159" s="11" t="str">
        <f t="shared" si="153"/>
        <v/>
      </c>
      <c r="B159" s="12">
        <f t="shared" ref="B159:M159" si="166">($C979/12*D$956+$C1005/12*D$982)*B214/1000</f>
        <v>0</v>
      </c>
      <c r="C159" s="12">
        <f t="shared" si="166"/>
        <v>0</v>
      </c>
      <c r="D159" s="12">
        <f t="shared" si="166"/>
        <v>0</v>
      </c>
      <c r="E159" s="12">
        <f t="shared" si="166"/>
        <v>0</v>
      </c>
      <c r="F159" s="12">
        <f t="shared" si="166"/>
        <v>0</v>
      </c>
      <c r="G159" s="12">
        <f t="shared" si="166"/>
        <v>0</v>
      </c>
      <c r="H159" s="12">
        <f t="shared" si="166"/>
        <v>0</v>
      </c>
      <c r="I159" s="12">
        <f t="shared" si="166"/>
        <v>0</v>
      </c>
      <c r="J159" s="12">
        <f t="shared" si="166"/>
        <v>0</v>
      </c>
      <c r="K159" s="12">
        <f t="shared" si="166"/>
        <v>0</v>
      </c>
      <c r="L159" s="12">
        <f t="shared" si="166"/>
        <v>0</v>
      </c>
      <c r="M159" s="12">
        <f t="shared" si="166"/>
        <v>0</v>
      </c>
      <c r="N159" s="12">
        <f t="shared" si="130"/>
        <v>0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0" customHeight="1" outlineLevel="1">
      <c r="A160" s="11" t="str">
        <f t="shared" si="153"/>
        <v/>
      </c>
      <c r="B160" s="12">
        <f t="shared" ref="B160:M160" si="167">($C980/12*D$956+$C1006/12*D$982)*B215/1000</f>
        <v>0</v>
      </c>
      <c r="C160" s="12">
        <f t="shared" si="167"/>
        <v>0</v>
      </c>
      <c r="D160" s="12">
        <f t="shared" si="167"/>
        <v>0</v>
      </c>
      <c r="E160" s="12">
        <f t="shared" si="167"/>
        <v>0</v>
      </c>
      <c r="F160" s="12">
        <f t="shared" si="167"/>
        <v>0</v>
      </c>
      <c r="G160" s="12">
        <f t="shared" si="167"/>
        <v>0</v>
      </c>
      <c r="H160" s="12">
        <f t="shared" si="167"/>
        <v>0</v>
      </c>
      <c r="I160" s="12">
        <f t="shared" si="167"/>
        <v>0</v>
      </c>
      <c r="J160" s="12">
        <f t="shared" si="167"/>
        <v>0</v>
      </c>
      <c r="K160" s="12">
        <f t="shared" si="167"/>
        <v>0</v>
      </c>
      <c r="L160" s="12">
        <f t="shared" si="167"/>
        <v>0</v>
      </c>
      <c r="M160" s="12">
        <f t="shared" si="167"/>
        <v>0</v>
      </c>
      <c r="N160" s="12">
        <f t="shared" si="130"/>
        <v>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0" customHeight="1" outlineLevel="1">
      <c r="A161" s="11" t="str">
        <f t="shared" si="153"/>
        <v/>
      </c>
      <c r="B161" s="12">
        <f t="shared" ref="B161:M161" si="168">($C981/12*D$956+$C1007/12*D$982)*B216/1000</f>
        <v>0</v>
      </c>
      <c r="C161" s="12">
        <f t="shared" si="168"/>
        <v>0</v>
      </c>
      <c r="D161" s="12">
        <f t="shared" si="168"/>
        <v>0</v>
      </c>
      <c r="E161" s="12">
        <f t="shared" si="168"/>
        <v>0</v>
      </c>
      <c r="F161" s="12">
        <f t="shared" si="168"/>
        <v>0</v>
      </c>
      <c r="G161" s="12">
        <f t="shared" si="168"/>
        <v>0</v>
      </c>
      <c r="H161" s="12">
        <f t="shared" si="168"/>
        <v>0</v>
      </c>
      <c r="I161" s="12">
        <f t="shared" si="168"/>
        <v>0</v>
      </c>
      <c r="J161" s="12">
        <f t="shared" si="168"/>
        <v>0</v>
      </c>
      <c r="K161" s="12">
        <f t="shared" si="168"/>
        <v>0</v>
      </c>
      <c r="L161" s="12">
        <f t="shared" si="168"/>
        <v>0</v>
      </c>
      <c r="M161" s="12">
        <f t="shared" si="168"/>
        <v>0</v>
      </c>
      <c r="N161" s="12">
        <f t="shared" si="130"/>
        <v>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 outlineLevel="1">
      <c r="A162" s="192" t="s">
        <v>362</v>
      </c>
      <c r="B162" s="232">
        <f t="shared" ref="B162:M162" si="169">SUM(B163:B187)</f>
        <v>0</v>
      </c>
      <c r="C162" s="232">
        <f t="shared" si="169"/>
        <v>0</v>
      </c>
      <c r="D162" s="232">
        <f t="shared" si="169"/>
        <v>0</v>
      </c>
      <c r="E162" s="232">
        <f t="shared" si="169"/>
        <v>0</v>
      </c>
      <c r="F162" s="232">
        <f t="shared" si="169"/>
        <v>0</v>
      </c>
      <c r="G162" s="232">
        <f t="shared" si="169"/>
        <v>0</v>
      </c>
      <c r="H162" s="232">
        <f t="shared" si="169"/>
        <v>0</v>
      </c>
      <c r="I162" s="232">
        <f t="shared" si="169"/>
        <v>0</v>
      </c>
      <c r="J162" s="232">
        <f t="shared" si="169"/>
        <v>0</v>
      </c>
      <c r="K162" s="232">
        <f t="shared" si="169"/>
        <v>0</v>
      </c>
      <c r="L162" s="232">
        <f t="shared" si="169"/>
        <v>0</v>
      </c>
      <c r="M162" s="232">
        <f t="shared" si="169"/>
        <v>0</v>
      </c>
      <c r="N162" s="232">
        <f t="shared" si="130"/>
        <v>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0" customHeight="1" outlineLevel="1">
      <c r="A163" s="11" t="str">
        <f>A$192</f>
        <v/>
      </c>
      <c r="B163" s="12">
        <f t="shared" ref="B163:M163" si="170">($C1010/12*D$1009)*B192/1000</f>
        <v>0</v>
      </c>
      <c r="C163" s="12">
        <f t="shared" si="170"/>
        <v>0</v>
      </c>
      <c r="D163" s="12">
        <f t="shared" si="170"/>
        <v>0</v>
      </c>
      <c r="E163" s="12">
        <f t="shared" si="170"/>
        <v>0</v>
      </c>
      <c r="F163" s="12">
        <f t="shared" si="170"/>
        <v>0</v>
      </c>
      <c r="G163" s="12">
        <f t="shared" si="170"/>
        <v>0</v>
      </c>
      <c r="H163" s="12">
        <f t="shared" si="170"/>
        <v>0</v>
      </c>
      <c r="I163" s="12">
        <f t="shared" si="170"/>
        <v>0</v>
      </c>
      <c r="J163" s="12">
        <f t="shared" si="170"/>
        <v>0</v>
      </c>
      <c r="K163" s="12">
        <f t="shared" si="170"/>
        <v>0</v>
      </c>
      <c r="L163" s="12">
        <f t="shared" si="170"/>
        <v>0</v>
      </c>
      <c r="M163" s="12">
        <f t="shared" si="170"/>
        <v>0</v>
      </c>
      <c r="N163" s="12">
        <f t="shared" si="130"/>
        <v>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0" customHeight="1" outlineLevel="1">
      <c r="A164" s="11" t="str">
        <f>A$193</f>
        <v/>
      </c>
      <c r="B164" s="12">
        <f t="shared" ref="B164:M164" si="171">($C1011/12*D$1009)*B193/1000</f>
        <v>0</v>
      </c>
      <c r="C164" s="12">
        <f t="shared" si="171"/>
        <v>0</v>
      </c>
      <c r="D164" s="12">
        <f t="shared" si="171"/>
        <v>0</v>
      </c>
      <c r="E164" s="12">
        <f t="shared" si="171"/>
        <v>0</v>
      </c>
      <c r="F164" s="12">
        <f t="shared" si="171"/>
        <v>0</v>
      </c>
      <c r="G164" s="12">
        <f t="shared" si="171"/>
        <v>0</v>
      </c>
      <c r="H164" s="12">
        <f t="shared" si="171"/>
        <v>0</v>
      </c>
      <c r="I164" s="12">
        <f t="shared" si="171"/>
        <v>0</v>
      </c>
      <c r="J164" s="12">
        <f t="shared" si="171"/>
        <v>0</v>
      </c>
      <c r="K164" s="12">
        <f t="shared" si="171"/>
        <v>0</v>
      </c>
      <c r="L164" s="12">
        <f t="shared" si="171"/>
        <v>0</v>
      </c>
      <c r="M164" s="12">
        <f t="shared" si="171"/>
        <v>0</v>
      </c>
      <c r="N164" s="12">
        <f t="shared" si="130"/>
        <v>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0" customHeight="1" outlineLevel="1">
      <c r="A165" s="11" t="str">
        <f>A$194</f>
        <v/>
      </c>
      <c r="B165" s="12">
        <f t="shared" ref="B165:M165" si="172">($C1012/12*D$1009)*B194/1000</f>
        <v>0</v>
      </c>
      <c r="C165" s="12">
        <f t="shared" si="172"/>
        <v>0</v>
      </c>
      <c r="D165" s="12">
        <f t="shared" si="172"/>
        <v>0</v>
      </c>
      <c r="E165" s="12">
        <f t="shared" si="172"/>
        <v>0</v>
      </c>
      <c r="F165" s="12">
        <f t="shared" si="172"/>
        <v>0</v>
      </c>
      <c r="G165" s="12">
        <f t="shared" si="172"/>
        <v>0</v>
      </c>
      <c r="H165" s="12">
        <f t="shared" si="172"/>
        <v>0</v>
      </c>
      <c r="I165" s="12">
        <f t="shared" si="172"/>
        <v>0</v>
      </c>
      <c r="J165" s="12">
        <f t="shared" si="172"/>
        <v>0</v>
      </c>
      <c r="K165" s="12">
        <f t="shared" si="172"/>
        <v>0</v>
      </c>
      <c r="L165" s="12">
        <f t="shared" si="172"/>
        <v>0</v>
      </c>
      <c r="M165" s="12">
        <f t="shared" si="172"/>
        <v>0</v>
      </c>
      <c r="N165" s="12">
        <f t="shared" si="130"/>
        <v>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0" customHeight="1" outlineLevel="1">
      <c r="A166" s="11" t="str">
        <f>A$195</f>
        <v/>
      </c>
      <c r="B166" s="12">
        <f t="shared" ref="B166:M166" si="173">($C1013/12*D$1009)*B195/1000</f>
        <v>0</v>
      </c>
      <c r="C166" s="12">
        <f t="shared" si="173"/>
        <v>0</v>
      </c>
      <c r="D166" s="12">
        <f t="shared" si="173"/>
        <v>0</v>
      </c>
      <c r="E166" s="12">
        <f t="shared" si="173"/>
        <v>0</v>
      </c>
      <c r="F166" s="12">
        <f t="shared" si="173"/>
        <v>0</v>
      </c>
      <c r="G166" s="12">
        <f t="shared" si="173"/>
        <v>0</v>
      </c>
      <c r="H166" s="12">
        <f t="shared" si="173"/>
        <v>0</v>
      </c>
      <c r="I166" s="12">
        <f t="shared" si="173"/>
        <v>0</v>
      </c>
      <c r="J166" s="12">
        <f t="shared" si="173"/>
        <v>0</v>
      </c>
      <c r="K166" s="12">
        <f t="shared" si="173"/>
        <v>0</v>
      </c>
      <c r="L166" s="12">
        <f t="shared" si="173"/>
        <v>0</v>
      </c>
      <c r="M166" s="12">
        <f t="shared" si="173"/>
        <v>0</v>
      </c>
      <c r="N166" s="12">
        <f t="shared" si="130"/>
        <v>0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0" customHeight="1" outlineLevel="1">
      <c r="A167" s="11" t="str">
        <f>A$196</f>
        <v/>
      </c>
      <c r="B167" s="12">
        <f t="shared" ref="B167:M167" si="174">($C1014/12*D$1009)*B196/1000</f>
        <v>0</v>
      </c>
      <c r="C167" s="12">
        <f t="shared" si="174"/>
        <v>0</v>
      </c>
      <c r="D167" s="12">
        <f t="shared" si="174"/>
        <v>0</v>
      </c>
      <c r="E167" s="12">
        <f t="shared" si="174"/>
        <v>0</v>
      </c>
      <c r="F167" s="12">
        <f t="shared" si="174"/>
        <v>0</v>
      </c>
      <c r="G167" s="12">
        <f t="shared" si="174"/>
        <v>0</v>
      </c>
      <c r="H167" s="12">
        <f t="shared" si="174"/>
        <v>0</v>
      </c>
      <c r="I167" s="12">
        <f t="shared" si="174"/>
        <v>0</v>
      </c>
      <c r="J167" s="12">
        <f t="shared" si="174"/>
        <v>0</v>
      </c>
      <c r="K167" s="12">
        <f t="shared" si="174"/>
        <v>0</v>
      </c>
      <c r="L167" s="12">
        <f t="shared" si="174"/>
        <v>0</v>
      </c>
      <c r="M167" s="12">
        <f t="shared" si="174"/>
        <v>0</v>
      </c>
      <c r="N167" s="12">
        <f t="shared" si="130"/>
        <v>0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0" customHeight="1" outlineLevel="1">
      <c r="A168" s="11" t="str">
        <f>A$197</f>
        <v/>
      </c>
      <c r="B168" s="12">
        <f t="shared" ref="B168:M168" si="175">($C1015/12*D$1009)*B197/1000</f>
        <v>0</v>
      </c>
      <c r="C168" s="12">
        <f t="shared" si="175"/>
        <v>0</v>
      </c>
      <c r="D168" s="12">
        <f t="shared" si="175"/>
        <v>0</v>
      </c>
      <c r="E168" s="12">
        <f t="shared" si="175"/>
        <v>0</v>
      </c>
      <c r="F168" s="12">
        <f t="shared" si="175"/>
        <v>0</v>
      </c>
      <c r="G168" s="12">
        <f t="shared" si="175"/>
        <v>0</v>
      </c>
      <c r="H168" s="12">
        <f t="shared" si="175"/>
        <v>0</v>
      </c>
      <c r="I168" s="12">
        <f t="shared" si="175"/>
        <v>0</v>
      </c>
      <c r="J168" s="12">
        <f t="shared" si="175"/>
        <v>0</v>
      </c>
      <c r="K168" s="12">
        <f t="shared" si="175"/>
        <v>0</v>
      </c>
      <c r="L168" s="12">
        <f t="shared" si="175"/>
        <v>0</v>
      </c>
      <c r="M168" s="12">
        <f t="shared" si="175"/>
        <v>0</v>
      </c>
      <c r="N168" s="12">
        <f t="shared" si="130"/>
        <v>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0" customHeight="1" outlineLevel="1">
      <c r="A169" s="11" t="str">
        <f>A$198</f>
        <v/>
      </c>
      <c r="B169" s="12">
        <f t="shared" ref="B169:M169" si="176">($C1016/12*D$1009)*B198/1000</f>
        <v>0</v>
      </c>
      <c r="C169" s="12">
        <f t="shared" si="176"/>
        <v>0</v>
      </c>
      <c r="D169" s="12">
        <f t="shared" si="176"/>
        <v>0</v>
      </c>
      <c r="E169" s="12">
        <f t="shared" si="176"/>
        <v>0</v>
      </c>
      <c r="F169" s="12">
        <f t="shared" si="176"/>
        <v>0</v>
      </c>
      <c r="G169" s="12">
        <f t="shared" si="176"/>
        <v>0</v>
      </c>
      <c r="H169" s="12">
        <f t="shared" si="176"/>
        <v>0</v>
      </c>
      <c r="I169" s="12">
        <f t="shared" si="176"/>
        <v>0</v>
      </c>
      <c r="J169" s="12">
        <f t="shared" si="176"/>
        <v>0</v>
      </c>
      <c r="K169" s="12">
        <f t="shared" si="176"/>
        <v>0</v>
      </c>
      <c r="L169" s="12">
        <f t="shared" si="176"/>
        <v>0</v>
      </c>
      <c r="M169" s="12">
        <f t="shared" si="176"/>
        <v>0</v>
      </c>
      <c r="N169" s="12">
        <f t="shared" si="130"/>
        <v>0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0" customHeight="1" outlineLevel="1">
      <c r="A170" s="11" t="str">
        <f>A$199</f>
        <v/>
      </c>
      <c r="B170" s="12">
        <f t="shared" ref="B170:M170" si="177">($C1017/12*D$1009)*B199/1000</f>
        <v>0</v>
      </c>
      <c r="C170" s="12">
        <f t="shared" si="177"/>
        <v>0</v>
      </c>
      <c r="D170" s="12">
        <f t="shared" si="177"/>
        <v>0</v>
      </c>
      <c r="E170" s="12">
        <f t="shared" si="177"/>
        <v>0</v>
      </c>
      <c r="F170" s="12">
        <f t="shared" si="177"/>
        <v>0</v>
      </c>
      <c r="G170" s="12">
        <f t="shared" si="177"/>
        <v>0</v>
      </c>
      <c r="H170" s="12">
        <f t="shared" si="177"/>
        <v>0</v>
      </c>
      <c r="I170" s="12">
        <f t="shared" si="177"/>
        <v>0</v>
      </c>
      <c r="J170" s="12">
        <f t="shared" si="177"/>
        <v>0</v>
      </c>
      <c r="K170" s="12">
        <f t="shared" si="177"/>
        <v>0</v>
      </c>
      <c r="L170" s="12">
        <f t="shared" si="177"/>
        <v>0</v>
      </c>
      <c r="M170" s="12">
        <f t="shared" si="177"/>
        <v>0</v>
      </c>
      <c r="N170" s="12">
        <f t="shared" si="130"/>
        <v>0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 outlineLevel="1">
      <c r="A171" s="11" t="str">
        <f>A$200</f>
        <v/>
      </c>
      <c r="B171" s="12">
        <f t="shared" ref="B171:M171" si="178">($C1018/12*D$1009)*B200/1000</f>
        <v>0</v>
      </c>
      <c r="C171" s="12">
        <f t="shared" si="178"/>
        <v>0</v>
      </c>
      <c r="D171" s="12">
        <f t="shared" si="178"/>
        <v>0</v>
      </c>
      <c r="E171" s="12">
        <f t="shared" si="178"/>
        <v>0</v>
      </c>
      <c r="F171" s="12">
        <f t="shared" si="178"/>
        <v>0</v>
      </c>
      <c r="G171" s="12">
        <f t="shared" si="178"/>
        <v>0</v>
      </c>
      <c r="H171" s="12">
        <f t="shared" si="178"/>
        <v>0</v>
      </c>
      <c r="I171" s="12">
        <f t="shared" si="178"/>
        <v>0</v>
      </c>
      <c r="J171" s="12">
        <f t="shared" si="178"/>
        <v>0</v>
      </c>
      <c r="K171" s="12">
        <f t="shared" si="178"/>
        <v>0</v>
      </c>
      <c r="L171" s="12">
        <f t="shared" si="178"/>
        <v>0</v>
      </c>
      <c r="M171" s="12">
        <f t="shared" si="178"/>
        <v>0</v>
      </c>
      <c r="N171" s="12">
        <f t="shared" si="130"/>
        <v>0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0" customHeight="1" outlineLevel="1">
      <c r="A172" s="11" t="str">
        <f t="shared" ref="A172:A187" si="180">A$201</f>
        <v/>
      </c>
      <c r="B172" s="12">
        <f t="shared" ref="B172:M172" si="179">($C1019/12*D$1009)*B201/1000</f>
        <v>0</v>
      </c>
      <c r="C172" s="12">
        <f t="shared" si="179"/>
        <v>0</v>
      </c>
      <c r="D172" s="12">
        <f t="shared" si="179"/>
        <v>0</v>
      </c>
      <c r="E172" s="12">
        <f t="shared" si="179"/>
        <v>0</v>
      </c>
      <c r="F172" s="12">
        <f t="shared" si="179"/>
        <v>0</v>
      </c>
      <c r="G172" s="12">
        <f t="shared" si="179"/>
        <v>0</v>
      </c>
      <c r="H172" s="12">
        <f t="shared" si="179"/>
        <v>0</v>
      </c>
      <c r="I172" s="12">
        <f t="shared" si="179"/>
        <v>0</v>
      </c>
      <c r="J172" s="12">
        <f t="shared" si="179"/>
        <v>0</v>
      </c>
      <c r="K172" s="12">
        <f t="shared" si="179"/>
        <v>0</v>
      </c>
      <c r="L172" s="12">
        <f t="shared" si="179"/>
        <v>0</v>
      </c>
      <c r="M172" s="12">
        <f t="shared" si="179"/>
        <v>0</v>
      </c>
      <c r="N172" s="12">
        <f t="shared" si="130"/>
        <v>0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0" customHeight="1" outlineLevel="1">
      <c r="A173" s="11" t="str">
        <f t="shared" si="180"/>
        <v/>
      </c>
      <c r="B173" s="12">
        <f t="shared" ref="B173:M173" si="181">($C1020/12*D$1009)*B202/1000</f>
        <v>0</v>
      </c>
      <c r="C173" s="12">
        <f t="shared" si="181"/>
        <v>0</v>
      </c>
      <c r="D173" s="12">
        <f t="shared" si="181"/>
        <v>0</v>
      </c>
      <c r="E173" s="12">
        <f t="shared" si="181"/>
        <v>0</v>
      </c>
      <c r="F173" s="12">
        <f t="shared" si="181"/>
        <v>0</v>
      </c>
      <c r="G173" s="12">
        <f t="shared" si="181"/>
        <v>0</v>
      </c>
      <c r="H173" s="12">
        <f t="shared" si="181"/>
        <v>0</v>
      </c>
      <c r="I173" s="12">
        <f t="shared" si="181"/>
        <v>0</v>
      </c>
      <c r="J173" s="12">
        <f t="shared" si="181"/>
        <v>0</v>
      </c>
      <c r="K173" s="12">
        <f t="shared" si="181"/>
        <v>0</v>
      </c>
      <c r="L173" s="12">
        <f t="shared" si="181"/>
        <v>0</v>
      </c>
      <c r="M173" s="12">
        <f t="shared" si="181"/>
        <v>0</v>
      </c>
      <c r="N173" s="12">
        <f t="shared" si="130"/>
        <v>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0" customHeight="1" outlineLevel="1">
      <c r="A174" s="11" t="str">
        <f t="shared" si="180"/>
        <v/>
      </c>
      <c r="B174" s="12">
        <f t="shared" ref="B174:M174" si="182">($C1021/12*D$1009)*B203/1000</f>
        <v>0</v>
      </c>
      <c r="C174" s="12">
        <f t="shared" si="182"/>
        <v>0</v>
      </c>
      <c r="D174" s="12">
        <f t="shared" si="182"/>
        <v>0</v>
      </c>
      <c r="E174" s="12">
        <f t="shared" si="182"/>
        <v>0</v>
      </c>
      <c r="F174" s="12">
        <f t="shared" si="182"/>
        <v>0</v>
      </c>
      <c r="G174" s="12">
        <f t="shared" si="182"/>
        <v>0</v>
      </c>
      <c r="H174" s="12">
        <f t="shared" si="182"/>
        <v>0</v>
      </c>
      <c r="I174" s="12">
        <f t="shared" si="182"/>
        <v>0</v>
      </c>
      <c r="J174" s="12">
        <f t="shared" si="182"/>
        <v>0</v>
      </c>
      <c r="K174" s="12">
        <f t="shared" si="182"/>
        <v>0</v>
      </c>
      <c r="L174" s="12">
        <f t="shared" si="182"/>
        <v>0</v>
      </c>
      <c r="M174" s="12">
        <f t="shared" si="182"/>
        <v>0</v>
      </c>
      <c r="N174" s="12">
        <f t="shared" si="130"/>
        <v>0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0" customHeight="1" outlineLevel="1">
      <c r="A175" s="11" t="str">
        <f t="shared" si="180"/>
        <v/>
      </c>
      <c r="B175" s="12">
        <f t="shared" ref="B175:M175" si="183">($C1022/12*D$1009)*B204/1000</f>
        <v>0</v>
      </c>
      <c r="C175" s="12">
        <f t="shared" si="183"/>
        <v>0</v>
      </c>
      <c r="D175" s="12">
        <f t="shared" si="183"/>
        <v>0</v>
      </c>
      <c r="E175" s="12">
        <f t="shared" si="183"/>
        <v>0</v>
      </c>
      <c r="F175" s="12">
        <f t="shared" si="183"/>
        <v>0</v>
      </c>
      <c r="G175" s="12">
        <f t="shared" si="183"/>
        <v>0</v>
      </c>
      <c r="H175" s="12">
        <f t="shared" si="183"/>
        <v>0</v>
      </c>
      <c r="I175" s="12">
        <f t="shared" si="183"/>
        <v>0</v>
      </c>
      <c r="J175" s="12">
        <f t="shared" si="183"/>
        <v>0</v>
      </c>
      <c r="K175" s="12">
        <f t="shared" si="183"/>
        <v>0</v>
      </c>
      <c r="L175" s="12">
        <f t="shared" si="183"/>
        <v>0</v>
      </c>
      <c r="M175" s="12">
        <f t="shared" si="183"/>
        <v>0</v>
      </c>
      <c r="N175" s="12">
        <f t="shared" si="130"/>
        <v>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0" customHeight="1" outlineLevel="1">
      <c r="A176" s="11" t="str">
        <f t="shared" si="180"/>
        <v/>
      </c>
      <c r="B176" s="12">
        <f t="shared" ref="B176:M176" si="184">($C1023/12*D$1009)*B205/1000</f>
        <v>0</v>
      </c>
      <c r="C176" s="12">
        <f t="shared" si="184"/>
        <v>0</v>
      </c>
      <c r="D176" s="12">
        <f t="shared" si="184"/>
        <v>0</v>
      </c>
      <c r="E176" s="12">
        <f t="shared" si="184"/>
        <v>0</v>
      </c>
      <c r="F176" s="12">
        <f t="shared" si="184"/>
        <v>0</v>
      </c>
      <c r="G176" s="12">
        <f t="shared" si="184"/>
        <v>0</v>
      </c>
      <c r="H176" s="12">
        <f t="shared" si="184"/>
        <v>0</v>
      </c>
      <c r="I176" s="12">
        <f t="shared" si="184"/>
        <v>0</v>
      </c>
      <c r="J176" s="12">
        <f t="shared" si="184"/>
        <v>0</v>
      </c>
      <c r="K176" s="12">
        <f t="shared" si="184"/>
        <v>0</v>
      </c>
      <c r="L176" s="12">
        <f t="shared" si="184"/>
        <v>0</v>
      </c>
      <c r="M176" s="12">
        <f t="shared" si="184"/>
        <v>0</v>
      </c>
      <c r="N176" s="12">
        <f t="shared" si="130"/>
        <v>0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0" customHeight="1" outlineLevel="1">
      <c r="A177" s="11" t="str">
        <f t="shared" si="180"/>
        <v/>
      </c>
      <c r="B177" s="12">
        <f t="shared" ref="B177:M177" si="185">($C1024/12*D$1009)*B206/1000</f>
        <v>0</v>
      </c>
      <c r="C177" s="12">
        <f t="shared" si="185"/>
        <v>0</v>
      </c>
      <c r="D177" s="12">
        <f t="shared" si="185"/>
        <v>0</v>
      </c>
      <c r="E177" s="12">
        <f t="shared" si="185"/>
        <v>0</v>
      </c>
      <c r="F177" s="12">
        <f t="shared" si="185"/>
        <v>0</v>
      </c>
      <c r="G177" s="12">
        <f t="shared" si="185"/>
        <v>0</v>
      </c>
      <c r="H177" s="12">
        <f t="shared" si="185"/>
        <v>0</v>
      </c>
      <c r="I177" s="12">
        <f t="shared" si="185"/>
        <v>0</v>
      </c>
      <c r="J177" s="12">
        <f t="shared" si="185"/>
        <v>0</v>
      </c>
      <c r="K177" s="12">
        <f t="shared" si="185"/>
        <v>0</v>
      </c>
      <c r="L177" s="12">
        <f t="shared" si="185"/>
        <v>0</v>
      </c>
      <c r="M177" s="12">
        <f t="shared" si="185"/>
        <v>0</v>
      </c>
      <c r="N177" s="12">
        <f t="shared" si="130"/>
        <v>0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0" customHeight="1" outlineLevel="1">
      <c r="A178" s="11" t="str">
        <f t="shared" si="180"/>
        <v/>
      </c>
      <c r="B178" s="12">
        <f t="shared" ref="B178:M178" si="186">($C1025/12*D$1009)*B207/1000</f>
        <v>0</v>
      </c>
      <c r="C178" s="12">
        <f t="shared" si="186"/>
        <v>0</v>
      </c>
      <c r="D178" s="12">
        <f t="shared" si="186"/>
        <v>0</v>
      </c>
      <c r="E178" s="12">
        <f t="shared" si="186"/>
        <v>0</v>
      </c>
      <c r="F178" s="12">
        <f t="shared" si="186"/>
        <v>0</v>
      </c>
      <c r="G178" s="12">
        <f t="shared" si="186"/>
        <v>0</v>
      </c>
      <c r="H178" s="12">
        <f t="shared" si="186"/>
        <v>0</v>
      </c>
      <c r="I178" s="12">
        <f t="shared" si="186"/>
        <v>0</v>
      </c>
      <c r="J178" s="12">
        <f t="shared" si="186"/>
        <v>0</v>
      </c>
      <c r="K178" s="12">
        <f t="shared" si="186"/>
        <v>0</v>
      </c>
      <c r="L178" s="12">
        <f t="shared" si="186"/>
        <v>0</v>
      </c>
      <c r="M178" s="12">
        <f t="shared" si="186"/>
        <v>0</v>
      </c>
      <c r="N178" s="12">
        <f t="shared" si="130"/>
        <v>0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0" customHeight="1" outlineLevel="1">
      <c r="A179" s="11" t="str">
        <f t="shared" si="180"/>
        <v/>
      </c>
      <c r="B179" s="12">
        <f t="shared" ref="B179:M179" si="187">($C1026/12*D$1009)*B208/1000</f>
        <v>0</v>
      </c>
      <c r="C179" s="12">
        <f t="shared" si="187"/>
        <v>0</v>
      </c>
      <c r="D179" s="12">
        <f t="shared" si="187"/>
        <v>0</v>
      </c>
      <c r="E179" s="12">
        <f t="shared" si="187"/>
        <v>0</v>
      </c>
      <c r="F179" s="12">
        <f t="shared" si="187"/>
        <v>0</v>
      </c>
      <c r="G179" s="12">
        <f t="shared" si="187"/>
        <v>0</v>
      </c>
      <c r="H179" s="12">
        <f t="shared" si="187"/>
        <v>0</v>
      </c>
      <c r="I179" s="12">
        <f t="shared" si="187"/>
        <v>0</v>
      </c>
      <c r="J179" s="12">
        <f t="shared" si="187"/>
        <v>0</v>
      </c>
      <c r="K179" s="12">
        <f t="shared" si="187"/>
        <v>0</v>
      </c>
      <c r="L179" s="12">
        <f t="shared" si="187"/>
        <v>0</v>
      </c>
      <c r="M179" s="12">
        <f t="shared" si="187"/>
        <v>0</v>
      </c>
      <c r="N179" s="12">
        <f t="shared" si="130"/>
        <v>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0" customHeight="1" outlineLevel="1">
      <c r="A180" s="11" t="str">
        <f t="shared" si="180"/>
        <v/>
      </c>
      <c r="B180" s="12">
        <f t="shared" ref="B180:M180" si="188">($C1027/12*D$1009)*B209/1000</f>
        <v>0</v>
      </c>
      <c r="C180" s="12">
        <f t="shared" si="188"/>
        <v>0</v>
      </c>
      <c r="D180" s="12">
        <f t="shared" si="188"/>
        <v>0</v>
      </c>
      <c r="E180" s="12">
        <f t="shared" si="188"/>
        <v>0</v>
      </c>
      <c r="F180" s="12">
        <f t="shared" si="188"/>
        <v>0</v>
      </c>
      <c r="G180" s="12">
        <f t="shared" si="188"/>
        <v>0</v>
      </c>
      <c r="H180" s="12">
        <f t="shared" si="188"/>
        <v>0</v>
      </c>
      <c r="I180" s="12">
        <f t="shared" si="188"/>
        <v>0</v>
      </c>
      <c r="J180" s="12">
        <f t="shared" si="188"/>
        <v>0</v>
      </c>
      <c r="K180" s="12">
        <f t="shared" si="188"/>
        <v>0</v>
      </c>
      <c r="L180" s="12">
        <f t="shared" si="188"/>
        <v>0</v>
      </c>
      <c r="M180" s="12">
        <f t="shared" si="188"/>
        <v>0</v>
      </c>
      <c r="N180" s="12">
        <f t="shared" si="130"/>
        <v>0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0" customHeight="1" outlineLevel="1">
      <c r="A181" s="11" t="str">
        <f t="shared" si="180"/>
        <v/>
      </c>
      <c r="B181" s="12">
        <f t="shared" ref="B181:M181" si="189">($C1028/12*D$1009)*B210/1000</f>
        <v>0</v>
      </c>
      <c r="C181" s="12">
        <f t="shared" si="189"/>
        <v>0</v>
      </c>
      <c r="D181" s="12">
        <f t="shared" si="189"/>
        <v>0</v>
      </c>
      <c r="E181" s="12">
        <f t="shared" si="189"/>
        <v>0</v>
      </c>
      <c r="F181" s="12">
        <f t="shared" si="189"/>
        <v>0</v>
      </c>
      <c r="G181" s="12">
        <f t="shared" si="189"/>
        <v>0</v>
      </c>
      <c r="H181" s="12">
        <f t="shared" si="189"/>
        <v>0</v>
      </c>
      <c r="I181" s="12">
        <f t="shared" si="189"/>
        <v>0</v>
      </c>
      <c r="J181" s="12">
        <f t="shared" si="189"/>
        <v>0</v>
      </c>
      <c r="K181" s="12">
        <f t="shared" si="189"/>
        <v>0</v>
      </c>
      <c r="L181" s="12">
        <f t="shared" si="189"/>
        <v>0</v>
      </c>
      <c r="M181" s="12">
        <f t="shared" si="189"/>
        <v>0</v>
      </c>
      <c r="N181" s="12">
        <f t="shared" si="130"/>
        <v>0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0" customHeight="1" outlineLevel="1">
      <c r="A182" s="11" t="str">
        <f t="shared" si="180"/>
        <v/>
      </c>
      <c r="B182" s="12">
        <f t="shared" ref="B182:M182" si="190">($C1029/12*D$1009)*B211/1000</f>
        <v>0</v>
      </c>
      <c r="C182" s="12">
        <f t="shared" si="190"/>
        <v>0</v>
      </c>
      <c r="D182" s="12">
        <f t="shared" si="190"/>
        <v>0</v>
      </c>
      <c r="E182" s="12">
        <f t="shared" si="190"/>
        <v>0</v>
      </c>
      <c r="F182" s="12">
        <f t="shared" si="190"/>
        <v>0</v>
      </c>
      <c r="G182" s="12">
        <f t="shared" si="190"/>
        <v>0</v>
      </c>
      <c r="H182" s="12">
        <f t="shared" si="190"/>
        <v>0</v>
      </c>
      <c r="I182" s="12">
        <f t="shared" si="190"/>
        <v>0</v>
      </c>
      <c r="J182" s="12">
        <f t="shared" si="190"/>
        <v>0</v>
      </c>
      <c r="K182" s="12">
        <f t="shared" si="190"/>
        <v>0</v>
      </c>
      <c r="L182" s="12">
        <f t="shared" si="190"/>
        <v>0</v>
      </c>
      <c r="M182" s="12">
        <f t="shared" si="190"/>
        <v>0</v>
      </c>
      <c r="N182" s="12">
        <f t="shared" si="130"/>
        <v>0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0" customHeight="1" outlineLevel="1">
      <c r="A183" s="11" t="str">
        <f t="shared" si="180"/>
        <v/>
      </c>
      <c r="B183" s="12">
        <f t="shared" ref="B183:M183" si="191">($C1030/12*D$1009)*B212/1000</f>
        <v>0</v>
      </c>
      <c r="C183" s="12">
        <f t="shared" si="191"/>
        <v>0</v>
      </c>
      <c r="D183" s="12">
        <f t="shared" si="191"/>
        <v>0</v>
      </c>
      <c r="E183" s="12">
        <f t="shared" si="191"/>
        <v>0</v>
      </c>
      <c r="F183" s="12">
        <f t="shared" si="191"/>
        <v>0</v>
      </c>
      <c r="G183" s="12">
        <f t="shared" si="191"/>
        <v>0</v>
      </c>
      <c r="H183" s="12">
        <f t="shared" si="191"/>
        <v>0</v>
      </c>
      <c r="I183" s="12">
        <f t="shared" si="191"/>
        <v>0</v>
      </c>
      <c r="J183" s="12">
        <f t="shared" si="191"/>
        <v>0</v>
      </c>
      <c r="K183" s="12">
        <f t="shared" si="191"/>
        <v>0</v>
      </c>
      <c r="L183" s="12">
        <f t="shared" si="191"/>
        <v>0</v>
      </c>
      <c r="M183" s="12">
        <f t="shared" si="191"/>
        <v>0</v>
      </c>
      <c r="N183" s="12">
        <f t="shared" si="130"/>
        <v>0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0" customHeight="1" outlineLevel="1">
      <c r="A184" s="11" t="str">
        <f t="shared" si="180"/>
        <v/>
      </c>
      <c r="B184" s="12">
        <f t="shared" ref="B184:M184" si="192">($C1031/12*D$1009)*B213/1000</f>
        <v>0</v>
      </c>
      <c r="C184" s="12">
        <f t="shared" si="192"/>
        <v>0</v>
      </c>
      <c r="D184" s="12">
        <f t="shared" si="192"/>
        <v>0</v>
      </c>
      <c r="E184" s="12">
        <f t="shared" si="192"/>
        <v>0</v>
      </c>
      <c r="F184" s="12">
        <f t="shared" si="192"/>
        <v>0</v>
      </c>
      <c r="G184" s="12">
        <f t="shared" si="192"/>
        <v>0</v>
      </c>
      <c r="H184" s="12">
        <f t="shared" si="192"/>
        <v>0</v>
      </c>
      <c r="I184" s="12">
        <f t="shared" si="192"/>
        <v>0</v>
      </c>
      <c r="J184" s="12">
        <f t="shared" si="192"/>
        <v>0</v>
      </c>
      <c r="K184" s="12">
        <f t="shared" si="192"/>
        <v>0</v>
      </c>
      <c r="L184" s="12">
        <f t="shared" si="192"/>
        <v>0</v>
      </c>
      <c r="M184" s="12">
        <f t="shared" si="192"/>
        <v>0</v>
      </c>
      <c r="N184" s="12">
        <f t="shared" si="130"/>
        <v>0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0" customHeight="1" outlineLevel="1">
      <c r="A185" s="11" t="str">
        <f t="shared" si="180"/>
        <v/>
      </c>
      <c r="B185" s="12">
        <f t="shared" ref="B185:M185" si="193">($C1032/12*D$1009)*B214/1000</f>
        <v>0</v>
      </c>
      <c r="C185" s="12">
        <f t="shared" si="193"/>
        <v>0</v>
      </c>
      <c r="D185" s="12">
        <f t="shared" si="193"/>
        <v>0</v>
      </c>
      <c r="E185" s="12">
        <f t="shared" si="193"/>
        <v>0</v>
      </c>
      <c r="F185" s="12">
        <f t="shared" si="193"/>
        <v>0</v>
      </c>
      <c r="G185" s="12">
        <f t="shared" si="193"/>
        <v>0</v>
      </c>
      <c r="H185" s="12">
        <f t="shared" si="193"/>
        <v>0</v>
      </c>
      <c r="I185" s="12">
        <f t="shared" si="193"/>
        <v>0</v>
      </c>
      <c r="J185" s="12">
        <f t="shared" si="193"/>
        <v>0</v>
      </c>
      <c r="K185" s="12">
        <f t="shared" si="193"/>
        <v>0</v>
      </c>
      <c r="L185" s="12">
        <f t="shared" si="193"/>
        <v>0</v>
      </c>
      <c r="M185" s="12">
        <f t="shared" si="193"/>
        <v>0</v>
      </c>
      <c r="N185" s="12">
        <f t="shared" si="130"/>
        <v>0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0" customHeight="1" outlineLevel="1">
      <c r="A186" s="11" t="str">
        <f t="shared" si="180"/>
        <v/>
      </c>
      <c r="B186" s="12">
        <f t="shared" ref="B186:M186" si="194">($C1033/12*D$1009)*B215/1000</f>
        <v>0</v>
      </c>
      <c r="C186" s="12">
        <f t="shared" si="194"/>
        <v>0</v>
      </c>
      <c r="D186" s="12">
        <f t="shared" si="194"/>
        <v>0</v>
      </c>
      <c r="E186" s="12">
        <f t="shared" si="194"/>
        <v>0</v>
      </c>
      <c r="F186" s="12">
        <f t="shared" si="194"/>
        <v>0</v>
      </c>
      <c r="G186" s="12">
        <f t="shared" si="194"/>
        <v>0</v>
      </c>
      <c r="H186" s="12">
        <f t="shared" si="194"/>
        <v>0</v>
      </c>
      <c r="I186" s="12">
        <f t="shared" si="194"/>
        <v>0</v>
      </c>
      <c r="J186" s="12">
        <f t="shared" si="194"/>
        <v>0</v>
      </c>
      <c r="K186" s="12">
        <f t="shared" si="194"/>
        <v>0</v>
      </c>
      <c r="L186" s="12">
        <f t="shared" si="194"/>
        <v>0</v>
      </c>
      <c r="M186" s="12">
        <f t="shared" si="194"/>
        <v>0</v>
      </c>
      <c r="N186" s="12">
        <f t="shared" si="130"/>
        <v>0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0" customHeight="1" outlineLevel="1">
      <c r="A187" s="11" t="str">
        <f t="shared" si="180"/>
        <v/>
      </c>
      <c r="B187" s="12">
        <f t="shared" ref="B187:M187" si="195">($C1034/12*D$1009)*B216/1000</f>
        <v>0</v>
      </c>
      <c r="C187" s="12">
        <f t="shared" si="195"/>
        <v>0</v>
      </c>
      <c r="D187" s="12">
        <f t="shared" si="195"/>
        <v>0</v>
      </c>
      <c r="E187" s="12">
        <f t="shared" si="195"/>
        <v>0</v>
      </c>
      <c r="F187" s="12">
        <f t="shared" si="195"/>
        <v>0</v>
      </c>
      <c r="G187" s="12">
        <f t="shared" si="195"/>
        <v>0</v>
      </c>
      <c r="H187" s="12">
        <f t="shared" si="195"/>
        <v>0</v>
      </c>
      <c r="I187" s="12">
        <f t="shared" si="195"/>
        <v>0</v>
      </c>
      <c r="J187" s="12">
        <f t="shared" si="195"/>
        <v>0</v>
      </c>
      <c r="K187" s="12">
        <f t="shared" si="195"/>
        <v>0</v>
      </c>
      <c r="L187" s="12">
        <f t="shared" si="195"/>
        <v>0</v>
      </c>
      <c r="M187" s="12">
        <f t="shared" si="195"/>
        <v>0</v>
      </c>
      <c r="N187" s="12">
        <f t="shared" si="130"/>
        <v>0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92" t="s">
        <v>367</v>
      </c>
      <c r="B188" s="232">
        <f t="shared" ref="B188:N188" si="196">B5+B32+B58+B84+B110+B136+B162</f>
        <v>0</v>
      </c>
      <c r="C188" s="232">
        <f t="shared" si="196"/>
        <v>0</v>
      </c>
      <c r="D188" s="232">
        <f t="shared" si="196"/>
        <v>0</v>
      </c>
      <c r="E188" s="232">
        <f t="shared" si="196"/>
        <v>0</v>
      </c>
      <c r="F188" s="232">
        <f t="shared" si="196"/>
        <v>0</v>
      </c>
      <c r="G188" s="232">
        <f t="shared" si="196"/>
        <v>0</v>
      </c>
      <c r="H188" s="232">
        <f t="shared" si="196"/>
        <v>0</v>
      </c>
      <c r="I188" s="232">
        <f t="shared" si="196"/>
        <v>0</v>
      </c>
      <c r="J188" s="232">
        <f t="shared" si="196"/>
        <v>0</v>
      </c>
      <c r="K188" s="232">
        <f t="shared" si="196"/>
        <v>0</v>
      </c>
      <c r="L188" s="232">
        <f t="shared" si="196"/>
        <v>0</v>
      </c>
      <c r="M188" s="232">
        <f t="shared" si="196"/>
        <v>0</v>
      </c>
      <c r="N188" s="232">
        <f t="shared" si="196"/>
        <v>0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34"/>
      <c r="B189" s="234"/>
      <c r="C189" s="234"/>
      <c r="D189" s="234"/>
      <c r="E189" s="234"/>
      <c r="F189" s="234"/>
      <c r="G189" s="234"/>
      <c r="H189" s="234"/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  <c r="S189" s="234"/>
      <c r="T189" s="234"/>
      <c r="U189" s="234"/>
      <c r="V189" s="234"/>
      <c r="W189" s="234"/>
      <c r="X189" s="234"/>
      <c r="Y189" s="234"/>
      <c r="Z189" s="234"/>
    </row>
    <row r="190" ht="14.25" customHeight="1">
      <c r="A190" s="89" t="s">
        <v>368</v>
      </c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234"/>
      <c r="O190" s="234"/>
      <c r="P190" s="234"/>
      <c r="Q190" s="234"/>
      <c r="R190" s="234"/>
      <c r="S190" s="234"/>
      <c r="T190" s="234"/>
      <c r="U190" s="234"/>
      <c r="V190" s="234"/>
      <c r="W190" s="234"/>
      <c r="X190" s="234"/>
      <c r="Y190" s="234"/>
      <c r="Z190" s="234"/>
    </row>
    <row r="191" ht="12.0" customHeight="1">
      <c r="A191" s="208" t="s">
        <v>237</v>
      </c>
      <c r="B191" s="208" t="s">
        <v>2</v>
      </c>
      <c r="C191" s="208" t="s">
        <v>3</v>
      </c>
      <c r="D191" s="208" t="s">
        <v>4</v>
      </c>
      <c r="E191" s="208" t="s">
        <v>5</v>
      </c>
      <c r="F191" s="208" t="s">
        <v>6</v>
      </c>
      <c r="G191" s="208" t="s">
        <v>7</v>
      </c>
      <c r="H191" s="208" t="s">
        <v>8</v>
      </c>
      <c r="I191" s="208" t="s">
        <v>9</v>
      </c>
      <c r="J191" s="208" t="s">
        <v>10</v>
      </c>
      <c r="K191" s="208" t="s">
        <v>11</v>
      </c>
      <c r="L191" s="208" t="s">
        <v>12</v>
      </c>
      <c r="M191" s="208" t="s">
        <v>13</v>
      </c>
      <c r="N191" s="234"/>
      <c r="O191" s="23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0" customHeight="1" outlineLevel="1">
      <c r="A192" s="11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4"/>
      <c r="O192" s="234">
        <v>1273.0</v>
      </c>
      <c r="P192" s="234"/>
      <c r="Q192" s="234"/>
      <c r="R192" s="234"/>
      <c r="S192" s="234"/>
      <c r="T192" s="234"/>
      <c r="U192" s="234"/>
      <c r="V192" s="234"/>
      <c r="W192" s="234"/>
      <c r="X192" s="234"/>
      <c r="Y192" s="234"/>
      <c r="Z192" s="234"/>
    </row>
    <row r="193" ht="12.0" customHeight="1" outlineLevel="1">
      <c r="A193" s="11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4"/>
      <c r="O193" s="234">
        <v>1310.0</v>
      </c>
      <c r="P193" s="234"/>
      <c r="Q193" s="234"/>
      <c r="R193" s="234"/>
      <c r="S193" s="234"/>
      <c r="T193" s="234"/>
      <c r="U193" s="234"/>
      <c r="V193" s="234"/>
      <c r="W193" s="234"/>
      <c r="X193" s="234"/>
      <c r="Y193" s="234"/>
      <c r="Z193" s="234"/>
    </row>
    <row r="194" ht="12.0" customHeight="1" outlineLevel="1">
      <c r="A194" s="11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4"/>
      <c r="O194" s="234">
        <v>600.0</v>
      </c>
      <c r="P194" s="234"/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</row>
    <row r="195" ht="12.0" customHeight="1" outlineLevel="1">
      <c r="A195" s="11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4"/>
      <c r="O195" s="234">
        <v>910.0</v>
      </c>
      <c r="P195" s="234"/>
      <c r="Q195" s="234"/>
      <c r="R195" s="234"/>
      <c r="S195" s="234"/>
      <c r="T195" s="234"/>
      <c r="U195" s="234"/>
      <c r="V195" s="234"/>
      <c r="W195" s="234"/>
      <c r="X195" s="234"/>
      <c r="Y195" s="234"/>
      <c r="Z195" s="234"/>
    </row>
    <row r="196" ht="12.0" customHeight="1" outlineLevel="1">
      <c r="A196" s="11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4"/>
      <c r="O196" s="234">
        <v>583.0</v>
      </c>
      <c r="P196" s="234"/>
      <c r="Q196" s="234"/>
      <c r="R196" s="234"/>
      <c r="S196" s="234"/>
      <c r="T196" s="234"/>
      <c r="U196" s="234"/>
      <c r="V196" s="234"/>
      <c r="W196" s="234"/>
      <c r="X196" s="234"/>
      <c r="Y196" s="234"/>
      <c r="Z196" s="234"/>
    </row>
    <row r="197" ht="12.0" customHeight="1" outlineLevel="1">
      <c r="A197" s="11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4"/>
      <c r="O197" s="234">
        <v>550.0</v>
      </c>
      <c r="P197" s="234"/>
      <c r="Q197" s="234"/>
      <c r="R197" s="234"/>
      <c r="S197" s="234"/>
      <c r="T197" s="234"/>
      <c r="U197" s="234"/>
      <c r="V197" s="234"/>
      <c r="W197" s="234"/>
      <c r="X197" s="234"/>
      <c r="Y197" s="234"/>
      <c r="Z197" s="234"/>
    </row>
    <row r="198" ht="12.0" customHeight="1" outlineLevel="1">
      <c r="A198" s="11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4"/>
      <c r="O198" s="234">
        <v>580.0</v>
      </c>
      <c r="P198" s="234"/>
      <c r="Q198" s="234"/>
      <c r="R198" s="234"/>
      <c r="S198" s="234"/>
      <c r="T198" s="234"/>
      <c r="U198" s="234"/>
      <c r="V198" s="234"/>
      <c r="W198" s="234"/>
      <c r="X198" s="234"/>
      <c r="Y198" s="234"/>
      <c r="Z198" s="234"/>
    </row>
    <row r="199" ht="12.0" customHeight="1" outlineLevel="1">
      <c r="A199" s="11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4"/>
      <c r="O199" s="234">
        <v>162.0</v>
      </c>
      <c r="P199" s="234"/>
      <c r="Q199" s="234"/>
      <c r="R199" s="234"/>
      <c r="S199" s="234"/>
      <c r="T199" s="234"/>
      <c r="U199" s="234"/>
      <c r="V199" s="234"/>
      <c r="W199" s="234"/>
      <c r="X199" s="234"/>
      <c r="Y199" s="234"/>
      <c r="Z199" s="234"/>
    </row>
    <row r="200" ht="12.0" customHeight="1" outlineLevel="1">
      <c r="A200" s="11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4"/>
      <c r="O200" s="234">
        <v>315.0</v>
      </c>
      <c r="P200" s="234"/>
      <c r="Q200" s="234"/>
      <c r="R200" s="234"/>
      <c r="S200" s="234"/>
      <c r="T200" s="234"/>
      <c r="U200" s="234"/>
      <c r="V200" s="234"/>
      <c r="W200" s="234"/>
      <c r="X200" s="234"/>
      <c r="Y200" s="234"/>
      <c r="Z200" s="234"/>
    </row>
    <row r="201" ht="12.0" customHeight="1" outlineLevel="1">
      <c r="A201" s="11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4"/>
      <c r="O201" s="234">
        <v>983.0</v>
      </c>
      <c r="P201" s="234"/>
      <c r="Q201" s="234"/>
      <c r="R201" s="234"/>
      <c r="S201" s="234"/>
      <c r="T201" s="234"/>
      <c r="U201" s="234"/>
      <c r="V201" s="234"/>
      <c r="W201" s="234"/>
      <c r="X201" s="234"/>
      <c r="Y201" s="234"/>
      <c r="Z201" s="234"/>
    </row>
    <row r="202" ht="12.0" customHeight="1" outlineLevel="1">
      <c r="A202" s="11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4"/>
      <c r="O202" s="234">
        <v>310.0</v>
      </c>
      <c r="P202" s="234"/>
      <c r="Q202" s="234"/>
      <c r="R202" s="234"/>
      <c r="S202" s="234"/>
      <c r="T202" s="234"/>
      <c r="U202" s="234"/>
      <c r="V202" s="234"/>
      <c r="W202" s="234"/>
      <c r="X202" s="234"/>
      <c r="Y202" s="234"/>
      <c r="Z202" s="234"/>
    </row>
    <row r="203" ht="12.0" customHeight="1" outlineLevel="1">
      <c r="A203" s="11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4"/>
      <c r="O203" s="234">
        <v>720.0</v>
      </c>
      <c r="P203" s="234"/>
      <c r="Q203" s="234"/>
      <c r="R203" s="234"/>
      <c r="S203" s="234"/>
      <c r="T203" s="234"/>
      <c r="U203" s="234"/>
      <c r="V203" s="234"/>
      <c r="W203" s="234"/>
      <c r="X203" s="234"/>
      <c r="Y203" s="234"/>
      <c r="Z203" s="234"/>
    </row>
    <row r="204" ht="12.0" customHeight="1" outlineLevel="1">
      <c r="A204" s="11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4"/>
      <c r="O204" s="234">
        <v>560.0</v>
      </c>
      <c r="P204" s="234"/>
      <c r="Q204" s="234"/>
      <c r="R204" s="234"/>
      <c r="S204" s="234"/>
      <c r="T204" s="234"/>
      <c r="U204" s="234"/>
      <c r="V204" s="234"/>
      <c r="W204" s="234"/>
      <c r="X204" s="234"/>
      <c r="Y204" s="234"/>
      <c r="Z204" s="234"/>
    </row>
    <row r="205" ht="12.0" customHeight="1" outlineLevel="1">
      <c r="A205" s="11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4"/>
      <c r="O205" s="234"/>
      <c r="P205" s="234"/>
      <c r="Q205" s="234"/>
      <c r="R205" s="234"/>
      <c r="S205" s="234"/>
      <c r="T205" s="234"/>
      <c r="U205" s="234"/>
      <c r="V205" s="234"/>
      <c r="W205" s="234"/>
      <c r="X205" s="234"/>
      <c r="Y205" s="234"/>
      <c r="Z205" s="234"/>
    </row>
    <row r="206" ht="12.0" customHeight="1" outlineLevel="1">
      <c r="A206" s="11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4"/>
      <c r="O206" s="234"/>
      <c r="P206" s="234"/>
      <c r="Q206" s="234"/>
      <c r="R206" s="234"/>
      <c r="S206" s="234"/>
      <c r="T206" s="234"/>
      <c r="U206" s="234"/>
      <c r="V206" s="234"/>
      <c r="W206" s="234"/>
      <c r="X206" s="234"/>
      <c r="Y206" s="234"/>
      <c r="Z206" s="234"/>
    </row>
    <row r="207" ht="12.0" customHeight="1" outlineLevel="1">
      <c r="A207" s="11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4"/>
      <c r="O207" s="234"/>
      <c r="P207" s="234"/>
      <c r="Q207" s="234"/>
      <c r="R207" s="234"/>
      <c r="S207" s="234"/>
      <c r="T207" s="234"/>
      <c r="U207" s="234"/>
      <c r="V207" s="234"/>
      <c r="W207" s="234"/>
      <c r="X207" s="234"/>
      <c r="Y207" s="234"/>
      <c r="Z207" s="234"/>
    </row>
    <row r="208" ht="12.0" customHeight="1" outlineLevel="1">
      <c r="A208" s="11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4"/>
      <c r="O208" s="234">
        <v>176.0</v>
      </c>
      <c r="P208" s="234"/>
      <c r="Q208" s="234"/>
      <c r="R208" s="234"/>
      <c r="S208" s="234"/>
      <c r="T208" s="234"/>
      <c r="U208" s="234"/>
      <c r="V208" s="234"/>
      <c r="W208" s="234"/>
      <c r="X208" s="234"/>
      <c r="Y208" s="234"/>
      <c r="Z208" s="234"/>
    </row>
    <row r="209" ht="12.0" customHeight="1" outlineLevel="1">
      <c r="A209" s="11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4"/>
      <c r="O209" s="234"/>
      <c r="P209" s="234"/>
      <c r="Q209" s="234"/>
      <c r="R209" s="234"/>
      <c r="S209" s="234"/>
      <c r="T209" s="234"/>
      <c r="U209" s="234"/>
      <c r="V209" s="234"/>
      <c r="W209" s="234"/>
      <c r="X209" s="234"/>
      <c r="Y209" s="234"/>
      <c r="Z209" s="234"/>
    </row>
    <row r="210" ht="12.0" customHeight="1" outlineLevel="1">
      <c r="A210" s="11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4"/>
      <c r="O210" s="234">
        <v>0.8</v>
      </c>
      <c r="P210" s="234"/>
      <c r="Q210" s="234"/>
      <c r="R210" s="234"/>
      <c r="S210" s="234"/>
      <c r="T210" s="234"/>
      <c r="U210" s="234"/>
      <c r="V210" s="234"/>
      <c r="W210" s="234"/>
      <c r="X210" s="234"/>
      <c r="Y210" s="234"/>
      <c r="Z210" s="234"/>
    </row>
    <row r="211" ht="12.0" customHeight="1" outlineLevel="1">
      <c r="A211" s="11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4"/>
      <c r="O211" s="234"/>
      <c r="P211" s="234"/>
      <c r="Q211" s="234"/>
      <c r="R211" s="234"/>
      <c r="S211" s="234"/>
      <c r="T211" s="234"/>
      <c r="U211" s="234"/>
      <c r="V211" s="234"/>
      <c r="W211" s="234"/>
      <c r="X211" s="234"/>
      <c r="Y211" s="234"/>
      <c r="Z211" s="234"/>
    </row>
    <row r="212" ht="12.0" customHeight="1" outlineLevel="1">
      <c r="A212" s="11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4"/>
      <c r="O212" s="234">
        <v>37.0</v>
      </c>
      <c r="P212" s="234"/>
      <c r="Q212" s="234"/>
      <c r="R212" s="234"/>
      <c r="S212" s="234"/>
      <c r="T212" s="234"/>
      <c r="U212" s="234"/>
      <c r="V212" s="234"/>
      <c r="W212" s="234"/>
      <c r="X212" s="234"/>
      <c r="Y212" s="234"/>
      <c r="Z212" s="234"/>
    </row>
    <row r="213" ht="12.0" customHeight="1" outlineLevel="1">
      <c r="A213" s="11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4"/>
      <c r="O213" s="234">
        <v>8.7</v>
      </c>
      <c r="P213" s="234"/>
      <c r="Q213" s="234"/>
      <c r="R213" s="234"/>
      <c r="S213" s="234"/>
      <c r="T213" s="234"/>
      <c r="U213" s="234"/>
      <c r="V213" s="234"/>
      <c r="W213" s="234"/>
      <c r="X213" s="234"/>
      <c r="Y213" s="234"/>
      <c r="Z213" s="234"/>
    </row>
    <row r="214" ht="12.0" customHeight="1" outlineLevel="1">
      <c r="A214" s="11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4"/>
      <c r="O214" s="234">
        <v>495.0</v>
      </c>
      <c r="P214" s="234"/>
      <c r="Q214" s="234"/>
      <c r="R214" s="234"/>
      <c r="S214" s="234"/>
      <c r="T214" s="234"/>
      <c r="U214" s="234"/>
      <c r="V214" s="234"/>
      <c r="W214" s="234"/>
      <c r="X214" s="234"/>
      <c r="Y214" s="234"/>
      <c r="Z214" s="234"/>
    </row>
    <row r="215" ht="12.0" customHeight="1" outlineLevel="1">
      <c r="A215" s="11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4"/>
      <c r="O215" s="234">
        <v>0.46</v>
      </c>
      <c r="P215" s="234"/>
      <c r="Q215" s="234"/>
      <c r="R215" s="234"/>
      <c r="S215" s="234"/>
      <c r="T215" s="234"/>
      <c r="U215" s="234"/>
      <c r="V215" s="234"/>
      <c r="W215" s="234"/>
      <c r="X215" s="234"/>
      <c r="Y215" s="234"/>
      <c r="Z215" s="234"/>
    </row>
    <row r="216" ht="12.0" customHeight="1" outlineLevel="1">
      <c r="A216" s="11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4"/>
      <c r="O216" s="236" t="s">
        <v>369</v>
      </c>
      <c r="P216" s="234"/>
      <c r="Q216" s="234"/>
      <c r="R216" s="234"/>
      <c r="S216" s="234"/>
      <c r="T216" s="234"/>
      <c r="U216" s="234"/>
      <c r="V216" s="234"/>
      <c r="W216" s="234"/>
      <c r="X216" s="234"/>
      <c r="Y216" s="234"/>
      <c r="Z216" s="234"/>
    </row>
    <row r="217" ht="12.0" customHeight="1" outlineLevel="1">
      <c r="A217" s="11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4"/>
      <c r="O217" s="234"/>
      <c r="P217" s="234"/>
      <c r="Q217" s="234"/>
      <c r="R217" s="234"/>
      <c r="S217" s="234"/>
      <c r="T217" s="234"/>
      <c r="U217" s="234"/>
      <c r="V217" s="234"/>
      <c r="W217" s="234"/>
      <c r="X217" s="234"/>
      <c r="Y217" s="234"/>
      <c r="Z217" s="234"/>
    </row>
    <row r="218" ht="14.25" customHeight="1">
      <c r="A218" s="234"/>
      <c r="B218" s="234"/>
      <c r="C218" s="234"/>
      <c r="D218" s="234"/>
      <c r="E218" s="234"/>
      <c r="F218" s="234"/>
      <c r="G218" s="234"/>
      <c r="H218" s="234"/>
      <c r="I218" s="234"/>
      <c r="J218" s="234"/>
      <c r="K218" s="234"/>
      <c r="L218" s="234"/>
      <c r="M218" s="234"/>
      <c r="N218" s="234"/>
      <c r="O218" s="234"/>
      <c r="P218" s="234"/>
      <c r="Q218" s="234"/>
      <c r="R218" s="234"/>
      <c r="S218" s="234"/>
      <c r="T218" s="234"/>
      <c r="U218" s="234"/>
      <c r="V218" s="234"/>
      <c r="W218" s="234"/>
      <c r="X218" s="234"/>
      <c r="Y218" s="234"/>
      <c r="Z218" s="234"/>
    </row>
    <row r="219" ht="14.25" customHeight="1">
      <c r="A219" s="237" t="s">
        <v>370</v>
      </c>
      <c r="B219" s="142"/>
      <c r="C219" s="142"/>
      <c r="D219" s="234"/>
      <c r="E219" s="234"/>
      <c r="F219" s="234"/>
      <c r="G219" s="234"/>
      <c r="H219" s="234"/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  <c r="S219" s="234"/>
      <c r="T219" s="234"/>
      <c r="U219" s="234"/>
      <c r="V219" s="234"/>
      <c r="W219" s="234"/>
      <c r="X219" s="234"/>
      <c r="Y219" s="234"/>
      <c r="Z219" s="234"/>
    </row>
    <row r="220" ht="28.5" customHeight="1">
      <c r="A220" s="208" t="s">
        <v>371</v>
      </c>
      <c r="B220" s="208" t="s">
        <v>283</v>
      </c>
      <c r="C220" s="208" t="s">
        <v>372</v>
      </c>
      <c r="D220" s="238" t="s">
        <v>373</v>
      </c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4"/>
      <c r="Q220" s="234"/>
      <c r="R220" s="234"/>
      <c r="S220" s="234"/>
      <c r="T220" s="234"/>
      <c r="U220" s="234"/>
      <c r="V220" s="234"/>
      <c r="W220" s="234"/>
      <c r="X220" s="234"/>
      <c r="Y220" s="234"/>
      <c r="Z220" s="234"/>
    </row>
    <row r="221" ht="14.25" customHeight="1">
      <c r="A221" s="239"/>
      <c r="B221" s="208"/>
      <c r="C221" s="208"/>
      <c r="D221" s="208" t="s">
        <v>2</v>
      </c>
      <c r="E221" s="208" t="s">
        <v>3</v>
      </c>
      <c r="F221" s="208" t="s">
        <v>4</v>
      </c>
      <c r="G221" s="208" t="s">
        <v>5</v>
      </c>
      <c r="H221" s="208" t="s">
        <v>6</v>
      </c>
      <c r="I221" s="208" t="s">
        <v>7</v>
      </c>
      <c r="J221" s="208" t="s">
        <v>8</v>
      </c>
      <c r="K221" s="208" t="s">
        <v>9</v>
      </c>
      <c r="L221" s="208" t="s">
        <v>10</v>
      </c>
      <c r="M221" s="208" t="s">
        <v>11</v>
      </c>
      <c r="N221" s="208" t="s">
        <v>12</v>
      </c>
      <c r="O221" s="208" t="s">
        <v>13</v>
      </c>
      <c r="P221" s="234"/>
      <c r="Q221" s="234"/>
      <c r="R221" s="234"/>
      <c r="S221" s="234"/>
      <c r="T221" s="234"/>
      <c r="U221" s="234"/>
      <c r="V221" s="234"/>
      <c r="W221" s="234"/>
      <c r="X221" s="234"/>
      <c r="Y221" s="234"/>
      <c r="Z221" s="234"/>
    </row>
    <row r="222" ht="12.75" customHeight="1">
      <c r="A222" s="192" t="s">
        <v>356</v>
      </c>
      <c r="B222" s="232"/>
      <c r="C222" s="232"/>
      <c r="D222" s="232"/>
      <c r="E222" s="232"/>
      <c r="F222" s="232"/>
      <c r="G222" s="232"/>
      <c r="H222" s="232"/>
      <c r="I222" s="232"/>
      <c r="J222" s="232"/>
      <c r="K222" s="232"/>
      <c r="L222" s="232"/>
      <c r="M222" s="232"/>
      <c r="N222" s="232"/>
      <c r="O222" s="23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90" t="s">
        <v>374</v>
      </c>
      <c r="B223" s="30"/>
      <c r="C223" s="240"/>
      <c r="D223" s="241"/>
      <c r="E223" s="241"/>
      <c r="F223" s="241"/>
      <c r="G223" s="241"/>
      <c r="H223" s="241"/>
      <c r="I223" s="241"/>
      <c r="J223" s="241"/>
      <c r="K223" s="241"/>
      <c r="L223" s="241"/>
      <c r="M223" s="241"/>
      <c r="N223" s="241"/>
      <c r="O223" s="241"/>
      <c r="P223" s="234"/>
      <c r="Q223" s="234"/>
      <c r="R223" s="234"/>
      <c r="S223" s="234"/>
      <c r="T223" s="234"/>
      <c r="U223" s="234"/>
      <c r="V223" s="234"/>
      <c r="W223" s="234"/>
      <c r="X223" s="234"/>
      <c r="Y223" s="234"/>
      <c r="Z223" s="234"/>
    </row>
    <row r="224" ht="12.0" customHeight="1" outlineLevel="1">
      <c r="A224" s="11" t="str">
        <f>A$192</f>
        <v/>
      </c>
      <c r="B224" s="217"/>
      <c r="C224" s="217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34"/>
      <c r="Q224" s="234"/>
      <c r="R224" s="234"/>
      <c r="S224" s="234"/>
      <c r="T224" s="234"/>
      <c r="U224" s="234"/>
      <c r="V224" s="234"/>
      <c r="W224" s="234"/>
      <c r="X224" s="234"/>
      <c r="Y224" s="234"/>
      <c r="Z224" s="234"/>
    </row>
    <row r="225" ht="12.0" customHeight="1" outlineLevel="1">
      <c r="A225" s="11" t="str">
        <f>A$193</f>
        <v/>
      </c>
      <c r="B225" s="217"/>
      <c r="C225" s="217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34"/>
      <c r="Q225" s="234"/>
      <c r="R225" s="234"/>
      <c r="S225" s="234"/>
      <c r="T225" s="234"/>
      <c r="U225" s="234"/>
      <c r="V225" s="234"/>
      <c r="W225" s="234"/>
      <c r="X225" s="234"/>
      <c r="Y225" s="234"/>
      <c r="Z225" s="234"/>
    </row>
    <row r="226" ht="12.0" customHeight="1" outlineLevel="1">
      <c r="A226" s="11" t="str">
        <f>A$194</f>
        <v/>
      </c>
      <c r="B226" s="217"/>
      <c r="C226" s="217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34"/>
      <c r="Q226" s="234"/>
      <c r="R226" s="234"/>
      <c r="S226" s="234"/>
      <c r="T226" s="234"/>
      <c r="U226" s="234"/>
      <c r="V226" s="234"/>
      <c r="W226" s="234"/>
      <c r="X226" s="234"/>
      <c r="Y226" s="234"/>
      <c r="Z226" s="234"/>
    </row>
    <row r="227" ht="12.0" customHeight="1" outlineLevel="1">
      <c r="A227" s="11" t="str">
        <f>A$195</f>
        <v/>
      </c>
      <c r="B227" s="217"/>
      <c r="C227" s="217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34"/>
      <c r="Q227" s="234"/>
      <c r="R227" s="234"/>
      <c r="S227" s="234"/>
      <c r="T227" s="234"/>
      <c r="U227" s="234"/>
      <c r="V227" s="234"/>
      <c r="W227" s="234"/>
      <c r="X227" s="234"/>
      <c r="Y227" s="234"/>
      <c r="Z227" s="234"/>
    </row>
    <row r="228" ht="12.0" customHeight="1" outlineLevel="1">
      <c r="A228" s="11" t="str">
        <f>A$196</f>
        <v/>
      </c>
      <c r="B228" s="217"/>
      <c r="C228" s="217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34"/>
      <c r="Q228" s="234"/>
      <c r="R228" s="234"/>
      <c r="S228" s="234"/>
      <c r="T228" s="234"/>
      <c r="U228" s="234"/>
      <c r="V228" s="234"/>
      <c r="W228" s="234"/>
      <c r="X228" s="234"/>
      <c r="Y228" s="234"/>
      <c r="Z228" s="234"/>
    </row>
    <row r="229" ht="12.0" customHeight="1" outlineLevel="1">
      <c r="A229" s="11" t="str">
        <f>A$197</f>
        <v/>
      </c>
      <c r="B229" s="217"/>
      <c r="C229" s="217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34"/>
      <c r="Q229" s="234"/>
      <c r="R229" s="234"/>
      <c r="S229" s="234"/>
      <c r="T229" s="234"/>
      <c r="U229" s="234"/>
      <c r="V229" s="234"/>
      <c r="W229" s="234"/>
      <c r="X229" s="234"/>
      <c r="Y229" s="234"/>
      <c r="Z229" s="234"/>
    </row>
    <row r="230" ht="12.0" customHeight="1" outlineLevel="1">
      <c r="A230" s="11" t="str">
        <f>A$198</f>
        <v/>
      </c>
      <c r="B230" s="217"/>
      <c r="C230" s="217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34"/>
      <c r="Q230" s="234"/>
      <c r="R230" s="234"/>
      <c r="S230" s="234"/>
      <c r="T230" s="234"/>
      <c r="U230" s="234"/>
      <c r="V230" s="234"/>
      <c r="W230" s="234"/>
      <c r="X230" s="234"/>
      <c r="Y230" s="234"/>
      <c r="Z230" s="234"/>
    </row>
    <row r="231" ht="12.0" customHeight="1" outlineLevel="1">
      <c r="A231" s="11" t="str">
        <f>A$199</f>
        <v/>
      </c>
      <c r="B231" s="217"/>
      <c r="C231" s="217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34"/>
      <c r="Q231" s="234"/>
      <c r="R231" s="234"/>
      <c r="S231" s="234"/>
      <c r="T231" s="234"/>
      <c r="U231" s="234"/>
      <c r="V231" s="234"/>
      <c r="W231" s="234"/>
      <c r="X231" s="234"/>
      <c r="Y231" s="234"/>
      <c r="Z231" s="234"/>
    </row>
    <row r="232" ht="12.0" customHeight="1" outlineLevel="1">
      <c r="A232" s="11" t="str">
        <f>A$200</f>
        <v/>
      </c>
      <c r="B232" s="217"/>
      <c r="C232" s="217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34"/>
      <c r="Q232" s="234"/>
      <c r="R232" s="234"/>
      <c r="S232" s="234"/>
      <c r="T232" s="234"/>
      <c r="U232" s="234"/>
      <c r="V232" s="234"/>
      <c r="W232" s="234"/>
      <c r="X232" s="234"/>
      <c r="Y232" s="234"/>
      <c r="Z232" s="234"/>
    </row>
    <row r="233" ht="12.0" customHeight="1" outlineLevel="1">
      <c r="A233" s="11" t="str">
        <f>A$201</f>
        <v/>
      </c>
      <c r="B233" s="217"/>
      <c r="C233" s="217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34"/>
      <c r="Q233" s="234"/>
      <c r="R233" s="234"/>
      <c r="S233" s="234"/>
      <c r="T233" s="234"/>
      <c r="U233" s="234"/>
      <c r="V233" s="234"/>
      <c r="W233" s="234"/>
      <c r="X233" s="234"/>
      <c r="Y233" s="234"/>
      <c r="Z233" s="234"/>
    </row>
    <row r="234" ht="12.0" customHeight="1" outlineLevel="1">
      <c r="A234" s="11" t="str">
        <f t="shared" ref="A234:A235" si="197">A$202</f>
        <v/>
      </c>
      <c r="B234" s="217"/>
      <c r="C234" s="217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34"/>
      <c r="Q234" s="234"/>
      <c r="R234" s="234"/>
      <c r="S234" s="234"/>
      <c r="T234" s="234"/>
      <c r="U234" s="234"/>
      <c r="V234" s="234"/>
      <c r="W234" s="234"/>
      <c r="X234" s="234"/>
      <c r="Y234" s="234"/>
      <c r="Z234" s="234"/>
    </row>
    <row r="235" ht="12.0" customHeight="1" outlineLevel="1">
      <c r="A235" s="11" t="str">
        <f t="shared" si="197"/>
        <v/>
      </c>
      <c r="B235" s="217"/>
      <c r="C235" s="217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34"/>
      <c r="Q235" s="234"/>
      <c r="R235" s="234"/>
      <c r="S235" s="234"/>
      <c r="T235" s="234"/>
      <c r="U235" s="234"/>
      <c r="V235" s="234"/>
      <c r="W235" s="234"/>
      <c r="X235" s="234"/>
      <c r="Y235" s="234"/>
      <c r="Z235" s="234"/>
    </row>
    <row r="236" ht="12.0" customHeight="1" outlineLevel="1">
      <c r="A236" s="11" t="str">
        <f>A$204</f>
        <v/>
      </c>
      <c r="B236" s="217"/>
      <c r="C236" s="217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34"/>
      <c r="Q236" s="234"/>
      <c r="R236" s="234"/>
      <c r="S236" s="234"/>
      <c r="T236" s="234"/>
      <c r="U236" s="234"/>
      <c r="V236" s="234"/>
      <c r="W236" s="234"/>
      <c r="X236" s="234"/>
      <c r="Y236" s="234"/>
      <c r="Z236" s="234"/>
    </row>
    <row r="237" ht="12.0" customHeight="1" outlineLevel="1">
      <c r="A237" s="11" t="str">
        <f>A$205</f>
        <v/>
      </c>
      <c r="B237" s="217"/>
      <c r="C237" s="217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34"/>
      <c r="Q237" s="234"/>
      <c r="R237" s="234"/>
      <c r="S237" s="234"/>
      <c r="T237" s="234"/>
      <c r="U237" s="234"/>
      <c r="V237" s="234"/>
      <c r="W237" s="234"/>
      <c r="X237" s="234"/>
      <c r="Y237" s="234"/>
      <c r="Z237" s="234"/>
    </row>
    <row r="238" ht="12.0" customHeight="1" outlineLevel="1">
      <c r="A238" s="11" t="str">
        <f>A$206</f>
        <v/>
      </c>
      <c r="B238" s="217"/>
      <c r="C238" s="217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34"/>
      <c r="Q238" s="234"/>
      <c r="R238" s="234"/>
      <c r="S238" s="234"/>
      <c r="T238" s="234"/>
      <c r="U238" s="234"/>
      <c r="V238" s="234"/>
      <c r="W238" s="234"/>
      <c r="X238" s="234"/>
      <c r="Y238" s="234"/>
      <c r="Z238" s="234"/>
    </row>
    <row r="239" ht="12.0" customHeight="1" outlineLevel="1">
      <c r="A239" s="11" t="str">
        <f>A$207</f>
        <v/>
      </c>
      <c r="B239" s="217"/>
      <c r="C239" s="217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34"/>
      <c r="Q239" s="234"/>
      <c r="R239" s="234"/>
      <c r="S239" s="234"/>
      <c r="T239" s="234"/>
      <c r="U239" s="234"/>
      <c r="V239" s="234"/>
      <c r="W239" s="234"/>
      <c r="X239" s="234"/>
      <c r="Y239" s="234"/>
      <c r="Z239" s="234"/>
    </row>
    <row r="240" ht="12.0" customHeight="1" outlineLevel="1">
      <c r="A240" s="11" t="str">
        <f>A$208</f>
        <v/>
      </c>
      <c r="B240" s="217"/>
      <c r="C240" s="217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34"/>
      <c r="Q240" s="234"/>
      <c r="R240" s="234"/>
      <c r="S240" s="234"/>
      <c r="T240" s="234"/>
      <c r="U240" s="234"/>
      <c r="V240" s="234"/>
      <c r="W240" s="234"/>
      <c r="X240" s="234"/>
      <c r="Y240" s="234"/>
      <c r="Z240" s="234"/>
    </row>
    <row r="241" ht="12.0" customHeight="1" outlineLevel="1">
      <c r="A241" s="11" t="str">
        <f>A$209</f>
        <v/>
      </c>
      <c r="B241" s="217"/>
      <c r="C241" s="217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34"/>
      <c r="Q241" s="234"/>
      <c r="R241" s="234"/>
      <c r="S241" s="234"/>
      <c r="T241" s="234"/>
      <c r="U241" s="234"/>
      <c r="V241" s="234"/>
      <c r="W241" s="234"/>
      <c r="X241" s="234"/>
      <c r="Y241" s="234"/>
      <c r="Z241" s="234"/>
    </row>
    <row r="242" ht="12.0" customHeight="1" outlineLevel="1">
      <c r="A242" s="11" t="str">
        <f>A$210</f>
        <v/>
      </c>
      <c r="B242" s="217"/>
      <c r="C242" s="217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34"/>
      <c r="Q242" s="234"/>
      <c r="R242" s="234"/>
      <c r="S242" s="234"/>
      <c r="T242" s="234"/>
      <c r="U242" s="234"/>
      <c r="V242" s="234"/>
      <c r="W242" s="234"/>
      <c r="X242" s="234"/>
      <c r="Y242" s="234"/>
      <c r="Z242" s="234"/>
    </row>
    <row r="243" ht="12.0" customHeight="1" outlineLevel="1">
      <c r="A243" s="11" t="str">
        <f>A$211</f>
        <v/>
      </c>
      <c r="B243" s="217"/>
      <c r="C243" s="217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34"/>
      <c r="Q243" s="234"/>
      <c r="R243" s="234"/>
      <c r="S243" s="234"/>
      <c r="T243" s="234"/>
      <c r="U243" s="234"/>
      <c r="V243" s="234"/>
      <c r="W243" s="234"/>
      <c r="X243" s="234"/>
      <c r="Y243" s="234"/>
      <c r="Z243" s="234"/>
    </row>
    <row r="244" ht="12.0" customHeight="1" outlineLevel="1">
      <c r="A244" s="11" t="str">
        <f>A$212</f>
        <v/>
      </c>
      <c r="B244" s="217"/>
      <c r="C244" s="217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34"/>
      <c r="Q244" s="234"/>
      <c r="R244" s="234"/>
      <c r="S244" s="234"/>
      <c r="T244" s="234"/>
      <c r="U244" s="234"/>
      <c r="V244" s="234"/>
      <c r="W244" s="234"/>
      <c r="X244" s="234"/>
      <c r="Y244" s="234"/>
      <c r="Z244" s="234"/>
    </row>
    <row r="245" ht="12.0" customHeight="1" outlineLevel="1">
      <c r="A245" s="11" t="str">
        <f>A$213</f>
        <v/>
      </c>
      <c r="B245" s="217"/>
      <c r="C245" s="217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34"/>
      <c r="Q245" s="234"/>
      <c r="R245" s="234"/>
      <c r="S245" s="234"/>
      <c r="T245" s="234"/>
      <c r="U245" s="234"/>
      <c r="V245" s="234"/>
      <c r="W245" s="234"/>
      <c r="X245" s="234"/>
      <c r="Y245" s="234"/>
      <c r="Z245" s="234"/>
    </row>
    <row r="246" ht="12.0" customHeight="1" outlineLevel="1">
      <c r="A246" s="11" t="str">
        <f>A$214</f>
        <v/>
      </c>
      <c r="B246" s="217"/>
      <c r="C246" s="217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34"/>
      <c r="Q246" s="234"/>
      <c r="R246" s="234"/>
      <c r="S246" s="234"/>
      <c r="T246" s="234"/>
      <c r="U246" s="234"/>
      <c r="V246" s="234"/>
      <c r="W246" s="234"/>
      <c r="X246" s="234"/>
      <c r="Y246" s="234"/>
      <c r="Z246" s="234"/>
    </row>
    <row r="247" ht="12.0" customHeight="1" outlineLevel="1">
      <c r="A247" s="11" t="str">
        <f>A$215</f>
        <v/>
      </c>
      <c r="B247" s="217"/>
      <c r="C247" s="217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34"/>
      <c r="Q247" s="234"/>
      <c r="R247" s="234"/>
      <c r="S247" s="234"/>
      <c r="T247" s="234"/>
      <c r="U247" s="234"/>
      <c r="V247" s="234"/>
      <c r="W247" s="234"/>
      <c r="X247" s="234"/>
      <c r="Y247" s="234"/>
      <c r="Z247" s="234"/>
    </row>
    <row r="248" ht="12.0" customHeight="1" outlineLevel="1">
      <c r="A248" s="11" t="str">
        <f>A$216</f>
        <v/>
      </c>
      <c r="B248" s="217"/>
      <c r="C248" s="217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34"/>
      <c r="Q248" s="234"/>
      <c r="R248" s="234"/>
      <c r="S248" s="234"/>
      <c r="T248" s="234"/>
      <c r="U248" s="234"/>
      <c r="V248" s="234"/>
      <c r="W248" s="234"/>
      <c r="X248" s="234"/>
      <c r="Y248" s="234"/>
      <c r="Z248" s="234"/>
    </row>
    <row r="249" ht="24.75" customHeight="1">
      <c r="A249" s="90" t="s">
        <v>374</v>
      </c>
      <c r="B249" s="30"/>
      <c r="C249" s="240"/>
      <c r="D249" s="241"/>
      <c r="E249" s="241"/>
      <c r="F249" s="241"/>
      <c r="G249" s="241"/>
      <c r="H249" s="241"/>
      <c r="I249" s="241"/>
      <c r="J249" s="241"/>
      <c r="K249" s="241"/>
      <c r="L249" s="241"/>
      <c r="M249" s="241"/>
      <c r="N249" s="241"/>
      <c r="O249" s="241"/>
      <c r="P249" s="234"/>
      <c r="Q249" s="234"/>
      <c r="R249" s="234"/>
      <c r="S249" s="234"/>
      <c r="T249" s="234"/>
      <c r="U249" s="234"/>
      <c r="V249" s="234"/>
      <c r="W249" s="234"/>
      <c r="X249" s="234"/>
      <c r="Y249" s="234"/>
      <c r="Z249" s="234"/>
    </row>
    <row r="250" ht="12.0" customHeight="1" outlineLevel="1">
      <c r="A250" s="11" t="str">
        <f>A$192</f>
        <v/>
      </c>
      <c r="B250" s="217"/>
      <c r="C250" s="217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34"/>
      <c r="Q250" s="234"/>
      <c r="R250" s="234"/>
      <c r="S250" s="234"/>
      <c r="T250" s="234"/>
      <c r="U250" s="234"/>
      <c r="V250" s="234"/>
      <c r="W250" s="234"/>
      <c r="X250" s="234"/>
      <c r="Y250" s="234"/>
      <c r="Z250" s="234"/>
    </row>
    <row r="251" ht="12.0" customHeight="1" outlineLevel="1">
      <c r="A251" s="11" t="str">
        <f>A$193</f>
        <v/>
      </c>
      <c r="B251" s="217"/>
      <c r="C251" s="217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34"/>
      <c r="Q251" s="234"/>
      <c r="R251" s="234"/>
      <c r="S251" s="234"/>
      <c r="T251" s="234"/>
      <c r="U251" s="234"/>
      <c r="V251" s="234"/>
      <c r="W251" s="234"/>
      <c r="X251" s="234"/>
      <c r="Y251" s="234"/>
      <c r="Z251" s="234"/>
    </row>
    <row r="252" ht="12.0" customHeight="1" outlineLevel="1">
      <c r="A252" s="11" t="str">
        <f>A$194</f>
        <v/>
      </c>
      <c r="B252" s="217"/>
      <c r="C252" s="217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34"/>
      <c r="Q252" s="234"/>
      <c r="R252" s="234"/>
      <c r="S252" s="234"/>
      <c r="T252" s="234"/>
      <c r="U252" s="234"/>
      <c r="V252" s="234"/>
      <c r="W252" s="234"/>
      <c r="X252" s="234"/>
      <c r="Y252" s="234"/>
      <c r="Z252" s="234"/>
    </row>
    <row r="253" ht="12.0" customHeight="1" outlineLevel="1">
      <c r="A253" s="11" t="str">
        <f>A$195</f>
        <v/>
      </c>
      <c r="B253" s="217"/>
      <c r="C253" s="217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34"/>
      <c r="Q253" s="234"/>
      <c r="R253" s="234"/>
      <c r="S253" s="234"/>
      <c r="T253" s="234"/>
      <c r="U253" s="234"/>
      <c r="V253" s="234"/>
      <c r="W253" s="234"/>
      <c r="X253" s="234"/>
      <c r="Y253" s="234"/>
      <c r="Z253" s="234"/>
    </row>
    <row r="254" ht="12.0" customHeight="1" outlineLevel="1">
      <c r="A254" s="11" t="str">
        <f>A$196</f>
        <v/>
      </c>
      <c r="B254" s="217"/>
      <c r="C254" s="217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34"/>
      <c r="Q254" s="234"/>
      <c r="R254" s="234"/>
      <c r="S254" s="234"/>
      <c r="T254" s="234"/>
      <c r="U254" s="234"/>
      <c r="V254" s="234"/>
      <c r="W254" s="234"/>
      <c r="X254" s="234"/>
      <c r="Y254" s="234"/>
      <c r="Z254" s="234"/>
    </row>
    <row r="255" ht="12.0" customHeight="1" outlineLevel="1">
      <c r="A255" s="11" t="str">
        <f>A$197</f>
        <v/>
      </c>
      <c r="B255" s="217"/>
      <c r="C255" s="217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34"/>
      <c r="Q255" s="234"/>
      <c r="R255" s="234"/>
      <c r="S255" s="234"/>
      <c r="T255" s="234"/>
      <c r="U255" s="234"/>
      <c r="V255" s="234"/>
      <c r="W255" s="234"/>
      <c r="X255" s="234"/>
      <c r="Y255" s="234"/>
      <c r="Z255" s="234"/>
    </row>
    <row r="256" ht="12.0" customHeight="1" outlineLevel="1">
      <c r="A256" s="11" t="str">
        <f>A$198</f>
        <v/>
      </c>
      <c r="B256" s="217"/>
      <c r="C256" s="217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34"/>
      <c r="Q256" s="234"/>
      <c r="R256" s="234"/>
      <c r="S256" s="234"/>
      <c r="T256" s="234"/>
      <c r="U256" s="234"/>
      <c r="V256" s="234"/>
      <c r="W256" s="234"/>
      <c r="X256" s="234"/>
      <c r="Y256" s="234"/>
      <c r="Z256" s="234"/>
    </row>
    <row r="257" ht="12.0" customHeight="1" outlineLevel="1">
      <c r="A257" s="11" t="str">
        <f>A$199</f>
        <v/>
      </c>
      <c r="B257" s="217"/>
      <c r="C257" s="217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34"/>
      <c r="Q257" s="234"/>
      <c r="R257" s="234"/>
      <c r="S257" s="234"/>
      <c r="T257" s="234"/>
      <c r="U257" s="234"/>
      <c r="V257" s="234"/>
      <c r="W257" s="234"/>
      <c r="X257" s="234"/>
      <c r="Y257" s="234"/>
      <c r="Z257" s="234"/>
    </row>
    <row r="258" ht="12.0" customHeight="1" outlineLevel="1">
      <c r="A258" s="11" t="str">
        <f>A$200</f>
        <v/>
      </c>
      <c r="B258" s="217"/>
      <c r="C258" s="217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34"/>
      <c r="Q258" s="234"/>
      <c r="R258" s="234"/>
      <c r="S258" s="234"/>
      <c r="T258" s="234"/>
      <c r="U258" s="234"/>
      <c r="V258" s="234"/>
      <c r="W258" s="234"/>
      <c r="X258" s="234"/>
      <c r="Y258" s="234"/>
      <c r="Z258" s="234"/>
    </row>
    <row r="259" ht="12.0" customHeight="1" outlineLevel="1">
      <c r="A259" s="11" t="str">
        <f>A$201</f>
        <v/>
      </c>
      <c r="B259" s="217"/>
      <c r="C259" s="217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34"/>
      <c r="Q259" s="234"/>
      <c r="R259" s="234"/>
      <c r="S259" s="234"/>
      <c r="T259" s="234"/>
      <c r="U259" s="234"/>
      <c r="V259" s="234"/>
      <c r="W259" s="234"/>
      <c r="X259" s="234"/>
      <c r="Y259" s="234"/>
      <c r="Z259" s="234"/>
    </row>
    <row r="260" ht="12.0" customHeight="1" outlineLevel="1">
      <c r="A260" s="11" t="str">
        <f t="shared" ref="A260:A261" si="198">A$202</f>
        <v/>
      </c>
      <c r="B260" s="217"/>
      <c r="C260" s="217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34"/>
      <c r="Q260" s="234"/>
      <c r="R260" s="234"/>
      <c r="S260" s="234"/>
      <c r="T260" s="234"/>
      <c r="U260" s="234"/>
      <c r="V260" s="234"/>
      <c r="W260" s="234"/>
      <c r="X260" s="234"/>
      <c r="Y260" s="234"/>
      <c r="Z260" s="234"/>
    </row>
    <row r="261" ht="12.0" customHeight="1" outlineLevel="1">
      <c r="A261" s="11" t="str">
        <f t="shared" si="198"/>
        <v/>
      </c>
      <c r="B261" s="217"/>
      <c r="C261" s="217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34"/>
      <c r="Q261" s="234"/>
      <c r="R261" s="234"/>
      <c r="S261" s="234"/>
      <c r="T261" s="234"/>
      <c r="U261" s="234"/>
      <c r="V261" s="234"/>
      <c r="W261" s="234"/>
      <c r="X261" s="234"/>
      <c r="Y261" s="234"/>
      <c r="Z261" s="234"/>
    </row>
    <row r="262" ht="12.0" customHeight="1" outlineLevel="1">
      <c r="A262" s="11" t="str">
        <f>A$204</f>
        <v/>
      </c>
      <c r="B262" s="217"/>
      <c r="C262" s="217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34"/>
      <c r="Q262" s="234"/>
      <c r="R262" s="234"/>
      <c r="S262" s="234"/>
      <c r="T262" s="234"/>
      <c r="U262" s="234"/>
      <c r="V262" s="234"/>
      <c r="W262" s="234"/>
      <c r="X262" s="234"/>
      <c r="Y262" s="234"/>
      <c r="Z262" s="234"/>
    </row>
    <row r="263" ht="12.0" customHeight="1" outlineLevel="1">
      <c r="A263" s="11" t="str">
        <f>A$205</f>
        <v/>
      </c>
      <c r="B263" s="217"/>
      <c r="C263" s="217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34"/>
      <c r="Q263" s="234"/>
      <c r="R263" s="234"/>
      <c r="S263" s="234"/>
      <c r="T263" s="234"/>
      <c r="U263" s="234"/>
      <c r="V263" s="234"/>
      <c r="W263" s="234"/>
      <c r="X263" s="234"/>
      <c r="Y263" s="234"/>
      <c r="Z263" s="234"/>
    </row>
    <row r="264" ht="12.0" customHeight="1" outlineLevel="1">
      <c r="A264" s="11" t="str">
        <f>A$206</f>
        <v/>
      </c>
      <c r="B264" s="217"/>
      <c r="C264" s="217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34"/>
      <c r="Q264" s="234"/>
      <c r="R264" s="234"/>
      <c r="S264" s="234"/>
      <c r="T264" s="234"/>
      <c r="U264" s="234"/>
      <c r="V264" s="234"/>
      <c r="W264" s="234"/>
      <c r="X264" s="234"/>
      <c r="Y264" s="234"/>
      <c r="Z264" s="234"/>
    </row>
    <row r="265" ht="12.0" customHeight="1" outlineLevel="1">
      <c r="A265" s="11" t="str">
        <f>A$207</f>
        <v/>
      </c>
      <c r="B265" s="217"/>
      <c r="C265" s="217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34"/>
      <c r="Q265" s="234"/>
      <c r="R265" s="234"/>
      <c r="S265" s="234"/>
      <c r="T265" s="234"/>
      <c r="U265" s="234"/>
      <c r="V265" s="234"/>
      <c r="W265" s="234"/>
      <c r="X265" s="234"/>
      <c r="Y265" s="234"/>
      <c r="Z265" s="234"/>
    </row>
    <row r="266" ht="12.0" customHeight="1" outlineLevel="1">
      <c r="A266" s="11" t="str">
        <f>A$208</f>
        <v/>
      </c>
      <c r="B266" s="217"/>
      <c r="C266" s="217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34"/>
      <c r="Q266" s="234"/>
      <c r="R266" s="234"/>
      <c r="S266" s="234"/>
      <c r="T266" s="234"/>
      <c r="U266" s="234"/>
      <c r="V266" s="234"/>
      <c r="W266" s="234"/>
      <c r="X266" s="234"/>
      <c r="Y266" s="234"/>
      <c r="Z266" s="234"/>
    </row>
    <row r="267" ht="12.0" customHeight="1" outlineLevel="1">
      <c r="A267" s="11" t="str">
        <f>A$209</f>
        <v/>
      </c>
      <c r="B267" s="217"/>
      <c r="C267" s="217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34"/>
      <c r="Q267" s="234"/>
      <c r="R267" s="234"/>
      <c r="S267" s="234"/>
      <c r="T267" s="234"/>
      <c r="U267" s="234"/>
      <c r="V267" s="234"/>
      <c r="W267" s="234"/>
      <c r="X267" s="234"/>
      <c r="Y267" s="234"/>
      <c r="Z267" s="234"/>
    </row>
    <row r="268" ht="12.0" customHeight="1" outlineLevel="1">
      <c r="A268" s="11" t="str">
        <f>A$210</f>
        <v/>
      </c>
      <c r="B268" s="217"/>
      <c r="C268" s="217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34"/>
      <c r="Q268" s="234"/>
      <c r="R268" s="234"/>
      <c r="S268" s="234"/>
      <c r="T268" s="234"/>
      <c r="U268" s="234"/>
      <c r="V268" s="234"/>
      <c r="W268" s="234"/>
      <c r="X268" s="234"/>
      <c r="Y268" s="234"/>
      <c r="Z268" s="234"/>
    </row>
    <row r="269" ht="12.0" customHeight="1" outlineLevel="1">
      <c r="A269" s="11" t="str">
        <f>A$211</f>
        <v/>
      </c>
      <c r="B269" s="217"/>
      <c r="C269" s="217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34"/>
      <c r="Q269" s="234"/>
      <c r="R269" s="234"/>
      <c r="S269" s="234"/>
      <c r="T269" s="234"/>
      <c r="U269" s="234"/>
      <c r="V269" s="234"/>
      <c r="W269" s="234"/>
      <c r="X269" s="234"/>
      <c r="Y269" s="234"/>
      <c r="Z269" s="234"/>
    </row>
    <row r="270" ht="12.0" customHeight="1" outlineLevel="1">
      <c r="A270" s="11" t="str">
        <f>A$212</f>
        <v/>
      </c>
      <c r="B270" s="217"/>
      <c r="C270" s="217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34"/>
      <c r="Q270" s="234"/>
      <c r="R270" s="234"/>
      <c r="S270" s="234"/>
      <c r="T270" s="234"/>
      <c r="U270" s="234"/>
      <c r="V270" s="234"/>
      <c r="W270" s="234"/>
      <c r="X270" s="234"/>
      <c r="Y270" s="234"/>
      <c r="Z270" s="234"/>
    </row>
    <row r="271" ht="12.0" customHeight="1" outlineLevel="1">
      <c r="A271" s="11" t="str">
        <f>A$213</f>
        <v/>
      </c>
      <c r="B271" s="217"/>
      <c r="C271" s="217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34"/>
      <c r="Q271" s="234"/>
      <c r="R271" s="234"/>
      <c r="S271" s="234"/>
      <c r="T271" s="234"/>
      <c r="U271" s="234"/>
      <c r="V271" s="234"/>
      <c r="W271" s="234"/>
      <c r="X271" s="234"/>
      <c r="Y271" s="234"/>
      <c r="Z271" s="234"/>
    </row>
    <row r="272" ht="12.0" customHeight="1" outlineLevel="1">
      <c r="A272" s="11" t="str">
        <f>A$214</f>
        <v/>
      </c>
      <c r="B272" s="217"/>
      <c r="C272" s="217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34"/>
      <c r="Q272" s="234"/>
      <c r="R272" s="234"/>
      <c r="S272" s="234"/>
      <c r="T272" s="234"/>
      <c r="U272" s="234"/>
      <c r="V272" s="234"/>
      <c r="W272" s="234"/>
      <c r="X272" s="234"/>
      <c r="Y272" s="234"/>
      <c r="Z272" s="234"/>
    </row>
    <row r="273" ht="12.0" customHeight="1" outlineLevel="1">
      <c r="A273" s="11" t="str">
        <f>A$215</f>
        <v/>
      </c>
      <c r="B273" s="217"/>
      <c r="C273" s="217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34"/>
      <c r="Q273" s="234"/>
      <c r="R273" s="234"/>
      <c r="S273" s="234"/>
      <c r="T273" s="234"/>
      <c r="U273" s="234"/>
      <c r="V273" s="234"/>
      <c r="W273" s="234"/>
      <c r="X273" s="234"/>
      <c r="Y273" s="234"/>
      <c r="Z273" s="234"/>
    </row>
    <row r="274" ht="12.0" customHeight="1" outlineLevel="1">
      <c r="A274" s="11" t="str">
        <f>A$216</f>
        <v/>
      </c>
      <c r="B274" s="217"/>
      <c r="C274" s="217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34"/>
      <c r="Q274" s="234"/>
      <c r="R274" s="234"/>
      <c r="S274" s="234"/>
      <c r="T274" s="234"/>
      <c r="U274" s="234"/>
      <c r="V274" s="234"/>
      <c r="W274" s="234"/>
      <c r="X274" s="234"/>
      <c r="Y274" s="234"/>
      <c r="Z274" s="234"/>
    </row>
    <row r="275" ht="12.0" customHeight="1">
      <c r="A275" s="90" t="s">
        <v>374</v>
      </c>
      <c r="B275" s="30"/>
      <c r="C275" s="240"/>
      <c r="D275" s="241"/>
      <c r="E275" s="241"/>
      <c r="F275" s="241"/>
      <c r="G275" s="241"/>
      <c r="H275" s="241"/>
      <c r="I275" s="241"/>
      <c r="J275" s="241"/>
      <c r="K275" s="241"/>
      <c r="L275" s="241"/>
      <c r="M275" s="241"/>
      <c r="N275" s="241"/>
      <c r="O275" s="241"/>
      <c r="P275" s="234"/>
      <c r="Q275" s="234"/>
      <c r="R275" s="234"/>
      <c r="S275" s="234"/>
      <c r="T275" s="234"/>
      <c r="U275" s="234"/>
      <c r="V275" s="234"/>
      <c r="W275" s="234"/>
      <c r="X275" s="234"/>
      <c r="Y275" s="234"/>
      <c r="Z275" s="234"/>
    </row>
    <row r="276" ht="12.0" customHeight="1" outlineLevel="1">
      <c r="A276" s="11" t="str">
        <f>A$192</f>
        <v/>
      </c>
      <c r="B276" s="217"/>
      <c r="C276" s="217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34"/>
      <c r="Q276" s="234"/>
      <c r="R276" s="234"/>
      <c r="S276" s="234"/>
      <c r="T276" s="234"/>
      <c r="U276" s="234"/>
      <c r="V276" s="234"/>
      <c r="W276" s="234"/>
      <c r="X276" s="234"/>
      <c r="Y276" s="234"/>
      <c r="Z276" s="234"/>
    </row>
    <row r="277" ht="12.0" customHeight="1" outlineLevel="1">
      <c r="A277" s="11" t="str">
        <f>A$193</f>
        <v/>
      </c>
      <c r="B277" s="217"/>
      <c r="C277" s="217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34"/>
      <c r="Q277" s="234"/>
      <c r="R277" s="234"/>
      <c r="S277" s="234"/>
      <c r="T277" s="234"/>
      <c r="U277" s="234"/>
      <c r="V277" s="234"/>
      <c r="W277" s="234"/>
      <c r="X277" s="234"/>
      <c r="Y277" s="234"/>
      <c r="Z277" s="234"/>
    </row>
    <row r="278" ht="12.0" customHeight="1" outlineLevel="1">
      <c r="A278" s="11" t="str">
        <f>A$194</f>
        <v/>
      </c>
      <c r="B278" s="217"/>
      <c r="C278" s="217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34"/>
      <c r="Q278" s="234"/>
      <c r="R278" s="234"/>
      <c r="S278" s="234"/>
      <c r="T278" s="234"/>
      <c r="U278" s="234"/>
      <c r="V278" s="234"/>
      <c r="W278" s="234"/>
      <c r="X278" s="234"/>
      <c r="Y278" s="234"/>
      <c r="Z278" s="234"/>
    </row>
    <row r="279" ht="12.0" customHeight="1" outlineLevel="1">
      <c r="A279" s="11" t="str">
        <f>A$195</f>
        <v/>
      </c>
      <c r="B279" s="217"/>
      <c r="C279" s="217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34"/>
      <c r="Q279" s="234"/>
      <c r="R279" s="234"/>
      <c r="S279" s="234"/>
      <c r="T279" s="234"/>
      <c r="U279" s="234"/>
      <c r="V279" s="234"/>
      <c r="W279" s="234"/>
      <c r="X279" s="234"/>
      <c r="Y279" s="234"/>
      <c r="Z279" s="234"/>
    </row>
    <row r="280" ht="12.0" customHeight="1" outlineLevel="1">
      <c r="A280" s="11" t="str">
        <f>A$196</f>
        <v/>
      </c>
      <c r="B280" s="217"/>
      <c r="C280" s="217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34"/>
      <c r="Q280" s="234"/>
      <c r="R280" s="234"/>
      <c r="S280" s="234"/>
      <c r="T280" s="234"/>
      <c r="U280" s="234"/>
      <c r="V280" s="234"/>
      <c r="W280" s="234"/>
      <c r="X280" s="234"/>
      <c r="Y280" s="234"/>
      <c r="Z280" s="234"/>
    </row>
    <row r="281" ht="12.0" customHeight="1" outlineLevel="1">
      <c r="A281" s="11" t="str">
        <f>A$197</f>
        <v/>
      </c>
      <c r="B281" s="217"/>
      <c r="C281" s="217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34"/>
      <c r="Q281" s="234"/>
      <c r="R281" s="234"/>
      <c r="S281" s="234"/>
      <c r="T281" s="234"/>
      <c r="U281" s="234"/>
      <c r="V281" s="234"/>
      <c r="W281" s="234"/>
      <c r="X281" s="234"/>
      <c r="Y281" s="234"/>
      <c r="Z281" s="234"/>
    </row>
    <row r="282" ht="12.0" customHeight="1" outlineLevel="1">
      <c r="A282" s="11" t="str">
        <f>A$198</f>
        <v/>
      </c>
      <c r="B282" s="217"/>
      <c r="C282" s="217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34"/>
      <c r="Q282" s="234"/>
      <c r="R282" s="234"/>
      <c r="S282" s="234"/>
      <c r="T282" s="234"/>
      <c r="U282" s="234"/>
      <c r="V282" s="234"/>
      <c r="W282" s="234"/>
      <c r="X282" s="234"/>
      <c r="Y282" s="234"/>
      <c r="Z282" s="234"/>
    </row>
    <row r="283" ht="12.0" customHeight="1" outlineLevel="1">
      <c r="A283" s="11" t="str">
        <f>A$199</f>
        <v/>
      </c>
      <c r="B283" s="217"/>
      <c r="C283" s="217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34"/>
      <c r="Q283" s="234"/>
      <c r="R283" s="234"/>
      <c r="S283" s="234"/>
      <c r="T283" s="234"/>
      <c r="U283" s="234"/>
      <c r="V283" s="234"/>
      <c r="W283" s="234"/>
      <c r="X283" s="234"/>
      <c r="Y283" s="234"/>
      <c r="Z283" s="234"/>
    </row>
    <row r="284" ht="12.0" customHeight="1" outlineLevel="1">
      <c r="A284" s="11" t="str">
        <f>A$200</f>
        <v/>
      </c>
      <c r="B284" s="217"/>
      <c r="C284" s="217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34"/>
      <c r="Q284" s="234"/>
      <c r="R284" s="234"/>
      <c r="S284" s="234"/>
      <c r="T284" s="234"/>
      <c r="U284" s="234"/>
      <c r="V284" s="234"/>
      <c r="W284" s="234"/>
      <c r="X284" s="234"/>
      <c r="Y284" s="234"/>
      <c r="Z284" s="234"/>
    </row>
    <row r="285" ht="12.0" customHeight="1" outlineLevel="1">
      <c r="A285" s="11" t="str">
        <f t="shared" ref="A285:A287" si="199">A$201</f>
        <v/>
      </c>
      <c r="B285" s="217"/>
      <c r="C285" s="217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34"/>
      <c r="Q285" s="234"/>
      <c r="R285" s="234"/>
      <c r="S285" s="234"/>
      <c r="T285" s="234"/>
      <c r="U285" s="234"/>
      <c r="V285" s="234"/>
      <c r="W285" s="234"/>
      <c r="X285" s="234"/>
      <c r="Y285" s="234"/>
      <c r="Z285" s="234"/>
    </row>
    <row r="286" ht="12.0" customHeight="1" outlineLevel="1">
      <c r="A286" s="11" t="str">
        <f t="shared" si="199"/>
        <v/>
      </c>
      <c r="B286" s="217"/>
      <c r="C286" s="217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34"/>
      <c r="Q286" s="234"/>
      <c r="R286" s="234"/>
      <c r="S286" s="234"/>
      <c r="T286" s="234"/>
      <c r="U286" s="234"/>
      <c r="V286" s="234"/>
      <c r="W286" s="234"/>
      <c r="X286" s="234"/>
      <c r="Y286" s="234"/>
      <c r="Z286" s="234"/>
    </row>
    <row r="287" ht="12.0" customHeight="1" outlineLevel="1">
      <c r="A287" s="11" t="str">
        <f t="shared" si="199"/>
        <v/>
      </c>
      <c r="B287" s="217"/>
      <c r="C287" s="217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34"/>
      <c r="Q287" s="234"/>
      <c r="R287" s="234"/>
      <c r="S287" s="234"/>
      <c r="T287" s="234"/>
      <c r="U287" s="234"/>
      <c r="V287" s="234"/>
      <c r="W287" s="234"/>
      <c r="X287" s="234"/>
      <c r="Y287" s="234"/>
      <c r="Z287" s="234"/>
    </row>
    <row r="288" ht="12.0" customHeight="1" outlineLevel="1">
      <c r="A288" s="11" t="str">
        <f>A$204</f>
        <v/>
      </c>
      <c r="B288" s="217"/>
      <c r="C288" s="217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34"/>
      <c r="Q288" s="234"/>
      <c r="R288" s="234"/>
      <c r="S288" s="234"/>
      <c r="T288" s="234"/>
      <c r="U288" s="234"/>
      <c r="V288" s="234"/>
      <c r="W288" s="234"/>
      <c r="X288" s="234"/>
      <c r="Y288" s="234"/>
      <c r="Z288" s="234"/>
    </row>
    <row r="289" ht="12.0" customHeight="1" outlineLevel="1">
      <c r="A289" s="11" t="str">
        <f>A$205</f>
        <v/>
      </c>
      <c r="B289" s="217"/>
      <c r="C289" s="217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34"/>
      <c r="Q289" s="234"/>
      <c r="R289" s="234"/>
      <c r="S289" s="234"/>
      <c r="T289" s="234"/>
      <c r="U289" s="234"/>
      <c r="V289" s="234"/>
      <c r="W289" s="234"/>
      <c r="X289" s="234"/>
      <c r="Y289" s="234"/>
      <c r="Z289" s="234"/>
    </row>
    <row r="290" ht="12.0" customHeight="1" outlineLevel="1">
      <c r="A290" s="11" t="str">
        <f>A$206</f>
        <v/>
      </c>
      <c r="B290" s="217"/>
      <c r="C290" s="217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34"/>
      <c r="Q290" s="234"/>
      <c r="R290" s="234"/>
      <c r="S290" s="234"/>
      <c r="T290" s="234"/>
      <c r="U290" s="234"/>
      <c r="V290" s="234"/>
      <c r="W290" s="234"/>
      <c r="X290" s="234"/>
      <c r="Y290" s="234"/>
      <c r="Z290" s="234"/>
    </row>
    <row r="291" ht="12.0" customHeight="1" outlineLevel="1">
      <c r="A291" s="11" t="str">
        <f>A$207</f>
        <v/>
      </c>
      <c r="B291" s="217"/>
      <c r="C291" s="217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34"/>
      <c r="Q291" s="234"/>
      <c r="R291" s="234"/>
      <c r="S291" s="234"/>
      <c r="T291" s="234"/>
      <c r="U291" s="234"/>
      <c r="V291" s="234"/>
      <c r="W291" s="234"/>
      <c r="X291" s="234"/>
      <c r="Y291" s="234"/>
      <c r="Z291" s="234"/>
    </row>
    <row r="292" ht="12.0" customHeight="1" outlineLevel="1">
      <c r="A292" s="11" t="str">
        <f>A$208</f>
        <v/>
      </c>
      <c r="B292" s="217"/>
      <c r="C292" s="217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34"/>
      <c r="Q292" s="234"/>
      <c r="R292" s="234"/>
      <c r="S292" s="234"/>
      <c r="T292" s="234"/>
      <c r="U292" s="234"/>
      <c r="V292" s="234"/>
      <c r="W292" s="234"/>
      <c r="X292" s="234"/>
      <c r="Y292" s="234"/>
      <c r="Z292" s="234"/>
    </row>
    <row r="293" ht="12.0" customHeight="1" outlineLevel="1">
      <c r="A293" s="11" t="str">
        <f>A$209</f>
        <v/>
      </c>
      <c r="B293" s="217"/>
      <c r="C293" s="217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34"/>
      <c r="Q293" s="234"/>
      <c r="R293" s="234"/>
      <c r="S293" s="234"/>
      <c r="T293" s="234"/>
      <c r="U293" s="234"/>
      <c r="V293" s="234"/>
      <c r="W293" s="234"/>
      <c r="X293" s="234"/>
      <c r="Y293" s="234"/>
      <c r="Z293" s="234"/>
    </row>
    <row r="294" ht="12.0" customHeight="1" outlineLevel="1">
      <c r="A294" s="11" t="str">
        <f>A$210</f>
        <v/>
      </c>
      <c r="B294" s="217"/>
      <c r="C294" s="217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34"/>
      <c r="Q294" s="234"/>
      <c r="R294" s="234"/>
      <c r="S294" s="234"/>
      <c r="T294" s="234"/>
      <c r="U294" s="234"/>
      <c r="V294" s="234"/>
      <c r="W294" s="234"/>
      <c r="X294" s="234"/>
      <c r="Y294" s="234"/>
      <c r="Z294" s="234"/>
    </row>
    <row r="295" ht="12.0" customHeight="1" outlineLevel="1">
      <c r="A295" s="11" t="str">
        <f>A$211</f>
        <v/>
      </c>
      <c r="B295" s="217"/>
      <c r="C295" s="217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34"/>
      <c r="Q295" s="234"/>
      <c r="R295" s="234"/>
      <c r="S295" s="234"/>
      <c r="T295" s="234"/>
      <c r="U295" s="234"/>
      <c r="V295" s="234"/>
      <c r="W295" s="234"/>
      <c r="X295" s="234"/>
      <c r="Y295" s="234"/>
      <c r="Z295" s="234"/>
    </row>
    <row r="296" ht="12.0" customHeight="1" outlineLevel="1">
      <c r="A296" s="11" t="str">
        <f>A$212</f>
        <v/>
      </c>
      <c r="B296" s="217"/>
      <c r="C296" s="217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34"/>
      <c r="Q296" s="234"/>
      <c r="R296" s="234"/>
      <c r="S296" s="234"/>
      <c r="T296" s="234"/>
      <c r="U296" s="234"/>
      <c r="V296" s="234"/>
      <c r="W296" s="234"/>
      <c r="X296" s="234"/>
      <c r="Y296" s="234"/>
      <c r="Z296" s="234"/>
    </row>
    <row r="297" ht="12.0" customHeight="1" outlineLevel="1">
      <c r="A297" s="11" t="str">
        <f>A$213</f>
        <v/>
      </c>
      <c r="B297" s="217"/>
      <c r="C297" s="217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34"/>
      <c r="Q297" s="234"/>
      <c r="R297" s="234"/>
      <c r="S297" s="234"/>
      <c r="T297" s="234"/>
      <c r="U297" s="234"/>
      <c r="V297" s="234"/>
      <c r="W297" s="234"/>
      <c r="X297" s="234"/>
      <c r="Y297" s="234"/>
      <c r="Z297" s="234"/>
    </row>
    <row r="298" ht="12.0" customHeight="1" outlineLevel="1">
      <c r="A298" s="11" t="str">
        <f>A$214</f>
        <v/>
      </c>
      <c r="B298" s="217"/>
      <c r="C298" s="217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34"/>
      <c r="Q298" s="234"/>
      <c r="R298" s="234"/>
      <c r="S298" s="234"/>
      <c r="T298" s="234"/>
      <c r="U298" s="234"/>
      <c r="V298" s="234"/>
      <c r="W298" s="234"/>
      <c r="X298" s="234"/>
      <c r="Y298" s="234"/>
      <c r="Z298" s="234"/>
    </row>
    <row r="299" ht="12.0" customHeight="1" outlineLevel="1">
      <c r="A299" s="11" t="str">
        <f>A$215</f>
        <v/>
      </c>
      <c r="B299" s="217"/>
      <c r="C299" s="217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34"/>
      <c r="Q299" s="234"/>
      <c r="R299" s="234"/>
      <c r="S299" s="234"/>
      <c r="T299" s="234"/>
      <c r="U299" s="234"/>
      <c r="V299" s="234"/>
      <c r="W299" s="234"/>
      <c r="X299" s="234"/>
      <c r="Y299" s="234"/>
      <c r="Z299" s="234"/>
    </row>
    <row r="300" ht="12.0" customHeight="1" outlineLevel="1">
      <c r="A300" s="11" t="str">
        <f>A$216</f>
        <v/>
      </c>
      <c r="B300" s="217"/>
      <c r="C300" s="217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34"/>
      <c r="Q300" s="234"/>
      <c r="R300" s="234"/>
      <c r="S300" s="234"/>
      <c r="T300" s="234"/>
      <c r="U300" s="234"/>
      <c r="V300" s="234"/>
      <c r="W300" s="234"/>
      <c r="X300" s="234"/>
      <c r="Y300" s="234"/>
      <c r="Z300" s="234"/>
    </row>
    <row r="301" ht="12.0" customHeight="1">
      <c r="A301" s="90" t="s">
        <v>374</v>
      </c>
      <c r="B301" s="30"/>
      <c r="C301" s="240"/>
      <c r="D301" s="241"/>
      <c r="E301" s="241"/>
      <c r="F301" s="241"/>
      <c r="G301" s="241"/>
      <c r="H301" s="241"/>
      <c r="I301" s="241"/>
      <c r="J301" s="241"/>
      <c r="K301" s="241"/>
      <c r="L301" s="241"/>
      <c r="M301" s="241"/>
      <c r="N301" s="241"/>
      <c r="O301" s="241"/>
      <c r="P301" s="234"/>
      <c r="Q301" s="234"/>
      <c r="R301" s="234"/>
      <c r="S301" s="234"/>
      <c r="T301" s="234"/>
      <c r="U301" s="234"/>
      <c r="V301" s="234"/>
      <c r="W301" s="234"/>
      <c r="X301" s="234"/>
      <c r="Y301" s="234"/>
      <c r="Z301" s="234"/>
    </row>
    <row r="302" ht="12.0" customHeight="1" outlineLevel="1">
      <c r="A302" s="11" t="str">
        <f>A$192</f>
        <v/>
      </c>
      <c r="B302" s="217"/>
      <c r="C302" s="217"/>
      <c r="D302" s="217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34"/>
      <c r="Q302" s="234"/>
      <c r="R302" s="234"/>
      <c r="S302" s="234"/>
      <c r="T302" s="234"/>
      <c r="U302" s="234"/>
      <c r="V302" s="234"/>
      <c r="W302" s="234"/>
      <c r="X302" s="234"/>
      <c r="Y302" s="234"/>
      <c r="Z302" s="234"/>
    </row>
    <row r="303" ht="12.0" customHeight="1" outlineLevel="1">
      <c r="A303" s="11" t="str">
        <f>A$193</f>
        <v/>
      </c>
      <c r="B303" s="217"/>
      <c r="C303" s="217"/>
      <c r="D303" s="217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34"/>
      <c r="Q303" s="234"/>
      <c r="R303" s="234"/>
      <c r="S303" s="234"/>
      <c r="T303" s="234"/>
      <c r="U303" s="234"/>
      <c r="V303" s="234"/>
      <c r="W303" s="234"/>
      <c r="X303" s="234"/>
      <c r="Y303" s="234"/>
      <c r="Z303" s="234"/>
    </row>
    <row r="304" ht="12.0" customHeight="1" outlineLevel="1">
      <c r="A304" s="11" t="str">
        <f>A$194</f>
        <v/>
      </c>
      <c r="B304" s="217"/>
      <c r="C304" s="217"/>
      <c r="D304" s="217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34"/>
      <c r="Q304" s="234"/>
      <c r="R304" s="234"/>
      <c r="S304" s="234"/>
      <c r="T304" s="234"/>
      <c r="U304" s="234"/>
      <c r="V304" s="234"/>
      <c r="W304" s="234"/>
      <c r="X304" s="234"/>
      <c r="Y304" s="234"/>
      <c r="Z304" s="234"/>
    </row>
    <row r="305" ht="12.0" customHeight="1" outlineLevel="1">
      <c r="A305" s="11" t="str">
        <f>A$195</f>
        <v/>
      </c>
      <c r="B305" s="217"/>
      <c r="C305" s="217"/>
      <c r="D305" s="217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34"/>
      <c r="Q305" s="234"/>
      <c r="R305" s="234"/>
      <c r="S305" s="234"/>
      <c r="T305" s="234"/>
      <c r="U305" s="234"/>
      <c r="V305" s="234"/>
      <c r="W305" s="234"/>
      <c r="X305" s="234"/>
      <c r="Y305" s="234"/>
      <c r="Z305" s="234"/>
    </row>
    <row r="306" ht="12.0" customHeight="1" outlineLevel="1">
      <c r="A306" s="11" t="str">
        <f t="shared" ref="A306:A313" si="200">A$196</f>
        <v/>
      </c>
      <c r="B306" s="217"/>
      <c r="C306" s="217"/>
      <c r="D306" s="217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34"/>
      <c r="Q306" s="234"/>
      <c r="R306" s="234"/>
      <c r="S306" s="234"/>
      <c r="T306" s="234"/>
      <c r="U306" s="234"/>
      <c r="V306" s="234"/>
      <c r="W306" s="234"/>
      <c r="X306" s="234"/>
      <c r="Y306" s="234"/>
      <c r="Z306" s="234"/>
    </row>
    <row r="307" ht="12.0" customHeight="1" outlineLevel="1">
      <c r="A307" s="11" t="str">
        <f t="shared" si="200"/>
        <v/>
      </c>
      <c r="B307" s="217"/>
      <c r="C307" s="217"/>
      <c r="D307" s="217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34"/>
      <c r="Q307" s="234"/>
      <c r="R307" s="234"/>
      <c r="S307" s="234"/>
      <c r="T307" s="234"/>
      <c r="U307" s="234"/>
      <c r="V307" s="234"/>
      <c r="W307" s="234"/>
      <c r="X307" s="234"/>
      <c r="Y307" s="234"/>
      <c r="Z307" s="234"/>
    </row>
    <row r="308" ht="12.0" customHeight="1" outlineLevel="1">
      <c r="A308" s="11" t="str">
        <f t="shared" si="200"/>
        <v/>
      </c>
      <c r="B308" s="217"/>
      <c r="C308" s="217"/>
      <c r="D308" s="217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34"/>
      <c r="Q308" s="234"/>
      <c r="R308" s="234"/>
      <c r="S308" s="234"/>
      <c r="T308" s="234"/>
      <c r="U308" s="234"/>
      <c r="V308" s="234"/>
      <c r="W308" s="234"/>
      <c r="X308" s="234"/>
      <c r="Y308" s="234"/>
      <c r="Z308" s="234"/>
    </row>
    <row r="309" ht="12.0" customHeight="1" outlineLevel="1">
      <c r="A309" s="11" t="str">
        <f t="shared" si="200"/>
        <v/>
      </c>
      <c r="B309" s="217"/>
      <c r="C309" s="217"/>
      <c r="D309" s="217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34"/>
      <c r="Q309" s="234"/>
      <c r="R309" s="234"/>
      <c r="S309" s="234"/>
      <c r="T309" s="234"/>
      <c r="U309" s="234"/>
      <c r="V309" s="234"/>
      <c r="W309" s="234"/>
      <c r="X309" s="234"/>
      <c r="Y309" s="234"/>
      <c r="Z309" s="234"/>
    </row>
    <row r="310" ht="12.0" customHeight="1" outlineLevel="1">
      <c r="A310" s="11" t="str">
        <f t="shared" si="200"/>
        <v/>
      </c>
      <c r="B310" s="217"/>
      <c r="C310" s="217"/>
      <c r="D310" s="217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34"/>
      <c r="Q310" s="234"/>
      <c r="R310" s="234"/>
      <c r="S310" s="234"/>
      <c r="T310" s="234"/>
      <c r="U310" s="234"/>
      <c r="V310" s="234"/>
      <c r="W310" s="234"/>
      <c r="X310" s="234"/>
      <c r="Y310" s="234"/>
      <c r="Z310" s="234"/>
    </row>
    <row r="311" ht="12.0" customHeight="1" outlineLevel="1">
      <c r="A311" s="11" t="str">
        <f t="shared" si="200"/>
        <v/>
      </c>
      <c r="B311" s="217"/>
      <c r="C311" s="217"/>
      <c r="D311" s="217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34"/>
      <c r="Q311" s="234"/>
      <c r="R311" s="234"/>
      <c r="S311" s="234"/>
      <c r="T311" s="234"/>
      <c r="U311" s="234"/>
      <c r="V311" s="234"/>
      <c r="W311" s="234"/>
      <c r="X311" s="234"/>
      <c r="Y311" s="234"/>
      <c r="Z311" s="234"/>
    </row>
    <row r="312" ht="12.0" customHeight="1" outlineLevel="1">
      <c r="A312" s="11" t="str">
        <f t="shared" si="200"/>
        <v/>
      </c>
      <c r="B312" s="217"/>
      <c r="C312" s="217"/>
      <c r="D312" s="217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34"/>
      <c r="Q312" s="234"/>
      <c r="R312" s="234"/>
      <c r="S312" s="234"/>
      <c r="T312" s="234"/>
      <c r="U312" s="234"/>
      <c r="V312" s="234"/>
      <c r="W312" s="234"/>
      <c r="X312" s="234"/>
      <c r="Y312" s="234"/>
      <c r="Z312" s="234"/>
    </row>
    <row r="313" ht="12.0" customHeight="1" outlineLevel="1">
      <c r="A313" s="11" t="str">
        <f t="shared" si="200"/>
        <v/>
      </c>
      <c r="B313" s="217"/>
      <c r="C313" s="217"/>
      <c r="D313" s="217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34"/>
      <c r="Q313" s="234"/>
      <c r="R313" s="234"/>
      <c r="S313" s="234"/>
      <c r="T313" s="234"/>
      <c r="U313" s="234"/>
      <c r="V313" s="234"/>
      <c r="W313" s="234"/>
      <c r="X313" s="234"/>
      <c r="Y313" s="234"/>
      <c r="Z313" s="234"/>
    </row>
    <row r="314" ht="12.0" customHeight="1" outlineLevel="1">
      <c r="A314" s="11" t="str">
        <f>A$204</f>
        <v/>
      </c>
      <c r="B314" s="217"/>
      <c r="C314" s="217"/>
      <c r="D314" s="217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34"/>
      <c r="Q314" s="234"/>
      <c r="R314" s="234"/>
      <c r="S314" s="234"/>
      <c r="T314" s="234"/>
      <c r="U314" s="234"/>
      <c r="V314" s="234"/>
      <c r="W314" s="234"/>
      <c r="X314" s="234"/>
      <c r="Y314" s="234"/>
      <c r="Z314" s="234"/>
    </row>
    <row r="315" ht="12.0" customHeight="1" outlineLevel="1">
      <c r="A315" s="11" t="str">
        <f>A$205</f>
        <v/>
      </c>
      <c r="B315" s="217"/>
      <c r="C315" s="217"/>
      <c r="D315" s="217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34"/>
      <c r="Q315" s="234"/>
      <c r="R315" s="234"/>
      <c r="S315" s="234"/>
      <c r="T315" s="234"/>
      <c r="U315" s="234"/>
      <c r="V315" s="234"/>
      <c r="W315" s="234"/>
      <c r="X315" s="234"/>
      <c r="Y315" s="234"/>
      <c r="Z315" s="234"/>
    </row>
    <row r="316" ht="12.0" customHeight="1" outlineLevel="1">
      <c r="A316" s="11" t="str">
        <f>A$206</f>
        <v/>
      </c>
      <c r="B316" s="217"/>
      <c r="C316" s="217"/>
      <c r="D316" s="217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34"/>
      <c r="Q316" s="234"/>
      <c r="R316" s="234"/>
      <c r="S316" s="234"/>
      <c r="T316" s="234"/>
      <c r="U316" s="234"/>
      <c r="V316" s="234"/>
      <c r="W316" s="234"/>
      <c r="X316" s="234"/>
      <c r="Y316" s="234"/>
      <c r="Z316" s="234"/>
    </row>
    <row r="317" ht="12.0" customHeight="1" outlineLevel="1">
      <c r="A317" s="11" t="str">
        <f>A$207</f>
        <v/>
      </c>
      <c r="B317" s="217"/>
      <c r="C317" s="217"/>
      <c r="D317" s="217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34"/>
      <c r="Q317" s="234"/>
      <c r="R317" s="234"/>
      <c r="S317" s="234"/>
      <c r="T317" s="234"/>
      <c r="U317" s="234"/>
      <c r="V317" s="234"/>
      <c r="W317" s="234"/>
      <c r="X317" s="234"/>
      <c r="Y317" s="234"/>
      <c r="Z317" s="234"/>
    </row>
    <row r="318" ht="12.0" customHeight="1" outlineLevel="1">
      <c r="A318" s="11" t="str">
        <f>A$208</f>
        <v/>
      </c>
      <c r="B318" s="217"/>
      <c r="C318" s="217"/>
      <c r="D318" s="217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34"/>
      <c r="Q318" s="234"/>
      <c r="R318" s="234"/>
      <c r="S318" s="234"/>
      <c r="T318" s="234"/>
      <c r="U318" s="234"/>
      <c r="V318" s="234"/>
      <c r="W318" s="234"/>
      <c r="X318" s="234"/>
      <c r="Y318" s="234"/>
      <c r="Z318" s="234"/>
    </row>
    <row r="319" ht="12.0" customHeight="1" outlineLevel="1">
      <c r="A319" s="11" t="str">
        <f>A$209</f>
        <v/>
      </c>
      <c r="B319" s="217"/>
      <c r="C319" s="217"/>
      <c r="D319" s="217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34"/>
      <c r="Q319" s="234"/>
      <c r="R319" s="234"/>
      <c r="S319" s="234"/>
      <c r="T319" s="234"/>
      <c r="U319" s="234"/>
      <c r="V319" s="234"/>
      <c r="W319" s="234"/>
      <c r="X319" s="234"/>
      <c r="Y319" s="234"/>
      <c r="Z319" s="234"/>
    </row>
    <row r="320" ht="12.0" customHeight="1" outlineLevel="1">
      <c r="A320" s="11" t="str">
        <f>A$210</f>
        <v/>
      </c>
      <c r="B320" s="217"/>
      <c r="C320" s="217"/>
      <c r="D320" s="217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34"/>
      <c r="Q320" s="234"/>
      <c r="R320" s="234"/>
      <c r="S320" s="234"/>
      <c r="T320" s="234"/>
      <c r="U320" s="234"/>
      <c r="V320" s="234"/>
      <c r="W320" s="234"/>
      <c r="X320" s="234"/>
      <c r="Y320" s="234"/>
      <c r="Z320" s="234"/>
    </row>
    <row r="321" ht="12.0" customHeight="1" outlineLevel="1">
      <c r="A321" s="11" t="str">
        <f>A$211</f>
        <v/>
      </c>
      <c r="B321" s="217"/>
      <c r="C321" s="217"/>
      <c r="D321" s="217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34"/>
      <c r="Q321" s="234"/>
      <c r="R321" s="234"/>
      <c r="S321" s="234"/>
      <c r="T321" s="234"/>
      <c r="U321" s="234"/>
      <c r="V321" s="234"/>
      <c r="W321" s="234"/>
      <c r="X321" s="234"/>
      <c r="Y321" s="234"/>
      <c r="Z321" s="234"/>
    </row>
    <row r="322" ht="12.0" customHeight="1" outlineLevel="1">
      <c r="A322" s="11" t="str">
        <f>A$212</f>
        <v/>
      </c>
      <c r="B322" s="217"/>
      <c r="C322" s="217"/>
      <c r="D322" s="217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34"/>
      <c r="Q322" s="234"/>
      <c r="R322" s="234"/>
      <c r="S322" s="234"/>
      <c r="T322" s="234"/>
      <c r="U322" s="234"/>
      <c r="V322" s="234"/>
      <c r="W322" s="234"/>
      <c r="X322" s="234"/>
      <c r="Y322" s="234"/>
      <c r="Z322" s="234"/>
    </row>
    <row r="323" ht="12.0" customHeight="1" outlineLevel="1">
      <c r="A323" s="11" t="str">
        <f>A$213</f>
        <v/>
      </c>
      <c r="B323" s="217"/>
      <c r="C323" s="217"/>
      <c r="D323" s="217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34"/>
      <c r="Q323" s="234"/>
      <c r="R323" s="234"/>
      <c r="S323" s="234"/>
      <c r="T323" s="234"/>
      <c r="U323" s="234"/>
      <c r="V323" s="234"/>
      <c r="W323" s="234"/>
      <c r="X323" s="234"/>
      <c r="Y323" s="234"/>
      <c r="Z323" s="234"/>
    </row>
    <row r="324" ht="12.0" customHeight="1" outlineLevel="1">
      <c r="A324" s="11" t="str">
        <f>A$214</f>
        <v/>
      </c>
      <c r="B324" s="217"/>
      <c r="C324" s="217"/>
      <c r="D324" s="217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34"/>
      <c r="Q324" s="234"/>
      <c r="R324" s="234"/>
      <c r="S324" s="234"/>
      <c r="T324" s="234"/>
      <c r="U324" s="234"/>
      <c r="V324" s="234"/>
      <c r="W324" s="234"/>
      <c r="X324" s="234"/>
      <c r="Y324" s="234"/>
      <c r="Z324" s="234"/>
    </row>
    <row r="325" ht="12.0" customHeight="1" outlineLevel="1">
      <c r="A325" s="11" t="str">
        <f>A$215</f>
        <v/>
      </c>
      <c r="B325" s="217"/>
      <c r="C325" s="217"/>
      <c r="D325" s="217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34"/>
      <c r="Q325" s="234"/>
      <c r="R325" s="234"/>
      <c r="S325" s="234"/>
      <c r="T325" s="234"/>
      <c r="U325" s="234"/>
      <c r="V325" s="234"/>
      <c r="W325" s="234"/>
      <c r="X325" s="234"/>
      <c r="Y325" s="234"/>
      <c r="Z325" s="234"/>
    </row>
    <row r="326" ht="12.0" customHeight="1" outlineLevel="1">
      <c r="A326" s="11" t="str">
        <f>A$216</f>
        <v/>
      </c>
      <c r="B326" s="217"/>
      <c r="C326" s="217"/>
      <c r="D326" s="217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34"/>
      <c r="Q326" s="234"/>
      <c r="R326" s="234"/>
      <c r="S326" s="234"/>
      <c r="T326" s="234"/>
      <c r="U326" s="234"/>
      <c r="V326" s="234"/>
      <c r="W326" s="234"/>
      <c r="X326" s="234"/>
      <c r="Y326" s="234"/>
      <c r="Z326" s="234"/>
    </row>
    <row r="327" ht="12.0" customHeight="1">
      <c r="A327" s="90" t="s">
        <v>374</v>
      </c>
      <c r="B327" s="217"/>
      <c r="C327" s="243"/>
      <c r="D327" s="241"/>
      <c r="E327" s="241"/>
      <c r="F327" s="241"/>
      <c r="G327" s="241"/>
      <c r="H327" s="241"/>
      <c r="I327" s="241"/>
      <c r="J327" s="241"/>
      <c r="K327" s="241"/>
      <c r="L327" s="241"/>
      <c r="M327" s="241"/>
      <c r="N327" s="241"/>
      <c r="O327" s="241"/>
      <c r="P327" s="234"/>
      <c r="Q327" s="234"/>
      <c r="R327" s="234"/>
      <c r="S327" s="234"/>
      <c r="T327" s="234"/>
      <c r="U327" s="234"/>
      <c r="V327" s="234"/>
      <c r="W327" s="234"/>
      <c r="X327" s="234"/>
      <c r="Y327" s="234"/>
      <c r="Z327" s="234"/>
    </row>
    <row r="328" ht="12.0" customHeight="1" outlineLevel="1">
      <c r="A328" s="11" t="str">
        <f>A$192</f>
        <v/>
      </c>
      <c r="B328" s="217"/>
      <c r="C328" s="217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34"/>
      <c r="Q328" s="234"/>
      <c r="R328" s="234"/>
      <c r="S328" s="234"/>
      <c r="T328" s="234"/>
      <c r="U328" s="234"/>
      <c r="V328" s="234"/>
      <c r="W328" s="234"/>
      <c r="X328" s="234"/>
      <c r="Y328" s="234"/>
      <c r="Z328" s="234"/>
    </row>
    <row r="329" ht="12.0" customHeight="1" outlineLevel="1">
      <c r="A329" s="11" t="str">
        <f>A$193</f>
        <v/>
      </c>
      <c r="B329" s="217"/>
      <c r="C329" s="217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34"/>
      <c r="Q329" s="234"/>
      <c r="R329" s="234"/>
      <c r="S329" s="234"/>
      <c r="T329" s="234"/>
      <c r="U329" s="234"/>
      <c r="V329" s="234"/>
      <c r="W329" s="234"/>
      <c r="X329" s="234"/>
      <c r="Y329" s="234"/>
      <c r="Z329" s="234"/>
    </row>
    <row r="330" ht="12.0" customHeight="1" outlineLevel="1">
      <c r="A330" s="11" t="str">
        <f>A$194</f>
        <v/>
      </c>
      <c r="B330" s="217"/>
      <c r="C330" s="217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34"/>
      <c r="Q330" s="234"/>
      <c r="R330" s="234"/>
      <c r="S330" s="234"/>
      <c r="T330" s="234"/>
      <c r="U330" s="234"/>
      <c r="V330" s="234"/>
      <c r="W330" s="234"/>
      <c r="X330" s="234"/>
      <c r="Y330" s="234"/>
      <c r="Z330" s="234"/>
    </row>
    <row r="331" ht="12.0" customHeight="1" outlineLevel="1">
      <c r="A331" s="11" t="str">
        <f>A$195</f>
        <v/>
      </c>
      <c r="B331" s="217"/>
      <c r="C331" s="217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34"/>
      <c r="Q331" s="234"/>
      <c r="R331" s="234"/>
      <c r="S331" s="234"/>
      <c r="T331" s="234"/>
      <c r="U331" s="234"/>
      <c r="V331" s="234"/>
      <c r="W331" s="234"/>
      <c r="X331" s="234"/>
      <c r="Y331" s="234"/>
      <c r="Z331" s="234"/>
    </row>
    <row r="332" ht="12.0" customHeight="1" outlineLevel="1">
      <c r="A332" s="11" t="str">
        <f>A$196</f>
        <v/>
      </c>
      <c r="B332" s="217"/>
      <c r="C332" s="217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34"/>
      <c r="Q332" s="234"/>
      <c r="R332" s="234"/>
      <c r="S332" s="234"/>
      <c r="T332" s="234"/>
      <c r="U332" s="234"/>
      <c r="V332" s="234"/>
      <c r="W332" s="234"/>
      <c r="X332" s="234"/>
      <c r="Y332" s="234"/>
      <c r="Z332" s="234"/>
    </row>
    <row r="333" ht="12.0" customHeight="1" outlineLevel="1">
      <c r="A333" s="11" t="str">
        <f>A$197</f>
        <v/>
      </c>
      <c r="B333" s="217"/>
      <c r="C333" s="217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34"/>
      <c r="Q333" s="234"/>
      <c r="R333" s="234"/>
      <c r="S333" s="234"/>
      <c r="T333" s="234"/>
      <c r="U333" s="234"/>
      <c r="V333" s="234"/>
      <c r="W333" s="234"/>
      <c r="X333" s="234"/>
      <c r="Y333" s="234"/>
      <c r="Z333" s="234"/>
    </row>
    <row r="334" ht="12.0" customHeight="1" outlineLevel="1">
      <c r="A334" s="11" t="str">
        <f>A$198</f>
        <v/>
      </c>
      <c r="B334" s="217"/>
      <c r="C334" s="217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34"/>
      <c r="Q334" s="234"/>
      <c r="R334" s="234"/>
      <c r="S334" s="234"/>
      <c r="T334" s="234"/>
      <c r="U334" s="234"/>
      <c r="V334" s="234"/>
      <c r="W334" s="234"/>
      <c r="X334" s="234"/>
      <c r="Y334" s="234"/>
      <c r="Z334" s="234"/>
    </row>
    <row r="335" ht="12.0" customHeight="1" outlineLevel="1">
      <c r="A335" s="11" t="str">
        <f t="shared" ref="A335:A340" si="201">A$199</f>
        <v/>
      </c>
      <c r="B335" s="217"/>
      <c r="C335" s="217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34"/>
      <c r="Q335" s="234"/>
      <c r="R335" s="234"/>
      <c r="S335" s="234"/>
      <c r="T335" s="234"/>
      <c r="U335" s="234"/>
      <c r="V335" s="234"/>
      <c r="W335" s="234"/>
      <c r="X335" s="234"/>
      <c r="Y335" s="234"/>
      <c r="Z335" s="234"/>
    </row>
    <row r="336" ht="12.0" customHeight="1" outlineLevel="1">
      <c r="A336" s="11" t="str">
        <f t="shared" si="201"/>
        <v/>
      </c>
      <c r="B336" s="217"/>
      <c r="C336" s="217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34"/>
      <c r="Q336" s="234"/>
      <c r="R336" s="234"/>
      <c r="S336" s="234"/>
      <c r="T336" s="234"/>
      <c r="U336" s="234"/>
      <c r="V336" s="234"/>
      <c r="W336" s="234"/>
      <c r="X336" s="234"/>
      <c r="Y336" s="234"/>
      <c r="Z336" s="234"/>
    </row>
    <row r="337" ht="12.0" customHeight="1" outlineLevel="1">
      <c r="A337" s="11" t="str">
        <f t="shared" si="201"/>
        <v/>
      </c>
      <c r="B337" s="217"/>
      <c r="C337" s="217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34"/>
      <c r="Q337" s="234"/>
      <c r="R337" s="234"/>
      <c r="S337" s="234"/>
      <c r="T337" s="234"/>
      <c r="U337" s="234"/>
      <c r="V337" s="234"/>
      <c r="W337" s="234"/>
      <c r="X337" s="234"/>
      <c r="Y337" s="234"/>
      <c r="Z337" s="234"/>
    </row>
    <row r="338" ht="12.0" customHeight="1" outlineLevel="1">
      <c r="A338" s="11" t="str">
        <f t="shared" si="201"/>
        <v/>
      </c>
      <c r="B338" s="217"/>
      <c r="C338" s="217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34"/>
      <c r="Q338" s="234"/>
      <c r="R338" s="234"/>
      <c r="S338" s="234"/>
      <c r="T338" s="234"/>
      <c r="U338" s="234"/>
      <c r="V338" s="234"/>
      <c r="W338" s="234"/>
      <c r="X338" s="234"/>
      <c r="Y338" s="234"/>
      <c r="Z338" s="234"/>
    </row>
    <row r="339" ht="12.0" customHeight="1" outlineLevel="1">
      <c r="A339" s="11" t="str">
        <f t="shared" si="201"/>
        <v/>
      </c>
      <c r="B339" s="217"/>
      <c r="C339" s="217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34"/>
      <c r="Q339" s="234"/>
      <c r="R339" s="234"/>
      <c r="S339" s="234"/>
      <c r="T339" s="234"/>
      <c r="U339" s="234"/>
      <c r="V339" s="234"/>
      <c r="W339" s="234"/>
      <c r="X339" s="234"/>
      <c r="Y339" s="234"/>
      <c r="Z339" s="234"/>
    </row>
    <row r="340" ht="12.0" customHeight="1" outlineLevel="1">
      <c r="A340" s="11" t="str">
        <f t="shared" si="201"/>
        <v/>
      </c>
      <c r="B340" s="217"/>
      <c r="C340" s="217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34"/>
      <c r="Q340" s="234"/>
      <c r="R340" s="234"/>
      <c r="S340" s="234"/>
      <c r="T340" s="234"/>
      <c r="U340" s="234"/>
      <c r="V340" s="234"/>
      <c r="W340" s="234"/>
      <c r="X340" s="234"/>
      <c r="Y340" s="234"/>
      <c r="Z340" s="234"/>
    </row>
    <row r="341" ht="12.0" customHeight="1" outlineLevel="1">
      <c r="A341" s="11" t="str">
        <f>A$205</f>
        <v/>
      </c>
      <c r="B341" s="217"/>
      <c r="C341" s="217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34"/>
      <c r="Q341" s="234"/>
      <c r="R341" s="234"/>
      <c r="S341" s="234"/>
      <c r="T341" s="234"/>
      <c r="U341" s="234"/>
      <c r="V341" s="234"/>
      <c r="W341" s="234"/>
      <c r="X341" s="234"/>
      <c r="Y341" s="234"/>
      <c r="Z341" s="234"/>
    </row>
    <row r="342" ht="12.0" customHeight="1" outlineLevel="1">
      <c r="A342" s="11" t="str">
        <f>A$206</f>
        <v/>
      </c>
      <c r="B342" s="217"/>
      <c r="C342" s="217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34"/>
      <c r="Q342" s="234"/>
      <c r="R342" s="234"/>
      <c r="S342" s="234"/>
      <c r="T342" s="234"/>
      <c r="U342" s="234"/>
      <c r="V342" s="234"/>
      <c r="W342" s="234"/>
      <c r="X342" s="234"/>
      <c r="Y342" s="234"/>
      <c r="Z342" s="234"/>
    </row>
    <row r="343" ht="12.0" customHeight="1" outlineLevel="1">
      <c r="A343" s="11" t="str">
        <f>A$207</f>
        <v/>
      </c>
      <c r="B343" s="217"/>
      <c r="C343" s="217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34"/>
      <c r="Q343" s="234"/>
      <c r="R343" s="234"/>
      <c r="S343" s="234"/>
      <c r="T343" s="234"/>
      <c r="U343" s="234"/>
      <c r="V343" s="234"/>
      <c r="W343" s="234"/>
      <c r="X343" s="234"/>
      <c r="Y343" s="234"/>
      <c r="Z343" s="234"/>
    </row>
    <row r="344" ht="12.0" customHeight="1" outlineLevel="1">
      <c r="A344" s="11" t="str">
        <f>A$208</f>
        <v/>
      </c>
      <c r="B344" s="217"/>
      <c r="C344" s="217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34"/>
      <c r="Q344" s="234"/>
      <c r="R344" s="234"/>
      <c r="S344" s="234"/>
      <c r="T344" s="234"/>
      <c r="U344" s="234"/>
      <c r="V344" s="234"/>
      <c r="W344" s="234"/>
      <c r="X344" s="234"/>
      <c r="Y344" s="234"/>
      <c r="Z344" s="234"/>
    </row>
    <row r="345" ht="12.0" customHeight="1" outlineLevel="1">
      <c r="A345" s="11" t="str">
        <f>A$209</f>
        <v/>
      </c>
      <c r="B345" s="217"/>
      <c r="C345" s="217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34"/>
      <c r="Q345" s="234"/>
      <c r="R345" s="234"/>
      <c r="S345" s="234"/>
      <c r="T345" s="234"/>
      <c r="U345" s="234"/>
      <c r="V345" s="234"/>
      <c r="W345" s="234"/>
      <c r="X345" s="234"/>
      <c r="Y345" s="234"/>
      <c r="Z345" s="234"/>
    </row>
    <row r="346" ht="12.0" customHeight="1" outlineLevel="1">
      <c r="A346" s="11" t="str">
        <f>A$210</f>
        <v/>
      </c>
      <c r="B346" s="217"/>
      <c r="C346" s="217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34"/>
      <c r="Q346" s="234"/>
      <c r="R346" s="234"/>
      <c r="S346" s="234"/>
      <c r="T346" s="234"/>
      <c r="U346" s="234"/>
      <c r="V346" s="234"/>
      <c r="W346" s="234"/>
      <c r="X346" s="234"/>
      <c r="Y346" s="234"/>
      <c r="Z346" s="234"/>
    </row>
    <row r="347" ht="12.0" customHeight="1" outlineLevel="1">
      <c r="A347" s="11" t="str">
        <f>A$211</f>
        <v/>
      </c>
      <c r="B347" s="217"/>
      <c r="C347" s="217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34"/>
      <c r="Q347" s="234"/>
      <c r="R347" s="234"/>
      <c r="S347" s="234"/>
      <c r="T347" s="234"/>
      <c r="U347" s="234"/>
      <c r="V347" s="234"/>
      <c r="W347" s="234"/>
      <c r="X347" s="234"/>
      <c r="Y347" s="234"/>
      <c r="Z347" s="234"/>
    </row>
    <row r="348" ht="12.0" customHeight="1" outlineLevel="1">
      <c r="A348" s="11" t="str">
        <f>A$212</f>
        <v/>
      </c>
      <c r="B348" s="217"/>
      <c r="C348" s="217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34"/>
      <c r="Q348" s="234"/>
      <c r="R348" s="234"/>
      <c r="S348" s="234"/>
      <c r="T348" s="234"/>
      <c r="U348" s="234"/>
      <c r="V348" s="234"/>
      <c r="W348" s="234"/>
      <c r="X348" s="234"/>
      <c r="Y348" s="234"/>
      <c r="Z348" s="234"/>
    </row>
    <row r="349" ht="12.0" customHeight="1" outlineLevel="1">
      <c r="A349" s="11" t="str">
        <f>A$213</f>
        <v/>
      </c>
      <c r="B349" s="217"/>
      <c r="C349" s="217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34"/>
      <c r="Q349" s="234"/>
      <c r="R349" s="234"/>
      <c r="S349" s="234"/>
      <c r="T349" s="234"/>
      <c r="U349" s="234"/>
      <c r="V349" s="234"/>
      <c r="W349" s="234"/>
      <c r="X349" s="234"/>
      <c r="Y349" s="234"/>
      <c r="Z349" s="234"/>
    </row>
    <row r="350" ht="12.0" customHeight="1" outlineLevel="1">
      <c r="A350" s="11" t="str">
        <f>A$214</f>
        <v/>
      </c>
      <c r="B350" s="217"/>
      <c r="C350" s="217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34"/>
      <c r="Q350" s="234"/>
      <c r="R350" s="234"/>
      <c r="S350" s="234"/>
      <c r="T350" s="234"/>
      <c r="U350" s="234"/>
      <c r="V350" s="234"/>
      <c r="W350" s="234"/>
      <c r="X350" s="234"/>
      <c r="Y350" s="234"/>
      <c r="Z350" s="234"/>
    </row>
    <row r="351" ht="12.0" customHeight="1" outlineLevel="1">
      <c r="A351" s="11" t="str">
        <f>A$215</f>
        <v/>
      </c>
      <c r="B351" s="217"/>
      <c r="C351" s="217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34"/>
      <c r="Q351" s="234"/>
      <c r="R351" s="234"/>
      <c r="S351" s="234"/>
      <c r="T351" s="234"/>
      <c r="U351" s="234"/>
      <c r="V351" s="234"/>
      <c r="W351" s="234"/>
      <c r="X351" s="234"/>
      <c r="Y351" s="234"/>
      <c r="Z351" s="234"/>
    </row>
    <row r="352" ht="12.0" customHeight="1" outlineLevel="1">
      <c r="A352" s="11" t="str">
        <f>A$216</f>
        <v/>
      </c>
      <c r="B352" s="217"/>
      <c r="C352" s="217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34"/>
      <c r="Q352" s="234"/>
      <c r="R352" s="234"/>
      <c r="S352" s="234"/>
      <c r="T352" s="234"/>
      <c r="U352" s="234"/>
      <c r="V352" s="234"/>
      <c r="W352" s="234"/>
      <c r="X352" s="234"/>
      <c r="Y352" s="234"/>
      <c r="Z352" s="234"/>
    </row>
    <row r="353" ht="12.0" customHeight="1">
      <c r="A353" s="90" t="s">
        <v>374</v>
      </c>
      <c r="B353" s="217"/>
      <c r="C353" s="243"/>
      <c r="D353" s="241"/>
      <c r="E353" s="241"/>
      <c r="F353" s="241"/>
      <c r="G353" s="241"/>
      <c r="H353" s="241"/>
      <c r="I353" s="241"/>
      <c r="J353" s="241"/>
      <c r="K353" s="241"/>
      <c r="L353" s="241"/>
      <c r="M353" s="241"/>
      <c r="N353" s="241"/>
      <c r="O353" s="241"/>
      <c r="P353" s="234"/>
      <c r="Q353" s="234"/>
      <c r="R353" s="234"/>
      <c r="S353" s="234"/>
      <c r="T353" s="234"/>
      <c r="U353" s="234"/>
      <c r="V353" s="234"/>
      <c r="W353" s="234"/>
      <c r="X353" s="234"/>
      <c r="Y353" s="234"/>
      <c r="Z353" s="234"/>
    </row>
    <row r="354" ht="12.0" customHeight="1" outlineLevel="1">
      <c r="A354" s="11" t="str">
        <f>A$192</f>
        <v/>
      </c>
      <c r="B354" s="217"/>
      <c r="C354" s="217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34"/>
      <c r="Q354" s="234"/>
      <c r="R354" s="234"/>
      <c r="S354" s="234"/>
      <c r="T354" s="234"/>
      <c r="U354" s="234"/>
      <c r="V354" s="234"/>
      <c r="W354" s="234"/>
      <c r="X354" s="234"/>
      <c r="Y354" s="234"/>
      <c r="Z354" s="234"/>
    </row>
    <row r="355" ht="12.0" customHeight="1" outlineLevel="1">
      <c r="A355" s="11" t="str">
        <f>A$193</f>
        <v/>
      </c>
      <c r="B355" s="217"/>
      <c r="C355" s="217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34"/>
      <c r="Q355" s="234"/>
      <c r="R355" s="234"/>
      <c r="S355" s="234"/>
      <c r="T355" s="234"/>
      <c r="U355" s="234"/>
      <c r="V355" s="234"/>
      <c r="W355" s="234"/>
      <c r="X355" s="234"/>
      <c r="Y355" s="234"/>
      <c r="Z355" s="234"/>
    </row>
    <row r="356" ht="12.0" customHeight="1" outlineLevel="1">
      <c r="A356" s="11" t="str">
        <f>A$194</f>
        <v/>
      </c>
      <c r="B356" s="217"/>
      <c r="C356" s="217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34"/>
      <c r="Q356" s="234"/>
      <c r="R356" s="234"/>
      <c r="S356" s="234"/>
      <c r="T356" s="234"/>
      <c r="U356" s="234"/>
      <c r="V356" s="234"/>
      <c r="W356" s="234"/>
      <c r="X356" s="234"/>
      <c r="Y356" s="234"/>
      <c r="Z356" s="234"/>
    </row>
    <row r="357" ht="12.0" customHeight="1" outlineLevel="1">
      <c r="A357" s="11" t="str">
        <f>A$195</f>
        <v/>
      </c>
      <c r="B357" s="217"/>
      <c r="C357" s="217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34"/>
      <c r="Q357" s="234"/>
      <c r="R357" s="234"/>
      <c r="S357" s="234"/>
      <c r="T357" s="234"/>
      <c r="U357" s="234"/>
      <c r="V357" s="234"/>
      <c r="W357" s="234"/>
      <c r="X357" s="234"/>
      <c r="Y357" s="234"/>
      <c r="Z357" s="234"/>
    </row>
    <row r="358" ht="12.0" customHeight="1" outlineLevel="1">
      <c r="A358" s="11" t="str">
        <f>A$196</f>
        <v/>
      </c>
      <c r="B358" s="217"/>
      <c r="C358" s="217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34"/>
      <c r="Q358" s="234"/>
      <c r="R358" s="234"/>
      <c r="S358" s="234"/>
      <c r="T358" s="234"/>
      <c r="U358" s="234"/>
      <c r="V358" s="234"/>
      <c r="W358" s="234"/>
      <c r="X358" s="234"/>
      <c r="Y358" s="234"/>
      <c r="Z358" s="234"/>
    </row>
    <row r="359" ht="12.0" customHeight="1" outlineLevel="1">
      <c r="A359" s="11" t="str">
        <f>A$197</f>
        <v/>
      </c>
      <c r="B359" s="217"/>
      <c r="C359" s="217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34"/>
      <c r="Q359" s="234"/>
      <c r="R359" s="234"/>
      <c r="S359" s="234"/>
      <c r="T359" s="234"/>
      <c r="U359" s="234"/>
      <c r="V359" s="234"/>
      <c r="W359" s="234"/>
      <c r="X359" s="234"/>
      <c r="Y359" s="234"/>
      <c r="Z359" s="234"/>
    </row>
    <row r="360" ht="12.0" customHeight="1" outlineLevel="1">
      <c r="A360" s="11" t="str">
        <f>A$198</f>
        <v/>
      </c>
      <c r="B360" s="217"/>
      <c r="C360" s="217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34"/>
      <c r="Q360" s="234"/>
      <c r="R360" s="234"/>
      <c r="S360" s="234"/>
      <c r="T360" s="234"/>
      <c r="U360" s="234"/>
      <c r="V360" s="234"/>
      <c r="W360" s="234"/>
      <c r="X360" s="234"/>
      <c r="Y360" s="234"/>
      <c r="Z360" s="234"/>
    </row>
    <row r="361" ht="12.0" customHeight="1" outlineLevel="1">
      <c r="A361" s="11" t="str">
        <f>A$199</f>
        <v/>
      </c>
      <c r="B361" s="217"/>
      <c r="C361" s="217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34"/>
      <c r="Q361" s="234"/>
      <c r="R361" s="234"/>
      <c r="S361" s="234"/>
      <c r="T361" s="234"/>
      <c r="U361" s="234"/>
      <c r="V361" s="234"/>
      <c r="W361" s="234"/>
      <c r="X361" s="234"/>
      <c r="Y361" s="234"/>
      <c r="Z361" s="234"/>
    </row>
    <row r="362" ht="12.0" customHeight="1" outlineLevel="1">
      <c r="A362" s="11" t="str">
        <f>A$200</f>
        <v/>
      </c>
      <c r="B362" s="217"/>
      <c r="C362" s="217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34"/>
      <c r="Q362" s="234"/>
      <c r="R362" s="234"/>
      <c r="S362" s="234"/>
      <c r="T362" s="234"/>
      <c r="U362" s="234"/>
      <c r="V362" s="234"/>
      <c r="W362" s="234"/>
      <c r="X362" s="234"/>
      <c r="Y362" s="234"/>
      <c r="Z362" s="234"/>
    </row>
    <row r="363" ht="12.0" customHeight="1" outlineLevel="1">
      <c r="A363" s="11" t="str">
        <f t="shared" ref="A363:A367" si="202">A$201</f>
        <v/>
      </c>
      <c r="B363" s="217"/>
      <c r="C363" s="217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34"/>
      <c r="Q363" s="234"/>
      <c r="R363" s="234"/>
      <c r="S363" s="234"/>
      <c r="T363" s="234"/>
      <c r="U363" s="234"/>
      <c r="V363" s="234"/>
      <c r="W363" s="234"/>
      <c r="X363" s="234"/>
      <c r="Y363" s="234"/>
      <c r="Z363" s="234"/>
    </row>
    <row r="364" ht="12.0" customHeight="1" outlineLevel="1">
      <c r="A364" s="11" t="str">
        <f t="shared" si="202"/>
        <v/>
      </c>
      <c r="B364" s="217"/>
      <c r="C364" s="217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34"/>
      <c r="Q364" s="234"/>
      <c r="R364" s="234"/>
      <c r="S364" s="234"/>
      <c r="T364" s="234"/>
      <c r="U364" s="234"/>
      <c r="V364" s="234"/>
      <c r="W364" s="234"/>
      <c r="X364" s="234"/>
      <c r="Y364" s="234"/>
      <c r="Z364" s="234"/>
    </row>
    <row r="365" ht="12.0" customHeight="1" outlineLevel="1">
      <c r="A365" s="11" t="str">
        <f t="shared" si="202"/>
        <v/>
      </c>
      <c r="B365" s="217"/>
      <c r="C365" s="217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34"/>
      <c r="Q365" s="234"/>
      <c r="R365" s="234"/>
      <c r="S365" s="234"/>
      <c r="T365" s="234"/>
      <c r="U365" s="234"/>
      <c r="V365" s="234"/>
      <c r="W365" s="234"/>
      <c r="X365" s="234"/>
      <c r="Y365" s="234"/>
      <c r="Z365" s="234"/>
    </row>
    <row r="366" ht="12.0" customHeight="1" outlineLevel="1">
      <c r="A366" s="11" t="str">
        <f t="shared" si="202"/>
        <v/>
      </c>
      <c r="B366" s="217"/>
      <c r="C366" s="217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34"/>
      <c r="Q366" s="234"/>
      <c r="R366" s="234"/>
      <c r="S366" s="234"/>
      <c r="T366" s="234"/>
      <c r="U366" s="234"/>
      <c r="V366" s="234"/>
      <c r="W366" s="234"/>
      <c r="X366" s="234"/>
      <c r="Y366" s="234"/>
      <c r="Z366" s="234"/>
    </row>
    <row r="367" ht="12.0" customHeight="1" outlineLevel="1">
      <c r="A367" s="11" t="str">
        <f t="shared" si="202"/>
        <v/>
      </c>
      <c r="B367" s="217"/>
      <c r="C367" s="217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34"/>
      <c r="Q367" s="234"/>
      <c r="R367" s="234"/>
      <c r="S367" s="234"/>
      <c r="T367" s="234"/>
      <c r="U367" s="234"/>
      <c r="V367" s="234"/>
      <c r="W367" s="234"/>
      <c r="X367" s="234"/>
      <c r="Y367" s="234"/>
      <c r="Z367" s="234"/>
    </row>
    <row r="368" ht="12.0" customHeight="1" outlineLevel="1">
      <c r="A368" s="11" t="str">
        <f>A$206</f>
        <v/>
      </c>
      <c r="B368" s="217"/>
      <c r="C368" s="217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34"/>
      <c r="Q368" s="234"/>
      <c r="R368" s="234"/>
      <c r="S368" s="234"/>
      <c r="T368" s="234"/>
      <c r="U368" s="234"/>
      <c r="V368" s="234"/>
      <c r="W368" s="234"/>
      <c r="X368" s="234"/>
      <c r="Y368" s="234"/>
      <c r="Z368" s="234"/>
    </row>
    <row r="369" ht="12.0" customHeight="1" outlineLevel="1">
      <c r="A369" s="11" t="str">
        <f>A$207</f>
        <v/>
      </c>
      <c r="B369" s="217"/>
      <c r="C369" s="217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34"/>
      <c r="Q369" s="234"/>
      <c r="R369" s="234"/>
      <c r="S369" s="234"/>
      <c r="T369" s="234"/>
      <c r="U369" s="234"/>
      <c r="V369" s="234"/>
      <c r="W369" s="234"/>
      <c r="X369" s="234"/>
      <c r="Y369" s="234"/>
      <c r="Z369" s="234"/>
    </row>
    <row r="370" ht="12.0" customHeight="1" outlineLevel="1">
      <c r="A370" s="11" t="str">
        <f>A$208</f>
        <v/>
      </c>
      <c r="B370" s="217"/>
      <c r="C370" s="217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34"/>
      <c r="Q370" s="234"/>
      <c r="R370" s="234"/>
      <c r="S370" s="234"/>
      <c r="T370" s="234"/>
      <c r="U370" s="234"/>
      <c r="V370" s="234"/>
      <c r="W370" s="234"/>
      <c r="X370" s="234"/>
      <c r="Y370" s="234"/>
      <c r="Z370" s="234"/>
    </row>
    <row r="371" ht="12.0" customHeight="1" outlineLevel="1">
      <c r="A371" s="11" t="str">
        <f>A$209</f>
        <v/>
      </c>
      <c r="B371" s="217"/>
      <c r="C371" s="217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34"/>
      <c r="Q371" s="234"/>
      <c r="R371" s="234"/>
      <c r="S371" s="234"/>
      <c r="T371" s="234"/>
      <c r="U371" s="234"/>
      <c r="V371" s="234"/>
      <c r="W371" s="234"/>
      <c r="X371" s="234"/>
      <c r="Y371" s="234"/>
      <c r="Z371" s="234"/>
    </row>
    <row r="372" ht="12.0" customHeight="1" outlineLevel="1">
      <c r="A372" s="11" t="str">
        <f>A$210</f>
        <v/>
      </c>
      <c r="B372" s="217"/>
      <c r="C372" s="217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34"/>
      <c r="Q372" s="234"/>
      <c r="R372" s="234"/>
      <c r="S372" s="234"/>
      <c r="T372" s="234"/>
      <c r="U372" s="234"/>
      <c r="V372" s="234"/>
      <c r="W372" s="234"/>
      <c r="X372" s="234"/>
      <c r="Y372" s="234"/>
      <c r="Z372" s="234"/>
    </row>
    <row r="373" ht="12.0" customHeight="1" outlineLevel="1">
      <c r="A373" s="11" t="str">
        <f>A$211</f>
        <v/>
      </c>
      <c r="B373" s="217"/>
      <c r="C373" s="217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34"/>
      <c r="Q373" s="234"/>
      <c r="R373" s="234"/>
      <c r="S373" s="234"/>
      <c r="T373" s="234"/>
      <c r="U373" s="234"/>
      <c r="V373" s="234"/>
      <c r="W373" s="234"/>
      <c r="X373" s="234"/>
      <c r="Y373" s="234"/>
      <c r="Z373" s="234"/>
    </row>
    <row r="374" ht="12.0" customHeight="1" outlineLevel="1">
      <c r="A374" s="11" t="str">
        <f>A$212</f>
        <v/>
      </c>
      <c r="B374" s="217"/>
      <c r="C374" s="217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34"/>
      <c r="Q374" s="234"/>
      <c r="R374" s="234"/>
      <c r="S374" s="234"/>
      <c r="T374" s="234"/>
      <c r="U374" s="234"/>
      <c r="V374" s="234"/>
      <c r="W374" s="234"/>
      <c r="X374" s="234"/>
      <c r="Y374" s="234"/>
      <c r="Z374" s="234"/>
    </row>
    <row r="375" ht="12.0" customHeight="1" outlineLevel="1">
      <c r="A375" s="11" t="str">
        <f>A$213</f>
        <v/>
      </c>
      <c r="B375" s="217"/>
      <c r="C375" s="217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34"/>
      <c r="Q375" s="234"/>
      <c r="R375" s="234"/>
      <c r="S375" s="234"/>
      <c r="T375" s="234"/>
      <c r="U375" s="234"/>
      <c r="V375" s="234"/>
      <c r="W375" s="234"/>
      <c r="X375" s="234"/>
      <c r="Y375" s="234"/>
      <c r="Z375" s="234"/>
    </row>
    <row r="376" ht="12.0" customHeight="1" outlineLevel="1">
      <c r="A376" s="11" t="str">
        <f>A$214</f>
        <v/>
      </c>
      <c r="B376" s="217"/>
      <c r="C376" s="217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34"/>
      <c r="Q376" s="234"/>
      <c r="R376" s="234"/>
      <c r="S376" s="234"/>
      <c r="T376" s="234"/>
      <c r="U376" s="234"/>
      <c r="V376" s="234"/>
      <c r="W376" s="234"/>
      <c r="X376" s="234"/>
      <c r="Y376" s="234"/>
      <c r="Z376" s="234"/>
    </row>
    <row r="377" ht="12.0" customHeight="1" outlineLevel="1">
      <c r="A377" s="11" t="str">
        <f>A$215</f>
        <v/>
      </c>
      <c r="B377" s="217"/>
      <c r="C377" s="217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34"/>
      <c r="Q377" s="234"/>
      <c r="R377" s="234"/>
      <c r="S377" s="234"/>
      <c r="T377" s="234"/>
      <c r="U377" s="234"/>
      <c r="V377" s="234"/>
      <c r="W377" s="234"/>
      <c r="X377" s="234"/>
      <c r="Y377" s="234"/>
      <c r="Z377" s="234"/>
    </row>
    <row r="378" ht="12.0" customHeight="1" outlineLevel="1">
      <c r="A378" s="11" t="str">
        <f>A$216</f>
        <v/>
      </c>
      <c r="B378" s="217"/>
      <c r="C378" s="217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34"/>
      <c r="Q378" s="234"/>
      <c r="R378" s="234"/>
      <c r="S378" s="234"/>
      <c r="T378" s="234"/>
      <c r="U378" s="234"/>
      <c r="V378" s="234"/>
      <c r="W378" s="234"/>
      <c r="X378" s="234"/>
      <c r="Y378" s="234"/>
      <c r="Z378" s="234"/>
    </row>
    <row r="379" ht="12.0" customHeight="1">
      <c r="A379" s="90" t="s">
        <v>374</v>
      </c>
      <c r="B379" s="217"/>
      <c r="C379" s="243"/>
      <c r="D379" s="241"/>
      <c r="E379" s="241"/>
      <c r="F379" s="241"/>
      <c r="G379" s="241"/>
      <c r="H379" s="241"/>
      <c r="I379" s="241"/>
      <c r="J379" s="241"/>
      <c r="K379" s="241"/>
      <c r="L379" s="241"/>
      <c r="M379" s="241"/>
      <c r="N379" s="241"/>
      <c r="O379" s="241"/>
      <c r="P379" s="234"/>
      <c r="Q379" s="234"/>
      <c r="R379" s="234"/>
      <c r="S379" s="234"/>
      <c r="T379" s="234"/>
      <c r="U379" s="234"/>
      <c r="V379" s="234"/>
      <c r="W379" s="234"/>
      <c r="X379" s="234"/>
      <c r="Y379" s="234"/>
      <c r="Z379" s="234"/>
    </row>
    <row r="380" ht="12.0" customHeight="1" outlineLevel="1">
      <c r="A380" s="11" t="str">
        <f>A$192</f>
        <v/>
      </c>
      <c r="B380" s="217"/>
      <c r="C380" s="217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34"/>
      <c r="Q380" s="234"/>
      <c r="R380" s="234"/>
      <c r="S380" s="234"/>
      <c r="T380" s="234"/>
      <c r="U380" s="234"/>
      <c r="V380" s="234"/>
      <c r="W380" s="234"/>
      <c r="X380" s="234"/>
      <c r="Y380" s="234"/>
      <c r="Z380" s="234"/>
    </row>
    <row r="381" ht="12.0" customHeight="1" outlineLevel="1">
      <c r="A381" s="11" t="str">
        <f>A$193</f>
        <v/>
      </c>
      <c r="B381" s="217"/>
      <c r="C381" s="217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34"/>
      <c r="Q381" s="234"/>
      <c r="R381" s="234"/>
      <c r="S381" s="234"/>
      <c r="T381" s="234"/>
      <c r="U381" s="234"/>
      <c r="V381" s="234"/>
      <c r="W381" s="234"/>
      <c r="X381" s="234"/>
      <c r="Y381" s="234"/>
      <c r="Z381" s="234"/>
    </row>
    <row r="382" ht="12.0" customHeight="1" outlineLevel="1">
      <c r="A382" s="11" t="str">
        <f>A$194</f>
        <v/>
      </c>
      <c r="B382" s="217"/>
      <c r="C382" s="217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34"/>
      <c r="Q382" s="234"/>
      <c r="R382" s="234"/>
      <c r="S382" s="234"/>
      <c r="T382" s="234"/>
      <c r="U382" s="234"/>
      <c r="V382" s="234"/>
      <c r="W382" s="234"/>
      <c r="X382" s="234"/>
      <c r="Y382" s="234"/>
      <c r="Z382" s="234"/>
    </row>
    <row r="383" ht="12.0" customHeight="1" outlineLevel="1">
      <c r="A383" s="11" t="str">
        <f>A$195</f>
        <v/>
      </c>
      <c r="B383" s="217"/>
      <c r="C383" s="217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34"/>
      <c r="Q383" s="234"/>
      <c r="R383" s="234"/>
      <c r="S383" s="234"/>
      <c r="T383" s="234"/>
      <c r="U383" s="234"/>
      <c r="V383" s="234"/>
      <c r="W383" s="234"/>
      <c r="X383" s="234"/>
      <c r="Y383" s="234"/>
      <c r="Z383" s="234"/>
    </row>
    <row r="384" ht="12.0" customHeight="1" outlineLevel="1">
      <c r="A384" s="11" t="str">
        <f>A$196</f>
        <v/>
      </c>
      <c r="B384" s="217"/>
      <c r="C384" s="217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34"/>
      <c r="Q384" s="234"/>
      <c r="R384" s="234"/>
      <c r="S384" s="234"/>
      <c r="T384" s="234"/>
      <c r="U384" s="234"/>
      <c r="V384" s="234"/>
      <c r="W384" s="234"/>
      <c r="X384" s="234"/>
      <c r="Y384" s="234"/>
      <c r="Z384" s="234"/>
    </row>
    <row r="385" ht="12.0" customHeight="1" outlineLevel="1">
      <c r="A385" s="11" t="str">
        <f>A$197</f>
        <v/>
      </c>
      <c r="B385" s="217"/>
      <c r="C385" s="217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34"/>
      <c r="Q385" s="234"/>
      <c r="R385" s="234"/>
      <c r="S385" s="234"/>
      <c r="T385" s="234"/>
      <c r="U385" s="234"/>
      <c r="V385" s="234"/>
      <c r="W385" s="234"/>
      <c r="X385" s="234"/>
      <c r="Y385" s="234"/>
      <c r="Z385" s="234"/>
    </row>
    <row r="386" ht="12.0" customHeight="1" outlineLevel="1">
      <c r="A386" s="11" t="str">
        <f>A$198</f>
        <v/>
      </c>
      <c r="B386" s="217"/>
      <c r="C386" s="217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34"/>
      <c r="Q386" s="234"/>
      <c r="R386" s="234"/>
      <c r="S386" s="234"/>
      <c r="T386" s="234"/>
      <c r="U386" s="234"/>
      <c r="V386" s="234"/>
      <c r="W386" s="234"/>
      <c r="X386" s="234"/>
      <c r="Y386" s="234"/>
      <c r="Z386" s="234"/>
    </row>
    <row r="387" ht="12.0" customHeight="1" outlineLevel="1">
      <c r="A387" s="11" t="str">
        <f>A$199</f>
        <v/>
      </c>
      <c r="B387" s="217"/>
      <c r="C387" s="217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34"/>
      <c r="Q387" s="234"/>
      <c r="R387" s="234"/>
      <c r="S387" s="234"/>
      <c r="T387" s="234"/>
      <c r="U387" s="234"/>
      <c r="V387" s="234"/>
      <c r="W387" s="234"/>
      <c r="X387" s="234"/>
      <c r="Y387" s="234"/>
      <c r="Z387" s="234"/>
    </row>
    <row r="388" ht="12.0" customHeight="1" outlineLevel="1">
      <c r="A388" s="11" t="str">
        <f t="shared" ref="A388:A394" si="203">A$200</f>
        <v/>
      </c>
      <c r="B388" s="217"/>
      <c r="C388" s="217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34"/>
      <c r="Q388" s="234"/>
      <c r="R388" s="234"/>
      <c r="S388" s="234"/>
      <c r="T388" s="234"/>
      <c r="U388" s="234"/>
      <c r="V388" s="234"/>
      <c r="W388" s="234"/>
      <c r="X388" s="234"/>
      <c r="Y388" s="234"/>
      <c r="Z388" s="234"/>
    </row>
    <row r="389" ht="12.0" customHeight="1" outlineLevel="1">
      <c r="A389" s="11" t="str">
        <f t="shared" si="203"/>
        <v/>
      </c>
      <c r="B389" s="217"/>
      <c r="C389" s="217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34"/>
      <c r="Q389" s="234"/>
      <c r="R389" s="234"/>
      <c r="S389" s="234"/>
      <c r="T389" s="234"/>
      <c r="U389" s="234"/>
      <c r="V389" s="234"/>
      <c r="W389" s="234"/>
      <c r="X389" s="234"/>
      <c r="Y389" s="234"/>
      <c r="Z389" s="234"/>
    </row>
    <row r="390" ht="12.0" customHeight="1" outlineLevel="1">
      <c r="A390" s="11" t="str">
        <f t="shared" si="203"/>
        <v/>
      </c>
      <c r="B390" s="217"/>
      <c r="C390" s="217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34"/>
      <c r="Q390" s="234"/>
      <c r="R390" s="234"/>
      <c r="S390" s="234"/>
      <c r="T390" s="234"/>
      <c r="U390" s="234"/>
      <c r="V390" s="234"/>
      <c r="W390" s="234"/>
      <c r="X390" s="234"/>
      <c r="Y390" s="234"/>
      <c r="Z390" s="234"/>
    </row>
    <row r="391" ht="12.0" customHeight="1" outlineLevel="1">
      <c r="A391" s="11" t="str">
        <f t="shared" si="203"/>
        <v/>
      </c>
      <c r="B391" s="217"/>
      <c r="C391" s="217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34"/>
      <c r="Q391" s="234"/>
      <c r="R391" s="234"/>
      <c r="S391" s="234"/>
      <c r="T391" s="234"/>
      <c r="U391" s="234"/>
      <c r="V391" s="234"/>
      <c r="W391" s="234"/>
      <c r="X391" s="234"/>
      <c r="Y391" s="234"/>
      <c r="Z391" s="234"/>
    </row>
    <row r="392" ht="12.0" customHeight="1" outlineLevel="1">
      <c r="A392" s="11" t="str">
        <f t="shared" si="203"/>
        <v/>
      </c>
      <c r="B392" s="217"/>
      <c r="C392" s="217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34"/>
      <c r="Q392" s="234"/>
      <c r="R392" s="234"/>
      <c r="S392" s="234"/>
      <c r="T392" s="234"/>
      <c r="U392" s="234"/>
      <c r="V392" s="234"/>
      <c r="W392" s="234"/>
      <c r="X392" s="234"/>
      <c r="Y392" s="234"/>
      <c r="Z392" s="234"/>
    </row>
    <row r="393" ht="12.0" customHeight="1" outlineLevel="1">
      <c r="A393" s="11" t="str">
        <f t="shared" si="203"/>
        <v/>
      </c>
      <c r="B393" s="217"/>
      <c r="C393" s="217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34"/>
      <c r="Q393" s="234"/>
      <c r="R393" s="234"/>
      <c r="S393" s="234"/>
      <c r="T393" s="234"/>
      <c r="U393" s="234"/>
      <c r="V393" s="234"/>
      <c r="W393" s="234"/>
      <c r="X393" s="234"/>
      <c r="Y393" s="234"/>
      <c r="Z393" s="234"/>
    </row>
    <row r="394" ht="12.0" customHeight="1" outlineLevel="1">
      <c r="A394" s="11" t="str">
        <f t="shared" si="203"/>
        <v/>
      </c>
      <c r="B394" s="217"/>
      <c r="C394" s="217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34"/>
      <c r="Q394" s="234"/>
      <c r="R394" s="234"/>
      <c r="S394" s="234"/>
      <c r="T394" s="234"/>
      <c r="U394" s="234"/>
      <c r="V394" s="234"/>
      <c r="W394" s="234"/>
      <c r="X394" s="234"/>
      <c r="Y394" s="234"/>
      <c r="Z394" s="234"/>
    </row>
    <row r="395" ht="12.0" customHeight="1" outlineLevel="1">
      <c r="A395" s="11" t="str">
        <f>A$207</f>
        <v/>
      </c>
      <c r="B395" s="217"/>
      <c r="C395" s="217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34"/>
      <c r="Q395" s="234"/>
      <c r="R395" s="234"/>
      <c r="S395" s="234"/>
      <c r="T395" s="234"/>
      <c r="U395" s="234"/>
      <c r="V395" s="234"/>
      <c r="W395" s="234"/>
      <c r="X395" s="234"/>
      <c r="Y395" s="234"/>
      <c r="Z395" s="234"/>
    </row>
    <row r="396" ht="12.0" customHeight="1" outlineLevel="1">
      <c r="A396" s="11" t="str">
        <f>A$208</f>
        <v/>
      </c>
      <c r="B396" s="217"/>
      <c r="C396" s="217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34"/>
      <c r="Q396" s="234"/>
      <c r="R396" s="234"/>
      <c r="S396" s="234"/>
      <c r="T396" s="234"/>
      <c r="U396" s="234"/>
      <c r="V396" s="234"/>
      <c r="W396" s="234"/>
      <c r="X396" s="234"/>
      <c r="Y396" s="234"/>
      <c r="Z396" s="234"/>
    </row>
    <row r="397" ht="12.0" customHeight="1" outlineLevel="1">
      <c r="A397" s="11" t="str">
        <f>A$209</f>
        <v/>
      </c>
      <c r="B397" s="217"/>
      <c r="C397" s="217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34"/>
      <c r="Q397" s="234"/>
      <c r="R397" s="234"/>
      <c r="S397" s="234"/>
      <c r="T397" s="234"/>
      <c r="U397" s="234"/>
      <c r="V397" s="234"/>
      <c r="W397" s="234"/>
      <c r="X397" s="234"/>
      <c r="Y397" s="234"/>
      <c r="Z397" s="234"/>
    </row>
    <row r="398" ht="12.0" customHeight="1" outlineLevel="1">
      <c r="A398" s="11" t="str">
        <f>A$210</f>
        <v/>
      </c>
      <c r="B398" s="217"/>
      <c r="C398" s="217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34"/>
      <c r="Q398" s="234"/>
      <c r="R398" s="234"/>
      <c r="S398" s="234"/>
      <c r="T398" s="234"/>
      <c r="U398" s="234"/>
      <c r="V398" s="234"/>
      <c r="W398" s="234"/>
      <c r="X398" s="234"/>
      <c r="Y398" s="234"/>
      <c r="Z398" s="234"/>
    </row>
    <row r="399" ht="12.0" customHeight="1" outlineLevel="1">
      <c r="A399" s="11" t="str">
        <f>A$211</f>
        <v/>
      </c>
      <c r="B399" s="217"/>
      <c r="C399" s="217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34"/>
      <c r="Q399" s="234"/>
      <c r="R399" s="234"/>
      <c r="S399" s="234"/>
      <c r="T399" s="234"/>
      <c r="U399" s="234"/>
      <c r="V399" s="234"/>
      <c r="W399" s="234"/>
      <c r="X399" s="234"/>
      <c r="Y399" s="234"/>
      <c r="Z399" s="234"/>
    </row>
    <row r="400" ht="12.0" customHeight="1" outlineLevel="1">
      <c r="A400" s="11" t="str">
        <f>A$212</f>
        <v/>
      </c>
      <c r="B400" s="217"/>
      <c r="C400" s="217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34"/>
      <c r="Q400" s="234"/>
      <c r="R400" s="234"/>
      <c r="S400" s="234"/>
      <c r="T400" s="234"/>
      <c r="U400" s="234"/>
      <c r="V400" s="234"/>
      <c r="W400" s="234"/>
      <c r="X400" s="234"/>
      <c r="Y400" s="234"/>
      <c r="Z400" s="234"/>
    </row>
    <row r="401" ht="12.0" customHeight="1" outlineLevel="1">
      <c r="A401" s="11" t="str">
        <f>A$213</f>
        <v/>
      </c>
      <c r="B401" s="217"/>
      <c r="C401" s="217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34"/>
      <c r="Q401" s="234"/>
      <c r="R401" s="234"/>
      <c r="S401" s="234"/>
      <c r="T401" s="234"/>
      <c r="U401" s="234"/>
      <c r="V401" s="234"/>
      <c r="W401" s="234"/>
      <c r="X401" s="234"/>
      <c r="Y401" s="234"/>
      <c r="Z401" s="234"/>
    </row>
    <row r="402" ht="12.0" customHeight="1" outlineLevel="1">
      <c r="A402" s="11" t="str">
        <f>A$214</f>
        <v/>
      </c>
      <c r="B402" s="217"/>
      <c r="C402" s="217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34"/>
      <c r="Q402" s="234"/>
      <c r="R402" s="234"/>
      <c r="S402" s="234"/>
      <c r="T402" s="234"/>
      <c r="U402" s="234"/>
      <c r="V402" s="234"/>
      <c r="W402" s="234"/>
      <c r="X402" s="234"/>
      <c r="Y402" s="234"/>
      <c r="Z402" s="234"/>
    </row>
    <row r="403" ht="12.0" customHeight="1" outlineLevel="1">
      <c r="A403" s="11" t="str">
        <f>A$215</f>
        <v/>
      </c>
      <c r="B403" s="217"/>
      <c r="C403" s="217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34"/>
      <c r="Q403" s="234"/>
      <c r="R403" s="234"/>
      <c r="S403" s="234"/>
      <c r="T403" s="234"/>
      <c r="U403" s="234"/>
      <c r="V403" s="234"/>
      <c r="W403" s="234"/>
      <c r="X403" s="234"/>
      <c r="Y403" s="234"/>
      <c r="Z403" s="234"/>
    </row>
    <row r="404" ht="12.0" customHeight="1" outlineLevel="1">
      <c r="A404" s="11" t="str">
        <f>A$216</f>
        <v/>
      </c>
      <c r="B404" s="217"/>
      <c r="C404" s="217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34"/>
      <c r="Q404" s="234"/>
      <c r="R404" s="234"/>
      <c r="S404" s="234"/>
      <c r="T404" s="234"/>
      <c r="U404" s="234"/>
      <c r="V404" s="234"/>
      <c r="W404" s="234"/>
      <c r="X404" s="234"/>
      <c r="Y404" s="234"/>
      <c r="Z404" s="234"/>
    </row>
    <row r="405" ht="12.0" customHeight="1">
      <c r="A405" s="90" t="s">
        <v>374</v>
      </c>
      <c r="B405" s="217"/>
      <c r="C405" s="243"/>
      <c r="D405" s="241"/>
      <c r="E405" s="241"/>
      <c r="F405" s="241"/>
      <c r="G405" s="241"/>
      <c r="H405" s="241"/>
      <c r="I405" s="241"/>
      <c r="J405" s="241"/>
      <c r="K405" s="241"/>
      <c r="L405" s="241"/>
      <c r="M405" s="241"/>
      <c r="N405" s="241"/>
      <c r="O405" s="241"/>
      <c r="P405" s="234"/>
      <c r="Q405" s="234"/>
      <c r="R405" s="234"/>
      <c r="S405" s="234"/>
      <c r="T405" s="234"/>
      <c r="U405" s="234"/>
      <c r="V405" s="234"/>
      <c r="W405" s="234"/>
      <c r="X405" s="234"/>
      <c r="Y405" s="234"/>
      <c r="Z405" s="234"/>
    </row>
    <row r="406" ht="12.0" customHeight="1" outlineLevel="1">
      <c r="A406" s="11" t="str">
        <f>A$192</f>
        <v/>
      </c>
      <c r="B406" s="217"/>
      <c r="C406" s="217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34"/>
      <c r="Q406" s="234"/>
      <c r="R406" s="234"/>
      <c r="S406" s="234"/>
      <c r="T406" s="234"/>
      <c r="U406" s="234"/>
      <c r="V406" s="234"/>
      <c r="W406" s="234"/>
      <c r="X406" s="234"/>
      <c r="Y406" s="234"/>
      <c r="Z406" s="234"/>
    </row>
    <row r="407" ht="12.0" customHeight="1" outlineLevel="1">
      <c r="A407" s="11" t="str">
        <f>A$193</f>
        <v/>
      </c>
      <c r="B407" s="217"/>
      <c r="C407" s="217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34"/>
      <c r="Q407" s="234"/>
      <c r="R407" s="234"/>
      <c r="S407" s="234"/>
      <c r="T407" s="234"/>
      <c r="U407" s="234"/>
      <c r="V407" s="234"/>
      <c r="W407" s="234"/>
      <c r="X407" s="234"/>
      <c r="Y407" s="234"/>
      <c r="Z407" s="234"/>
    </row>
    <row r="408" ht="12.0" customHeight="1" outlineLevel="1">
      <c r="A408" s="11" t="str">
        <f>A$194</f>
        <v/>
      </c>
      <c r="B408" s="217"/>
      <c r="C408" s="217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34"/>
      <c r="Q408" s="234"/>
      <c r="R408" s="234"/>
      <c r="S408" s="234"/>
      <c r="T408" s="234"/>
      <c r="U408" s="234"/>
      <c r="V408" s="234"/>
      <c r="W408" s="234"/>
      <c r="X408" s="234"/>
      <c r="Y408" s="234"/>
      <c r="Z408" s="234"/>
    </row>
    <row r="409" ht="12.0" customHeight="1" outlineLevel="1">
      <c r="A409" s="11" t="str">
        <f>A$195</f>
        <v/>
      </c>
      <c r="B409" s="217"/>
      <c r="C409" s="217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34"/>
      <c r="Q409" s="234"/>
      <c r="R409" s="234"/>
      <c r="S409" s="234"/>
      <c r="T409" s="234"/>
      <c r="U409" s="234"/>
      <c r="V409" s="234"/>
      <c r="W409" s="234"/>
      <c r="X409" s="234"/>
      <c r="Y409" s="234"/>
      <c r="Z409" s="234"/>
    </row>
    <row r="410" ht="12.0" customHeight="1" outlineLevel="1">
      <c r="A410" s="11" t="str">
        <f>A$196</f>
        <v/>
      </c>
      <c r="B410" s="217"/>
      <c r="C410" s="217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34"/>
      <c r="Q410" s="234"/>
      <c r="R410" s="234"/>
      <c r="S410" s="234"/>
      <c r="T410" s="234"/>
      <c r="U410" s="234"/>
      <c r="V410" s="234"/>
      <c r="W410" s="234"/>
      <c r="X410" s="234"/>
      <c r="Y410" s="234"/>
      <c r="Z410" s="234"/>
    </row>
    <row r="411" ht="12.0" customHeight="1" outlineLevel="1">
      <c r="A411" s="11" t="str">
        <f>A$197</f>
        <v/>
      </c>
      <c r="B411" s="217"/>
      <c r="C411" s="217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34"/>
      <c r="Q411" s="234"/>
      <c r="R411" s="234"/>
      <c r="S411" s="234"/>
      <c r="T411" s="234"/>
      <c r="U411" s="234"/>
      <c r="V411" s="234"/>
      <c r="W411" s="234"/>
      <c r="X411" s="234"/>
      <c r="Y411" s="234"/>
      <c r="Z411" s="234"/>
    </row>
    <row r="412" ht="12.0" customHeight="1" outlineLevel="1">
      <c r="A412" s="11" t="str">
        <f>A$198</f>
        <v/>
      </c>
      <c r="B412" s="217"/>
      <c r="C412" s="217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34"/>
      <c r="Q412" s="234"/>
      <c r="R412" s="234"/>
      <c r="S412" s="234"/>
      <c r="T412" s="234"/>
      <c r="U412" s="234"/>
      <c r="V412" s="234"/>
      <c r="W412" s="234"/>
      <c r="X412" s="234"/>
      <c r="Y412" s="234"/>
      <c r="Z412" s="234"/>
    </row>
    <row r="413" ht="12.0" customHeight="1" outlineLevel="1">
      <c r="A413" s="11" t="str">
        <f>A$199</f>
        <v/>
      </c>
      <c r="B413" s="217"/>
      <c r="C413" s="217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34"/>
      <c r="Q413" s="234"/>
      <c r="R413" s="234"/>
      <c r="S413" s="234"/>
      <c r="T413" s="234"/>
      <c r="U413" s="234"/>
      <c r="V413" s="234"/>
      <c r="W413" s="234"/>
      <c r="X413" s="234"/>
      <c r="Y413" s="234"/>
      <c r="Z413" s="234"/>
    </row>
    <row r="414" ht="12.0" customHeight="1" outlineLevel="1">
      <c r="A414" s="11" t="str">
        <f>A$200</f>
        <v/>
      </c>
      <c r="B414" s="217"/>
      <c r="C414" s="217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34"/>
      <c r="Q414" s="234"/>
      <c r="R414" s="234"/>
      <c r="S414" s="234"/>
      <c r="T414" s="234"/>
      <c r="U414" s="234"/>
      <c r="V414" s="234"/>
      <c r="W414" s="234"/>
      <c r="X414" s="234"/>
      <c r="Y414" s="234"/>
      <c r="Z414" s="234"/>
    </row>
    <row r="415" ht="12.0" customHeight="1" outlineLevel="1">
      <c r="A415" s="11" t="str">
        <f t="shared" ref="A415:A417" si="204">A$201</f>
        <v/>
      </c>
      <c r="B415" s="217"/>
      <c r="C415" s="217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34"/>
      <c r="Q415" s="234"/>
      <c r="R415" s="234"/>
      <c r="S415" s="234"/>
      <c r="T415" s="234"/>
      <c r="U415" s="234"/>
      <c r="V415" s="234"/>
      <c r="W415" s="234"/>
      <c r="X415" s="234"/>
      <c r="Y415" s="234"/>
      <c r="Z415" s="234"/>
    </row>
    <row r="416" ht="12.0" customHeight="1" outlineLevel="1">
      <c r="A416" s="11" t="str">
        <f t="shared" si="204"/>
        <v/>
      </c>
      <c r="B416" s="217"/>
      <c r="C416" s="217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34"/>
      <c r="Q416" s="234"/>
      <c r="R416" s="234"/>
      <c r="S416" s="234"/>
      <c r="T416" s="234"/>
      <c r="U416" s="234"/>
      <c r="V416" s="234"/>
      <c r="W416" s="234"/>
      <c r="X416" s="234"/>
      <c r="Y416" s="234"/>
      <c r="Z416" s="234"/>
    </row>
    <row r="417" ht="12.0" customHeight="1" outlineLevel="1">
      <c r="A417" s="11" t="str">
        <f t="shared" si="204"/>
        <v/>
      </c>
      <c r="B417" s="217"/>
      <c r="C417" s="217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34"/>
      <c r="Q417" s="234"/>
      <c r="R417" s="234"/>
      <c r="S417" s="234"/>
      <c r="T417" s="234"/>
      <c r="U417" s="234"/>
      <c r="V417" s="234"/>
      <c r="W417" s="234"/>
      <c r="X417" s="234"/>
      <c r="Y417" s="234"/>
      <c r="Z417" s="234"/>
    </row>
    <row r="418" ht="12.0" customHeight="1" outlineLevel="1">
      <c r="A418" s="11" t="str">
        <f>A$204</f>
        <v/>
      </c>
      <c r="B418" s="217"/>
      <c r="C418" s="217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34"/>
      <c r="Q418" s="234"/>
      <c r="R418" s="234"/>
      <c r="S418" s="234"/>
      <c r="T418" s="234"/>
      <c r="U418" s="234"/>
      <c r="V418" s="234"/>
      <c r="W418" s="234"/>
      <c r="X418" s="234"/>
      <c r="Y418" s="234"/>
      <c r="Z418" s="234"/>
    </row>
    <row r="419" ht="12.0" customHeight="1" outlineLevel="1">
      <c r="A419" s="11" t="str">
        <f>A$205</f>
        <v/>
      </c>
      <c r="B419" s="217"/>
      <c r="C419" s="217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34"/>
      <c r="Q419" s="234"/>
      <c r="R419" s="234"/>
      <c r="S419" s="234"/>
      <c r="T419" s="234"/>
      <c r="U419" s="234"/>
      <c r="V419" s="234"/>
      <c r="W419" s="234"/>
      <c r="X419" s="234"/>
      <c r="Y419" s="234"/>
      <c r="Z419" s="234"/>
    </row>
    <row r="420" ht="12.0" customHeight="1" outlineLevel="1">
      <c r="A420" s="11" t="str">
        <f>A$206</f>
        <v/>
      </c>
      <c r="B420" s="217"/>
      <c r="C420" s="217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34"/>
      <c r="Q420" s="234"/>
      <c r="R420" s="234"/>
      <c r="S420" s="234"/>
      <c r="T420" s="234"/>
      <c r="U420" s="234"/>
      <c r="V420" s="234"/>
      <c r="W420" s="234"/>
      <c r="X420" s="234"/>
      <c r="Y420" s="234"/>
      <c r="Z420" s="234"/>
    </row>
    <row r="421" ht="12.0" customHeight="1" outlineLevel="1">
      <c r="A421" s="11" t="str">
        <f>A$207</f>
        <v/>
      </c>
      <c r="B421" s="217"/>
      <c r="C421" s="217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34"/>
      <c r="Q421" s="234"/>
      <c r="R421" s="234"/>
      <c r="S421" s="234"/>
      <c r="T421" s="234"/>
      <c r="U421" s="234"/>
      <c r="V421" s="234"/>
      <c r="W421" s="234"/>
      <c r="X421" s="234"/>
      <c r="Y421" s="234"/>
      <c r="Z421" s="234"/>
    </row>
    <row r="422" ht="12.0" customHeight="1" outlineLevel="1">
      <c r="A422" s="11" t="str">
        <f>A$208</f>
        <v/>
      </c>
      <c r="B422" s="217"/>
      <c r="C422" s="217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34"/>
      <c r="Q422" s="234"/>
      <c r="R422" s="234"/>
      <c r="S422" s="234"/>
      <c r="T422" s="234"/>
      <c r="U422" s="234"/>
      <c r="V422" s="234"/>
      <c r="W422" s="234"/>
      <c r="X422" s="234"/>
      <c r="Y422" s="234"/>
      <c r="Z422" s="234"/>
    </row>
    <row r="423" ht="12.0" customHeight="1" outlineLevel="1">
      <c r="A423" s="11" t="str">
        <f>A$209</f>
        <v/>
      </c>
      <c r="B423" s="217"/>
      <c r="C423" s="217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34"/>
      <c r="Q423" s="234"/>
      <c r="R423" s="234"/>
      <c r="S423" s="234"/>
      <c r="T423" s="234"/>
      <c r="U423" s="234"/>
      <c r="V423" s="234"/>
      <c r="W423" s="234"/>
      <c r="X423" s="234"/>
      <c r="Y423" s="234"/>
      <c r="Z423" s="234"/>
    </row>
    <row r="424" ht="12.0" customHeight="1" outlineLevel="1">
      <c r="A424" s="11" t="str">
        <f>A$210</f>
        <v/>
      </c>
      <c r="B424" s="217"/>
      <c r="C424" s="217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34"/>
      <c r="Q424" s="234"/>
      <c r="R424" s="234"/>
      <c r="S424" s="234"/>
      <c r="T424" s="234"/>
      <c r="U424" s="234"/>
      <c r="V424" s="234"/>
      <c r="W424" s="234"/>
      <c r="X424" s="234"/>
      <c r="Y424" s="234"/>
      <c r="Z424" s="234"/>
    </row>
    <row r="425" ht="12.0" customHeight="1" outlineLevel="1">
      <c r="A425" s="11" t="str">
        <f>A$211</f>
        <v/>
      </c>
      <c r="B425" s="217"/>
      <c r="C425" s="217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34"/>
      <c r="Q425" s="234"/>
      <c r="R425" s="234"/>
      <c r="S425" s="234"/>
      <c r="T425" s="234"/>
      <c r="U425" s="234"/>
      <c r="V425" s="234"/>
      <c r="W425" s="234"/>
      <c r="X425" s="234"/>
      <c r="Y425" s="234"/>
      <c r="Z425" s="234"/>
    </row>
    <row r="426" ht="12.0" customHeight="1" outlineLevel="1">
      <c r="A426" s="11" t="str">
        <f>A$212</f>
        <v/>
      </c>
      <c r="B426" s="217"/>
      <c r="C426" s="217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34"/>
      <c r="Q426" s="234"/>
      <c r="R426" s="234"/>
      <c r="S426" s="234"/>
      <c r="T426" s="234"/>
      <c r="U426" s="234"/>
      <c r="V426" s="234"/>
      <c r="W426" s="234"/>
      <c r="X426" s="234"/>
      <c r="Y426" s="234"/>
      <c r="Z426" s="234"/>
    </row>
    <row r="427" ht="12.0" customHeight="1" outlineLevel="1">
      <c r="A427" s="11" t="str">
        <f>A$213</f>
        <v/>
      </c>
      <c r="B427" s="217"/>
      <c r="C427" s="217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34"/>
      <c r="Q427" s="234"/>
      <c r="R427" s="234"/>
      <c r="S427" s="234"/>
      <c r="T427" s="234"/>
      <c r="U427" s="234"/>
      <c r="V427" s="234"/>
      <c r="W427" s="234"/>
      <c r="X427" s="234"/>
      <c r="Y427" s="234"/>
      <c r="Z427" s="234"/>
    </row>
    <row r="428" ht="12.0" customHeight="1" outlineLevel="1">
      <c r="A428" s="11" t="str">
        <f>A$214</f>
        <v/>
      </c>
      <c r="B428" s="217"/>
      <c r="C428" s="217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34"/>
      <c r="Q428" s="234"/>
      <c r="R428" s="234"/>
      <c r="S428" s="234"/>
      <c r="T428" s="234"/>
      <c r="U428" s="234"/>
      <c r="V428" s="234"/>
      <c r="W428" s="234"/>
      <c r="X428" s="234"/>
      <c r="Y428" s="234"/>
      <c r="Z428" s="234"/>
    </row>
    <row r="429" ht="12.0" customHeight="1" outlineLevel="1">
      <c r="A429" s="11" t="str">
        <f>A$215</f>
        <v/>
      </c>
      <c r="B429" s="217"/>
      <c r="C429" s="217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34"/>
      <c r="Q429" s="234"/>
      <c r="R429" s="234"/>
      <c r="S429" s="234"/>
      <c r="T429" s="234"/>
      <c r="U429" s="234"/>
      <c r="V429" s="234"/>
      <c r="W429" s="234"/>
      <c r="X429" s="234"/>
      <c r="Y429" s="234"/>
      <c r="Z429" s="234"/>
    </row>
    <row r="430" ht="12.0" customHeight="1" outlineLevel="1">
      <c r="A430" s="11" t="str">
        <f>A$216</f>
        <v/>
      </c>
      <c r="B430" s="217"/>
      <c r="C430" s="217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34"/>
      <c r="Q430" s="234"/>
      <c r="R430" s="234"/>
      <c r="S430" s="234"/>
      <c r="T430" s="234"/>
      <c r="U430" s="234"/>
      <c r="V430" s="234"/>
      <c r="W430" s="234"/>
      <c r="X430" s="234"/>
      <c r="Y430" s="234"/>
      <c r="Z430" s="234"/>
    </row>
    <row r="431" ht="12.0" customHeight="1">
      <c r="A431" s="90" t="s">
        <v>374</v>
      </c>
      <c r="B431" s="217"/>
      <c r="C431" s="243"/>
      <c r="D431" s="241"/>
      <c r="E431" s="241"/>
      <c r="F431" s="241"/>
      <c r="G431" s="241"/>
      <c r="H431" s="241"/>
      <c r="I431" s="241"/>
      <c r="J431" s="241"/>
      <c r="K431" s="241"/>
      <c r="L431" s="241"/>
      <c r="M431" s="241"/>
      <c r="N431" s="241"/>
      <c r="O431" s="241"/>
      <c r="P431" s="234"/>
      <c r="Q431" s="234"/>
      <c r="R431" s="234"/>
      <c r="S431" s="234"/>
      <c r="T431" s="234"/>
      <c r="U431" s="234"/>
      <c r="V431" s="234"/>
      <c r="W431" s="234"/>
      <c r="X431" s="234"/>
      <c r="Y431" s="234"/>
      <c r="Z431" s="234"/>
    </row>
    <row r="432" ht="12.0" customHeight="1" outlineLevel="1">
      <c r="A432" s="11" t="str">
        <f>A$192</f>
        <v/>
      </c>
      <c r="B432" s="217"/>
      <c r="C432" s="217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34"/>
      <c r="Q432" s="234"/>
      <c r="R432" s="234"/>
      <c r="S432" s="234"/>
      <c r="T432" s="234"/>
      <c r="U432" s="234"/>
      <c r="V432" s="234"/>
      <c r="W432" s="234"/>
      <c r="X432" s="234"/>
      <c r="Y432" s="234"/>
      <c r="Z432" s="234"/>
    </row>
    <row r="433" ht="12.0" customHeight="1" outlineLevel="1">
      <c r="A433" s="11" t="str">
        <f>A$193</f>
        <v/>
      </c>
      <c r="B433" s="217"/>
      <c r="C433" s="217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34"/>
      <c r="Q433" s="234"/>
      <c r="R433" s="234"/>
      <c r="S433" s="234"/>
      <c r="T433" s="234"/>
      <c r="U433" s="234"/>
      <c r="V433" s="234"/>
      <c r="W433" s="234"/>
      <c r="X433" s="234"/>
      <c r="Y433" s="234"/>
      <c r="Z433" s="234"/>
    </row>
    <row r="434" ht="12.0" customHeight="1" outlineLevel="1">
      <c r="A434" s="11" t="str">
        <f>A$194</f>
        <v/>
      </c>
      <c r="B434" s="217"/>
      <c r="C434" s="217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34"/>
      <c r="Q434" s="234"/>
      <c r="R434" s="234"/>
      <c r="S434" s="234"/>
      <c r="T434" s="234"/>
      <c r="U434" s="234"/>
      <c r="V434" s="234"/>
      <c r="W434" s="234"/>
      <c r="X434" s="234"/>
      <c r="Y434" s="234"/>
      <c r="Z434" s="234"/>
    </row>
    <row r="435" ht="12.0" customHeight="1" outlineLevel="1">
      <c r="A435" s="11" t="str">
        <f>A$195</f>
        <v/>
      </c>
      <c r="B435" s="217"/>
      <c r="C435" s="217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34"/>
      <c r="Q435" s="234"/>
      <c r="R435" s="234"/>
      <c r="S435" s="234"/>
      <c r="T435" s="234"/>
      <c r="U435" s="234"/>
      <c r="V435" s="234"/>
      <c r="W435" s="234"/>
      <c r="X435" s="234"/>
      <c r="Y435" s="234"/>
      <c r="Z435" s="234"/>
    </row>
    <row r="436" ht="12.0" customHeight="1" outlineLevel="1">
      <c r="A436" s="11" t="str">
        <f>A$196</f>
        <v/>
      </c>
      <c r="B436" s="217"/>
      <c r="C436" s="217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34"/>
      <c r="Q436" s="234"/>
      <c r="R436" s="234"/>
      <c r="S436" s="234"/>
      <c r="T436" s="234"/>
      <c r="U436" s="234"/>
      <c r="V436" s="234"/>
      <c r="W436" s="234"/>
      <c r="X436" s="234"/>
      <c r="Y436" s="234"/>
      <c r="Z436" s="234"/>
    </row>
    <row r="437" ht="12.0" customHeight="1" outlineLevel="1">
      <c r="A437" s="11" t="str">
        <f>A$197</f>
        <v/>
      </c>
      <c r="B437" s="217"/>
      <c r="C437" s="217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34"/>
      <c r="Q437" s="234"/>
      <c r="R437" s="234"/>
      <c r="S437" s="234"/>
      <c r="T437" s="234"/>
      <c r="U437" s="234"/>
      <c r="V437" s="234"/>
      <c r="W437" s="234"/>
      <c r="X437" s="234"/>
      <c r="Y437" s="234"/>
      <c r="Z437" s="234"/>
    </row>
    <row r="438" ht="12.0" customHeight="1" outlineLevel="1">
      <c r="A438" s="11" t="str">
        <f>A$198</f>
        <v/>
      </c>
      <c r="B438" s="217"/>
      <c r="C438" s="217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34"/>
      <c r="Q438" s="234"/>
      <c r="R438" s="234"/>
      <c r="S438" s="234"/>
      <c r="T438" s="234"/>
      <c r="U438" s="234"/>
      <c r="V438" s="234"/>
      <c r="W438" s="234"/>
      <c r="X438" s="234"/>
      <c r="Y438" s="234"/>
      <c r="Z438" s="234"/>
    </row>
    <row r="439" ht="12.0" customHeight="1" outlineLevel="1">
      <c r="A439" s="11" t="str">
        <f>A$199</f>
        <v/>
      </c>
      <c r="B439" s="217"/>
      <c r="C439" s="217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34"/>
      <c r="Q439" s="234"/>
      <c r="R439" s="234"/>
      <c r="S439" s="234"/>
      <c r="T439" s="234"/>
      <c r="U439" s="234"/>
      <c r="V439" s="234"/>
      <c r="W439" s="234"/>
      <c r="X439" s="234"/>
      <c r="Y439" s="234"/>
      <c r="Z439" s="234"/>
    </row>
    <row r="440" ht="12.0" customHeight="1" outlineLevel="1">
      <c r="A440" s="11" t="str">
        <f t="shared" ref="A440:A446" si="205">A$200</f>
        <v/>
      </c>
      <c r="B440" s="217"/>
      <c r="C440" s="217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34"/>
      <c r="Q440" s="234"/>
      <c r="R440" s="234"/>
      <c r="S440" s="234"/>
      <c r="T440" s="234"/>
      <c r="U440" s="234"/>
      <c r="V440" s="234"/>
      <c r="W440" s="234"/>
      <c r="X440" s="234"/>
      <c r="Y440" s="234"/>
      <c r="Z440" s="234"/>
    </row>
    <row r="441" ht="12.0" customHeight="1" outlineLevel="1">
      <c r="A441" s="11" t="str">
        <f t="shared" si="205"/>
        <v/>
      </c>
      <c r="B441" s="217"/>
      <c r="C441" s="217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34"/>
      <c r="Q441" s="234"/>
      <c r="R441" s="234"/>
      <c r="S441" s="234"/>
      <c r="T441" s="234"/>
      <c r="U441" s="234"/>
      <c r="V441" s="234"/>
      <c r="W441" s="234"/>
      <c r="X441" s="234"/>
      <c r="Y441" s="234"/>
      <c r="Z441" s="234"/>
    </row>
    <row r="442" ht="12.0" customHeight="1" outlineLevel="1">
      <c r="A442" s="11" t="str">
        <f t="shared" si="205"/>
        <v/>
      </c>
      <c r="B442" s="217"/>
      <c r="C442" s="217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34"/>
      <c r="Q442" s="234"/>
      <c r="R442" s="234"/>
      <c r="S442" s="234"/>
      <c r="T442" s="234"/>
      <c r="U442" s="234"/>
      <c r="V442" s="234"/>
      <c r="W442" s="234"/>
      <c r="X442" s="234"/>
      <c r="Y442" s="234"/>
      <c r="Z442" s="234"/>
    </row>
    <row r="443" ht="12.0" customHeight="1" outlineLevel="1">
      <c r="A443" s="11" t="str">
        <f t="shared" si="205"/>
        <v/>
      </c>
      <c r="B443" s="217"/>
      <c r="C443" s="217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34"/>
      <c r="Q443" s="234"/>
      <c r="R443" s="234"/>
      <c r="S443" s="234"/>
      <c r="T443" s="234"/>
      <c r="U443" s="234"/>
      <c r="V443" s="234"/>
      <c r="W443" s="234"/>
      <c r="X443" s="234"/>
      <c r="Y443" s="234"/>
      <c r="Z443" s="234"/>
    </row>
    <row r="444" ht="12.0" customHeight="1" outlineLevel="1">
      <c r="A444" s="11" t="str">
        <f t="shared" si="205"/>
        <v/>
      </c>
      <c r="B444" s="217"/>
      <c r="C444" s="217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</row>
    <row r="445" ht="12.0" customHeight="1" outlineLevel="1">
      <c r="A445" s="11" t="str">
        <f t="shared" si="205"/>
        <v/>
      </c>
      <c r="B445" s="217"/>
      <c r="C445" s="217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34"/>
      <c r="Q445" s="234"/>
      <c r="R445" s="234"/>
      <c r="S445" s="234"/>
      <c r="T445" s="234"/>
      <c r="U445" s="234"/>
      <c r="V445" s="234"/>
      <c r="W445" s="234"/>
      <c r="X445" s="234"/>
      <c r="Y445" s="234"/>
      <c r="Z445" s="234"/>
    </row>
    <row r="446" ht="12.0" customHeight="1" outlineLevel="1">
      <c r="A446" s="11" t="str">
        <f t="shared" si="205"/>
        <v/>
      </c>
      <c r="B446" s="217"/>
      <c r="C446" s="217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34"/>
      <c r="Q446" s="234"/>
      <c r="R446" s="234"/>
      <c r="S446" s="234"/>
      <c r="T446" s="234"/>
      <c r="U446" s="234"/>
      <c r="V446" s="234"/>
      <c r="W446" s="234"/>
      <c r="X446" s="234"/>
      <c r="Y446" s="234"/>
      <c r="Z446" s="234"/>
    </row>
    <row r="447" ht="12.0" customHeight="1" outlineLevel="1">
      <c r="A447" s="11" t="str">
        <f>A$207</f>
        <v/>
      </c>
      <c r="B447" s="217"/>
      <c r="C447" s="217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34"/>
      <c r="Q447" s="234"/>
      <c r="R447" s="234"/>
      <c r="S447" s="234"/>
      <c r="T447" s="234"/>
      <c r="U447" s="234"/>
      <c r="V447" s="234"/>
      <c r="W447" s="234"/>
      <c r="X447" s="234"/>
      <c r="Y447" s="234"/>
      <c r="Z447" s="234"/>
    </row>
    <row r="448" ht="12.0" customHeight="1" outlineLevel="1">
      <c r="A448" s="11" t="str">
        <f>A$208</f>
        <v/>
      </c>
      <c r="B448" s="217"/>
      <c r="C448" s="217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34"/>
      <c r="Q448" s="234"/>
      <c r="R448" s="234"/>
      <c r="S448" s="234"/>
      <c r="T448" s="234"/>
      <c r="U448" s="234"/>
      <c r="V448" s="234"/>
      <c r="W448" s="234"/>
      <c r="X448" s="234"/>
      <c r="Y448" s="234"/>
      <c r="Z448" s="234"/>
    </row>
    <row r="449" ht="12.0" customHeight="1" outlineLevel="1">
      <c r="A449" s="11" t="str">
        <f>A$209</f>
        <v/>
      </c>
      <c r="B449" s="217"/>
      <c r="C449" s="217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34"/>
      <c r="Q449" s="234"/>
      <c r="R449" s="234"/>
      <c r="S449" s="234"/>
      <c r="T449" s="234"/>
      <c r="U449" s="234"/>
      <c r="V449" s="234"/>
      <c r="W449" s="234"/>
      <c r="X449" s="234"/>
      <c r="Y449" s="234"/>
      <c r="Z449" s="234"/>
    </row>
    <row r="450" ht="12.0" customHeight="1" outlineLevel="1">
      <c r="A450" s="11" t="str">
        <f>A$210</f>
        <v/>
      </c>
      <c r="B450" s="217"/>
      <c r="C450" s="217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34"/>
      <c r="Q450" s="234"/>
      <c r="R450" s="234"/>
      <c r="S450" s="234"/>
      <c r="T450" s="234"/>
      <c r="U450" s="234"/>
      <c r="V450" s="234"/>
      <c r="W450" s="234"/>
      <c r="X450" s="234"/>
      <c r="Y450" s="234"/>
      <c r="Z450" s="234"/>
    </row>
    <row r="451" ht="12.0" customHeight="1" outlineLevel="1">
      <c r="A451" s="11" t="str">
        <f>A$211</f>
        <v/>
      </c>
      <c r="B451" s="217"/>
      <c r="C451" s="217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34"/>
      <c r="Q451" s="234"/>
      <c r="R451" s="234"/>
      <c r="S451" s="234"/>
      <c r="T451" s="234"/>
      <c r="U451" s="234"/>
      <c r="V451" s="234"/>
      <c r="W451" s="234"/>
      <c r="X451" s="234"/>
      <c r="Y451" s="234"/>
      <c r="Z451" s="234"/>
    </row>
    <row r="452" ht="12.0" customHeight="1" outlineLevel="1">
      <c r="A452" s="11" t="str">
        <f>A$212</f>
        <v/>
      </c>
      <c r="B452" s="217"/>
      <c r="C452" s="217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34"/>
      <c r="Q452" s="234"/>
      <c r="R452" s="234"/>
      <c r="S452" s="234"/>
      <c r="T452" s="234"/>
      <c r="U452" s="234"/>
      <c r="V452" s="234"/>
      <c r="W452" s="234"/>
      <c r="X452" s="234"/>
      <c r="Y452" s="234"/>
      <c r="Z452" s="234"/>
    </row>
    <row r="453" ht="12.0" customHeight="1" outlineLevel="1">
      <c r="A453" s="11" t="str">
        <f>A$213</f>
        <v/>
      </c>
      <c r="B453" s="217"/>
      <c r="C453" s="217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34"/>
      <c r="Q453" s="234"/>
      <c r="R453" s="234"/>
      <c r="S453" s="234"/>
      <c r="T453" s="234"/>
      <c r="U453" s="234"/>
      <c r="V453" s="234"/>
      <c r="W453" s="234"/>
      <c r="X453" s="234"/>
      <c r="Y453" s="234"/>
      <c r="Z453" s="234"/>
    </row>
    <row r="454" ht="12.0" customHeight="1" outlineLevel="1">
      <c r="A454" s="11" t="str">
        <f>A$214</f>
        <v/>
      </c>
      <c r="B454" s="217"/>
      <c r="C454" s="217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34"/>
      <c r="Q454" s="234"/>
      <c r="R454" s="234"/>
      <c r="S454" s="234"/>
      <c r="T454" s="234"/>
      <c r="U454" s="234"/>
      <c r="V454" s="234"/>
      <c r="W454" s="234"/>
      <c r="X454" s="234"/>
      <c r="Y454" s="234"/>
      <c r="Z454" s="234"/>
    </row>
    <row r="455" ht="12.0" customHeight="1" outlineLevel="1">
      <c r="A455" s="11" t="str">
        <f>A$215</f>
        <v/>
      </c>
      <c r="B455" s="217"/>
      <c r="C455" s="217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34"/>
      <c r="Q455" s="234"/>
      <c r="R455" s="234"/>
      <c r="S455" s="234"/>
      <c r="T455" s="234"/>
      <c r="U455" s="234"/>
      <c r="V455" s="234"/>
      <c r="W455" s="234"/>
      <c r="X455" s="234"/>
      <c r="Y455" s="234"/>
      <c r="Z455" s="234"/>
    </row>
    <row r="456" ht="12.0" customHeight="1" outlineLevel="1">
      <c r="A456" s="11" t="str">
        <f>A$216</f>
        <v/>
      </c>
      <c r="B456" s="217"/>
      <c r="C456" s="217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34"/>
      <c r="Q456" s="234"/>
      <c r="R456" s="234"/>
      <c r="S456" s="234"/>
      <c r="T456" s="234"/>
      <c r="U456" s="234"/>
      <c r="V456" s="234"/>
      <c r="W456" s="234"/>
      <c r="X456" s="234"/>
      <c r="Y456" s="234"/>
      <c r="Z456" s="234"/>
    </row>
    <row r="457" ht="12.0" customHeight="1">
      <c r="A457" s="90" t="s">
        <v>374</v>
      </c>
      <c r="B457" s="217"/>
      <c r="C457" s="243"/>
      <c r="D457" s="241"/>
      <c r="E457" s="241"/>
      <c r="F457" s="241"/>
      <c r="G457" s="241"/>
      <c r="H457" s="241"/>
      <c r="I457" s="241"/>
      <c r="J457" s="241"/>
      <c r="K457" s="241"/>
      <c r="L457" s="241"/>
      <c r="M457" s="241"/>
      <c r="N457" s="241"/>
      <c r="O457" s="241"/>
      <c r="P457" s="234"/>
      <c r="Q457" s="234"/>
      <c r="R457" s="234"/>
      <c r="S457" s="234"/>
      <c r="T457" s="234"/>
      <c r="U457" s="234"/>
      <c r="V457" s="234"/>
      <c r="W457" s="234"/>
      <c r="X457" s="234"/>
      <c r="Y457" s="234"/>
      <c r="Z457" s="234"/>
    </row>
    <row r="458" ht="12.0" customHeight="1" outlineLevel="1">
      <c r="A458" s="11" t="str">
        <f>A$192</f>
        <v/>
      </c>
      <c r="B458" s="217"/>
      <c r="C458" s="217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34"/>
      <c r="Q458" s="234"/>
      <c r="R458" s="234"/>
      <c r="S458" s="234"/>
      <c r="T458" s="234"/>
      <c r="U458" s="234"/>
      <c r="V458" s="234"/>
      <c r="W458" s="234"/>
      <c r="X458" s="234"/>
      <c r="Y458" s="234"/>
      <c r="Z458" s="234"/>
    </row>
    <row r="459" ht="12.0" customHeight="1" outlineLevel="1">
      <c r="A459" s="11" t="str">
        <f>A$193</f>
        <v/>
      </c>
      <c r="B459" s="217"/>
      <c r="C459" s="217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34"/>
      <c r="Q459" s="234"/>
      <c r="R459" s="234"/>
      <c r="S459" s="234"/>
      <c r="T459" s="234"/>
      <c r="U459" s="234"/>
      <c r="V459" s="234"/>
      <c r="W459" s="234"/>
      <c r="X459" s="234"/>
      <c r="Y459" s="234"/>
      <c r="Z459" s="234"/>
    </row>
    <row r="460" ht="12.0" customHeight="1" outlineLevel="1">
      <c r="A460" s="11" t="str">
        <f>A$194</f>
        <v/>
      </c>
      <c r="B460" s="217"/>
      <c r="C460" s="217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34"/>
      <c r="Q460" s="234"/>
      <c r="R460" s="234"/>
      <c r="S460" s="234"/>
      <c r="T460" s="234"/>
      <c r="U460" s="234"/>
      <c r="V460" s="234"/>
      <c r="W460" s="234"/>
      <c r="X460" s="234"/>
      <c r="Y460" s="234"/>
      <c r="Z460" s="234"/>
    </row>
    <row r="461" ht="12.0" customHeight="1" outlineLevel="1">
      <c r="A461" s="11" t="str">
        <f>A$195</f>
        <v/>
      </c>
      <c r="B461" s="217"/>
      <c r="C461" s="217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34"/>
      <c r="Q461" s="234"/>
      <c r="R461" s="234"/>
      <c r="S461" s="234"/>
      <c r="T461" s="234"/>
      <c r="U461" s="234"/>
      <c r="V461" s="234"/>
      <c r="W461" s="234"/>
      <c r="X461" s="234"/>
      <c r="Y461" s="234"/>
      <c r="Z461" s="234"/>
    </row>
    <row r="462" ht="12.0" customHeight="1" outlineLevel="1">
      <c r="A462" s="11" t="str">
        <f>A$196</f>
        <v/>
      </c>
      <c r="B462" s="217"/>
      <c r="C462" s="217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34"/>
      <c r="Q462" s="234"/>
      <c r="R462" s="234"/>
      <c r="S462" s="234"/>
      <c r="T462" s="234"/>
      <c r="U462" s="234"/>
      <c r="V462" s="234"/>
      <c r="W462" s="234"/>
      <c r="X462" s="234"/>
      <c r="Y462" s="234"/>
      <c r="Z462" s="234"/>
    </row>
    <row r="463" ht="12.0" customHeight="1" outlineLevel="1">
      <c r="A463" s="11" t="str">
        <f>A$197</f>
        <v/>
      </c>
      <c r="B463" s="217"/>
      <c r="C463" s="217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34"/>
      <c r="Q463" s="234"/>
      <c r="R463" s="234"/>
      <c r="S463" s="234"/>
      <c r="T463" s="234"/>
      <c r="U463" s="234"/>
      <c r="V463" s="234"/>
      <c r="W463" s="234"/>
      <c r="X463" s="234"/>
      <c r="Y463" s="234"/>
      <c r="Z463" s="234"/>
    </row>
    <row r="464" ht="12.0" customHeight="1" outlineLevel="1">
      <c r="A464" s="11" t="str">
        <f>A$198</f>
        <v/>
      </c>
      <c r="B464" s="217"/>
      <c r="C464" s="217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34"/>
      <c r="Q464" s="234"/>
      <c r="R464" s="234"/>
      <c r="S464" s="234"/>
      <c r="T464" s="234"/>
      <c r="U464" s="234"/>
      <c r="V464" s="234"/>
      <c r="W464" s="234"/>
      <c r="X464" s="234"/>
      <c r="Y464" s="234"/>
      <c r="Z464" s="234"/>
    </row>
    <row r="465" ht="12.0" customHeight="1" outlineLevel="1">
      <c r="A465" s="11" t="str">
        <f t="shared" ref="A465:A471" si="206">A$199</f>
        <v/>
      </c>
      <c r="B465" s="217"/>
      <c r="C465" s="217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34"/>
      <c r="Q465" s="234"/>
      <c r="R465" s="234"/>
      <c r="S465" s="234"/>
      <c r="T465" s="234"/>
      <c r="U465" s="234"/>
      <c r="V465" s="234"/>
      <c r="W465" s="234"/>
      <c r="X465" s="234"/>
      <c r="Y465" s="234"/>
      <c r="Z465" s="234"/>
    </row>
    <row r="466" ht="12.0" customHeight="1" outlineLevel="1">
      <c r="A466" s="11" t="str">
        <f t="shared" si="206"/>
        <v/>
      </c>
      <c r="B466" s="217"/>
      <c r="C466" s="217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34"/>
      <c r="Q466" s="234"/>
      <c r="R466" s="234"/>
      <c r="S466" s="234"/>
      <c r="T466" s="234"/>
      <c r="U466" s="234"/>
      <c r="V466" s="234"/>
      <c r="W466" s="234"/>
      <c r="X466" s="234"/>
      <c r="Y466" s="234"/>
      <c r="Z466" s="234"/>
    </row>
    <row r="467" ht="12.0" customHeight="1" outlineLevel="1">
      <c r="A467" s="11" t="str">
        <f t="shared" si="206"/>
        <v/>
      </c>
      <c r="B467" s="217"/>
      <c r="C467" s="217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34"/>
      <c r="Q467" s="234"/>
      <c r="R467" s="234"/>
      <c r="S467" s="234"/>
      <c r="T467" s="234"/>
      <c r="U467" s="234"/>
      <c r="V467" s="234"/>
      <c r="W467" s="234"/>
      <c r="X467" s="234"/>
      <c r="Y467" s="234"/>
      <c r="Z467" s="234"/>
    </row>
    <row r="468" ht="12.0" customHeight="1" outlineLevel="1">
      <c r="A468" s="11" t="str">
        <f t="shared" si="206"/>
        <v/>
      </c>
      <c r="B468" s="217"/>
      <c r="C468" s="217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34"/>
      <c r="Q468" s="234"/>
      <c r="R468" s="234"/>
      <c r="S468" s="234"/>
      <c r="T468" s="234"/>
      <c r="U468" s="234"/>
      <c r="V468" s="234"/>
      <c r="W468" s="234"/>
      <c r="X468" s="234"/>
      <c r="Y468" s="234"/>
      <c r="Z468" s="234"/>
    </row>
    <row r="469" ht="12.0" customHeight="1" outlineLevel="1">
      <c r="A469" s="11" t="str">
        <f t="shared" si="206"/>
        <v/>
      </c>
      <c r="B469" s="217"/>
      <c r="C469" s="217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34"/>
      <c r="Q469" s="234"/>
      <c r="R469" s="234"/>
      <c r="S469" s="234"/>
      <c r="T469" s="234"/>
      <c r="U469" s="234"/>
      <c r="V469" s="234"/>
      <c r="W469" s="234"/>
      <c r="X469" s="234"/>
      <c r="Y469" s="234"/>
      <c r="Z469" s="234"/>
    </row>
    <row r="470" ht="12.0" customHeight="1" outlineLevel="1">
      <c r="A470" s="11" t="str">
        <f t="shared" si="206"/>
        <v/>
      </c>
      <c r="B470" s="217"/>
      <c r="C470" s="217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34"/>
      <c r="Q470" s="234"/>
      <c r="R470" s="234"/>
      <c r="S470" s="234"/>
      <c r="T470" s="234"/>
      <c r="U470" s="234"/>
      <c r="V470" s="234"/>
      <c r="W470" s="234"/>
      <c r="X470" s="234"/>
      <c r="Y470" s="234"/>
      <c r="Z470" s="234"/>
    </row>
    <row r="471" ht="12.0" customHeight="1" outlineLevel="1">
      <c r="A471" s="11" t="str">
        <f t="shared" si="206"/>
        <v/>
      </c>
      <c r="B471" s="217"/>
      <c r="C471" s="217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34"/>
      <c r="Q471" s="234"/>
      <c r="R471" s="234"/>
      <c r="S471" s="234"/>
      <c r="T471" s="234"/>
      <c r="U471" s="234"/>
      <c r="V471" s="234"/>
      <c r="W471" s="234"/>
      <c r="X471" s="234"/>
      <c r="Y471" s="234"/>
      <c r="Z471" s="234"/>
    </row>
    <row r="472" ht="12.0" customHeight="1" outlineLevel="1">
      <c r="A472" s="11" t="str">
        <f>A$206</f>
        <v/>
      </c>
      <c r="B472" s="217"/>
      <c r="C472" s="217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34"/>
      <c r="Q472" s="234"/>
      <c r="R472" s="234"/>
      <c r="S472" s="234"/>
      <c r="T472" s="234"/>
      <c r="U472" s="234"/>
      <c r="V472" s="234"/>
      <c r="W472" s="234"/>
      <c r="X472" s="234"/>
      <c r="Y472" s="234"/>
      <c r="Z472" s="234"/>
    </row>
    <row r="473" ht="12.0" customHeight="1" outlineLevel="1">
      <c r="A473" s="11" t="str">
        <f>A$207</f>
        <v/>
      </c>
      <c r="B473" s="217"/>
      <c r="C473" s="217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34"/>
      <c r="Q473" s="234"/>
      <c r="R473" s="234"/>
      <c r="S473" s="234"/>
      <c r="T473" s="234"/>
      <c r="U473" s="234"/>
      <c r="V473" s="234"/>
      <c r="W473" s="234"/>
      <c r="X473" s="234"/>
      <c r="Y473" s="234"/>
      <c r="Z473" s="234"/>
    </row>
    <row r="474" ht="12.0" customHeight="1" outlineLevel="1">
      <c r="A474" s="11" t="str">
        <f>A$208</f>
        <v/>
      </c>
      <c r="B474" s="217"/>
      <c r="C474" s="217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34"/>
      <c r="Q474" s="234"/>
      <c r="R474" s="234"/>
      <c r="S474" s="234"/>
      <c r="T474" s="234"/>
      <c r="U474" s="234"/>
      <c r="V474" s="234"/>
      <c r="W474" s="234"/>
      <c r="X474" s="234"/>
      <c r="Y474" s="234"/>
      <c r="Z474" s="234"/>
    </row>
    <row r="475" ht="12.0" customHeight="1" outlineLevel="1">
      <c r="A475" s="11" t="str">
        <f>A$209</f>
        <v/>
      </c>
      <c r="B475" s="217"/>
      <c r="C475" s="217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34"/>
      <c r="Q475" s="234"/>
      <c r="R475" s="234"/>
      <c r="S475" s="234"/>
      <c r="T475" s="234"/>
      <c r="U475" s="234"/>
      <c r="V475" s="234"/>
      <c r="W475" s="234"/>
      <c r="X475" s="234"/>
      <c r="Y475" s="234"/>
      <c r="Z475" s="234"/>
    </row>
    <row r="476" ht="12.0" customHeight="1" outlineLevel="1">
      <c r="A476" s="11" t="str">
        <f>A$210</f>
        <v/>
      </c>
      <c r="B476" s="217"/>
      <c r="C476" s="217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34"/>
      <c r="Q476" s="234"/>
      <c r="R476" s="234"/>
      <c r="S476" s="234"/>
      <c r="T476" s="234"/>
      <c r="U476" s="234"/>
      <c r="V476" s="234"/>
      <c r="W476" s="234"/>
      <c r="X476" s="234"/>
      <c r="Y476" s="234"/>
      <c r="Z476" s="234"/>
    </row>
    <row r="477" ht="12.0" customHeight="1" outlineLevel="1">
      <c r="A477" s="11" t="str">
        <f>A$211</f>
        <v/>
      </c>
      <c r="B477" s="217"/>
      <c r="C477" s="217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34"/>
      <c r="Q477" s="234"/>
      <c r="R477" s="234"/>
      <c r="S477" s="234"/>
      <c r="T477" s="234"/>
      <c r="U477" s="234"/>
      <c r="V477" s="234"/>
      <c r="W477" s="234"/>
      <c r="X477" s="234"/>
      <c r="Y477" s="234"/>
      <c r="Z477" s="234"/>
    </row>
    <row r="478" ht="12.0" customHeight="1" outlineLevel="1">
      <c r="A478" s="11" t="str">
        <f>A$212</f>
        <v/>
      </c>
      <c r="B478" s="217"/>
      <c r="C478" s="217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34"/>
      <c r="Q478" s="234"/>
      <c r="R478" s="234"/>
      <c r="S478" s="234"/>
      <c r="T478" s="234"/>
      <c r="U478" s="234"/>
      <c r="V478" s="234"/>
      <c r="W478" s="234"/>
      <c r="X478" s="234"/>
      <c r="Y478" s="234"/>
      <c r="Z478" s="234"/>
    </row>
    <row r="479" ht="12.0" customHeight="1" outlineLevel="1">
      <c r="A479" s="11" t="str">
        <f>A$213</f>
        <v/>
      </c>
      <c r="B479" s="217"/>
      <c r="C479" s="217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34"/>
      <c r="Q479" s="234"/>
      <c r="R479" s="234"/>
      <c r="S479" s="234"/>
      <c r="T479" s="234"/>
      <c r="U479" s="234"/>
      <c r="V479" s="234"/>
      <c r="W479" s="234"/>
      <c r="X479" s="234"/>
      <c r="Y479" s="234"/>
      <c r="Z479" s="234"/>
    </row>
    <row r="480" ht="12.0" customHeight="1" outlineLevel="1">
      <c r="A480" s="11" t="str">
        <f>A$214</f>
        <v/>
      </c>
      <c r="B480" s="217"/>
      <c r="C480" s="217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34"/>
      <c r="Q480" s="234"/>
      <c r="R480" s="234"/>
      <c r="S480" s="234"/>
      <c r="T480" s="234"/>
      <c r="U480" s="234"/>
      <c r="V480" s="234"/>
      <c r="W480" s="234"/>
      <c r="X480" s="234"/>
      <c r="Y480" s="234"/>
      <c r="Z480" s="234"/>
    </row>
    <row r="481" ht="12.0" customHeight="1" outlineLevel="1">
      <c r="A481" s="11" t="str">
        <f>A$215</f>
        <v/>
      </c>
      <c r="B481" s="217"/>
      <c r="C481" s="217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34"/>
      <c r="Q481" s="234"/>
      <c r="R481" s="234"/>
      <c r="S481" s="234"/>
      <c r="T481" s="234"/>
      <c r="U481" s="234"/>
      <c r="V481" s="234"/>
      <c r="W481" s="234"/>
      <c r="X481" s="234"/>
      <c r="Y481" s="234"/>
      <c r="Z481" s="234"/>
    </row>
    <row r="482" ht="12.0" customHeight="1" outlineLevel="1">
      <c r="A482" s="11" t="str">
        <f>A$216</f>
        <v/>
      </c>
      <c r="B482" s="217"/>
      <c r="C482" s="217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34"/>
      <c r="Q482" s="234"/>
      <c r="R482" s="234"/>
      <c r="S482" s="234"/>
      <c r="T482" s="234"/>
      <c r="U482" s="234"/>
      <c r="V482" s="234"/>
      <c r="W482" s="234"/>
      <c r="X482" s="234"/>
      <c r="Y482" s="234"/>
      <c r="Z482" s="234"/>
    </row>
    <row r="483" ht="12.0" customHeight="1">
      <c r="A483" s="90" t="s">
        <v>374</v>
      </c>
      <c r="B483" s="217"/>
      <c r="C483" s="243"/>
      <c r="D483" s="241"/>
      <c r="E483" s="241"/>
      <c r="F483" s="241"/>
      <c r="G483" s="241"/>
      <c r="H483" s="241"/>
      <c r="I483" s="241"/>
      <c r="J483" s="241"/>
      <c r="K483" s="241"/>
      <c r="L483" s="241"/>
      <c r="M483" s="241"/>
      <c r="N483" s="241"/>
      <c r="O483" s="241"/>
      <c r="P483" s="234"/>
      <c r="Q483" s="234"/>
      <c r="R483" s="234"/>
      <c r="S483" s="234"/>
      <c r="T483" s="234"/>
      <c r="U483" s="234"/>
      <c r="V483" s="234"/>
      <c r="W483" s="234"/>
      <c r="X483" s="234"/>
      <c r="Y483" s="234"/>
      <c r="Z483" s="234"/>
    </row>
    <row r="484" ht="12.0" customHeight="1" outlineLevel="1">
      <c r="A484" s="11" t="str">
        <f>A$192</f>
        <v/>
      </c>
      <c r="B484" s="217"/>
      <c r="C484" s="217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34"/>
      <c r="Q484" s="234"/>
      <c r="R484" s="234"/>
      <c r="S484" s="234"/>
      <c r="T484" s="234"/>
      <c r="U484" s="234"/>
      <c r="V484" s="234"/>
      <c r="W484" s="234"/>
      <c r="X484" s="234"/>
      <c r="Y484" s="234"/>
      <c r="Z484" s="234"/>
    </row>
    <row r="485" ht="12.0" customHeight="1" outlineLevel="1">
      <c r="A485" s="11" t="str">
        <f>A$193</f>
        <v/>
      </c>
      <c r="B485" s="217"/>
      <c r="C485" s="217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34"/>
      <c r="Q485" s="234"/>
      <c r="R485" s="234"/>
      <c r="S485" s="234"/>
      <c r="T485" s="234"/>
      <c r="U485" s="234"/>
      <c r="V485" s="234"/>
      <c r="W485" s="234"/>
      <c r="X485" s="234"/>
      <c r="Y485" s="234"/>
      <c r="Z485" s="234"/>
    </row>
    <row r="486" ht="12.0" customHeight="1" outlineLevel="1">
      <c r="A486" s="11" t="str">
        <f>A$194</f>
        <v/>
      </c>
      <c r="B486" s="217"/>
      <c r="C486" s="217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34"/>
      <c r="Q486" s="234"/>
      <c r="R486" s="234"/>
      <c r="S486" s="234"/>
      <c r="T486" s="234"/>
      <c r="U486" s="234"/>
      <c r="V486" s="234"/>
      <c r="W486" s="234"/>
      <c r="X486" s="234"/>
      <c r="Y486" s="234"/>
      <c r="Z486" s="234"/>
    </row>
    <row r="487" ht="12.0" customHeight="1" outlineLevel="1">
      <c r="A487" s="11" t="str">
        <f>A$195</f>
        <v/>
      </c>
      <c r="B487" s="217"/>
      <c r="C487" s="217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34"/>
      <c r="Q487" s="234"/>
      <c r="R487" s="234"/>
      <c r="S487" s="234"/>
      <c r="T487" s="234"/>
      <c r="U487" s="234"/>
      <c r="V487" s="234"/>
      <c r="W487" s="234"/>
      <c r="X487" s="234"/>
      <c r="Y487" s="234"/>
      <c r="Z487" s="234"/>
    </row>
    <row r="488" ht="12.0" customHeight="1" outlineLevel="1">
      <c r="A488" s="11" t="str">
        <f>A$196</f>
        <v/>
      </c>
      <c r="B488" s="217"/>
      <c r="C488" s="217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34"/>
      <c r="Q488" s="234"/>
      <c r="R488" s="234"/>
      <c r="S488" s="234"/>
      <c r="T488" s="234"/>
      <c r="U488" s="234"/>
      <c r="V488" s="234"/>
      <c r="W488" s="234"/>
      <c r="X488" s="234"/>
      <c r="Y488" s="234"/>
      <c r="Z488" s="234"/>
    </row>
    <row r="489" ht="12.0" customHeight="1" outlineLevel="1">
      <c r="A489" s="11" t="str">
        <f>A$197</f>
        <v/>
      </c>
      <c r="B489" s="217"/>
      <c r="C489" s="217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34"/>
      <c r="Q489" s="234"/>
      <c r="R489" s="234"/>
      <c r="S489" s="234"/>
      <c r="T489" s="234"/>
      <c r="U489" s="234"/>
      <c r="V489" s="234"/>
      <c r="W489" s="234"/>
      <c r="X489" s="234"/>
      <c r="Y489" s="234"/>
      <c r="Z489" s="234"/>
    </row>
    <row r="490" ht="12.0" customHeight="1" outlineLevel="1">
      <c r="A490" s="11" t="str">
        <f>A$198</f>
        <v/>
      </c>
      <c r="B490" s="217"/>
      <c r="C490" s="217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34"/>
      <c r="Q490" s="234"/>
      <c r="R490" s="234"/>
      <c r="S490" s="234"/>
      <c r="T490" s="234"/>
      <c r="U490" s="234"/>
      <c r="V490" s="234"/>
      <c r="W490" s="234"/>
      <c r="X490" s="234"/>
      <c r="Y490" s="234"/>
      <c r="Z490" s="234"/>
    </row>
    <row r="491" ht="12.0" customHeight="1" outlineLevel="1">
      <c r="A491" s="11" t="str">
        <f>A$199</f>
        <v/>
      </c>
      <c r="B491" s="217"/>
      <c r="C491" s="217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34"/>
      <c r="Q491" s="234"/>
      <c r="R491" s="234"/>
      <c r="S491" s="234"/>
      <c r="T491" s="234"/>
      <c r="U491" s="234"/>
      <c r="V491" s="234"/>
      <c r="W491" s="234"/>
      <c r="X491" s="234"/>
      <c r="Y491" s="234"/>
      <c r="Z491" s="234"/>
    </row>
    <row r="492" ht="12.0" customHeight="1" outlineLevel="1">
      <c r="A492" s="11" t="str">
        <f>A$200</f>
        <v/>
      </c>
      <c r="B492" s="217"/>
      <c r="C492" s="217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34"/>
      <c r="Q492" s="234"/>
      <c r="R492" s="234"/>
      <c r="S492" s="234"/>
      <c r="T492" s="234"/>
      <c r="U492" s="234"/>
      <c r="V492" s="234"/>
      <c r="W492" s="234"/>
      <c r="X492" s="234"/>
      <c r="Y492" s="234"/>
      <c r="Z492" s="234"/>
    </row>
    <row r="493" ht="12.0" customHeight="1" outlineLevel="1">
      <c r="A493" s="11" t="str">
        <f t="shared" ref="A493:A496" si="207">A$201</f>
        <v/>
      </c>
      <c r="B493" s="217"/>
      <c r="C493" s="217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34"/>
      <c r="Q493" s="234"/>
      <c r="R493" s="234"/>
      <c r="S493" s="234"/>
      <c r="T493" s="234"/>
      <c r="U493" s="234"/>
      <c r="V493" s="234"/>
      <c r="W493" s="234"/>
      <c r="X493" s="234"/>
      <c r="Y493" s="234"/>
      <c r="Z493" s="234"/>
    </row>
    <row r="494" ht="12.0" customHeight="1" outlineLevel="1">
      <c r="A494" s="11" t="str">
        <f t="shared" si="207"/>
        <v/>
      </c>
      <c r="B494" s="217"/>
      <c r="C494" s="217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34"/>
      <c r="Q494" s="234"/>
      <c r="R494" s="234"/>
      <c r="S494" s="234"/>
      <c r="T494" s="234"/>
      <c r="U494" s="234"/>
      <c r="V494" s="234"/>
      <c r="W494" s="234"/>
      <c r="X494" s="234"/>
      <c r="Y494" s="234"/>
      <c r="Z494" s="234"/>
    </row>
    <row r="495" ht="12.0" customHeight="1" outlineLevel="1">
      <c r="A495" s="11" t="str">
        <f t="shared" si="207"/>
        <v/>
      </c>
      <c r="B495" s="217"/>
      <c r="C495" s="217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34"/>
      <c r="Q495" s="234"/>
      <c r="R495" s="234"/>
      <c r="S495" s="234"/>
      <c r="T495" s="234"/>
      <c r="U495" s="234"/>
      <c r="V495" s="234"/>
      <c r="W495" s="234"/>
      <c r="X495" s="234"/>
      <c r="Y495" s="234"/>
      <c r="Z495" s="234"/>
    </row>
    <row r="496" ht="12.0" customHeight="1" outlineLevel="1">
      <c r="A496" s="11" t="str">
        <f t="shared" si="207"/>
        <v/>
      </c>
      <c r="B496" s="217"/>
      <c r="C496" s="217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34"/>
      <c r="Q496" s="234"/>
      <c r="R496" s="234"/>
      <c r="S496" s="234"/>
      <c r="T496" s="234"/>
      <c r="U496" s="234"/>
      <c r="V496" s="234"/>
      <c r="W496" s="234"/>
      <c r="X496" s="234"/>
      <c r="Y496" s="234"/>
      <c r="Z496" s="234"/>
    </row>
    <row r="497" ht="12.0" customHeight="1" outlineLevel="1">
      <c r="A497" s="11" t="str">
        <f>A$205</f>
        <v/>
      </c>
      <c r="B497" s="217"/>
      <c r="C497" s="217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34"/>
      <c r="Q497" s="234"/>
      <c r="R497" s="234"/>
      <c r="S497" s="234"/>
      <c r="T497" s="234"/>
      <c r="U497" s="234"/>
      <c r="V497" s="234"/>
      <c r="W497" s="234"/>
      <c r="X497" s="234"/>
      <c r="Y497" s="234"/>
      <c r="Z497" s="234"/>
    </row>
    <row r="498" ht="12.0" customHeight="1" outlineLevel="1">
      <c r="A498" s="11" t="str">
        <f>A$206</f>
        <v/>
      </c>
      <c r="B498" s="217"/>
      <c r="C498" s="217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34"/>
      <c r="Q498" s="234"/>
      <c r="R498" s="234"/>
      <c r="S498" s="234"/>
      <c r="T498" s="234"/>
      <c r="U498" s="234"/>
      <c r="V498" s="234"/>
      <c r="W498" s="234"/>
      <c r="X498" s="234"/>
      <c r="Y498" s="234"/>
      <c r="Z498" s="234"/>
    </row>
    <row r="499" ht="12.0" customHeight="1" outlineLevel="1">
      <c r="A499" s="11" t="str">
        <f>A$207</f>
        <v/>
      </c>
      <c r="B499" s="217"/>
      <c r="C499" s="217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34"/>
      <c r="Q499" s="234"/>
      <c r="R499" s="234"/>
      <c r="S499" s="234"/>
      <c r="T499" s="234"/>
      <c r="U499" s="234"/>
      <c r="V499" s="234"/>
      <c r="W499" s="234"/>
      <c r="X499" s="234"/>
      <c r="Y499" s="234"/>
      <c r="Z499" s="234"/>
    </row>
    <row r="500" ht="12.0" customHeight="1" outlineLevel="1">
      <c r="A500" s="11" t="str">
        <f>A$208</f>
        <v/>
      </c>
      <c r="B500" s="217"/>
      <c r="C500" s="217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34"/>
      <c r="Q500" s="234"/>
      <c r="R500" s="234"/>
      <c r="S500" s="234"/>
      <c r="T500" s="234"/>
      <c r="U500" s="234"/>
      <c r="V500" s="234"/>
      <c r="W500" s="234"/>
      <c r="X500" s="234"/>
      <c r="Y500" s="234"/>
      <c r="Z500" s="234"/>
    </row>
    <row r="501" ht="12.0" customHeight="1" outlineLevel="1">
      <c r="A501" s="11" t="str">
        <f>A$209</f>
        <v/>
      </c>
      <c r="B501" s="217"/>
      <c r="C501" s="217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34"/>
      <c r="Q501" s="234"/>
      <c r="R501" s="234"/>
      <c r="S501" s="234"/>
      <c r="T501" s="234"/>
      <c r="U501" s="234"/>
      <c r="V501" s="234"/>
      <c r="W501" s="234"/>
      <c r="X501" s="234"/>
      <c r="Y501" s="234"/>
      <c r="Z501" s="234"/>
    </row>
    <row r="502" ht="12.0" customHeight="1" outlineLevel="1">
      <c r="A502" s="11" t="str">
        <f>A$210</f>
        <v/>
      </c>
      <c r="B502" s="217"/>
      <c r="C502" s="217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34"/>
      <c r="Q502" s="234"/>
      <c r="R502" s="234"/>
      <c r="S502" s="234"/>
      <c r="T502" s="234"/>
      <c r="U502" s="234"/>
      <c r="V502" s="234"/>
      <c r="W502" s="234"/>
      <c r="X502" s="234"/>
      <c r="Y502" s="234"/>
      <c r="Z502" s="234"/>
    </row>
    <row r="503" ht="12.0" customHeight="1" outlineLevel="1">
      <c r="A503" s="11" t="str">
        <f>A$211</f>
        <v/>
      </c>
      <c r="B503" s="217"/>
      <c r="C503" s="217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34"/>
      <c r="Q503" s="234"/>
      <c r="R503" s="234"/>
      <c r="S503" s="234"/>
      <c r="T503" s="234"/>
      <c r="U503" s="234"/>
      <c r="V503" s="234"/>
      <c r="W503" s="234"/>
      <c r="X503" s="234"/>
      <c r="Y503" s="234"/>
      <c r="Z503" s="234"/>
    </row>
    <row r="504" ht="12.0" customHeight="1" outlineLevel="1">
      <c r="A504" s="11" t="str">
        <f>A$212</f>
        <v/>
      </c>
      <c r="B504" s="217"/>
      <c r="C504" s="217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34"/>
      <c r="Q504" s="234"/>
      <c r="R504" s="234"/>
      <c r="S504" s="234"/>
      <c r="T504" s="234"/>
      <c r="U504" s="234"/>
      <c r="V504" s="234"/>
      <c r="W504" s="234"/>
      <c r="X504" s="234"/>
      <c r="Y504" s="234"/>
      <c r="Z504" s="234"/>
    </row>
    <row r="505" ht="12.0" customHeight="1" outlineLevel="1">
      <c r="A505" s="11" t="str">
        <f>A$213</f>
        <v/>
      </c>
      <c r="B505" s="217"/>
      <c r="C505" s="217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34"/>
      <c r="Q505" s="234"/>
      <c r="R505" s="234"/>
      <c r="S505" s="234"/>
      <c r="T505" s="234"/>
      <c r="U505" s="234"/>
      <c r="V505" s="234"/>
      <c r="W505" s="234"/>
      <c r="X505" s="234"/>
      <c r="Y505" s="234"/>
      <c r="Z505" s="234"/>
    </row>
    <row r="506" ht="12.0" customHeight="1" outlineLevel="1">
      <c r="A506" s="11" t="str">
        <f>A$214</f>
        <v/>
      </c>
      <c r="B506" s="217"/>
      <c r="C506" s="217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34"/>
      <c r="Q506" s="234"/>
      <c r="R506" s="234"/>
      <c r="S506" s="234"/>
      <c r="T506" s="234"/>
      <c r="U506" s="234"/>
      <c r="V506" s="234"/>
      <c r="W506" s="234"/>
      <c r="X506" s="234"/>
      <c r="Y506" s="234"/>
      <c r="Z506" s="234"/>
    </row>
    <row r="507" ht="12.0" customHeight="1" outlineLevel="1">
      <c r="A507" s="11" t="str">
        <f>A$215</f>
        <v/>
      </c>
      <c r="B507" s="217"/>
      <c r="C507" s="217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34"/>
      <c r="Q507" s="234"/>
      <c r="R507" s="234"/>
      <c r="S507" s="234"/>
      <c r="T507" s="234"/>
      <c r="U507" s="234"/>
      <c r="V507" s="234"/>
      <c r="W507" s="234"/>
      <c r="X507" s="234"/>
      <c r="Y507" s="234"/>
      <c r="Z507" s="234"/>
    </row>
    <row r="508" ht="12.0" customHeight="1" outlineLevel="1">
      <c r="A508" s="11" t="str">
        <f>A$216</f>
        <v/>
      </c>
      <c r="B508" s="217"/>
      <c r="C508" s="217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34"/>
      <c r="Q508" s="234"/>
      <c r="R508" s="234"/>
      <c r="S508" s="234"/>
      <c r="T508" s="234"/>
      <c r="U508" s="234"/>
      <c r="V508" s="234"/>
      <c r="W508" s="234"/>
      <c r="X508" s="234"/>
      <c r="Y508" s="234"/>
      <c r="Z508" s="234"/>
    </row>
    <row r="509" ht="12.0" customHeight="1">
      <c r="A509" s="90" t="s">
        <v>374</v>
      </c>
      <c r="B509" s="217"/>
      <c r="C509" s="243"/>
      <c r="D509" s="241"/>
      <c r="E509" s="241"/>
      <c r="F509" s="241"/>
      <c r="G509" s="241"/>
      <c r="H509" s="241"/>
      <c r="I509" s="241"/>
      <c r="J509" s="241"/>
      <c r="K509" s="241"/>
      <c r="L509" s="241"/>
      <c r="M509" s="241"/>
      <c r="N509" s="241"/>
      <c r="O509" s="241"/>
      <c r="P509" s="234"/>
      <c r="Q509" s="234"/>
      <c r="R509" s="234"/>
      <c r="S509" s="234"/>
      <c r="T509" s="234"/>
      <c r="U509" s="234"/>
      <c r="V509" s="234"/>
      <c r="W509" s="234"/>
      <c r="X509" s="234"/>
      <c r="Y509" s="234"/>
      <c r="Z509" s="234"/>
    </row>
    <row r="510" ht="12.0" customHeight="1" outlineLevel="1">
      <c r="A510" s="11" t="str">
        <f>A$192</f>
        <v/>
      </c>
      <c r="B510" s="217"/>
      <c r="C510" s="217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34"/>
      <c r="Q510" s="234"/>
      <c r="R510" s="234"/>
      <c r="S510" s="234"/>
      <c r="T510" s="234"/>
      <c r="U510" s="234"/>
      <c r="V510" s="234"/>
      <c r="W510" s="234"/>
      <c r="X510" s="234"/>
      <c r="Y510" s="234"/>
      <c r="Z510" s="234"/>
    </row>
    <row r="511" ht="12.0" customHeight="1" outlineLevel="1">
      <c r="A511" s="11" t="str">
        <f>A$193</f>
        <v/>
      </c>
      <c r="B511" s="217"/>
      <c r="C511" s="217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34"/>
      <c r="Q511" s="234"/>
      <c r="R511" s="234"/>
      <c r="S511" s="234"/>
      <c r="T511" s="234"/>
      <c r="U511" s="234"/>
      <c r="V511" s="234"/>
      <c r="W511" s="234"/>
      <c r="X511" s="234"/>
      <c r="Y511" s="234"/>
      <c r="Z511" s="234"/>
    </row>
    <row r="512" ht="12.0" customHeight="1" outlineLevel="1">
      <c r="A512" s="11" t="str">
        <f>A$194</f>
        <v/>
      </c>
      <c r="B512" s="217"/>
      <c r="C512" s="217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34"/>
      <c r="Q512" s="234"/>
      <c r="R512" s="234"/>
      <c r="S512" s="234"/>
      <c r="T512" s="234"/>
      <c r="U512" s="234"/>
      <c r="V512" s="234"/>
      <c r="W512" s="234"/>
      <c r="X512" s="234"/>
      <c r="Y512" s="234"/>
      <c r="Z512" s="234"/>
    </row>
    <row r="513" ht="12.0" customHeight="1" outlineLevel="1">
      <c r="A513" s="11" t="str">
        <f>A$195</f>
        <v/>
      </c>
      <c r="B513" s="217"/>
      <c r="C513" s="217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34"/>
      <c r="Q513" s="234"/>
      <c r="R513" s="234"/>
      <c r="S513" s="234"/>
      <c r="T513" s="234"/>
      <c r="U513" s="234"/>
      <c r="V513" s="234"/>
      <c r="W513" s="234"/>
      <c r="X513" s="234"/>
      <c r="Y513" s="234"/>
      <c r="Z513" s="234"/>
    </row>
    <row r="514" ht="12.0" customHeight="1" outlineLevel="1">
      <c r="A514" s="11" t="str">
        <f>A$196</f>
        <v/>
      </c>
      <c r="B514" s="217"/>
      <c r="C514" s="217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34"/>
      <c r="Q514" s="234"/>
      <c r="R514" s="234"/>
      <c r="S514" s="234"/>
      <c r="T514" s="234"/>
      <c r="U514" s="234"/>
      <c r="V514" s="234"/>
      <c r="W514" s="234"/>
      <c r="X514" s="234"/>
      <c r="Y514" s="234"/>
      <c r="Z514" s="234"/>
    </row>
    <row r="515" ht="12.0" customHeight="1" outlineLevel="1">
      <c r="A515" s="11" t="str">
        <f>A$197</f>
        <v/>
      </c>
      <c r="B515" s="217"/>
      <c r="C515" s="217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34"/>
      <c r="Q515" s="234"/>
      <c r="R515" s="234"/>
      <c r="S515" s="234"/>
      <c r="T515" s="234"/>
      <c r="U515" s="234"/>
      <c r="V515" s="234"/>
      <c r="W515" s="234"/>
      <c r="X515" s="234"/>
      <c r="Y515" s="234"/>
      <c r="Z515" s="234"/>
    </row>
    <row r="516" ht="12.0" customHeight="1" outlineLevel="1">
      <c r="A516" s="11" t="str">
        <f>A$198</f>
        <v/>
      </c>
      <c r="B516" s="217"/>
      <c r="C516" s="217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34"/>
      <c r="Q516" s="234"/>
      <c r="R516" s="234"/>
      <c r="S516" s="234"/>
      <c r="T516" s="234"/>
      <c r="U516" s="234"/>
      <c r="V516" s="234"/>
      <c r="W516" s="234"/>
      <c r="X516" s="234"/>
      <c r="Y516" s="234"/>
      <c r="Z516" s="234"/>
    </row>
    <row r="517" ht="12.0" customHeight="1" outlineLevel="1">
      <c r="A517" s="11" t="str">
        <f t="shared" ref="A517:A522" si="208">A$199</f>
        <v/>
      </c>
      <c r="B517" s="217"/>
      <c r="C517" s="217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34"/>
      <c r="Q517" s="234"/>
      <c r="R517" s="234"/>
      <c r="S517" s="234"/>
      <c r="T517" s="234"/>
      <c r="U517" s="234"/>
      <c r="V517" s="234"/>
      <c r="W517" s="234"/>
      <c r="X517" s="234"/>
      <c r="Y517" s="234"/>
      <c r="Z517" s="234"/>
    </row>
    <row r="518" ht="12.0" customHeight="1" outlineLevel="1">
      <c r="A518" s="11" t="str">
        <f t="shared" si="208"/>
        <v/>
      </c>
      <c r="B518" s="217"/>
      <c r="C518" s="217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34"/>
      <c r="Q518" s="234"/>
      <c r="R518" s="234"/>
      <c r="S518" s="234"/>
      <c r="T518" s="234"/>
      <c r="U518" s="234"/>
      <c r="V518" s="234"/>
      <c r="W518" s="234"/>
      <c r="X518" s="234"/>
      <c r="Y518" s="234"/>
      <c r="Z518" s="234"/>
    </row>
    <row r="519" ht="12.0" customHeight="1" outlineLevel="1">
      <c r="A519" s="11" t="str">
        <f t="shared" si="208"/>
        <v/>
      </c>
      <c r="B519" s="217"/>
      <c r="C519" s="217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34"/>
      <c r="Q519" s="234"/>
      <c r="R519" s="234"/>
      <c r="S519" s="234"/>
      <c r="T519" s="234"/>
      <c r="U519" s="234"/>
      <c r="V519" s="234"/>
      <c r="W519" s="234"/>
      <c r="X519" s="234"/>
      <c r="Y519" s="234"/>
      <c r="Z519" s="234"/>
    </row>
    <row r="520" ht="12.0" customHeight="1" outlineLevel="1">
      <c r="A520" s="11" t="str">
        <f t="shared" si="208"/>
        <v/>
      </c>
      <c r="B520" s="217"/>
      <c r="C520" s="217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34"/>
      <c r="Q520" s="234"/>
      <c r="R520" s="234"/>
      <c r="S520" s="234"/>
      <c r="T520" s="234"/>
      <c r="U520" s="234"/>
      <c r="V520" s="234"/>
      <c r="W520" s="234"/>
      <c r="X520" s="234"/>
      <c r="Y520" s="234"/>
      <c r="Z520" s="234"/>
    </row>
    <row r="521" ht="12.0" customHeight="1" outlineLevel="1">
      <c r="A521" s="11" t="str">
        <f t="shared" si="208"/>
        <v/>
      </c>
      <c r="B521" s="217"/>
      <c r="C521" s="217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34"/>
      <c r="Q521" s="234"/>
      <c r="R521" s="234"/>
      <c r="S521" s="234"/>
      <c r="T521" s="234"/>
      <c r="U521" s="234"/>
      <c r="V521" s="234"/>
      <c r="W521" s="234"/>
      <c r="X521" s="234"/>
      <c r="Y521" s="234"/>
      <c r="Z521" s="234"/>
    </row>
    <row r="522" ht="12.0" customHeight="1" outlineLevel="1">
      <c r="A522" s="11" t="str">
        <f t="shared" si="208"/>
        <v/>
      </c>
      <c r="B522" s="217"/>
      <c r="C522" s="217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34"/>
      <c r="Q522" s="234"/>
      <c r="R522" s="234"/>
      <c r="S522" s="234"/>
      <c r="T522" s="234"/>
      <c r="U522" s="234"/>
      <c r="V522" s="234"/>
      <c r="W522" s="234"/>
      <c r="X522" s="234"/>
      <c r="Y522" s="234"/>
      <c r="Z522" s="234"/>
    </row>
    <row r="523" ht="12.0" customHeight="1" outlineLevel="1">
      <c r="A523" s="11" t="str">
        <f>A$205</f>
        <v/>
      </c>
      <c r="B523" s="217"/>
      <c r="C523" s="217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34"/>
      <c r="Q523" s="234"/>
      <c r="R523" s="234"/>
      <c r="S523" s="234"/>
      <c r="T523" s="234"/>
      <c r="U523" s="234"/>
      <c r="V523" s="234"/>
      <c r="W523" s="234"/>
      <c r="X523" s="234"/>
      <c r="Y523" s="234"/>
      <c r="Z523" s="234"/>
    </row>
    <row r="524" ht="12.0" customHeight="1" outlineLevel="1">
      <c r="A524" s="11" t="str">
        <f>A$206</f>
        <v/>
      </c>
      <c r="B524" s="217"/>
      <c r="C524" s="217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34"/>
      <c r="Q524" s="234"/>
      <c r="R524" s="234"/>
      <c r="S524" s="234"/>
      <c r="T524" s="234"/>
      <c r="U524" s="234"/>
      <c r="V524" s="234"/>
      <c r="W524" s="234"/>
      <c r="X524" s="234"/>
      <c r="Y524" s="234"/>
      <c r="Z524" s="234"/>
    </row>
    <row r="525" ht="12.0" customHeight="1" outlineLevel="1">
      <c r="A525" s="11" t="str">
        <f>A$207</f>
        <v/>
      </c>
      <c r="B525" s="217"/>
      <c r="C525" s="217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34"/>
      <c r="Q525" s="234"/>
      <c r="R525" s="234"/>
      <c r="S525" s="234"/>
      <c r="T525" s="234"/>
      <c r="U525" s="234"/>
      <c r="V525" s="234"/>
      <c r="W525" s="234"/>
      <c r="X525" s="234"/>
      <c r="Y525" s="234"/>
      <c r="Z525" s="234"/>
    </row>
    <row r="526" ht="12.0" customHeight="1" outlineLevel="1">
      <c r="A526" s="11" t="str">
        <f>A$208</f>
        <v/>
      </c>
      <c r="B526" s="217"/>
      <c r="C526" s="217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34"/>
      <c r="Q526" s="234"/>
      <c r="R526" s="234"/>
      <c r="S526" s="234"/>
      <c r="T526" s="234"/>
      <c r="U526" s="234"/>
      <c r="V526" s="234"/>
      <c r="W526" s="234"/>
      <c r="X526" s="234"/>
      <c r="Y526" s="234"/>
      <c r="Z526" s="234"/>
    </row>
    <row r="527" ht="12.0" customHeight="1" outlineLevel="1">
      <c r="A527" s="11" t="str">
        <f>A$209</f>
        <v/>
      </c>
      <c r="B527" s="217"/>
      <c r="C527" s="217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34"/>
      <c r="Q527" s="234"/>
      <c r="R527" s="234"/>
      <c r="S527" s="234"/>
      <c r="T527" s="234"/>
      <c r="U527" s="234"/>
      <c r="V527" s="234"/>
      <c r="W527" s="234"/>
      <c r="X527" s="234"/>
      <c r="Y527" s="234"/>
      <c r="Z527" s="234"/>
    </row>
    <row r="528" ht="12.0" customHeight="1" outlineLevel="1">
      <c r="A528" s="11" t="str">
        <f>A$210</f>
        <v/>
      </c>
      <c r="B528" s="217"/>
      <c r="C528" s="217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34"/>
      <c r="Q528" s="234"/>
      <c r="R528" s="234"/>
      <c r="S528" s="234"/>
      <c r="T528" s="234"/>
      <c r="U528" s="234"/>
      <c r="V528" s="234"/>
      <c r="W528" s="234"/>
      <c r="X528" s="234"/>
      <c r="Y528" s="234"/>
      <c r="Z528" s="234"/>
    </row>
    <row r="529" ht="12.0" customHeight="1" outlineLevel="1">
      <c r="A529" s="11" t="str">
        <f>A$211</f>
        <v/>
      </c>
      <c r="B529" s="217"/>
      <c r="C529" s="217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34"/>
      <c r="Q529" s="234"/>
      <c r="R529" s="234"/>
      <c r="S529" s="234"/>
      <c r="T529" s="234"/>
      <c r="U529" s="234"/>
      <c r="V529" s="234"/>
      <c r="W529" s="234"/>
      <c r="X529" s="234"/>
      <c r="Y529" s="234"/>
      <c r="Z529" s="234"/>
    </row>
    <row r="530" ht="12.0" customHeight="1" outlineLevel="1">
      <c r="A530" s="11" t="str">
        <f>A$212</f>
        <v/>
      </c>
      <c r="B530" s="217"/>
      <c r="C530" s="217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34"/>
      <c r="Q530" s="234"/>
      <c r="R530" s="234"/>
      <c r="S530" s="234"/>
      <c r="T530" s="234"/>
      <c r="U530" s="234"/>
      <c r="V530" s="234"/>
      <c r="W530" s="234"/>
      <c r="X530" s="234"/>
      <c r="Y530" s="234"/>
      <c r="Z530" s="234"/>
    </row>
    <row r="531" ht="12.0" customHeight="1" outlineLevel="1">
      <c r="A531" s="11" t="str">
        <f>A$213</f>
        <v/>
      </c>
      <c r="B531" s="217"/>
      <c r="C531" s="217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34"/>
      <c r="Q531" s="234"/>
      <c r="R531" s="234"/>
      <c r="S531" s="234"/>
      <c r="T531" s="234"/>
      <c r="U531" s="234"/>
      <c r="V531" s="234"/>
      <c r="W531" s="234"/>
      <c r="X531" s="234"/>
      <c r="Y531" s="234"/>
      <c r="Z531" s="234"/>
    </row>
    <row r="532" ht="12.0" customHeight="1" outlineLevel="1">
      <c r="A532" s="11" t="str">
        <f>A$214</f>
        <v/>
      </c>
      <c r="B532" s="217"/>
      <c r="C532" s="217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34"/>
      <c r="Q532" s="234"/>
      <c r="R532" s="234"/>
      <c r="S532" s="234"/>
      <c r="T532" s="234"/>
      <c r="U532" s="234"/>
      <c r="V532" s="234"/>
      <c r="W532" s="234"/>
      <c r="X532" s="234"/>
      <c r="Y532" s="234"/>
      <c r="Z532" s="234"/>
    </row>
    <row r="533" ht="12.0" customHeight="1" outlineLevel="1">
      <c r="A533" s="11" t="str">
        <f>A$215</f>
        <v/>
      </c>
      <c r="B533" s="217"/>
      <c r="C533" s="217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34"/>
      <c r="Q533" s="234"/>
      <c r="R533" s="234"/>
      <c r="S533" s="234"/>
      <c r="T533" s="234"/>
      <c r="U533" s="234"/>
      <c r="V533" s="234"/>
      <c r="W533" s="234"/>
      <c r="X533" s="234"/>
      <c r="Y533" s="234"/>
      <c r="Z533" s="234"/>
    </row>
    <row r="534" ht="12.0" customHeight="1" outlineLevel="1">
      <c r="A534" s="11" t="str">
        <f>A$216</f>
        <v/>
      </c>
      <c r="B534" s="217"/>
      <c r="C534" s="217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34"/>
      <c r="Q534" s="234"/>
      <c r="R534" s="234"/>
      <c r="S534" s="234"/>
      <c r="T534" s="234"/>
      <c r="U534" s="234"/>
      <c r="V534" s="234"/>
      <c r="W534" s="234"/>
      <c r="X534" s="234"/>
      <c r="Y534" s="234"/>
      <c r="Z534" s="234"/>
    </row>
    <row r="535" ht="12.0" customHeight="1">
      <c r="A535" s="90" t="s">
        <v>374</v>
      </c>
      <c r="B535" s="217"/>
      <c r="C535" s="243"/>
      <c r="D535" s="241"/>
      <c r="E535" s="241"/>
      <c r="F535" s="241"/>
      <c r="G535" s="241"/>
      <c r="H535" s="241"/>
      <c r="I535" s="241"/>
      <c r="J535" s="241"/>
      <c r="K535" s="241"/>
      <c r="L535" s="241"/>
      <c r="M535" s="241"/>
      <c r="N535" s="241"/>
      <c r="O535" s="241"/>
      <c r="P535" s="234"/>
      <c r="Q535" s="234"/>
      <c r="R535" s="234"/>
      <c r="S535" s="234"/>
      <c r="T535" s="234"/>
      <c r="U535" s="234"/>
      <c r="V535" s="234"/>
      <c r="W535" s="234"/>
      <c r="X535" s="234"/>
      <c r="Y535" s="234"/>
      <c r="Z535" s="234"/>
    </row>
    <row r="536" ht="12.0" customHeight="1" outlineLevel="1">
      <c r="A536" s="11" t="str">
        <f>A$192</f>
        <v/>
      </c>
      <c r="B536" s="217"/>
      <c r="C536" s="217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34"/>
      <c r="Q536" s="234"/>
      <c r="R536" s="234"/>
      <c r="S536" s="234"/>
      <c r="T536" s="234"/>
      <c r="U536" s="234"/>
      <c r="V536" s="234"/>
      <c r="W536" s="234"/>
      <c r="X536" s="234"/>
      <c r="Y536" s="234"/>
      <c r="Z536" s="234"/>
    </row>
    <row r="537" ht="12.0" customHeight="1" outlineLevel="1">
      <c r="A537" s="11" t="str">
        <f>A$193</f>
        <v/>
      </c>
      <c r="B537" s="217"/>
      <c r="C537" s="217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34"/>
      <c r="Q537" s="234"/>
      <c r="R537" s="234"/>
      <c r="S537" s="234"/>
      <c r="T537" s="234"/>
      <c r="U537" s="234"/>
      <c r="V537" s="234"/>
      <c r="W537" s="234"/>
      <c r="X537" s="234"/>
      <c r="Y537" s="234"/>
      <c r="Z537" s="234"/>
    </row>
    <row r="538" ht="12.0" customHeight="1" outlineLevel="1">
      <c r="A538" s="11" t="str">
        <f>A$194</f>
        <v/>
      </c>
      <c r="B538" s="217"/>
      <c r="C538" s="217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34"/>
      <c r="Q538" s="234"/>
      <c r="R538" s="234"/>
      <c r="S538" s="234"/>
      <c r="T538" s="234"/>
      <c r="U538" s="234"/>
      <c r="V538" s="234"/>
      <c r="W538" s="234"/>
      <c r="X538" s="234"/>
      <c r="Y538" s="234"/>
      <c r="Z538" s="234"/>
    </row>
    <row r="539" ht="12.0" customHeight="1" outlineLevel="1">
      <c r="A539" s="11" t="str">
        <f>A$195</f>
        <v/>
      </c>
      <c r="B539" s="217"/>
      <c r="C539" s="217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34"/>
      <c r="Q539" s="234"/>
      <c r="R539" s="234"/>
      <c r="S539" s="234"/>
      <c r="T539" s="234"/>
      <c r="U539" s="234"/>
      <c r="V539" s="234"/>
      <c r="W539" s="234"/>
      <c r="X539" s="234"/>
      <c r="Y539" s="234"/>
      <c r="Z539" s="234"/>
    </row>
    <row r="540" ht="12.0" customHeight="1" outlineLevel="1">
      <c r="A540" s="11" t="str">
        <f>A$196</f>
        <v/>
      </c>
      <c r="B540" s="217"/>
      <c r="C540" s="217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34"/>
      <c r="Q540" s="234"/>
      <c r="R540" s="234"/>
      <c r="S540" s="234"/>
      <c r="T540" s="234"/>
      <c r="U540" s="234"/>
      <c r="V540" s="234"/>
      <c r="W540" s="234"/>
      <c r="X540" s="234"/>
      <c r="Y540" s="234"/>
      <c r="Z540" s="234"/>
    </row>
    <row r="541" ht="12.0" customHeight="1" outlineLevel="1">
      <c r="A541" s="11" t="str">
        <f>A$197</f>
        <v/>
      </c>
      <c r="B541" s="217"/>
      <c r="C541" s="217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34"/>
      <c r="Q541" s="234"/>
      <c r="R541" s="234"/>
      <c r="S541" s="234"/>
      <c r="T541" s="234"/>
      <c r="U541" s="234"/>
      <c r="V541" s="234"/>
      <c r="W541" s="234"/>
      <c r="X541" s="234"/>
      <c r="Y541" s="234"/>
      <c r="Z541" s="234"/>
    </row>
    <row r="542" ht="12.0" customHeight="1" outlineLevel="1">
      <c r="A542" s="11" t="str">
        <f>A$198</f>
        <v/>
      </c>
      <c r="B542" s="217"/>
      <c r="C542" s="217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34"/>
      <c r="Q542" s="234"/>
      <c r="R542" s="234"/>
      <c r="S542" s="234"/>
      <c r="T542" s="234"/>
      <c r="U542" s="234"/>
      <c r="V542" s="234"/>
      <c r="W542" s="234"/>
      <c r="X542" s="234"/>
      <c r="Y542" s="234"/>
      <c r="Z542" s="234"/>
    </row>
    <row r="543" ht="12.0" customHeight="1" outlineLevel="1">
      <c r="A543" s="11" t="str">
        <f>A$199</f>
        <v/>
      </c>
      <c r="B543" s="217"/>
      <c r="C543" s="217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34"/>
      <c r="Q543" s="234"/>
      <c r="R543" s="234"/>
      <c r="S543" s="234"/>
      <c r="T543" s="234"/>
      <c r="U543" s="234"/>
      <c r="V543" s="234"/>
      <c r="W543" s="234"/>
      <c r="X543" s="234"/>
      <c r="Y543" s="234"/>
      <c r="Z543" s="234"/>
    </row>
    <row r="544" ht="12.0" customHeight="1" outlineLevel="1">
      <c r="A544" s="11" t="str">
        <f>A$200</f>
        <v/>
      </c>
      <c r="B544" s="217"/>
      <c r="C544" s="217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34"/>
      <c r="Q544" s="234"/>
      <c r="R544" s="234"/>
      <c r="S544" s="234"/>
      <c r="T544" s="234"/>
      <c r="U544" s="234"/>
      <c r="V544" s="234"/>
      <c r="W544" s="234"/>
      <c r="X544" s="234"/>
      <c r="Y544" s="234"/>
      <c r="Z544" s="234"/>
    </row>
    <row r="545" ht="12.0" customHeight="1" outlineLevel="1">
      <c r="A545" s="11" t="str">
        <f>A$201</f>
        <v/>
      </c>
      <c r="B545" s="217"/>
      <c r="C545" s="217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34"/>
      <c r="Q545" s="234"/>
      <c r="R545" s="234"/>
      <c r="S545" s="234"/>
      <c r="T545" s="234"/>
      <c r="U545" s="234"/>
      <c r="V545" s="234"/>
      <c r="W545" s="234"/>
      <c r="X545" s="234"/>
      <c r="Y545" s="234"/>
      <c r="Z545" s="234"/>
    </row>
    <row r="546" ht="12.0" customHeight="1" outlineLevel="1">
      <c r="A546" s="11" t="str">
        <f t="shared" ref="A546:A548" si="209">A$202</f>
        <v/>
      </c>
      <c r="B546" s="217"/>
      <c r="C546" s="217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34"/>
      <c r="Q546" s="234"/>
      <c r="R546" s="234"/>
      <c r="S546" s="234"/>
      <c r="T546" s="234"/>
      <c r="U546" s="234"/>
      <c r="V546" s="234"/>
      <c r="W546" s="234"/>
      <c r="X546" s="234"/>
      <c r="Y546" s="234"/>
      <c r="Z546" s="234"/>
    </row>
    <row r="547" ht="12.0" customHeight="1" outlineLevel="1">
      <c r="A547" s="11" t="str">
        <f t="shared" si="209"/>
        <v/>
      </c>
      <c r="B547" s="217"/>
      <c r="C547" s="217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34"/>
      <c r="Q547" s="234"/>
      <c r="R547" s="234"/>
      <c r="S547" s="234"/>
      <c r="T547" s="234"/>
      <c r="U547" s="234"/>
      <c r="V547" s="234"/>
      <c r="W547" s="234"/>
      <c r="X547" s="234"/>
      <c r="Y547" s="234"/>
      <c r="Z547" s="234"/>
    </row>
    <row r="548" ht="12.0" customHeight="1" outlineLevel="1">
      <c r="A548" s="11" t="str">
        <f t="shared" si="209"/>
        <v/>
      </c>
      <c r="B548" s="217"/>
      <c r="C548" s="217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34"/>
      <c r="Q548" s="234"/>
      <c r="R548" s="234"/>
      <c r="S548" s="234"/>
      <c r="T548" s="234"/>
      <c r="U548" s="234"/>
      <c r="V548" s="234"/>
      <c r="W548" s="234"/>
      <c r="X548" s="234"/>
      <c r="Y548" s="234"/>
      <c r="Z548" s="234"/>
    </row>
    <row r="549" ht="12.0" customHeight="1" outlineLevel="1">
      <c r="A549" s="11" t="str">
        <f>A$205</f>
        <v/>
      </c>
      <c r="B549" s="217"/>
      <c r="C549" s="217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34"/>
      <c r="Q549" s="234"/>
      <c r="R549" s="234"/>
      <c r="S549" s="234"/>
      <c r="T549" s="234"/>
      <c r="U549" s="234"/>
      <c r="V549" s="234"/>
      <c r="W549" s="234"/>
      <c r="X549" s="234"/>
      <c r="Y549" s="234"/>
      <c r="Z549" s="234"/>
    </row>
    <row r="550" ht="12.0" customHeight="1" outlineLevel="1">
      <c r="A550" s="11" t="str">
        <f>A$206</f>
        <v/>
      </c>
      <c r="B550" s="217"/>
      <c r="C550" s="217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34"/>
      <c r="Q550" s="234"/>
      <c r="R550" s="234"/>
      <c r="S550" s="234"/>
      <c r="T550" s="234"/>
      <c r="U550" s="234"/>
      <c r="V550" s="234"/>
      <c r="W550" s="234"/>
      <c r="X550" s="234"/>
      <c r="Y550" s="234"/>
      <c r="Z550" s="234"/>
    </row>
    <row r="551" ht="12.0" customHeight="1" outlineLevel="1">
      <c r="A551" s="11" t="str">
        <f>A$207</f>
        <v/>
      </c>
      <c r="B551" s="217"/>
      <c r="C551" s="217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34"/>
      <c r="Q551" s="234"/>
      <c r="R551" s="234"/>
      <c r="S551" s="234"/>
      <c r="T551" s="234"/>
      <c r="U551" s="234"/>
      <c r="V551" s="234"/>
      <c r="W551" s="234"/>
      <c r="X551" s="234"/>
      <c r="Y551" s="234"/>
      <c r="Z551" s="234"/>
    </row>
    <row r="552" ht="12.0" customHeight="1" outlineLevel="1">
      <c r="A552" s="11" t="str">
        <f>A$208</f>
        <v/>
      </c>
      <c r="B552" s="217"/>
      <c r="C552" s="217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34"/>
      <c r="Q552" s="234"/>
      <c r="R552" s="234"/>
      <c r="S552" s="234"/>
      <c r="T552" s="234"/>
      <c r="U552" s="234"/>
      <c r="V552" s="234"/>
      <c r="W552" s="234"/>
      <c r="X552" s="234"/>
      <c r="Y552" s="234"/>
      <c r="Z552" s="234"/>
    </row>
    <row r="553" ht="12.0" customHeight="1" outlineLevel="1">
      <c r="A553" s="11" t="str">
        <f>A$209</f>
        <v/>
      </c>
      <c r="B553" s="217"/>
      <c r="C553" s="217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34"/>
      <c r="Q553" s="234"/>
      <c r="R553" s="234"/>
      <c r="S553" s="234"/>
      <c r="T553" s="234"/>
      <c r="U553" s="234"/>
      <c r="V553" s="234"/>
      <c r="W553" s="234"/>
      <c r="X553" s="234"/>
      <c r="Y553" s="234"/>
      <c r="Z553" s="234"/>
    </row>
    <row r="554" ht="12.0" customHeight="1" outlineLevel="1">
      <c r="A554" s="11" t="str">
        <f>A$210</f>
        <v/>
      </c>
      <c r="B554" s="217"/>
      <c r="C554" s="217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34"/>
      <c r="Q554" s="234"/>
      <c r="R554" s="234"/>
      <c r="S554" s="234"/>
      <c r="T554" s="234"/>
      <c r="U554" s="234"/>
      <c r="V554" s="234"/>
      <c r="W554" s="234"/>
      <c r="X554" s="234"/>
      <c r="Y554" s="234"/>
      <c r="Z554" s="234"/>
    </row>
    <row r="555" ht="12.0" customHeight="1" outlineLevel="1">
      <c r="A555" s="11" t="str">
        <f>A$211</f>
        <v/>
      </c>
      <c r="B555" s="217"/>
      <c r="C555" s="217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34"/>
      <c r="Q555" s="234"/>
      <c r="R555" s="234"/>
      <c r="S555" s="234"/>
      <c r="T555" s="234"/>
      <c r="U555" s="234"/>
      <c r="V555" s="234"/>
      <c r="W555" s="234"/>
      <c r="X555" s="234"/>
      <c r="Y555" s="234"/>
      <c r="Z555" s="234"/>
    </row>
    <row r="556" ht="12.0" customHeight="1" outlineLevel="1">
      <c r="A556" s="11" t="str">
        <f>A$212</f>
        <v/>
      </c>
      <c r="B556" s="217"/>
      <c r="C556" s="217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34"/>
      <c r="Q556" s="234"/>
      <c r="R556" s="234"/>
      <c r="S556" s="234"/>
      <c r="T556" s="234"/>
      <c r="U556" s="234"/>
      <c r="V556" s="234"/>
      <c r="W556" s="234"/>
      <c r="X556" s="234"/>
      <c r="Y556" s="234"/>
      <c r="Z556" s="234"/>
    </row>
    <row r="557" ht="12.0" customHeight="1" outlineLevel="1">
      <c r="A557" s="11" t="str">
        <f>A$213</f>
        <v/>
      </c>
      <c r="B557" s="217"/>
      <c r="C557" s="217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34"/>
      <c r="Q557" s="234"/>
      <c r="R557" s="234"/>
      <c r="S557" s="234"/>
      <c r="T557" s="234"/>
      <c r="U557" s="234"/>
      <c r="V557" s="234"/>
      <c r="W557" s="234"/>
      <c r="X557" s="234"/>
      <c r="Y557" s="234"/>
      <c r="Z557" s="234"/>
    </row>
    <row r="558" ht="12.0" customHeight="1" outlineLevel="1">
      <c r="A558" s="11" t="str">
        <f>A$214</f>
        <v/>
      </c>
      <c r="B558" s="217"/>
      <c r="C558" s="217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34"/>
      <c r="Q558" s="234"/>
      <c r="R558" s="234"/>
      <c r="S558" s="234"/>
      <c r="T558" s="234"/>
      <c r="U558" s="234"/>
      <c r="V558" s="234"/>
      <c r="W558" s="234"/>
      <c r="X558" s="234"/>
      <c r="Y558" s="234"/>
      <c r="Z558" s="234"/>
    </row>
    <row r="559" ht="12.0" customHeight="1" outlineLevel="1">
      <c r="A559" s="11" t="str">
        <f>A$215</f>
        <v/>
      </c>
      <c r="B559" s="217"/>
      <c r="C559" s="217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34"/>
      <c r="Q559" s="234"/>
      <c r="R559" s="234"/>
      <c r="S559" s="234"/>
      <c r="T559" s="234"/>
      <c r="U559" s="234"/>
      <c r="V559" s="234"/>
      <c r="W559" s="234"/>
      <c r="X559" s="234"/>
      <c r="Y559" s="234"/>
      <c r="Z559" s="234"/>
    </row>
    <row r="560" ht="12.0" customHeight="1" outlineLevel="1">
      <c r="A560" s="11" t="str">
        <f>A$216</f>
        <v/>
      </c>
      <c r="B560" s="217"/>
      <c r="C560" s="217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34"/>
      <c r="Q560" s="234"/>
      <c r="R560" s="234"/>
      <c r="S560" s="234"/>
      <c r="T560" s="234"/>
      <c r="U560" s="234"/>
      <c r="V560" s="234"/>
      <c r="W560" s="234"/>
      <c r="X560" s="234"/>
      <c r="Y560" s="234"/>
      <c r="Z560" s="234"/>
    </row>
    <row r="561" ht="12.0" customHeight="1">
      <c r="A561" s="90" t="s">
        <v>374</v>
      </c>
      <c r="B561" s="217"/>
      <c r="C561" s="243"/>
      <c r="D561" s="241"/>
      <c r="E561" s="241"/>
      <c r="F561" s="241"/>
      <c r="G561" s="241"/>
      <c r="H561" s="241"/>
      <c r="I561" s="241"/>
      <c r="J561" s="241"/>
      <c r="K561" s="241"/>
      <c r="L561" s="241"/>
      <c r="M561" s="241"/>
      <c r="N561" s="241"/>
      <c r="O561" s="241"/>
      <c r="P561" s="234"/>
      <c r="Q561" s="234"/>
      <c r="R561" s="234"/>
      <c r="S561" s="234"/>
      <c r="T561" s="234"/>
      <c r="U561" s="234"/>
      <c r="V561" s="234"/>
      <c r="W561" s="234"/>
      <c r="X561" s="234"/>
      <c r="Y561" s="234"/>
      <c r="Z561" s="234"/>
    </row>
    <row r="562" ht="12.0" customHeight="1" outlineLevel="1">
      <c r="A562" s="11" t="str">
        <f>A$192</f>
        <v/>
      </c>
      <c r="B562" s="217"/>
      <c r="C562" s="217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34"/>
      <c r="Q562" s="234"/>
      <c r="R562" s="234"/>
      <c r="S562" s="234"/>
      <c r="T562" s="234"/>
      <c r="U562" s="234"/>
      <c r="V562" s="234"/>
      <c r="W562" s="234"/>
      <c r="X562" s="234"/>
      <c r="Y562" s="234"/>
      <c r="Z562" s="234"/>
    </row>
    <row r="563" ht="12.0" customHeight="1" outlineLevel="1">
      <c r="A563" s="11" t="str">
        <f>A$193</f>
        <v/>
      </c>
      <c r="B563" s="217"/>
      <c r="C563" s="217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34"/>
      <c r="Q563" s="234"/>
      <c r="R563" s="234"/>
      <c r="S563" s="234"/>
      <c r="T563" s="234"/>
      <c r="U563" s="234"/>
      <c r="V563" s="234"/>
      <c r="W563" s="234"/>
      <c r="X563" s="234"/>
      <c r="Y563" s="234"/>
      <c r="Z563" s="234"/>
    </row>
    <row r="564" ht="12.0" customHeight="1" outlineLevel="1">
      <c r="A564" s="11" t="str">
        <f>A$194</f>
        <v/>
      </c>
      <c r="B564" s="217"/>
      <c r="C564" s="217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34"/>
      <c r="Q564" s="234"/>
      <c r="R564" s="234"/>
      <c r="S564" s="234"/>
      <c r="T564" s="234"/>
      <c r="U564" s="234"/>
      <c r="V564" s="234"/>
      <c r="W564" s="234"/>
      <c r="X564" s="234"/>
      <c r="Y564" s="234"/>
      <c r="Z564" s="234"/>
    </row>
    <row r="565" ht="12.0" customHeight="1" outlineLevel="1">
      <c r="A565" s="11" t="str">
        <f>A$195</f>
        <v/>
      </c>
      <c r="B565" s="217"/>
      <c r="C565" s="217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34"/>
      <c r="Q565" s="234"/>
      <c r="R565" s="234"/>
      <c r="S565" s="234"/>
      <c r="T565" s="234"/>
      <c r="U565" s="234"/>
      <c r="V565" s="234"/>
      <c r="W565" s="234"/>
      <c r="X565" s="234"/>
      <c r="Y565" s="234"/>
      <c r="Z565" s="234"/>
    </row>
    <row r="566" ht="12.0" customHeight="1" outlineLevel="1">
      <c r="A566" s="11" t="str">
        <f>A$196</f>
        <v/>
      </c>
      <c r="B566" s="217"/>
      <c r="C566" s="217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34"/>
      <c r="Q566" s="234"/>
      <c r="R566" s="234"/>
      <c r="S566" s="234"/>
      <c r="T566" s="234"/>
      <c r="U566" s="234"/>
      <c r="V566" s="234"/>
      <c r="W566" s="234"/>
      <c r="X566" s="234"/>
      <c r="Y566" s="234"/>
      <c r="Z566" s="234"/>
    </row>
    <row r="567" ht="12.0" customHeight="1" outlineLevel="1">
      <c r="A567" s="11" t="str">
        <f>A$197</f>
        <v/>
      </c>
      <c r="B567" s="217"/>
      <c r="C567" s="217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34"/>
      <c r="Q567" s="234"/>
      <c r="R567" s="234"/>
      <c r="S567" s="234"/>
      <c r="T567" s="234"/>
      <c r="U567" s="234"/>
      <c r="V567" s="234"/>
      <c r="W567" s="234"/>
      <c r="X567" s="234"/>
      <c r="Y567" s="234"/>
      <c r="Z567" s="234"/>
    </row>
    <row r="568" ht="12.0" customHeight="1" outlineLevel="1">
      <c r="A568" s="11" t="str">
        <f>A$198</f>
        <v/>
      </c>
      <c r="B568" s="217"/>
      <c r="C568" s="217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34"/>
      <c r="Q568" s="234"/>
      <c r="R568" s="234"/>
      <c r="S568" s="234"/>
      <c r="T568" s="234"/>
      <c r="U568" s="234"/>
      <c r="V568" s="234"/>
      <c r="W568" s="234"/>
      <c r="X568" s="234"/>
      <c r="Y568" s="234"/>
      <c r="Z568" s="234"/>
    </row>
    <row r="569" ht="12.0" customHeight="1" outlineLevel="1">
      <c r="A569" s="11" t="str">
        <f>A$199</f>
        <v/>
      </c>
      <c r="B569" s="217"/>
      <c r="C569" s="217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34"/>
      <c r="Q569" s="234"/>
      <c r="R569" s="234"/>
      <c r="S569" s="234"/>
      <c r="T569" s="234"/>
      <c r="U569" s="234"/>
      <c r="V569" s="234"/>
      <c r="W569" s="234"/>
      <c r="X569" s="234"/>
      <c r="Y569" s="234"/>
      <c r="Z569" s="234"/>
    </row>
    <row r="570" ht="12.0" customHeight="1" outlineLevel="1">
      <c r="A570" s="11" t="str">
        <f>A$200</f>
        <v/>
      </c>
      <c r="B570" s="217"/>
      <c r="C570" s="217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34"/>
      <c r="Q570" s="234"/>
      <c r="R570" s="234"/>
      <c r="S570" s="234"/>
      <c r="T570" s="234"/>
      <c r="U570" s="234"/>
      <c r="V570" s="234"/>
      <c r="W570" s="234"/>
      <c r="X570" s="234"/>
      <c r="Y570" s="234"/>
      <c r="Z570" s="234"/>
    </row>
    <row r="571" ht="12.0" customHeight="1" outlineLevel="1">
      <c r="A571" s="11" t="str">
        <f>A$201</f>
        <v/>
      </c>
      <c r="B571" s="217"/>
      <c r="C571" s="217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34"/>
      <c r="Q571" s="234"/>
      <c r="R571" s="234"/>
      <c r="S571" s="234"/>
      <c r="T571" s="234"/>
      <c r="U571" s="234"/>
      <c r="V571" s="234"/>
      <c r="W571" s="234"/>
      <c r="X571" s="234"/>
      <c r="Y571" s="234"/>
      <c r="Z571" s="234"/>
    </row>
    <row r="572" ht="12.0" customHeight="1" outlineLevel="1">
      <c r="A572" s="11" t="str">
        <f t="shared" ref="A572:A574" si="210">A$202</f>
        <v/>
      </c>
      <c r="B572" s="217"/>
      <c r="C572" s="217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34"/>
      <c r="Q572" s="234"/>
      <c r="R572" s="234"/>
      <c r="S572" s="234"/>
      <c r="T572" s="234"/>
      <c r="U572" s="234"/>
      <c r="V572" s="234"/>
      <c r="W572" s="234"/>
      <c r="X572" s="234"/>
      <c r="Y572" s="234"/>
      <c r="Z572" s="234"/>
    </row>
    <row r="573" ht="12.0" customHeight="1" outlineLevel="1">
      <c r="A573" s="11" t="str">
        <f t="shared" si="210"/>
        <v/>
      </c>
      <c r="B573" s="217"/>
      <c r="C573" s="217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34"/>
      <c r="Q573" s="234"/>
      <c r="R573" s="234"/>
      <c r="S573" s="234"/>
      <c r="T573" s="234"/>
      <c r="U573" s="234"/>
      <c r="V573" s="234"/>
      <c r="W573" s="234"/>
      <c r="X573" s="234"/>
      <c r="Y573" s="234"/>
      <c r="Z573" s="234"/>
    </row>
    <row r="574" ht="12.0" customHeight="1" outlineLevel="1">
      <c r="A574" s="11" t="str">
        <f t="shared" si="210"/>
        <v/>
      </c>
      <c r="B574" s="217"/>
      <c r="C574" s="217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34"/>
      <c r="Q574" s="234"/>
      <c r="R574" s="234"/>
      <c r="S574" s="234"/>
      <c r="T574" s="234"/>
      <c r="U574" s="234"/>
      <c r="V574" s="234"/>
      <c r="W574" s="234"/>
      <c r="X574" s="234"/>
      <c r="Y574" s="234"/>
      <c r="Z574" s="234"/>
    </row>
    <row r="575" ht="12.0" customHeight="1" outlineLevel="1">
      <c r="A575" s="11" t="str">
        <f>A$205</f>
        <v/>
      </c>
      <c r="B575" s="217"/>
      <c r="C575" s="217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34"/>
      <c r="Q575" s="234"/>
      <c r="R575" s="234"/>
      <c r="S575" s="234"/>
      <c r="T575" s="234"/>
      <c r="U575" s="234"/>
      <c r="V575" s="234"/>
      <c r="W575" s="234"/>
      <c r="X575" s="234"/>
      <c r="Y575" s="234"/>
      <c r="Z575" s="234"/>
    </row>
    <row r="576" ht="12.0" customHeight="1" outlineLevel="1">
      <c r="A576" s="11" t="str">
        <f>A$206</f>
        <v/>
      </c>
      <c r="B576" s="217"/>
      <c r="C576" s="217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34"/>
      <c r="Q576" s="234"/>
      <c r="R576" s="234"/>
      <c r="S576" s="234"/>
      <c r="T576" s="234"/>
      <c r="U576" s="234"/>
      <c r="V576" s="234"/>
      <c r="W576" s="234"/>
      <c r="X576" s="234"/>
      <c r="Y576" s="234"/>
      <c r="Z576" s="234"/>
    </row>
    <row r="577" ht="12.0" customHeight="1" outlineLevel="1">
      <c r="A577" s="11" t="str">
        <f>A$207</f>
        <v/>
      </c>
      <c r="B577" s="217"/>
      <c r="C577" s="217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34"/>
      <c r="Q577" s="234"/>
      <c r="R577" s="234"/>
      <c r="S577" s="234"/>
      <c r="T577" s="234"/>
      <c r="U577" s="234"/>
      <c r="V577" s="234"/>
      <c r="W577" s="234"/>
      <c r="X577" s="234"/>
      <c r="Y577" s="234"/>
      <c r="Z577" s="234"/>
    </row>
    <row r="578" ht="12.0" customHeight="1" outlineLevel="1">
      <c r="A578" s="11" t="str">
        <f>A$208</f>
        <v/>
      </c>
      <c r="B578" s="217"/>
      <c r="C578" s="217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34"/>
      <c r="Q578" s="234"/>
      <c r="R578" s="234"/>
      <c r="S578" s="234"/>
      <c r="T578" s="234"/>
      <c r="U578" s="234"/>
      <c r="V578" s="234"/>
      <c r="W578" s="234"/>
      <c r="X578" s="234"/>
      <c r="Y578" s="234"/>
      <c r="Z578" s="234"/>
    </row>
    <row r="579" ht="12.0" customHeight="1" outlineLevel="1">
      <c r="A579" s="11" t="str">
        <f>A$209</f>
        <v/>
      </c>
      <c r="B579" s="217"/>
      <c r="C579" s="217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34"/>
      <c r="Q579" s="234"/>
      <c r="R579" s="234"/>
      <c r="S579" s="234"/>
      <c r="T579" s="234"/>
      <c r="U579" s="234"/>
      <c r="V579" s="234"/>
      <c r="W579" s="234"/>
      <c r="X579" s="234"/>
      <c r="Y579" s="234"/>
      <c r="Z579" s="234"/>
    </row>
    <row r="580" ht="12.0" customHeight="1" outlineLevel="1">
      <c r="A580" s="11" t="str">
        <f>A$210</f>
        <v/>
      </c>
      <c r="B580" s="217"/>
      <c r="C580" s="217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34"/>
      <c r="Q580" s="234"/>
      <c r="R580" s="234"/>
      <c r="S580" s="234"/>
      <c r="T580" s="234"/>
      <c r="U580" s="234"/>
      <c r="V580" s="234"/>
      <c r="W580" s="234"/>
      <c r="X580" s="234"/>
      <c r="Y580" s="234"/>
      <c r="Z580" s="234"/>
    </row>
    <row r="581" ht="12.0" customHeight="1" outlineLevel="1">
      <c r="A581" s="11" t="str">
        <f>A$211</f>
        <v/>
      </c>
      <c r="B581" s="217"/>
      <c r="C581" s="217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34"/>
      <c r="Q581" s="234"/>
      <c r="R581" s="234"/>
      <c r="S581" s="234"/>
      <c r="T581" s="234"/>
      <c r="U581" s="234"/>
      <c r="V581" s="234"/>
      <c r="W581" s="234"/>
      <c r="X581" s="234"/>
      <c r="Y581" s="234"/>
      <c r="Z581" s="234"/>
    </row>
    <row r="582" ht="12.0" customHeight="1" outlineLevel="1">
      <c r="A582" s="11" t="str">
        <f>A$212</f>
        <v/>
      </c>
      <c r="B582" s="217"/>
      <c r="C582" s="217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34"/>
      <c r="Q582" s="234"/>
      <c r="R582" s="234"/>
      <c r="S582" s="234"/>
      <c r="T582" s="234"/>
      <c r="U582" s="234"/>
      <c r="V582" s="234"/>
      <c r="W582" s="234"/>
      <c r="X582" s="234"/>
      <c r="Y582" s="234"/>
      <c r="Z582" s="234"/>
    </row>
    <row r="583" ht="12.0" customHeight="1" outlineLevel="1">
      <c r="A583" s="11" t="str">
        <f>A$213</f>
        <v/>
      </c>
      <c r="B583" s="217"/>
      <c r="C583" s="217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34"/>
      <c r="Q583" s="234"/>
      <c r="R583" s="234"/>
      <c r="S583" s="234"/>
      <c r="T583" s="234"/>
      <c r="U583" s="234"/>
      <c r="V583" s="234"/>
      <c r="W583" s="234"/>
      <c r="X583" s="234"/>
      <c r="Y583" s="234"/>
      <c r="Z583" s="234"/>
    </row>
    <row r="584" ht="12.0" customHeight="1" outlineLevel="1">
      <c r="A584" s="11" t="str">
        <f>A$214</f>
        <v/>
      </c>
      <c r="B584" s="217"/>
      <c r="C584" s="217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34"/>
      <c r="Q584" s="234"/>
      <c r="R584" s="234"/>
      <c r="S584" s="234"/>
      <c r="T584" s="234"/>
      <c r="U584" s="234"/>
      <c r="V584" s="234"/>
      <c r="W584" s="234"/>
      <c r="X584" s="234"/>
      <c r="Y584" s="234"/>
      <c r="Z584" s="234"/>
    </row>
    <row r="585" ht="12.0" customHeight="1" outlineLevel="1">
      <c r="A585" s="11" t="str">
        <f>A$215</f>
        <v/>
      </c>
      <c r="B585" s="217"/>
      <c r="C585" s="217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34"/>
      <c r="Q585" s="234"/>
      <c r="R585" s="234"/>
      <c r="S585" s="234"/>
      <c r="T585" s="234"/>
      <c r="U585" s="234"/>
      <c r="V585" s="234"/>
      <c r="W585" s="234"/>
      <c r="X585" s="234"/>
      <c r="Y585" s="234"/>
      <c r="Z585" s="234"/>
    </row>
    <row r="586" ht="12.0" customHeight="1" outlineLevel="1">
      <c r="A586" s="11" t="str">
        <f>A$216</f>
        <v/>
      </c>
      <c r="B586" s="217"/>
      <c r="C586" s="217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34"/>
      <c r="Q586" s="234"/>
      <c r="R586" s="234"/>
      <c r="S586" s="234"/>
      <c r="T586" s="234"/>
      <c r="U586" s="234"/>
      <c r="V586" s="234"/>
      <c r="W586" s="234"/>
      <c r="X586" s="234"/>
      <c r="Y586" s="234"/>
      <c r="Z586" s="234"/>
    </row>
    <row r="587" ht="12.0" customHeight="1">
      <c r="A587" s="90" t="s">
        <v>374</v>
      </c>
      <c r="B587" s="217"/>
      <c r="C587" s="243"/>
      <c r="D587" s="241"/>
      <c r="E587" s="241"/>
      <c r="F587" s="241"/>
      <c r="G587" s="241"/>
      <c r="H587" s="241"/>
      <c r="I587" s="241"/>
      <c r="J587" s="241"/>
      <c r="K587" s="241"/>
      <c r="L587" s="241"/>
      <c r="M587" s="241"/>
      <c r="N587" s="241"/>
      <c r="O587" s="241"/>
      <c r="P587" s="234"/>
      <c r="Q587" s="234"/>
      <c r="R587" s="234"/>
      <c r="S587" s="234"/>
      <c r="T587" s="234"/>
      <c r="U587" s="234"/>
      <c r="V587" s="234"/>
      <c r="W587" s="234"/>
      <c r="X587" s="234"/>
      <c r="Y587" s="234"/>
      <c r="Z587" s="234"/>
    </row>
    <row r="588" ht="12.0" customHeight="1" outlineLevel="1">
      <c r="A588" s="11" t="str">
        <f>A$192</f>
        <v/>
      </c>
      <c r="B588" s="217"/>
      <c r="C588" s="217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34"/>
      <c r="Q588" s="234"/>
      <c r="R588" s="234"/>
      <c r="S588" s="234"/>
      <c r="T588" s="234"/>
      <c r="U588" s="234"/>
      <c r="V588" s="234"/>
      <c r="W588" s="234"/>
      <c r="X588" s="234"/>
      <c r="Y588" s="234"/>
      <c r="Z588" s="234"/>
    </row>
    <row r="589" ht="12.0" customHeight="1" outlineLevel="1">
      <c r="A589" s="11" t="str">
        <f>A$193</f>
        <v/>
      </c>
      <c r="B589" s="217"/>
      <c r="C589" s="217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34"/>
      <c r="Q589" s="234"/>
      <c r="R589" s="234"/>
      <c r="S589" s="234"/>
      <c r="T589" s="234"/>
      <c r="U589" s="234"/>
      <c r="V589" s="234"/>
      <c r="W589" s="234"/>
      <c r="X589" s="234"/>
      <c r="Y589" s="234"/>
      <c r="Z589" s="234"/>
    </row>
    <row r="590" ht="12.0" customHeight="1" outlineLevel="1">
      <c r="A590" s="11" t="str">
        <f>A$194</f>
        <v/>
      </c>
      <c r="B590" s="217"/>
      <c r="C590" s="217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34"/>
      <c r="Q590" s="234"/>
      <c r="R590" s="234"/>
      <c r="S590" s="234"/>
      <c r="T590" s="234"/>
      <c r="U590" s="234"/>
      <c r="V590" s="234"/>
      <c r="W590" s="234"/>
      <c r="X590" s="234"/>
      <c r="Y590" s="234"/>
      <c r="Z590" s="234"/>
    </row>
    <row r="591" ht="12.0" customHeight="1" outlineLevel="1">
      <c r="A591" s="11" t="str">
        <f>A$195</f>
        <v/>
      </c>
      <c r="B591" s="217"/>
      <c r="C591" s="217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34"/>
      <c r="Q591" s="234"/>
      <c r="R591" s="234"/>
      <c r="S591" s="234"/>
      <c r="T591" s="234"/>
      <c r="U591" s="234"/>
      <c r="V591" s="234"/>
      <c r="W591" s="234"/>
      <c r="X591" s="234"/>
      <c r="Y591" s="234"/>
      <c r="Z591" s="234"/>
    </row>
    <row r="592" ht="12.0" customHeight="1" outlineLevel="1">
      <c r="A592" s="11" t="str">
        <f>A$196</f>
        <v/>
      </c>
      <c r="B592" s="217"/>
      <c r="C592" s="217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34"/>
      <c r="Q592" s="234"/>
      <c r="R592" s="234"/>
      <c r="S592" s="234"/>
      <c r="T592" s="234"/>
      <c r="U592" s="234"/>
      <c r="V592" s="234"/>
      <c r="W592" s="234"/>
      <c r="X592" s="234"/>
      <c r="Y592" s="234"/>
      <c r="Z592" s="234"/>
    </row>
    <row r="593" ht="12.0" customHeight="1" outlineLevel="1">
      <c r="A593" s="11" t="str">
        <f>A$197</f>
        <v/>
      </c>
      <c r="B593" s="217"/>
      <c r="C593" s="217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34"/>
      <c r="Q593" s="234"/>
      <c r="R593" s="234"/>
      <c r="S593" s="234"/>
      <c r="T593" s="234"/>
      <c r="U593" s="234"/>
      <c r="V593" s="234"/>
      <c r="W593" s="234"/>
      <c r="X593" s="234"/>
      <c r="Y593" s="234"/>
      <c r="Z593" s="234"/>
    </row>
    <row r="594" ht="12.0" customHeight="1" outlineLevel="1">
      <c r="A594" s="11" t="str">
        <f>A$198</f>
        <v/>
      </c>
      <c r="B594" s="217"/>
      <c r="C594" s="217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34"/>
      <c r="Q594" s="234"/>
      <c r="R594" s="234"/>
      <c r="S594" s="234"/>
      <c r="T594" s="234"/>
      <c r="U594" s="234"/>
      <c r="V594" s="234"/>
      <c r="W594" s="234"/>
      <c r="X594" s="234"/>
      <c r="Y594" s="234"/>
      <c r="Z594" s="234"/>
    </row>
    <row r="595" ht="12.0" customHeight="1" outlineLevel="1">
      <c r="A595" s="11" t="str">
        <f>A$199</f>
        <v/>
      </c>
      <c r="B595" s="217"/>
      <c r="C595" s="217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34"/>
      <c r="Q595" s="234"/>
      <c r="R595" s="234"/>
      <c r="S595" s="234"/>
      <c r="T595" s="234"/>
      <c r="U595" s="234"/>
      <c r="V595" s="234"/>
      <c r="W595" s="234"/>
      <c r="X595" s="234"/>
      <c r="Y595" s="234"/>
      <c r="Z595" s="234"/>
    </row>
    <row r="596" ht="12.0" customHeight="1" outlineLevel="1">
      <c r="A596" s="11" t="str">
        <f>A$200</f>
        <v/>
      </c>
      <c r="B596" s="217"/>
      <c r="C596" s="217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34"/>
      <c r="Q596" s="234"/>
      <c r="R596" s="234"/>
      <c r="S596" s="234"/>
      <c r="T596" s="234"/>
      <c r="U596" s="234"/>
      <c r="V596" s="234"/>
      <c r="W596" s="234"/>
      <c r="X596" s="234"/>
      <c r="Y596" s="234"/>
      <c r="Z596" s="234"/>
    </row>
    <row r="597" ht="12.0" customHeight="1" outlineLevel="1">
      <c r="A597" s="11" t="str">
        <f t="shared" ref="A597:A599" si="211">A$201</f>
        <v/>
      </c>
      <c r="B597" s="217"/>
      <c r="C597" s="217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34"/>
      <c r="Q597" s="234"/>
      <c r="R597" s="234"/>
      <c r="S597" s="234"/>
      <c r="T597" s="234"/>
      <c r="U597" s="234"/>
      <c r="V597" s="234"/>
      <c r="W597" s="234"/>
      <c r="X597" s="234"/>
      <c r="Y597" s="234"/>
      <c r="Z597" s="234"/>
    </row>
    <row r="598" ht="12.0" customHeight="1" outlineLevel="1">
      <c r="A598" s="11" t="str">
        <f t="shared" si="211"/>
        <v/>
      </c>
      <c r="B598" s="217"/>
      <c r="C598" s="217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34"/>
      <c r="Q598" s="234"/>
      <c r="R598" s="234"/>
      <c r="S598" s="234"/>
      <c r="T598" s="234"/>
      <c r="U598" s="234"/>
      <c r="V598" s="234"/>
      <c r="W598" s="234"/>
      <c r="X598" s="234"/>
      <c r="Y598" s="234"/>
      <c r="Z598" s="234"/>
    </row>
    <row r="599" ht="12.0" customHeight="1" outlineLevel="1">
      <c r="A599" s="11" t="str">
        <f t="shared" si="211"/>
        <v/>
      </c>
      <c r="B599" s="217"/>
      <c r="C599" s="217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34"/>
      <c r="Q599" s="234"/>
      <c r="R599" s="234"/>
      <c r="S599" s="234"/>
      <c r="T599" s="234"/>
      <c r="U599" s="234"/>
      <c r="V599" s="234"/>
      <c r="W599" s="234"/>
      <c r="X599" s="234"/>
      <c r="Y599" s="234"/>
      <c r="Z599" s="234"/>
    </row>
    <row r="600" ht="12.0" customHeight="1" outlineLevel="1">
      <c r="A600" s="11" t="str">
        <f>A$204</f>
        <v/>
      </c>
      <c r="B600" s="217"/>
      <c r="C600" s="217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34"/>
      <c r="Q600" s="234"/>
      <c r="R600" s="234"/>
      <c r="S600" s="234"/>
      <c r="T600" s="234"/>
      <c r="U600" s="234"/>
      <c r="V600" s="234"/>
      <c r="W600" s="234"/>
      <c r="X600" s="234"/>
      <c r="Y600" s="234"/>
      <c r="Z600" s="234"/>
    </row>
    <row r="601" ht="12.0" customHeight="1" outlineLevel="1">
      <c r="A601" s="11" t="str">
        <f>A$205</f>
        <v/>
      </c>
      <c r="B601" s="217"/>
      <c r="C601" s="217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34"/>
      <c r="Q601" s="234"/>
      <c r="R601" s="234"/>
      <c r="S601" s="234"/>
      <c r="T601" s="234"/>
      <c r="U601" s="234"/>
      <c r="V601" s="234"/>
      <c r="W601" s="234"/>
      <c r="X601" s="234"/>
      <c r="Y601" s="234"/>
      <c r="Z601" s="234"/>
    </row>
    <row r="602" ht="12.0" customHeight="1" outlineLevel="1">
      <c r="A602" s="11" t="str">
        <f>A$206</f>
        <v/>
      </c>
      <c r="B602" s="217"/>
      <c r="C602" s="217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34"/>
      <c r="Q602" s="234"/>
      <c r="R602" s="234"/>
      <c r="S602" s="234"/>
      <c r="T602" s="234"/>
      <c r="U602" s="234"/>
      <c r="V602" s="234"/>
      <c r="W602" s="234"/>
      <c r="X602" s="234"/>
      <c r="Y602" s="234"/>
      <c r="Z602" s="234"/>
    </row>
    <row r="603" ht="12.0" customHeight="1" outlineLevel="1">
      <c r="A603" s="11" t="str">
        <f>A$207</f>
        <v/>
      </c>
      <c r="B603" s="217"/>
      <c r="C603" s="217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34"/>
      <c r="Q603" s="234"/>
      <c r="R603" s="234"/>
      <c r="S603" s="234"/>
      <c r="T603" s="234"/>
      <c r="U603" s="234"/>
      <c r="V603" s="234"/>
      <c r="W603" s="234"/>
      <c r="X603" s="234"/>
      <c r="Y603" s="234"/>
      <c r="Z603" s="234"/>
    </row>
    <row r="604" ht="12.0" customHeight="1" outlineLevel="1">
      <c r="A604" s="11" t="str">
        <f>A$208</f>
        <v/>
      </c>
      <c r="B604" s="217"/>
      <c r="C604" s="217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34"/>
      <c r="Q604" s="234"/>
      <c r="R604" s="234"/>
      <c r="S604" s="234"/>
      <c r="T604" s="234"/>
      <c r="U604" s="234"/>
      <c r="V604" s="234"/>
      <c r="W604" s="234"/>
      <c r="X604" s="234"/>
      <c r="Y604" s="234"/>
      <c r="Z604" s="234"/>
    </row>
    <row r="605" ht="12.0" customHeight="1" outlineLevel="1">
      <c r="A605" s="11" t="str">
        <f>A$209</f>
        <v/>
      </c>
      <c r="B605" s="217"/>
      <c r="C605" s="217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34"/>
      <c r="Q605" s="234"/>
      <c r="R605" s="234"/>
      <c r="S605" s="234"/>
      <c r="T605" s="234"/>
      <c r="U605" s="234"/>
      <c r="V605" s="234"/>
      <c r="W605" s="234"/>
      <c r="X605" s="234"/>
      <c r="Y605" s="234"/>
      <c r="Z605" s="234"/>
    </row>
    <row r="606" ht="12.0" customHeight="1" outlineLevel="1">
      <c r="A606" s="11" t="str">
        <f>A$210</f>
        <v/>
      </c>
      <c r="B606" s="217"/>
      <c r="C606" s="217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34"/>
      <c r="Q606" s="234"/>
      <c r="R606" s="234"/>
      <c r="S606" s="234"/>
      <c r="T606" s="234"/>
      <c r="U606" s="234"/>
      <c r="V606" s="234"/>
      <c r="W606" s="234"/>
      <c r="X606" s="234"/>
      <c r="Y606" s="234"/>
      <c r="Z606" s="234"/>
    </row>
    <row r="607" ht="12.0" customHeight="1" outlineLevel="1">
      <c r="A607" s="11" t="str">
        <f>A$211</f>
        <v/>
      </c>
      <c r="B607" s="217"/>
      <c r="C607" s="217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34"/>
      <c r="Q607" s="234"/>
      <c r="R607" s="234"/>
      <c r="S607" s="234"/>
      <c r="T607" s="234"/>
      <c r="U607" s="234"/>
      <c r="V607" s="234"/>
      <c r="W607" s="234"/>
      <c r="X607" s="234"/>
      <c r="Y607" s="234"/>
      <c r="Z607" s="234"/>
    </row>
    <row r="608" ht="12.0" customHeight="1" outlineLevel="1">
      <c r="A608" s="11" t="str">
        <f>A$212</f>
        <v/>
      </c>
      <c r="B608" s="217"/>
      <c r="C608" s="217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34"/>
      <c r="Q608" s="234"/>
      <c r="R608" s="234"/>
      <c r="S608" s="234"/>
      <c r="T608" s="234"/>
      <c r="U608" s="234"/>
      <c r="V608" s="234"/>
      <c r="W608" s="234"/>
      <c r="X608" s="234"/>
      <c r="Y608" s="234"/>
      <c r="Z608" s="234"/>
    </row>
    <row r="609" ht="12.0" customHeight="1" outlineLevel="1">
      <c r="A609" s="11" t="str">
        <f>A$213</f>
        <v/>
      </c>
      <c r="B609" s="217"/>
      <c r="C609" s="217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34"/>
      <c r="Q609" s="234"/>
      <c r="R609" s="234"/>
      <c r="S609" s="234"/>
      <c r="T609" s="234"/>
      <c r="U609" s="234"/>
      <c r="V609" s="234"/>
      <c r="W609" s="234"/>
      <c r="X609" s="234"/>
      <c r="Y609" s="234"/>
      <c r="Z609" s="234"/>
    </row>
    <row r="610" ht="12.0" customHeight="1" outlineLevel="1">
      <c r="A610" s="11" t="str">
        <f>A$214</f>
        <v/>
      </c>
      <c r="B610" s="217"/>
      <c r="C610" s="217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34"/>
      <c r="Q610" s="234"/>
      <c r="R610" s="234"/>
      <c r="S610" s="234"/>
      <c r="T610" s="234"/>
      <c r="U610" s="234"/>
      <c r="V610" s="234"/>
      <c r="W610" s="234"/>
      <c r="X610" s="234"/>
      <c r="Y610" s="234"/>
      <c r="Z610" s="234"/>
    </row>
    <row r="611" ht="12.0" customHeight="1" outlineLevel="1">
      <c r="A611" s="11" t="str">
        <f>A$215</f>
        <v/>
      </c>
      <c r="B611" s="217"/>
      <c r="C611" s="217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34"/>
      <c r="Q611" s="234"/>
      <c r="R611" s="234"/>
      <c r="S611" s="234"/>
      <c r="T611" s="234"/>
      <c r="U611" s="234"/>
      <c r="V611" s="234"/>
      <c r="W611" s="234"/>
      <c r="X611" s="234"/>
      <c r="Y611" s="234"/>
      <c r="Z611" s="234"/>
    </row>
    <row r="612" ht="12.0" customHeight="1" outlineLevel="1">
      <c r="A612" s="11" t="str">
        <f>A$216</f>
        <v/>
      </c>
      <c r="B612" s="217"/>
      <c r="C612" s="217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34"/>
      <c r="Q612" s="234"/>
      <c r="R612" s="234"/>
      <c r="S612" s="234"/>
      <c r="T612" s="234"/>
      <c r="U612" s="234"/>
      <c r="V612" s="234"/>
      <c r="W612" s="234"/>
      <c r="X612" s="234"/>
      <c r="Y612" s="234"/>
      <c r="Z612" s="234"/>
    </row>
    <row r="613" ht="12.75" customHeight="1">
      <c r="A613" s="192" t="s">
        <v>357</v>
      </c>
      <c r="B613" s="232"/>
      <c r="C613" s="232"/>
      <c r="D613" s="232"/>
      <c r="E613" s="232"/>
      <c r="F613" s="232"/>
      <c r="G613" s="232"/>
      <c r="H613" s="232"/>
      <c r="I613" s="232"/>
      <c r="J613" s="232"/>
      <c r="K613" s="232"/>
      <c r="L613" s="232"/>
      <c r="M613" s="232"/>
      <c r="N613" s="232"/>
      <c r="O613" s="23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0" customHeight="1">
      <c r="A614" s="242" t="s">
        <v>374</v>
      </c>
      <c r="B614" s="217"/>
      <c r="C614" s="217"/>
      <c r="D614" s="241"/>
      <c r="E614" s="241"/>
      <c r="F614" s="241"/>
      <c r="G614" s="241"/>
      <c r="H614" s="241"/>
      <c r="I614" s="241"/>
      <c r="J614" s="241"/>
      <c r="K614" s="241"/>
      <c r="L614" s="241"/>
      <c r="M614" s="241"/>
      <c r="N614" s="241"/>
      <c r="O614" s="241"/>
      <c r="P614" s="234"/>
      <c r="Q614" s="234"/>
      <c r="R614" s="234"/>
      <c r="S614" s="234"/>
      <c r="T614" s="234"/>
      <c r="U614" s="234"/>
      <c r="V614" s="234"/>
      <c r="W614" s="234"/>
      <c r="X614" s="234"/>
      <c r="Y614" s="234"/>
      <c r="Z614" s="234"/>
    </row>
    <row r="615" ht="12.0" customHeight="1" outlineLevel="1">
      <c r="A615" s="11" t="str">
        <f>A$192</f>
        <v/>
      </c>
      <c r="B615" s="217"/>
      <c r="C615" s="217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34"/>
      <c r="Q615" s="234"/>
      <c r="R615" s="234"/>
      <c r="S615" s="234"/>
      <c r="T615" s="234"/>
      <c r="U615" s="234"/>
      <c r="V615" s="234"/>
      <c r="W615" s="234"/>
      <c r="X615" s="234"/>
      <c r="Y615" s="234"/>
      <c r="Z615" s="234"/>
    </row>
    <row r="616" ht="12.0" customHeight="1" outlineLevel="1">
      <c r="A616" s="11" t="str">
        <f>A$193</f>
        <v/>
      </c>
      <c r="B616" s="217"/>
      <c r="C616" s="217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34"/>
      <c r="Q616" s="234"/>
      <c r="R616" s="234"/>
      <c r="S616" s="234"/>
      <c r="T616" s="234"/>
      <c r="U616" s="234"/>
      <c r="V616" s="234"/>
      <c r="W616" s="234"/>
      <c r="X616" s="234"/>
      <c r="Y616" s="234"/>
      <c r="Z616" s="234"/>
    </row>
    <row r="617" ht="12.0" customHeight="1" outlineLevel="1">
      <c r="A617" s="11" t="str">
        <f>A$194</f>
        <v/>
      </c>
      <c r="B617" s="217"/>
      <c r="C617" s="217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34"/>
      <c r="Q617" s="234"/>
      <c r="R617" s="234"/>
      <c r="S617" s="234"/>
      <c r="T617" s="234"/>
      <c r="U617" s="234"/>
      <c r="V617" s="234"/>
      <c r="W617" s="234"/>
      <c r="X617" s="234"/>
      <c r="Y617" s="234"/>
      <c r="Z617" s="234"/>
    </row>
    <row r="618" ht="12.0" customHeight="1" outlineLevel="1">
      <c r="A618" s="11" t="str">
        <f>A$195</f>
        <v/>
      </c>
      <c r="B618" s="217"/>
      <c r="C618" s="217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34"/>
      <c r="Q618" s="234"/>
      <c r="R618" s="234"/>
      <c r="S618" s="234"/>
      <c r="T618" s="234"/>
      <c r="U618" s="234"/>
      <c r="V618" s="234"/>
      <c r="W618" s="234"/>
      <c r="X618" s="234"/>
      <c r="Y618" s="234"/>
      <c r="Z618" s="234"/>
    </row>
    <row r="619" ht="12.0" customHeight="1" outlineLevel="1">
      <c r="A619" s="11" t="str">
        <f>A$196</f>
        <v/>
      </c>
      <c r="B619" s="217"/>
      <c r="C619" s="217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34"/>
      <c r="Q619" s="234"/>
      <c r="R619" s="234"/>
      <c r="S619" s="234"/>
      <c r="T619" s="234"/>
      <c r="U619" s="234"/>
      <c r="V619" s="234"/>
      <c r="W619" s="234"/>
      <c r="X619" s="234"/>
      <c r="Y619" s="234"/>
      <c r="Z619" s="234"/>
    </row>
    <row r="620" ht="12.0" customHeight="1" outlineLevel="1">
      <c r="A620" s="11" t="str">
        <f>A$197</f>
        <v/>
      </c>
      <c r="B620" s="217"/>
      <c r="C620" s="217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34"/>
      <c r="Q620" s="234"/>
      <c r="R620" s="234"/>
      <c r="S620" s="234"/>
      <c r="T620" s="234"/>
      <c r="U620" s="234"/>
      <c r="V620" s="234"/>
      <c r="W620" s="234"/>
      <c r="X620" s="234"/>
      <c r="Y620" s="234"/>
      <c r="Z620" s="234"/>
    </row>
    <row r="621" ht="12.0" customHeight="1" outlineLevel="1">
      <c r="A621" s="11" t="str">
        <f>A$198</f>
        <v/>
      </c>
      <c r="B621" s="217"/>
      <c r="C621" s="217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34"/>
      <c r="Q621" s="234"/>
      <c r="R621" s="234"/>
      <c r="S621" s="234"/>
      <c r="T621" s="234"/>
      <c r="U621" s="234"/>
      <c r="V621" s="234"/>
      <c r="W621" s="234"/>
      <c r="X621" s="234"/>
      <c r="Y621" s="234"/>
      <c r="Z621" s="234"/>
    </row>
    <row r="622" ht="12.0" customHeight="1" outlineLevel="1">
      <c r="A622" s="11" t="str">
        <f>A$199</f>
        <v/>
      </c>
      <c r="B622" s="217"/>
      <c r="C622" s="217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34"/>
      <c r="Q622" s="234"/>
      <c r="R622" s="234"/>
      <c r="S622" s="234"/>
      <c r="T622" s="234"/>
      <c r="U622" s="234"/>
      <c r="V622" s="234"/>
      <c r="W622" s="234"/>
      <c r="X622" s="234"/>
      <c r="Y622" s="234"/>
      <c r="Z622" s="234"/>
    </row>
    <row r="623" ht="12.0" customHeight="1" outlineLevel="1">
      <c r="A623" s="11" t="str">
        <f>A$200</f>
        <v/>
      </c>
      <c r="B623" s="217"/>
      <c r="C623" s="217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34"/>
      <c r="Q623" s="234"/>
      <c r="R623" s="234"/>
      <c r="S623" s="234"/>
      <c r="T623" s="234"/>
      <c r="U623" s="234"/>
      <c r="V623" s="234"/>
      <c r="W623" s="234"/>
      <c r="X623" s="234"/>
      <c r="Y623" s="234"/>
      <c r="Z623" s="234"/>
    </row>
    <row r="624" ht="12.0" customHeight="1" outlineLevel="1">
      <c r="A624" s="11" t="str">
        <f t="shared" ref="A624:A626" si="212">A$201</f>
        <v/>
      </c>
      <c r="B624" s="217"/>
      <c r="C624" s="217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34"/>
      <c r="Q624" s="234"/>
      <c r="R624" s="234"/>
      <c r="S624" s="234"/>
      <c r="T624" s="234"/>
      <c r="U624" s="234"/>
      <c r="V624" s="234"/>
      <c r="W624" s="234"/>
      <c r="X624" s="234"/>
      <c r="Y624" s="234"/>
      <c r="Z624" s="234"/>
    </row>
    <row r="625" ht="12.0" customHeight="1" outlineLevel="1">
      <c r="A625" s="11" t="str">
        <f t="shared" si="212"/>
        <v/>
      </c>
      <c r="B625" s="217"/>
      <c r="C625" s="217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34"/>
      <c r="Q625" s="234"/>
      <c r="R625" s="234"/>
      <c r="S625" s="234"/>
      <c r="T625" s="234"/>
      <c r="U625" s="234"/>
      <c r="V625" s="234"/>
      <c r="W625" s="234"/>
      <c r="X625" s="234"/>
      <c r="Y625" s="234"/>
      <c r="Z625" s="234"/>
    </row>
    <row r="626" ht="12.0" customHeight="1" outlineLevel="1">
      <c r="A626" s="11" t="str">
        <f t="shared" si="212"/>
        <v/>
      </c>
      <c r="B626" s="217"/>
      <c r="C626" s="217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34"/>
      <c r="Q626" s="234"/>
      <c r="R626" s="234"/>
      <c r="S626" s="234"/>
      <c r="T626" s="234"/>
      <c r="U626" s="234"/>
      <c r="V626" s="234"/>
      <c r="W626" s="234"/>
      <c r="X626" s="234"/>
      <c r="Y626" s="234"/>
      <c r="Z626" s="234"/>
    </row>
    <row r="627" ht="12.0" customHeight="1" outlineLevel="1">
      <c r="A627" s="11" t="str">
        <f>A$204</f>
        <v/>
      </c>
      <c r="B627" s="217"/>
      <c r="C627" s="217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34"/>
      <c r="Q627" s="234"/>
      <c r="R627" s="234"/>
      <c r="S627" s="234"/>
      <c r="T627" s="234"/>
      <c r="U627" s="234"/>
      <c r="V627" s="234"/>
      <c r="W627" s="234"/>
      <c r="X627" s="234"/>
      <c r="Y627" s="234"/>
      <c r="Z627" s="234"/>
    </row>
    <row r="628" ht="12.0" customHeight="1" outlineLevel="1">
      <c r="A628" s="11" t="str">
        <f>A$205</f>
        <v/>
      </c>
      <c r="B628" s="217"/>
      <c r="C628" s="217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34"/>
      <c r="Q628" s="234"/>
      <c r="R628" s="234"/>
      <c r="S628" s="234"/>
      <c r="T628" s="234"/>
      <c r="U628" s="234"/>
      <c r="V628" s="234"/>
      <c r="W628" s="234"/>
      <c r="X628" s="234"/>
      <c r="Y628" s="234"/>
      <c r="Z628" s="234"/>
    </row>
    <row r="629" ht="12.0" customHeight="1" outlineLevel="1">
      <c r="A629" s="11" t="str">
        <f>A$206</f>
        <v/>
      </c>
      <c r="B629" s="217"/>
      <c r="C629" s="217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34"/>
      <c r="Q629" s="234"/>
      <c r="R629" s="234"/>
      <c r="S629" s="234"/>
      <c r="T629" s="234"/>
      <c r="U629" s="234"/>
      <c r="V629" s="234"/>
      <c r="W629" s="234"/>
      <c r="X629" s="234"/>
      <c r="Y629" s="234"/>
      <c r="Z629" s="234"/>
    </row>
    <row r="630" ht="12.0" customHeight="1" outlineLevel="1">
      <c r="A630" s="11" t="str">
        <f>A$207</f>
        <v/>
      </c>
      <c r="B630" s="217"/>
      <c r="C630" s="217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34"/>
      <c r="Q630" s="234"/>
      <c r="R630" s="234"/>
      <c r="S630" s="234"/>
      <c r="T630" s="234"/>
      <c r="U630" s="234"/>
      <c r="V630" s="234"/>
      <c r="W630" s="234"/>
      <c r="X630" s="234"/>
      <c r="Y630" s="234"/>
      <c r="Z630" s="234"/>
    </row>
    <row r="631" ht="12.0" customHeight="1" outlineLevel="1">
      <c r="A631" s="11" t="str">
        <f>A$208</f>
        <v/>
      </c>
      <c r="B631" s="217"/>
      <c r="C631" s="217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34"/>
      <c r="Q631" s="234"/>
      <c r="R631" s="234"/>
      <c r="S631" s="234"/>
      <c r="T631" s="234"/>
      <c r="U631" s="234"/>
      <c r="V631" s="234"/>
      <c r="W631" s="234"/>
      <c r="X631" s="234"/>
      <c r="Y631" s="234"/>
      <c r="Z631" s="234"/>
    </row>
    <row r="632" ht="12.0" customHeight="1" outlineLevel="1">
      <c r="A632" s="11" t="str">
        <f>A$209</f>
        <v/>
      </c>
      <c r="B632" s="217"/>
      <c r="C632" s="217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34"/>
      <c r="Q632" s="234"/>
      <c r="R632" s="234"/>
      <c r="S632" s="234"/>
      <c r="T632" s="234"/>
      <c r="U632" s="234"/>
      <c r="V632" s="234"/>
      <c r="W632" s="234"/>
      <c r="X632" s="234"/>
      <c r="Y632" s="234"/>
      <c r="Z632" s="234"/>
    </row>
    <row r="633" ht="12.0" customHeight="1" outlineLevel="1">
      <c r="A633" s="11" t="str">
        <f>A$210</f>
        <v/>
      </c>
      <c r="B633" s="217"/>
      <c r="C633" s="217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34"/>
      <c r="Q633" s="234"/>
      <c r="R633" s="234"/>
      <c r="S633" s="234"/>
      <c r="T633" s="234"/>
      <c r="U633" s="234"/>
      <c r="V633" s="234"/>
      <c r="W633" s="234"/>
      <c r="X633" s="234"/>
      <c r="Y633" s="234"/>
      <c r="Z633" s="234"/>
    </row>
    <row r="634" ht="12.0" customHeight="1" outlineLevel="1">
      <c r="A634" s="11" t="str">
        <f>A$211</f>
        <v/>
      </c>
      <c r="B634" s="217"/>
      <c r="C634" s="217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34"/>
      <c r="Q634" s="234"/>
      <c r="R634" s="234"/>
      <c r="S634" s="234"/>
      <c r="T634" s="234"/>
      <c r="U634" s="234"/>
      <c r="V634" s="234"/>
      <c r="W634" s="234"/>
      <c r="X634" s="234"/>
      <c r="Y634" s="234"/>
      <c r="Z634" s="234"/>
    </row>
    <row r="635" ht="12.0" customHeight="1" outlineLevel="1">
      <c r="A635" s="11" t="str">
        <f>A$212</f>
        <v/>
      </c>
      <c r="B635" s="217"/>
      <c r="C635" s="217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34"/>
      <c r="Q635" s="234"/>
      <c r="R635" s="234"/>
      <c r="S635" s="234"/>
      <c r="T635" s="234"/>
      <c r="U635" s="234"/>
      <c r="V635" s="234"/>
      <c r="W635" s="234"/>
      <c r="X635" s="234"/>
      <c r="Y635" s="234"/>
      <c r="Z635" s="234"/>
    </row>
    <row r="636" ht="12.0" customHeight="1" outlineLevel="1">
      <c r="A636" s="11" t="str">
        <f>A$213</f>
        <v/>
      </c>
      <c r="B636" s="217"/>
      <c r="C636" s="217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34"/>
      <c r="Q636" s="234"/>
      <c r="R636" s="234"/>
      <c r="S636" s="234"/>
      <c r="T636" s="234"/>
      <c r="U636" s="234"/>
      <c r="V636" s="234"/>
      <c r="W636" s="234"/>
      <c r="X636" s="234"/>
      <c r="Y636" s="234"/>
      <c r="Z636" s="234"/>
    </row>
    <row r="637" ht="12.0" customHeight="1" outlineLevel="1">
      <c r="A637" s="11" t="str">
        <f>A$214</f>
        <v/>
      </c>
      <c r="B637" s="217"/>
      <c r="C637" s="217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34"/>
      <c r="Q637" s="234"/>
      <c r="R637" s="234"/>
      <c r="S637" s="234"/>
      <c r="T637" s="234"/>
      <c r="U637" s="234"/>
      <c r="V637" s="234"/>
      <c r="W637" s="234"/>
      <c r="X637" s="234"/>
      <c r="Y637" s="234"/>
      <c r="Z637" s="234"/>
    </row>
    <row r="638" ht="12.0" customHeight="1" outlineLevel="1">
      <c r="A638" s="11" t="str">
        <f>A$215</f>
        <v/>
      </c>
      <c r="B638" s="217"/>
      <c r="C638" s="217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34"/>
      <c r="Q638" s="234"/>
      <c r="R638" s="234"/>
      <c r="S638" s="234"/>
      <c r="T638" s="234"/>
      <c r="U638" s="234"/>
      <c r="V638" s="234"/>
      <c r="W638" s="234"/>
      <c r="X638" s="234"/>
      <c r="Y638" s="234"/>
      <c r="Z638" s="234"/>
    </row>
    <row r="639" ht="12.0" customHeight="1" outlineLevel="1">
      <c r="A639" s="11" t="str">
        <f>A$216</f>
        <v/>
      </c>
      <c r="B639" s="217"/>
      <c r="C639" s="217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34"/>
      <c r="Q639" s="234"/>
      <c r="R639" s="234"/>
      <c r="S639" s="234"/>
      <c r="T639" s="234"/>
      <c r="U639" s="234"/>
      <c r="V639" s="234"/>
      <c r="W639" s="234"/>
      <c r="X639" s="234"/>
      <c r="Y639" s="234"/>
      <c r="Z639" s="234"/>
    </row>
    <row r="640" ht="12.0" customHeight="1">
      <c r="A640" s="242" t="s">
        <v>374</v>
      </c>
      <c r="B640" s="217"/>
      <c r="C640" s="217"/>
      <c r="D640" s="241"/>
      <c r="E640" s="241"/>
      <c r="F640" s="241"/>
      <c r="G640" s="241"/>
      <c r="H640" s="241"/>
      <c r="I640" s="241"/>
      <c r="J640" s="241"/>
      <c r="K640" s="241"/>
      <c r="L640" s="241"/>
      <c r="M640" s="241"/>
      <c r="N640" s="241"/>
      <c r="O640" s="241"/>
      <c r="P640" s="234"/>
      <c r="Q640" s="234"/>
      <c r="R640" s="234"/>
      <c r="S640" s="234"/>
      <c r="T640" s="234"/>
      <c r="U640" s="234"/>
      <c r="V640" s="234"/>
      <c r="W640" s="234"/>
      <c r="X640" s="234"/>
      <c r="Y640" s="234"/>
      <c r="Z640" s="234"/>
    </row>
    <row r="641" ht="12.0" customHeight="1" outlineLevel="1">
      <c r="A641" s="11" t="str">
        <f>A$192</f>
        <v/>
      </c>
      <c r="B641" s="217"/>
      <c r="C641" s="217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34"/>
      <c r="Q641" s="234"/>
      <c r="R641" s="234"/>
      <c r="S641" s="234"/>
      <c r="T641" s="234"/>
      <c r="U641" s="234"/>
      <c r="V641" s="234"/>
      <c r="W641" s="234"/>
      <c r="X641" s="234"/>
      <c r="Y641" s="234"/>
      <c r="Z641" s="234"/>
    </row>
    <row r="642" ht="12.0" customHeight="1" outlineLevel="1">
      <c r="A642" s="11" t="str">
        <f>A$193</f>
        <v/>
      </c>
      <c r="B642" s="217"/>
      <c r="C642" s="217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34"/>
      <c r="Q642" s="234"/>
      <c r="R642" s="234"/>
      <c r="S642" s="234"/>
      <c r="T642" s="234"/>
      <c r="U642" s="234"/>
      <c r="V642" s="234"/>
      <c r="W642" s="234"/>
      <c r="X642" s="234"/>
      <c r="Y642" s="234"/>
      <c r="Z642" s="234"/>
    </row>
    <row r="643" ht="12.0" customHeight="1" outlineLevel="1">
      <c r="A643" s="11" t="str">
        <f>A$194</f>
        <v/>
      </c>
      <c r="B643" s="217"/>
      <c r="C643" s="217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34"/>
      <c r="Q643" s="234"/>
      <c r="R643" s="234"/>
      <c r="S643" s="234"/>
      <c r="T643" s="234"/>
      <c r="U643" s="234"/>
      <c r="V643" s="234"/>
      <c r="W643" s="234"/>
      <c r="X643" s="234"/>
      <c r="Y643" s="234"/>
      <c r="Z643" s="234"/>
    </row>
    <row r="644" ht="12.0" customHeight="1" outlineLevel="1">
      <c r="A644" s="11" t="str">
        <f>A$195</f>
        <v/>
      </c>
      <c r="B644" s="217"/>
      <c r="C644" s="217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34"/>
      <c r="Q644" s="234"/>
      <c r="R644" s="234"/>
      <c r="S644" s="234"/>
      <c r="T644" s="234"/>
      <c r="U644" s="234"/>
      <c r="V644" s="234"/>
      <c r="W644" s="234"/>
      <c r="X644" s="234"/>
      <c r="Y644" s="234"/>
      <c r="Z644" s="234"/>
    </row>
    <row r="645" ht="12.0" customHeight="1" outlineLevel="1">
      <c r="A645" s="11" t="str">
        <f>A$196</f>
        <v/>
      </c>
      <c r="B645" s="217"/>
      <c r="C645" s="217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34"/>
      <c r="Q645" s="234"/>
      <c r="R645" s="234"/>
      <c r="S645" s="234"/>
      <c r="T645" s="234"/>
      <c r="U645" s="234"/>
      <c r="V645" s="234"/>
      <c r="W645" s="234"/>
      <c r="X645" s="234"/>
      <c r="Y645" s="234"/>
      <c r="Z645" s="234"/>
    </row>
    <row r="646" ht="12.0" customHeight="1" outlineLevel="1">
      <c r="A646" s="11" t="str">
        <f>A$197</f>
        <v/>
      </c>
      <c r="B646" s="217"/>
      <c r="C646" s="217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34"/>
      <c r="Q646" s="234"/>
      <c r="R646" s="234"/>
      <c r="S646" s="234"/>
      <c r="T646" s="234"/>
      <c r="U646" s="234"/>
      <c r="V646" s="234"/>
      <c r="W646" s="234"/>
      <c r="X646" s="234"/>
      <c r="Y646" s="234"/>
      <c r="Z646" s="234"/>
    </row>
    <row r="647" ht="12.0" customHeight="1" outlineLevel="1">
      <c r="A647" s="11" t="str">
        <f>A$198</f>
        <v/>
      </c>
      <c r="B647" s="217"/>
      <c r="C647" s="217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34"/>
      <c r="Q647" s="234"/>
      <c r="R647" s="234"/>
      <c r="S647" s="234"/>
      <c r="T647" s="234"/>
      <c r="U647" s="234"/>
      <c r="V647" s="234"/>
      <c r="W647" s="234"/>
      <c r="X647" s="234"/>
      <c r="Y647" s="234"/>
      <c r="Z647" s="234"/>
    </row>
    <row r="648" ht="12.0" customHeight="1" outlineLevel="1">
      <c r="A648" s="11" t="str">
        <f>A$199</f>
        <v/>
      </c>
      <c r="B648" s="217"/>
      <c r="C648" s="217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34"/>
      <c r="Q648" s="234"/>
      <c r="R648" s="234"/>
      <c r="S648" s="234"/>
      <c r="T648" s="234"/>
      <c r="U648" s="234"/>
      <c r="V648" s="234"/>
      <c r="W648" s="234"/>
      <c r="X648" s="234"/>
      <c r="Y648" s="234"/>
      <c r="Z648" s="234"/>
    </row>
    <row r="649" ht="12.0" customHeight="1" outlineLevel="1">
      <c r="A649" s="11" t="str">
        <f>A$200</f>
        <v/>
      </c>
      <c r="B649" s="217"/>
      <c r="C649" s="217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34"/>
      <c r="Q649" s="234"/>
      <c r="R649" s="234"/>
      <c r="S649" s="234"/>
      <c r="T649" s="234"/>
      <c r="U649" s="234"/>
      <c r="V649" s="234"/>
      <c r="W649" s="234"/>
      <c r="X649" s="234"/>
      <c r="Y649" s="234"/>
      <c r="Z649" s="234"/>
    </row>
    <row r="650" ht="12.0" customHeight="1" outlineLevel="1">
      <c r="A650" s="11" t="str">
        <f>A$201</f>
        <v/>
      </c>
      <c r="B650" s="217"/>
      <c r="C650" s="217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34"/>
      <c r="Q650" s="234"/>
      <c r="R650" s="234"/>
      <c r="S650" s="234"/>
      <c r="T650" s="234"/>
      <c r="U650" s="234"/>
      <c r="V650" s="234"/>
      <c r="W650" s="234"/>
      <c r="X650" s="234"/>
      <c r="Y650" s="234"/>
      <c r="Z650" s="234"/>
    </row>
    <row r="651" ht="12.0" customHeight="1" outlineLevel="1">
      <c r="A651" s="11" t="str">
        <f>A$202</f>
        <v/>
      </c>
      <c r="B651" s="217"/>
      <c r="C651" s="217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34"/>
      <c r="Q651" s="234"/>
      <c r="R651" s="234"/>
      <c r="S651" s="234"/>
      <c r="T651" s="234"/>
      <c r="U651" s="234"/>
      <c r="V651" s="234"/>
      <c r="W651" s="234"/>
      <c r="X651" s="234"/>
      <c r="Y651" s="234"/>
      <c r="Z651" s="234"/>
    </row>
    <row r="652" ht="12.0" customHeight="1" outlineLevel="1">
      <c r="A652" s="11" t="s">
        <v>375</v>
      </c>
      <c r="B652" s="217"/>
      <c r="C652" s="217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34"/>
      <c r="Q652" s="234"/>
      <c r="R652" s="234"/>
      <c r="S652" s="234"/>
      <c r="T652" s="234"/>
      <c r="U652" s="234"/>
      <c r="V652" s="234"/>
      <c r="W652" s="234"/>
      <c r="X652" s="234"/>
      <c r="Y652" s="234"/>
      <c r="Z652" s="234"/>
    </row>
    <row r="653" ht="12.0" customHeight="1" outlineLevel="1">
      <c r="A653" s="11" t="str">
        <f>A$204</f>
        <v/>
      </c>
      <c r="B653" s="217"/>
      <c r="C653" s="217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34"/>
      <c r="Q653" s="234"/>
      <c r="R653" s="234"/>
      <c r="S653" s="234"/>
      <c r="T653" s="234"/>
      <c r="U653" s="234"/>
      <c r="V653" s="234"/>
      <c r="W653" s="234"/>
      <c r="X653" s="234"/>
      <c r="Y653" s="234"/>
      <c r="Z653" s="234"/>
    </row>
    <row r="654" ht="12.0" customHeight="1" outlineLevel="1">
      <c r="A654" s="11" t="str">
        <f>A$205</f>
        <v/>
      </c>
      <c r="B654" s="217"/>
      <c r="C654" s="217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34"/>
      <c r="Q654" s="234"/>
      <c r="R654" s="234"/>
      <c r="S654" s="234"/>
      <c r="T654" s="234"/>
      <c r="U654" s="234"/>
      <c r="V654" s="234"/>
      <c r="W654" s="234"/>
      <c r="X654" s="234"/>
      <c r="Y654" s="234"/>
      <c r="Z654" s="234"/>
    </row>
    <row r="655" ht="12.0" customHeight="1" outlineLevel="1">
      <c r="A655" s="11" t="str">
        <f>A$206</f>
        <v/>
      </c>
      <c r="B655" s="217"/>
      <c r="C655" s="217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34"/>
      <c r="Q655" s="234"/>
      <c r="R655" s="234"/>
      <c r="S655" s="234"/>
      <c r="T655" s="234"/>
      <c r="U655" s="234"/>
      <c r="V655" s="234"/>
      <c r="W655" s="234"/>
      <c r="X655" s="234"/>
      <c r="Y655" s="234"/>
      <c r="Z655" s="234"/>
    </row>
    <row r="656" ht="12.0" customHeight="1" outlineLevel="1">
      <c r="A656" s="11" t="str">
        <f>A$207</f>
        <v/>
      </c>
      <c r="B656" s="217"/>
      <c r="C656" s="217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34"/>
      <c r="Q656" s="234"/>
      <c r="R656" s="234"/>
      <c r="S656" s="234"/>
      <c r="T656" s="234"/>
      <c r="U656" s="234"/>
      <c r="V656" s="234"/>
      <c r="W656" s="234"/>
      <c r="X656" s="234"/>
      <c r="Y656" s="234"/>
      <c r="Z656" s="234"/>
    </row>
    <row r="657" ht="12.0" customHeight="1" outlineLevel="1">
      <c r="A657" s="11" t="str">
        <f>A$208</f>
        <v/>
      </c>
      <c r="B657" s="217"/>
      <c r="C657" s="217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34"/>
      <c r="Q657" s="234"/>
      <c r="R657" s="234"/>
      <c r="S657" s="234"/>
      <c r="T657" s="234"/>
      <c r="U657" s="234"/>
      <c r="V657" s="234"/>
      <c r="W657" s="234"/>
      <c r="X657" s="234"/>
      <c r="Y657" s="234"/>
      <c r="Z657" s="234"/>
    </row>
    <row r="658" ht="12.0" customHeight="1" outlineLevel="1">
      <c r="A658" s="11" t="str">
        <f>A$209</f>
        <v/>
      </c>
      <c r="B658" s="217"/>
      <c r="C658" s="217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34"/>
      <c r="Q658" s="234"/>
      <c r="R658" s="234"/>
      <c r="S658" s="234"/>
      <c r="T658" s="234"/>
      <c r="U658" s="234"/>
      <c r="V658" s="234"/>
      <c r="W658" s="234"/>
      <c r="X658" s="234"/>
      <c r="Y658" s="234"/>
      <c r="Z658" s="234"/>
    </row>
    <row r="659" ht="12.0" customHeight="1" outlineLevel="1">
      <c r="A659" s="11" t="str">
        <f>A$210</f>
        <v/>
      </c>
      <c r="B659" s="217"/>
      <c r="C659" s="217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34"/>
      <c r="Q659" s="234"/>
      <c r="R659" s="234"/>
      <c r="S659" s="234"/>
      <c r="T659" s="234"/>
      <c r="U659" s="234"/>
      <c r="V659" s="234"/>
      <c r="W659" s="234"/>
      <c r="X659" s="234"/>
      <c r="Y659" s="234"/>
      <c r="Z659" s="234"/>
    </row>
    <row r="660" ht="12.0" customHeight="1" outlineLevel="1">
      <c r="A660" s="11" t="str">
        <f>A$211</f>
        <v/>
      </c>
      <c r="B660" s="217"/>
      <c r="C660" s="217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34"/>
      <c r="Q660" s="234"/>
      <c r="R660" s="234"/>
      <c r="S660" s="234"/>
      <c r="T660" s="234"/>
      <c r="U660" s="234"/>
      <c r="V660" s="234"/>
      <c r="W660" s="234"/>
      <c r="X660" s="234"/>
      <c r="Y660" s="234"/>
      <c r="Z660" s="234"/>
    </row>
    <row r="661" ht="12.0" customHeight="1" outlineLevel="1">
      <c r="A661" s="11" t="str">
        <f>A$212</f>
        <v/>
      </c>
      <c r="B661" s="217"/>
      <c r="C661" s="217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34"/>
      <c r="Q661" s="234"/>
      <c r="R661" s="234"/>
      <c r="S661" s="234"/>
      <c r="T661" s="234"/>
      <c r="U661" s="234"/>
      <c r="V661" s="234"/>
      <c r="W661" s="234"/>
      <c r="X661" s="234"/>
      <c r="Y661" s="234"/>
      <c r="Z661" s="234"/>
    </row>
    <row r="662" ht="12.0" customHeight="1" outlineLevel="1">
      <c r="A662" s="11" t="str">
        <f>A$213</f>
        <v/>
      </c>
      <c r="B662" s="217"/>
      <c r="C662" s="217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34"/>
      <c r="Q662" s="234"/>
      <c r="R662" s="234"/>
      <c r="S662" s="234"/>
      <c r="T662" s="234"/>
      <c r="U662" s="234"/>
      <c r="V662" s="234"/>
      <c r="W662" s="234"/>
      <c r="X662" s="234"/>
      <c r="Y662" s="234"/>
      <c r="Z662" s="234"/>
    </row>
    <row r="663" ht="12.0" customHeight="1" outlineLevel="1">
      <c r="A663" s="11" t="str">
        <f>A$214</f>
        <v/>
      </c>
      <c r="B663" s="217"/>
      <c r="C663" s="217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34"/>
      <c r="Q663" s="234"/>
      <c r="R663" s="234"/>
      <c r="S663" s="234"/>
      <c r="T663" s="234"/>
      <c r="U663" s="234"/>
      <c r="V663" s="234"/>
      <c r="W663" s="234"/>
      <c r="X663" s="234"/>
      <c r="Y663" s="234"/>
      <c r="Z663" s="234"/>
    </row>
    <row r="664" ht="12.0" customHeight="1" outlineLevel="1">
      <c r="A664" s="11" t="str">
        <f>A$215</f>
        <v/>
      </c>
      <c r="B664" s="217"/>
      <c r="C664" s="217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34"/>
      <c r="Q664" s="234"/>
      <c r="R664" s="234"/>
      <c r="S664" s="234"/>
      <c r="T664" s="234"/>
      <c r="U664" s="234"/>
      <c r="V664" s="234"/>
      <c r="W664" s="234"/>
      <c r="X664" s="234"/>
      <c r="Y664" s="234"/>
      <c r="Z664" s="234"/>
    </row>
    <row r="665" ht="12.0" customHeight="1" outlineLevel="1">
      <c r="A665" s="11" t="str">
        <f>A$216</f>
        <v/>
      </c>
      <c r="B665" s="217"/>
      <c r="C665" s="217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34"/>
      <c r="Q665" s="234"/>
      <c r="R665" s="234"/>
      <c r="S665" s="234"/>
      <c r="T665" s="234"/>
      <c r="U665" s="234"/>
      <c r="V665" s="234"/>
      <c r="W665" s="234"/>
      <c r="X665" s="234"/>
      <c r="Y665" s="234"/>
      <c r="Z665" s="234"/>
    </row>
    <row r="666" ht="12.0" customHeight="1">
      <c r="A666" s="242" t="s">
        <v>374</v>
      </c>
      <c r="B666" s="217"/>
      <c r="C666" s="243"/>
      <c r="D666" s="241"/>
      <c r="E666" s="241"/>
      <c r="F666" s="241"/>
      <c r="G666" s="241"/>
      <c r="H666" s="241"/>
      <c r="I666" s="241"/>
      <c r="J666" s="241"/>
      <c r="K666" s="241"/>
      <c r="L666" s="241"/>
      <c r="M666" s="241"/>
      <c r="N666" s="241"/>
      <c r="O666" s="241"/>
      <c r="P666" s="234"/>
      <c r="Q666" s="234"/>
      <c r="R666" s="234"/>
      <c r="S666" s="234"/>
      <c r="T666" s="234"/>
      <c r="U666" s="234"/>
      <c r="V666" s="234"/>
      <c r="W666" s="234"/>
      <c r="X666" s="234"/>
      <c r="Y666" s="234"/>
      <c r="Z666" s="234"/>
    </row>
    <row r="667" ht="12.0" customHeight="1" outlineLevel="1">
      <c r="A667" s="11" t="str">
        <f>A$192</f>
        <v/>
      </c>
      <c r="B667" s="217"/>
      <c r="C667" s="217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34"/>
      <c r="Q667" s="234"/>
      <c r="R667" s="234"/>
      <c r="S667" s="234"/>
      <c r="T667" s="234"/>
      <c r="U667" s="234"/>
      <c r="V667" s="234"/>
      <c r="W667" s="234"/>
      <c r="X667" s="234"/>
      <c r="Y667" s="234"/>
      <c r="Z667" s="234"/>
    </row>
    <row r="668" ht="12.0" customHeight="1" outlineLevel="1">
      <c r="A668" s="11" t="str">
        <f>A$193</f>
        <v/>
      </c>
      <c r="B668" s="217"/>
      <c r="C668" s="217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34"/>
      <c r="Q668" s="234"/>
      <c r="R668" s="234"/>
      <c r="S668" s="234"/>
      <c r="T668" s="234"/>
      <c r="U668" s="234"/>
      <c r="V668" s="234"/>
      <c r="W668" s="234"/>
      <c r="X668" s="234"/>
      <c r="Y668" s="234"/>
      <c r="Z668" s="234"/>
    </row>
    <row r="669" ht="12.0" customHeight="1" outlineLevel="1">
      <c r="A669" s="11" t="str">
        <f>A$194</f>
        <v/>
      </c>
      <c r="B669" s="217"/>
      <c r="C669" s="217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34"/>
      <c r="Q669" s="234"/>
      <c r="R669" s="234"/>
      <c r="S669" s="234"/>
      <c r="T669" s="234"/>
      <c r="U669" s="234"/>
      <c r="V669" s="234"/>
      <c r="W669" s="234"/>
      <c r="X669" s="234"/>
      <c r="Y669" s="234"/>
      <c r="Z669" s="234"/>
    </row>
    <row r="670" ht="12.0" customHeight="1" outlineLevel="1">
      <c r="A670" s="11" t="str">
        <f>A$195</f>
        <v/>
      </c>
      <c r="B670" s="217"/>
      <c r="C670" s="217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34"/>
      <c r="Q670" s="234"/>
      <c r="R670" s="234"/>
      <c r="S670" s="234"/>
      <c r="T670" s="234"/>
      <c r="U670" s="234"/>
      <c r="V670" s="234"/>
      <c r="W670" s="234"/>
      <c r="X670" s="234"/>
      <c r="Y670" s="234"/>
      <c r="Z670" s="234"/>
    </row>
    <row r="671" ht="12.0" customHeight="1" outlineLevel="1">
      <c r="A671" s="11" t="str">
        <f>A$196</f>
        <v/>
      </c>
      <c r="B671" s="217"/>
      <c r="C671" s="217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34"/>
      <c r="Q671" s="234"/>
      <c r="R671" s="234"/>
      <c r="S671" s="234"/>
      <c r="T671" s="234"/>
      <c r="U671" s="234"/>
      <c r="V671" s="234"/>
      <c r="W671" s="234"/>
      <c r="X671" s="234"/>
      <c r="Y671" s="234"/>
      <c r="Z671" s="234"/>
    </row>
    <row r="672" ht="12.0" customHeight="1" outlineLevel="1">
      <c r="A672" s="11" t="str">
        <f>A$197</f>
        <v/>
      </c>
      <c r="B672" s="217"/>
      <c r="C672" s="217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34"/>
      <c r="Q672" s="234"/>
      <c r="R672" s="234"/>
      <c r="S672" s="234"/>
      <c r="T672" s="234"/>
      <c r="U672" s="234"/>
      <c r="V672" s="234"/>
      <c r="W672" s="234"/>
      <c r="X672" s="234"/>
      <c r="Y672" s="234"/>
      <c r="Z672" s="234"/>
    </row>
    <row r="673" ht="12.0" customHeight="1" outlineLevel="1">
      <c r="A673" s="11" t="str">
        <f>A$198</f>
        <v/>
      </c>
      <c r="B673" s="217"/>
      <c r="C673" s="217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34"/>
      <c r="Q673" s="234"/>
      <c r="R673" s="234"/>
      <c r="S673" s="234"/>
      <c r="T673" s="234"/>
      <c r="U673" s="234"/>
      <c r="V673" s="234"/>
      <c r="W673" s="234"/>
      <c r="X673" s="234"/>
      <c r="Y673" s="234"/>
      <c r="Z673" s="234"/>
    </row>
    <row r="674" ht="12.0" customHeight="1" outlineLevel="1">
      <c r="A674" s="11" t="str">
        <f>A$199</f>
        <v/>
      </c>
      <c r="B674" s="217"/>
      <c r="C674" s="217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34"/>
      <c r="Q674" s="234"/>
      <c r="R674" s="234"/>
      <c r="S674" s="234"/>
      <c r="T674" s="234"/>
      <c r="U674" s="234"/>
      <c r="V674" s="234"/>
      <c r="W674" s="234"/>
      <c r="X674" s="234"/>
      <c r="Y674" s="234"/>
      <c r="Z674" s="234"/>
    </row>
    <row r="675" ht="12.0" customHeight="1" outlineLevel="1">
      <c r="A675" s="11" t="str">
        <f>A$200</f>
        <v/>
      </c>
      <c r="B675" s="217"/>
      <c r="C675" s="217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34"/>
      <c r="Q675" s="234"/>
      <c r="R675" s="234"/>
      <c r="S675" s="234"/>
      <c r="T675" s="234"/>
      <c r="U675" s="234"/>
      <c r="V675" s="234"/>
      <c r="W675" s="234"/>
      <c r="X675" s="234"/>
      <c r="Y675" s="234"/>
      <c r="Z675" s="234"/>
    </row>
    <row r="676" ht="12.0" customHeight="1" outlineLevel="1">
      <c r="A676" s="11" t="str">
        <f>A$201</f>
        <v/>
      </c>
      <c r="B676" s="217"/>
      <c r="C676" s="217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34"/>
      <c r="Q676" s="234"/>
      <c r="R676" s="234"/>
      <c r="S676" s="234"/>
      <c r="T676" s="234"/>
      <c r="U676" s="234"/>
      <c r="V676" s="234"/>
      <c r="W676" s="234"/>
      <c r="X676" s="234"/>
      <c r="Y676" s="234"/>
      <c r="Z676" s="234"/>
    </row>
    <row r="677" ht="12.0" customHeight="1" outlineLevel="1">
      <c r="A677" s="11" t="str">
        <f>A$202</f>
        <v/>
      </c>
      <c r="B677" s="217"/>
      <c r="C677" s="217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34"/>
      <c r="Q677" s="234"/>
      <c r="R677" s="234"/>
      <c r="S677" s="234"/>
      <c r="T677" s="234"/>
      <c r="U677" s="234"/>
      <c r="V677" s="234"/>
      <c r="W677" s="234"/>
      <c r="X677" s="234"/>
      <c r="Y677" s="234"/>
      <c r="Z677" s="234"/>
    </row>
    <row r="678" ht="12.0" customHeight="1" outlineLevel="1">
      <c r="A678" s="11" t="s">
        <v>375</v>
      </c>
      <c r="B678" s="217"/>
      <c r="C678" s="217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34"/>
      <c r="Q678" s="234"/>
      <c r="R678" s="234"/>
      <c r="S678" s="234"/>
      <c r="T678" s="234"/>
      <c r="U678" s="234"/>
      <c r="V678" s="234"/>
      <c r="W678" s="234"/>
      <c r="X678" s="234"/>
      <c r="Y678" s="234"/>
      <c r="Z678" s="234"/>
    </row>
    <row r="679" ht="12.0" customHeight="1" outlineLevel="1">
      <c r="A679" s="11" t="str">
        <f>A$204</f>
        <v/>
      </c>
      <c r="B679" s="217"/>
      <c r="C679" s="217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34"/>
      <c r="Q679" s="234"/>
      <c r="R679" s="234"/>
      <c r="S679" s="234"/>
      <c r="T679" s="234"/>
      <c r="U679" s="234"/>
      <c r="V679" s="234"/>
      <c r="W679" s="234"/>
      <c r="X679" s="234"/>
      <c r="Y679" s="234"/>
      <c r="Z679" s="234"/>
    </row>
    <row r="680" ht="12.0" customHeight="1" outlineLevel="1">
      <c r="A680" s="11" t="str">
        <f>A$205</f>
        <v/>
      </c>
      <c r="B680" s="217"/>
      <c r="C680" s="217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34"/>
      <c r="Q680" s="234"/>
      <c r="R680" s="234"/>
      <c r="S680" s="234"/>
      <c r="T680" s="234"/>
      <c r="U680" s="234"/>
      <c r="V680" s="234"/>
      <c r="W680" s="234"/>
      <c r="X680" s="234"/>
      <c r="Y680" s="234"/>
      <c r="Z680" s="234"/>
    </row>
    <row r="681" ht="12.0" customHeight="1" outlineLevel="1">
      <c r="A681" s="11" t="str">
        <f>A$206</f>
        <v/>
      </c>
      <c r="B681" s="217"/>
      <c r="C681" s="217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34"/>
      <c r="Q681" s="234"/>
      <c r="R681" s="234"/>
      <c r="S681" s="234"/>
      <c r="T681" s="234"/>
      <c r="U681" s="234"/>
      <c r="V681" s="234"/>
      <c r="W681" s="234"/>
      <c r="X681" s="234"/>
      <c r="Y681" s="234"/>
      <c r="Z681" s="234"/>
    </row>
    <row r="682" ht="12.0" customHeight="1" outlineLevel="1">
      <c r="A682" s="11" t="str">
        <f>A$207</f>
        <v/>
      </c>
      <c r="B682" s="217"/>
      <c r="C682" s="217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34"/>
      <c r="Q682" s="234"/>
      <c r="R682" s="234"/>
      <c r="S682" s="234"/>
      <c r="T682" s="234"/>
      <c r="U682" s="234"/>
      <c r="V682" s="234"/>
      <c r="W682" s="234"/>
      <c r="X682" s="234"/>
      <c r="Y682" s="234"/>
      <c r="Z682" s="234"/>
    </row>
    <row r="683" ht="12.0" customHeight="1" outlineLevel="1">
      <c r="A683" s="11" t="str">
        <f>A$208</f>
        <v/>
      </c>
      <c r="B683" s="217"/>
      <c r="C683" s="217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34"/>
      <c r="Q683" s="234"/>
      <c r="R683" s="234"/>
      <c r="S683" s="234"/>
      <c r="T683" s="234"/>
      <c r="U683" s="234"/>
      <c r="V683" s="234"/>
      <c r="W683" s="234"/>
      <c r="X683" s="234"/>
      <c r="Y683" s="234"/>
      <c r="Z683" s="234"/>
    </row>
    <row r="684" ht="12.0" customHeight="1" outlineLevel="1">
      <c r="A684" s="11" t="str">
        <f>A$209</f>
        <v/>
      </c>
      <c r="B684" s="217"/>
      <c r="C684" s="217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34"/>
      <c r="Q684" s="234"/>
      <c r="R684" s="234"/>
      <c r="S684" s="234"/>
      <c r="T684" s="234"/>
      <c r="U684" s="234"/>
      <c r="V684" s="234"/>
      <c r="W684" s="234"/>
      <c r="X684" s="234"/>
      <c r="Y684" s="234"/>
      <c r="Z684" s="234"/>
    </row>
    <row r="685" ht="12.0" customHeight="1" outlineLevel="1">
      <c r="A685" s="11" t="str">
        <f>A$210</f>
        <v/>
      </c>
      <c r="B685" s="217"/>
      <c r="C685" s="217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34"/>
      <c r="Q685" s="234"/>
      <c r="R685" s="234"/>
      <c r="S685" s="234"/>
      <c r="T685" s="234"/>
      <c r="U685" s="234"/>
      <c r="V685" s="234"/>
      <c r="W685" s="234"/>
      <c r="X685" s="234"/>
      <c r="Y685" s="234"/>
      <c r="Z685" s="234"/>
    </row>
    <row r="686" ht="12.0" customHeight="1" outlineLevel="1">
      <c r="A686" s="11" t="str">
        <f>A$211</f>
        <v/>
      </c>
      <c r="B686" s="217"/>
      <c r="C686" s="217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34"/>
      <c r="Q686" s="234"/>
      <c r="R686" s="234"/>
      <c r="S686" s="234"/>
      <c r="T686" s="234"/>
      <c r="U686" s="234"/>
      <c r="V686" s="234"/>
      <c r="W686" s="234"/>
      <c r="X686" s="234"/>
      <c r="Y686" s="234"/>
      <c r="Z686" s="234"/>
    </row>
    <row r="687" ht="12.0" customHeight="1" outlineLevel="1">
      <c r="A687" s="11" t="str">
        <f>A$212</f>
        <v/>
      </c>
      <c r="B687" s="217"/>
      <c r="C687" s="217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34"/>
      <c r="Q687" s="234"/>
      <c r="R687" s="234"/>
      <c r="S687" s="234"/>
      <c r="T687" s="234"/>
      <c r="U687" s="234"/>
      <c r="V687" s="234"/>
      <c r="W687" s="234"/>
      <c r="X687" s="234"/>
      <c r="Y687" s="234"/>
      <c r="Z687" s="234"/>
    </row>
    <row r="688" ht="12.0" customHeight="1" outlineLevel="1">
      <c r="A688" s="11" t="str">
        <f>A$213</f>
        <v/>
      </c>
      <c r="B688" s="217"/>
      <c r="C688" s="217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34"/>
      <c r="Q688" s="234"/>
      <c r="R688" s="234"/>
      <c r="S688" s="234"/>
      <c r="T688" s="234"/>
      <c r="U688" s="234"/>
      <c r="V688" s="234"/>
      <c r="W688" s="234"/>
      <c r="X688" s="234"/>
      <c r="Y688" s="234"/>
      <c r="Z688" s="234"/>
    </row>
    <row r="689" ht="12.0" customHeight="1" outlineLevel="1">
      <c r="A689" s="11" t="str">
        <f>A$214</f>
        <v/>
      </c>
      <c r="B689" s="217"/>
      <c r="C689" s="217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34"/>
      <c r="Q689" s="234"/>
      <c r="R689" s="234"/>
      <c r="S689" s="234"/>
      <c r="T689" s="234"/>
      <c r="U689" s="234"/>
      <c r="V689" s="234"/>
      <c r="W689" s="234"/>
      <c r="X689" s="234"/>
      <c r="Y689" s="234"/>
      <c r="Z689" s="234"/>
    </row>
    <row r="690" ht="12.0" customHeight="1" outlineLevel="1">
      <c r="A690" s="11" t="str">
        <f>A$215</f>
        <v/>
      </c>
      <c r="B690" s="217"/>
      <c r="C690" s="217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34"/>
      <c r="Q690" s="234"/>
      <c r="R690" s="234"/>
      <c r="S690" s="234"/>
      <c r="T690" s="234"/>
      <c r="U690" s="234"/>
      <c r="V690" s="234"/>
      <c r="W690" s="234"/>
      <c r="X690" s="234"/>
      <c r="Y690" s="234"/>
      <c r="Z690" s="234"/>
    </row>
    <row r="691" ht="12.0" customHeight="1" outlineLevel="1">
      <c r="A691" s="11" t="str">
        <f>A$216</f>
        <v/>
      </c>
      <c r="B691" s="217"/>
      <c r="C691" s="217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34"/>
      <c r="Q691" s="234"/>
      <c r="R691" s="234"/>
      <c r="S691" s="234"/>
      <c r="T691" s="234"/>
      <c r="U691" s="234"/>
      <c r="V691" s="234"/>
      <c r="W691" s="234"/>
      <c r="X691" s="234"/>
      <c r="Y691" s="234"/>
      <c r="Z691" s="234"/>
    </row>
    <row r="692" ht="12.0" customHeight="1">
      <c r="A692" s="242" t="s">
        <v>374</v>
      </c>
      <c r="B692" s="217"/>
      <c r="C692" s="243"/>
      <c r="D692" s="241"/>
      <c r="E692" s="241"/>
      <c r="F692" s="241"/>
      <c r="G692" s="241"/>
      <c r="H692" s="241"/>
      <c r="I692" s="241"/>
      <c r="J692" s="241"/>
      <c r="K692" s="241"/>
      <c r="L692" s="241"/>
      <c r="M692" s="241"/>
      <c r="N692" s="241"/>
      <c r="O692" s="241"/>
      <c r="P692" s="234"/>
      <c r="Q692" s="234"/>
      <c r="R692" s="234"/>
      <c r="S692" s="234"/>
      <c r="T692" s="234"/>
      <c r="U692" s="234"/>
      <c r="V692" s="234"/>
      <c r="W692" s="234"/>
      <c r="X692" s="234"/>
      <c r="Y692" s="234"/>
      <c r="Z692" s="234"/>
    </row>
    <row r="693" ht="12.0" customHeight="1" outlineLevel="1">
      <c r="A693" s="11" t="str">
        <f>A$192</f>
        <v/>
      </c>
      <c r="B693" s="217"/>
      <c r="C693" s="217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34"/>
      <c r="Q693" s="234"/>
      <c r="R693" s="234"/>
      <c r="S693" s="234"/>
      <c r="T693" s="234"/>
      <c r="U693" s="234"/>
      <c r="V693" s="234"/>
      <c r="W693" s="234"/>
      <c r="X693" s="234"/>
      <c r="Y693" s="234"/>
      <c r="Z693" s="234"/>
    </row>
    <row r="694" ht="12.0" customHeight="1" outlineLevel="1">
      <c r="A694" s="11" t="str">
        <f>A$193</f>
        <v/>
      </c>
      <c r="B694" s="217"/>
      <c r="C694" s="217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34"/>
      <c r="Q694" s="234"/>
      <c r="R694" s="234"/>
      <c r="S694" s="234"/>
      <c r="T694" s="234"/>
      <c r="U694" s="234"/>
      <c r="V694" s="234"/>
      <c r="W694" s="234"/>
      <c r="X694" s="234"/>
      <c r="Y694" s="234"/>
      <c r="Z694" s="234"/>
    </row>
    <row r="695" ht="12.0" customHeight="1" outlineLevel="1">
      <c r="A695" s="11" t="str">
        <f>A$194</f>
        <v/>
      </c>
      <c r="B695" s="217"/>
      <c r="C695" s="217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34"/>
      <c r="Q695" s="234"/>
      <c r="R695" s="234"/>
      <c r="S695" s="234"/>
      <c r="T695" s="234"/>
      <c r="U695" s="234"/>
      <c r="V695" s="234"/>
      <c r="W695" s="234"/>
      <c r="X695" s="234"/>
      <c r="Y695" s="234"/>
      <c r="Z695" s="234"/>
    </row>
    <row r="696" ht="12.0" customHeight="1" outlineLevel="1">
      <c r="A696" s="11" t="str">
        <f>A$195</f>
        <v/>
      </c>
      <c r="B696" s="217"/>
      <c r="C696" s="217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34"/>
      <c r="Q696" s="234"/>
      <c r="R696" s="234"/>
      <c r="S696" s="234"/>
      <c r="T696" s="234"/>
      <c r="U696" s="234"/>
      <c r="V696" s="234"/>
      <c r="W696" s="234"/>
      <c r="X696" s="234"/>
      <c r="Y696" s="234"/>
      <c r="Z696" s="234"/>
    </row>
    <row r="697" ht="12.0" customHeight="1" outlineLevel="1">
      <c r="A697" s="11" t="str">
        <f>A$196</f>
        <v/>
      </c>
      <c r="B697" s="217"/>
      <c r="C697" s="217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34"/>
      <c r="Q697" s="234"/>
      <c r="R697" s="234"/>
      <c r="S697" s="234"/>
      <c r="T697" s="234"/>
      <c r="U697" s="234"/>
      <c r="V697" s="234"/>
      <c r="W697" s="234"/>
      <c r="X697" s="234"/>
      <c r="Y697" s="234"/>
      <c r="Z697" s="234"/>
    </row>
    <row r="698" ht="12.0" customHeight="1" outlineLevel="1">
      <c r="A698" s="11" t="str">
        <f>A$197</f>
        <v/>
      </c>
      <c r="B698" s="217"/>
      <c r="C698" s="217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34"/>
      <c r="Q698" s="234"/>
      <c r="R698" s="234"/>
      <c r="S698" s="234"/>
      <c r="T698" s="234"/>
      <c r="U698" s="234"/>
      <c r="V698" s="234"/>
      <c r="W698" s="234"/>
      <c r="X698" s="234"/>
      <c r="Y698" s="234"/>
      <c r="Z698" s="234"/>
    </row>
    <row r="699" ht="12.0" customHeight="1" outlineLevel="1">
      <c r="A699" s="11" t="str">
        <f>A$198</f>
        <v/>
      </c>
      <c r="B699" s="217"/>
      <c r="C699" s="217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34"/>
      <c r="Q699" s="234"/>
      <c r="R699" s="234"/>
      <c r="S699" s="234"/>
      <c r="T699" s="234"/>
      <c r="U699" s="234"/>
      <c r="V699" s="234"/>
      <c r="W699" s="234"/>
      <c r="X699" s="234"/>
      <c r="Y699" s="234"/>
      <c r="Z699" s="234"/>
    </row>
    <row r="700" ht="12.0" customHeight="1" outlineLevel="1">
      <c r="A700" s="11" t="str">
        <f>A$199</f>
        <v/>
      </c>
      <c r="B700" s="217"/>
      <c r="C700" s="217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34"/>
      <c r="Q700" s="234"/>
      <c r="R700" s="234"/>
      <c r="S700" s="234"/>
      <c r="T700" s="234"/>
      <c r="U700" s="234"/>
      <c r="V700" s="234"/>
      <c r="W700" s="234"/>
      <c r="X700" s="234"/>
      <c r="Y700" s="234"/>
      <c r="Z700" s="234"/>
    </row>
    <row r="701" ht="12.0" customHeight="1" outlineLevel="1">
      <c r="A701" s="11" t="str">
        <f>A$200</f>
        <v/>
      </c>
      <c r="B701" s="217"/>
      <c r="C701" s="217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34"/>
      <c r="Q701" s="234"/>
      <c r="R701" s="234"/>
      <c r="S701" s="234"/>
      <c r="T701" s="234"/>
      <c r="U701" s="234"/>
      <c r="V701" s="234"/>
      <c r="W701" s="234"/>
      <c r="X701" s="234"/>
      <c r="Y701" s="234"/>
      <c r="Z701" s="234"/>
    </row>
    <row r="702" ht="12.0" customHeight="1" outlineLevel="1">
      <c r="A702" s="11" t="str">
        <f>A$201</f>
        <v/>
      </c>
      <c r="B702" s="217"/>
      <c r="C702" s="217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34"/>
      <c r="Q702" s="234"/>
      <c r="R702" s="234"/>
      <c r="S702" s="234"/>
      <c r="T702" s="234"/>
      <c r="U702" s="234"/>
      <c r="V702" s="234"/>
      <c r="W702" s="234"/>
      <c r="X702" s="234"/>
      <c r="Y702" s="234"/>
      <c r="Z702" s="234"/>
    </row>
    <row r="703" ht="12.0" customHeight="1" outlineLevel="1">
      <c r="A703" s="11" t="str">
        <f>A$202</f>
        <v/>
      </c>
      <c r="B703" s="217"/>
      <c r="C703" s="217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34"/>
      <c r="Q703" s="234"/>
      <c r="R703" s="234"/>
      <c r="S703" s="234"/>
      <c r="T703" s="234"/>
      <c r="U703" s="234"/>
      <c r="V703" s="234"/>
      <c r="W703" s="234"/>
      <c r="X703" s="234"/>
      <c r="Y703" s="234"/>
      <c r="Z703" s="234"/>
    </row>
    <row r="704" ht="12.0" customHeight="1" outlineLevel="1">
      <c r="A704" s="11" t="s">
        <v>375</v>
      </c>
      <c r="B704" s="217"/>
      <c r="C704" s="217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34"/>
      <c r="Q704" s="234"/>
      <c r="R704" s="234"/>
      <c r="S704" s="234"/>
      <c r="T704" s="234"/>
      <c r="U704" s="234"/>
      <c r="V704" s="234"/>
      <c r="W704" s="234"/>
      <c r="X704" s="234"/>
      <c r="Y704" s="234"/>
      <c r="Z704" s="234"/>
    </row>
    <row r="705" ht="12.0" customHeight="1" outlineLevel="1">
      <c r="A705" s="11" t="str">
        <f>A$204</f>
        <v/>
      </c>
      <c r="B705" s="217"/>
      <c r="C705" s="217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34"/>
      <c r="Q705" s="234"/>
      <c r="R705" s="234"/>
      <c r="S705" s="234"/>
      <c r="T705" s="234"/>
      <c r="U705" s="234"/>
      <c r="V705" s="234"/>
      <c r="W705" s="234"/>
      <c r="X705" s="234"/>
      <c r="Y705" s="234"/>
      <c r="Z705" s="234"/>
    </row>
    <row r="706" ht="12.0" customHeight="1" outlineLevel="1">
      <c r="A706" s="11" t="str">
        <f>A$205</f>
        <v/>
      </c>
      <c r="B706" s="217"/>
      <c r="C706" s="217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34"/>
      <c r="Q706" s="234"/>
      <c r="R706" s="234"/>
      <c r="S706" s="234"/>
      <c r="T706" s="234"/>
      <c r="U706" s="234"/>
      <c r="V706" s="234"/>
      <c r="W706" s="234"/>
      <c r="X706" s="234"/>
      <c r="Y706" s="234"/>
      <c r="Z706" s="234"/>
    </row>
    <row r="707" ht="12.0" customHeight="1" outlineLevel="1">
      <c r="A707" s="11" t="str">
        <f>A$206</f>
        <v/>
      </c>
      <c r="B707" s="217"/>
      <c r="C707" s="217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34"/>
      <c r="Q707" s="234"/>
      <c r="R707" s="234"/>
      <c r="S707" s="234"/>
      <c r="T707" s="234"/>
      <c r="U707" s="234"/>
      <c r="V707" s="234"/>
      <c r="W707" s="234"/>
      <c r="X707" s="234"/>
      <c r="Y707" s="234"/>
      <c r="Z707" s="234"/>
    </row>
    <row r="708" ht="12.0" customHeight="1" outlineLevel="1">
      <c r="A708" s="11" t="str">
        <f>A$207</f>
        <v/>
      </c>
      <c r="B708" s="217"/>
      <c r="C708" s="217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34"/>
      <c r="Q708" s="234"/>
      <c r="R708" s="234"/>
      <c r="S708" s="234"/>
      <c r="T708" s="234"/>
      <c r="U708" s="234"/>
      <c r="V708" s="234"/>
      <c r="W708" s="234"/>
      <c r="X708" s="234"/>
      <c r="Y708" s="234"/>
      <c r="Z708" s="234"/>
    </row>
    <row r="709" ht="12.0" customHeight="1" outlineLevel="1">
      <c r="A709" s="11" t="str">
        <f>A$208</f>
        <v/>
      </c>
      <c r="B709" s="217"/>
      <c r="C709" s="217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34"/>
      <c r="Q709" s="234"/>
      <c r="R709" s="234"/>
      <c r="S709" s="234"/>
      <c r="T709" s="234"/>
      <c r="U709" s="234"/>
      <c r="V709" s="234"/>
      <c r="W709" s="234"/>
      <c r="X709" s="234"/>
      <c r="Y709" s="234"/>
      <c r="Z709" s="234"/>
    </row>
    <row r="710" ht="12.0" customHeight="1" outlineLevel="1">
      <c r="A710" s="11" t="str">
        <f>A$209</f>
        <v/>
      </c>
      <c r="B710" s="217"/>
      <c r="C710" s="217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34"/>
      <c r="Q710" s="234"/>
      <c r="R710" s="234"/>
      <c r="S710" s="234"/>
      <c r="T710" s="234"/>
      <c r="U710" s="234"/>
      <c r="V710" s="234"/>
      <c r="W710" s="234"/>
      <c r="X710" s="234"/>
      <c r="Y710" s="234"/>
      <c r="Z710" s="234"/>
    </row>
    <row r="711" ht="12.0" customHeight="1" outlineLevel="1">
      <c r="A711" s="11" t="str">
        <f>A$210</f>
        <v/>
      </c>
      <c r="B711" s="217"/>
      <c r="C711" s="217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34"/>
      <c r="Q711" s="234"/>
      <c r="R711" s="234"/>
      <c r="S711" s="234"/>
      <c r="T711" s="234"/>
      <c r="U711" s="234"/>
      <c r="V711" s="234"/>
      <c r="W711" s="234"/>
      <c r="X711" s="234"/>
      <c r="Y711" s="234"/>
      <c r="Z711" s="234"/>
    </row>
    <row r="712" ht="12.0" customHeight="1" outlineLevel="1">
      <c r="A712" s="11" t="str">
        <f>A$211</f>
        <v/>
      </c>
      <c r="B712" s="217"/>
      <c r="C712" s="217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34"/>
      <c r="Q712" s="234"/>
      <c r="R712" s="234"/>
      <c r="S712" s="234"/>
      <c r="T712" s="234"/>
      <c r="U712" s="234"/>
      <c r="V712" s="234"/>
      <c r="W712" s="234"/>
      <c r="X712" s="234"/>
      <c r="Y712" s="234"/>
      <c r="Z712" s="234"/>
    </row>
    <row r="713" ht="12.0" customHeight="1" outlineLevel="1">
      <c r="A713" s="11" t="str">
        <f>A$212</f>
        <v/>
      </c>
      <c r="B713" s="217"/>
      <c r="C713" s="217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34"/>
      <c r="Q713" s="234"/>
      <c r="R713" s="234"/>
      <c r="S713" s="234"/>
      <c r="T713" s="234"/>
      <c r="U713" s="234"/>
      <c r="V713" s="234"/>
      <c r="W713" s="234"/>
      <c r="X713" s="234"/>
      <c r="Y713" s="234"/>
      <c r="Z713" s="234"/>
    </row>
    <row r="714" ht="12.0" customHeight="1" outlineLevel="1">
      <c r="A714" s="11" t="str">
        <f>A$213</f>
        <v/>
      </c>
      <c r="B714" s="217"/>
      <c r="C714" s="217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34"/>
      <c r="Q714" s="234"/>
      <c r="R714" s="234"/>
      <c r="S714" s="234"/>
      <c r="T714" s="234"/>
      <c r="U714" s="234"/>
      <c r="V714" s="234"/>
      <c r="W714" s="234"/>
      <c r="X714" s="234"/>
      <c r="Y714" s="234"/>
      <c r="Z714" s="234"/>
    </row>
    <row r="715" ht="12.0" customHeight="1" outlineLevel="1">
      <c r="A715" s="11" t="str">
        <f>A$214</f>
        <v/>
      </c>
      <c r="B715" s="217"/>
      <c r="C715" s="217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34"/>
      <c r="Q715" s="234"/>
      <c r="R715" s="234"/>
      <c r="S715" s="234"/>
      <c r="T715" s="234"/>
      <c r="U715" s="234"/>
      <c r="V715" s="234"/>
      <c r="W715" s="234"/>
      <c r="X715" s="234"/>
      <c r="Y715" s="234"/>
      <c r="Z715" s="234"/>
    </row>
    <row r="716" ht="12.0" customHeight="1" outlineLevel="1">
      <c r="A716" s="11" t="str">
        <f>A$215</f>
        <v/>
      </c>
      <c r="B716" s="217"/>
      <c r="C716" s="217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34"/>
      <c r="Q716" s="234"/>
      <c r="R716" s="234"/>
      <c r="S716" s="234"/>
      <c r="T716" s="234"/>
      <c r="U716" s="234"/>
      <c r="V716" s="234"/>
      <c r="W716" s="234"/>
      <c r="X716" s="234"/>
      <c r="Y716" s="234"/>
      <c r="Z716" s="234"/>
    </row>
    <row r="717" ht="12.0" customHeight="1" outlineLevel="1">
      <c r="A717" s="11" t="str">
        <f>A$216</f>
        <v/>
      </c>
      <c r="B717" s="217"/>
      <c r="C717" s="217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34"/>
      <c r="Q717" s="234"/>
      <c r="R717" s="234"/>
      <c r="S717" s="234"/>
      <c r="T717" s="234"/>
      <c r="U717" s="234"/>
      <c r="V717" s="234"/>
      <c r="W717" s="234"/>
      <c r="X717" s="234"/>
      <c r="Y717" s="234"/>
      <c r="Z717" s="234"/>
    </row>
    <row r="718" ht="12.0" customHeight="1">
      <c r="A718" s="242" t="s">
        <v>374</v>
      </c>
      <c r="B718" s="217"/>
      <c r="C718" s="243"/>
      <c r="D718" s="241"/>
      <c r="E718" s="241"/>
      <c r="F718" s="241"/>
      <c r="G718" s="241"/>
      <c r="H718" s="241"/>
      <c r="I718" s="241"/>
      <c r="J718" s="241"/>
      <c r="K718" s="241"/>
      <c r="L718" s="241"/>
      <c r="M718" s="241"/>
      <c r="N718" s="241"/>
      <c r="O718" s="241"/>
      <c r="P718" s="234"/>
      <c r="Q718" s="234"/>
      <c r="R718" s="234"/>
      <c r="S718" s="234"/>
      <c r="T718" s="234"/>
      <c r="U718" s="234"/>
      <c r="V718" s="234"/>
      <c r="W718" s="234"/>
      <c r="X718" s="234"/>
      <c r="Y718" s="234"/>
      <c r="Z718" s="234"/>
    </row>
    <row r="719" ht="12.0" customHeight="1" outlineLevel="1">
      <c r="A719" s="11" t="str">
        <f>A$192</f>
        <v/>
      </c>
      <c r="B719" s="217"/>
      <c r="C719" s="217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34"/>
      <c r="Q719" s="234"/>
      <c r="R719" s="234"/>
      <c r="S719" s="234"/>
      <c r="T719" s="234"/>
      <c r="U719" s="234"/>
      <c r="V719" s="234"/>
      <c r="W719" s="234"/>
      <c r="X719" s="234"/>
      <c r="Y719" s="234"/>
      <c r="Z719" s="234"/>
    </row>
    <row r="720" ht="12.0" customHeight="1" outlineLevel="1">
      <c r="A720" s="11" t="str">
        <f>A$193</f>
        <v/>
      </c>
      <c r="B720" s="217"/>
      <c r="C720" s="217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34"/>
      <c r="Q720" s="234"/>
      <c r="R720" s="234"/>
      <c r="S720" s="234"/>
      <c r="T720" s="234"/>
      <c r="U720" s="234"/>
      <c r="V720" s="234"/>
      <c r="W720" s="234"/>
      <c r="X720" s="234"/>
      <c r="Y720" s="234"/>
      <c r="Z720" s="234"/>
    </row>
    <row r="721" ht="12.0" customHeight="1" outlineLevel="1">
      <c r="A721" s="11" t="str">
        <f>A$194</f>
        <v/>
      </c>
      <c r="B721" s="217"/>
      <c r="C721" s="217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34"/>
      <c r="Q721" s="234"/>
      <c r="R721" s="234"/>
      <c r="S721" s="234"/>
      <c r="T721" s="234"/>
      <c r="U721" s="234"/>
      <c r="V721" s="234"/>
      <c r="W721" s="234"/>
      <c r="X721" s="234"/>
      <c r="Y721" s="234"/>
      <c r="Z721" s="234"/>
    </row>
    <row r="722" ht="12.0" customHeight="1" outlineLevel="1">
      <c r="A722" s="11" t="str">
        <f>A$195</f>
        <v/>
      </c>
      <c r="B722" s="217"/>
      <c r="C722" s="217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34"/>
      <c r="Q722" s="234"/>
      <c r="R722" s="234"/>
      <c r="S722" s="234"/>
      <c r="T722" s="234"/>
      <c r="U722" s="234"/>
      <c r="V722" s="234"/>
      <c r="W722" s="234"/>
      <c r="X722" s="234"/>
      <c r="Y722" s="234"/>
      <c r="Z722" s="234"/>
    </row>
    <row r="723" ht="12.0" customHeight="1" outlineLevel="1">
      <c r="A723" s="11" t="str">
        <f>A$196</f>
        <v/>
      </c>
      <c r="B723" s="217"/>
      <c r="C723" s="217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34"/>
      <c r="Q723" s="234"/>
      <c r="R723" s="234"/>
      <c r="S723" s="234"/>
      <c r="T723" s="234"/>
      <c r="U723" s="234"/>
      <c r="V723" s="234"/>
      <c r="W723" s="234"/>
      <c r="X723" s="234"/>
      <c r="Y723" s="234"/>
      <c r="Z723" s="234"/>
    </row>
    <row r="724" ht="12.0" customHeight="1" outlineLevel="1">
      <c r="A724" s="11" t="str">
        <f>A$197</f>
        <v/>
      </c>
      <c r="B724" s="217"/>
      <c r="C724" s="217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34"/>
      <c r="Q724" s="234"/>
      <c r="R724" s="234"/>
      <c r="S724" s="234"/>
      <c r="T724" s="234"/>
      <c r="U724" s="234"/>
      <c r="V724" s="234"/>
      <c r="W724" s="234"/>
      <c r="X724" s="234"/>
      <c r="Y724" s="234"/>
      <c r="Z724" s="234"/>
    </row>
    <row r="725" ht="12.0" customHeight="1" outlineLevel="1">
      <c r="A725" s="11" t="str">
        <f>A$198</f>
        <v/>
      </c>
      <c r="B725" s="217"/>
      <c r="C725" s="217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34"/>
      <c r="Q725" s="234"/>
      <c r="R725" s="234"/>
      <c r="S725" s="234"/>
      <c r="T725" s="234"/>
      <c r="U725" s="234"/>
      <c r="V725" s="234"/>
      <c r="W725" s="234"/>
      <c r="X725" s="234"/>
      <c r="Y725" s="234"/>
      <c r="Z725" s="234"/>
    </row>
    <row r="726" ht="12.0" customHeight="1" outlineLevel="1">
      <c r="A726" s="11" t="str">
        <f>A$199</f>
        <v/>
      </c>
      <c r="B726" s="217"/>
      <c r="C726" s="217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34"/>
      <c r="Q726" s="234"/>
      <c r="R726" s="234"/>
      <c r="S726" s="234"/>
      <c r="T726" s="234"/>
      <c r="U726" s="234"/>
      <c r="V726" s="234"/>
      <c r="W726" s="234"/>
      <c r="X726" s="234"/>
      <c r="Y726" s="234"/>
      <c r="Z726" s="234"/>
    </row>
    <row r="727" ht="12.0" customHeight="1" outlineLevel="1">
      <c r="A727" s="11" t="str">
        <f>A$200</f>
        <v/>
      </c>
      <c r="B727" s="217"/>
      <c r="C727" s="217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34"/>
      <c r="Q727" s="234"/>
      <c r="R727" s="234"/>
      <c r="S727" s="234"/>
      <c r="T727" s="234"/>
      <c r="U727" s="234"/>
      <c r="V727" s="234"/>
      <c r="W727" s="234"/>
      <c r="X727" s="234"/>
      <c r="Y727" s="234"/>
      <c r="Z727" s="234"/>
    </row>
    <row r="728" ht="12.0" customHeight="1" outlineLevel="1">
      <c r="A728" s="11" t="str">
        <f>A$201</f>
        <v/>
      </c>
      <c r="B728" s="217"/>
      <c r="C728" s="217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34"/>
      <c r="Q728" s="234"/>
      <c r="R728" s="234"/>
      <c r="S728" s="234"/>
      <c r="T728" s="234"/>
      <c r="U728" s="234"/>
      <c r="V728" s="234"/>
      <c r="W728" s="234"/>
      <c r="X728" s="234"/>
      <c r="Y728" s="234"/>
      <c r="Z728" s="234"/>
    </row>
    <row r="729" ht="12.0" customHeight="1" outlineLevel="1">
      <c r="A729" s="11" t="str">
        <f>A$202</f>
        <v/>
      </c>
      <c r="B729" s="217"/>
      <c r="C729" s="217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34"/>
      <c r="Q729" s="234"/>
      <c r="R729" s="234"/>
      <c r="S729" s="234"/>
      <c r="T729" s="234"/>
      <c r="U729" s="234"/>
      <c r="V729" s="234"/>
      <c r="W729" s="234"/>
      <c r="X729" s="234"/>
      <c r="Y729" s="234"/>
      <c r="Z729" s="234"/>
    </row>
    <row r="730" ht="12.0" customHeight="1" outlineLevel="1">
      <c r="A730" s="11" t="s">
        <v>375</v>
      </c>
      <c r="B730" s="217"/>
      <c r="C730" s="217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34"/>
      <c r="Q730" s="234"/>
      <c r="R730" s="234"/>
      <c r="S730" s="234"/>
      <c r="T730" s="234"/>
      <c r="U730" s="234"/>
      <c r="V730" s="234"/>
      <c r="W730" s="234"/>
      <c r="X730" s="234"/>
      <c r="Y730" s="234"/>
      <c r="Z730" s="234"/>
    </row>
    <row r="731" ht="12.0" customHeight="1" outlineLevel="1">
      <c r="A731" s="11" t="str">
        <f>A$204</f>
        <v/>
      </c>
      <c r="B731" s="217"/>
      <c r="C731" s="217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34"/>
      <c r="Q731" s="234"/>
      <c r="R731" s="234"/>
      <c r="S731" s="234"/>
      <c r="T731" s="234"/>
      <c r="U731" s="234"/>
      <c r="V731" s="234"/>
      <c r="W731" s="234"/>
      <c r="X731" s="234"/>
      <c r="Y731" s="234"/>
      <c r="Z731" s="234"/>
    </row>
    <row r="732" ht="12.0" customHeight="1" outlineLevel="1">
      <c r="A732" s="11" t="str">
        <f>A$205</f>
        <v/>
      </c>
      <c r="B732" s="217"/>
      <c r="C732" s="217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34"/>
      <c r="Q732" s="234"/>
      <c r="R732" s="234"/>
      <c r="S732" s="234"/>
      <c r="T732" s="234"/>
      <c r="U732" s="234"/>
      <c r="V732" s="234"/>
      <c r="W732" s="234"/>
      <c r="X732" s="234"/>
      <c r="Y732" s="234"/>
      <c r="Z732" s="234"/>
    </row>
    <row r="733" ht="12.0" customHeight="1" outlineLevel="1">
      <c r="A733" s="11" t="str">
        <f>A$206</f>
        <v/>
      </c>
      <c r="B733" s="217"/>
      <c r="C733" s="217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34"/>
      <c r="Q733" s="234"/>
      <c r="R733" s="234"/>
      <c r="S733" s="234"/>
      <c r="T733" s="234"/>
      <c r="U733" s="234"/>
      <c r="V733" s="234"/>
      <c r="W733" s="234"/>
      <c r="X733" s="234"/>
      <c r="Y733" s="234"/>
      <c r="Z733" s="234"/>
    </row>
    <row r="734" ht="12.0" customHeight="1" outlineLevel="1">
      <c r="A734" s="11" t="str">
        <f>A$207</f>
        <v/>
      </c>
      <c r="B734" s="217"/>
      <c r="C734" s="217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34"/>
      <c r="Q734" s="234"/>
      <c r="R734" s="234"/>
      <c r="S734" s="234"/>
      <c r="T734" s="234"/>
      <c r="U734" s="234"/>
      <c r="V734" s="234"/>
      <c r="W734" s="234"/>
      <c r="X734" s="234"/>
      <c r="Y734" s="234"/>
      <c r="Z734" s="234"/>
    </row>
    <row r="735" ht="12.0" customHeight="1" outlineLevel="1">
      <c r="A735" s="11" t="str">
        <f>A$208</f>
        <v/>
      </c>
      <c r="B735" s="217"/>
      <c r="C735" s="217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34"/>
      <c r="Q735" s="234"/>
      <c r="R735" s="234"/>
      <c r="S735" s="234"/>
      <c r="T735" s="234"/>
      <c r="U735" s="234"/>
      <c r="V735" s="234"/>
      <c r="W735" s="234"/>
      <c r="X735" s="234"/>
      <c r="Y735" s="234"/>
      <c r="Z735" s="234"/>
    </row>
    <row r="736" ht="12.0" customHeight="1" outlineLevel="1">
      <c r="A736" s="11" t="str">
        <f>A$209</f>
        <v/>
      </c>
      <c r="B736" s="217"/>
      <c r="C736" s="217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34"/>
      <c r="Q736" s="234"/>
      <c r="R736" s="234"/>
      <c r="S736" s="234"/>
      <c r="T736" s="234"/>
      <c r="U736" s="234"/>
      <c r="V736" s="234"/>
      <c r="W736" s="234"/>
      <c r="X736" s="234"/>
      <c r="Y736" s="234"/>
      <c r="Z736" s="234"/>
    </row>
    <row r="737" ht="12.0" customHeight="1" outlineLevel="1">
      <c r="A737" s="11" t="str">
        <f>A$210</f>
        <v/>
      </c>
      <c r="B737" s="217"/>
      <c r="C737" s="217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34"/>
      <c r="Q737" s="234"/>
      <c r="R737" s="234"/>
      <c r="S737" s="234"/>
      <c r="T737" s="234"/>
      <c r="U737" s="234"/>
      <c r="V737" s="234"/>
      <c r="W737" s="234"/>
      <c r="X737" s="234"/>
      <c r="Y737" s="234"/>
      <c r="Z737" s="234"/>
    </row>
    <row r="738" ht="12.0" customHeight="1" outlineLevel="1">
      <c r="A738" s="11" t="str">
        <f>A$211</f>
        <v/>
      </c>
      <c r="B738" s="217"/>
      <c r="C738" s="217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34"/>
      <c r="Q738" s="234"/>
      <c r="R738" s="234"/>
      <c r="S738" s="234"/>
      <c r="T738" s="234"/>
      <c r="U738" s="234"/>
      <c r="V738" s="234"/>
      <c r="W738" s="234"/>
      <c r="X738" s="234"/>
      <c r="Y738" s="234"/>
      <c r="Z738" s="234"/>
    </row>
    <row r="739" ht="12.0" customHeight="1" outlineLevel="1">
      <c r="A739" s="11" t="str">
        <f>A$212</f>
        <v/>
      </c>
      <c r="B739" s="217"/>
      <c r="C739" s="217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34"/>
      <c r="Q739" s="234"/>
      <c r="R739" s="234"/>
      <c r="S739" s="234"/>
      <c r="T739" s="234"/>
      <c r="U739" s="234"/>
      <c r="V739" s="234"/>
      <c r="W739" s="234"/>
      <c r="X739" s="234"/>
      <c r="Y739" s="234"/>
      <c r="Z739" s="234"/>
    </row>
    <row r="740" ht="12.0" customHeight="1" outlineLevel="1">
      <c r="A740" s="11" t="str">
        <f>A$213</f>
        <v/>
      </c>
      <c r="B740" s="217"/>
      <c r="C740" s="217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34"/>
      <c r="Q740" s="234"/>
      <c r="R740" s="234"/>
      <c r="S740" s="234"/>
      <c r="T740" s="234"/>
      <c r="U740" s="234"/>
      <c r="V740" s="234"/>
      <c r="W740" s="234"/>
      <c r="X740" s="234"/>
      <c r="Y740" s="234"/>
      <c r="Z740" s="234"/>
    </row>
    <row r="741" ht="12.0" customHeight="1" outlineLevel="1">
      <c r="A741" s="11" t="str">
        <f>A$214</f>
        <v/>
      </c>
      <c r="B741" s="217"/>
      <c r="C741" s="217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34"/>
      <c r="Q741" s="234"/>
      <c r="R741" s="234"/>
      <c r="S741" s="234"/>
      <c r="T741" s="234"/>
      <c r="U741" s="234"/>
      <c r="V741" s="234"/>
      <c r="W741" s="234"/>
      <c r="X741" s="234"/>
      <c r="Y741" s="234"/>
      <c r="Z741" s="234"/>
    </row>
    <row r="742" ht="12.0" customHeight="1" outlineLevel="1">
      <c r="A742" s="11" t="str">
        <f>A$215</f>
        <v/>
      </c>
      <c r="B742" s="217"/>
      <c r="C742" s="217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34"/>
      <c r="Q742" s="234"/>
      <c r="R742" s="234"/>
      <c r="S742" s="234"/>
      <c r="T742" s="234"/>
      <c r="U742" s="234"/>
      <c r="V742" s="234"/>
      <c r="W742" s="234"/>
      <c r="X742" s="234"/>
      <c r="Y742" s="234"/>
      <c r="Z742" s="234"/>
    </row>
    <row r="743" ht="12.0" customHeight="1" outlineLevel="1">
      <c r="A743" s="11" t="str">
        <f>A$216</f>
        <v/>
      </c>
      <c r="B743" s="217"/>
      <c r="C743" s="217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34"/>
      <c r="Q743" s="234"/>
      <c r="R743" s="234"/>
      <c r="S743" s="234"/>
      <c r="T743" s="234"/>
      <c r="U743" s="234"/>
      <c r="V743" s="234"/>
      <c r="W743" s="234"/>
      <c r="X743" s="234"/>
      <c r="Y743" s="234"/>
      <c r="Z743" s="234"/>
    </row>
    <row r="744" ht="12.0" customHeight="1">
      <c r="A744" s="242" t="s">
        <v>374</v>
      </c>
      <c r="B744" s="217"/>
      <c r="C744" s="242"/>
      <c r="D744" s="241"/>
      <c r="E744" s="241"/>
      <c r="F744" s="241"/>
      <c r="G744" s="241"/>
      <c r="H744" s="241"/>
      <c r="I744" s="241"/>
      <c r="J744" s="241"/>
      <c r="K744" s="241"/>
      <c r="L744" s="241"/>
      <c r="M744" s="241"/>
      <c r="N744" s="241"/>
      <c r="O744" s="241"/>
      <c r="P744" s="234"/>
      <c r="Q744" s="234"/>
      <c r="R744" s="234"/>
      <c r="S744" s="234"/>
      <c r="T744" s="234"/>
      <c r="U744" s="234"/>
      <c r="V744" s="234"/>
      <c r="W744" s="234"/>
      <c r="X744" s="234"/>
      <c r="Y744" s="234"/>
      <c r="Z744" s="234"/>
    </row>
    <row r="745" ht="12.0" customHeight="1" outlineLevel="1">
      <c r="A745" s="11" t="str">
        <f>A$192</f>
        <v/>
      </c>
      <c r="B745" s="217"/>
      <c r="C745" s="217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34"/>
      <c r="Q745" s="234"/>
      <c r="R745" s="234"/>
      <c r="S745" s="234"/>
      <c r="T745" s="234"/>
      <c r="U745" s="234"/>
      <c r="V745" s="234"/>
      <c r="W745" s="234"/>
      <c r="X745" s="234"/>
      <c r="Y745" s="234"/>
      <c r="Z745" s="234"/>
    </row>
    <row r="746" ht="12.0" customHeight="1" outlineLevel="1">
      <c r="A746" s="11" t="str">
        <f>A$193</f>
        <v/>
      </c>
      <c r="B746" s="217"/>
      <c r="C746" s="217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34"/>
      <c r="Q746" s="234"/>
      <c r="R746" s="234"/>
      <c r="S746" s="234"/>
      <c r="T746" s="234"/>
      <c r="U746" s="234"/>
      <c r="V746" s="234"/>
      <c r="W746" s="234"/>
      <c r="X746" s="234"/>
      <c r="Y746" s="234"/>
      <c r="Z746" s="234"/>
    </row>
    <row r="747" ht="12.0" customHeight="1" outlineLevel="1">
      <c r="A747" s="11" t="str">
        <f>A$194</f>
        <v/>
      </c>
      <c r="B747" s="217"/>
      <c r="C747" s="217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34"/>
      <c r="Q747" s="234"/>
      <c r="R747" s="234"/>
      <c r="S747" s="234"/>
      <c r="T747" s="234"/>
      <c r="U747" s="234"/>
      <c r="V747" s="234"/>
      <c r="W747" s="234"/>
      <c r="X747" s="234"/>
      <c r="Y747" s="234"/>
      <c r="Z747" s="234"/>
    </row>
    <row r="748" ht="12.0" customHeight="1" outlineLevel="1">
      <c r="A748" s="11" t="str">
        <f>A$195</f>
        <v/>
      </c>
      <c r="B748" s="217"/>
      <c r="C748" s="217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34"/>
      <c r="Q748" s="234"/>
      <c r="R748" s="234"/>
      <c r="S748" s="234"/>
      <c r="T748" s="234"/>
      <c r="U748" s="234"/>
      <c r="V748" s="234"/>
      <c r="W748" s="234"/>
      <c r="X748" s="234"/>
      <c r="Y748" s="234"/>
      <c r="Z748" s="234"/>
    </row>
    <row r="749" ht="12.0" customHeight="1" outlineLevel="1">
      <c r="A749" s="11" t="str">
        <f>A$196</f>
        <v/>
      </c>
      <c r="B749" s="217"/>
      <c r="C749" s="217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34"/>
      <c r="Q749" s="234"/>
      <c r="R749" s="234"/>
      <c r="S749" s="234"/>
      <c r="T749" s="234"/>
      <c r="U749" s="234"/>
      <c r="V749" s="234"/>
      <c r="W749" s="234"/>
      <c r="X749" s="234"/>
      <c r="Y749" s="234"/>
      <c r="Z749" s="234"/>
    </row>
    <row r="750" ht="12.0" customHeight="1" outlineLevel="1">
      <c r="A750" s="11" t="str">
        <f>A$197</f>
        <v/>
      </c>
      <c r="B750" s="217"/>
      <c r="C750" s="217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34"/>
      <c r="Q750" s="234"/>
      <c r="R750" s="234"/>
      <c r="S750" s="234"/>
      <c r="T750" s="234"/>
      <c r="U750" s="234"/>
      <c r="V750" s="234"/>
      <c r="W750" s="234"/>
      <c r="X750" s="234"/>
      <c r="Y750" s="234"/>
      <c r="Z750" s="234"/>
    </row>
    <row r="751" ht="12.0" customHeight="1" outlineLevel="1">
      <c r="A751" s="11" t="str">
        <f>A$198</f>
        <v/>
      </c>
      <c r="B751" s="217"/>
      <c r="C751" s="217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34"/>
      <c r="Q751" s="234"/>
      <c r="R751" s="234"/>
      <c r="S751" s="234"/>
      <c r="T751" s="234"/>
      <c r="U751" s="234"/>
      <c r="V751" s="234"/>
      <c r="W751" s="234"/>
      <c r="X751" s="234"/>
      <c r="Y751" s="234"/>
      <c r="Z751" s="234"/>
    </row>
    <row r="752" ht="12.0" customHeight="1" outlineLevel="1">
      <c r="A752" s="11" t="str">
        <f>A$199</f>
        <v/>
      </c>
      <c r="B752" s="217"/>
      <c r="C752" s="217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34"/>
      <c r="Q752" s="234"/>
      <c r="R752" s="234"/>
      <c r="S752" s="234"/>
      <c r="T752" s="234"/>
      <c r="U752" s="234"/>
      <c r="V752" s="234"/>
      <c r="W752" s="234"/>
      <c r="X752" s="234"/>
      <c r="Y752" s="234"/>
      <c r="Z752" s="234"/>
    </row>
    <row r="753" ht="12.0" customHeight="1" outlineLevel="1">
      <c r="A753" s="11" t="str">
        <f>A$200</f>
        <v/>
      </c>
      <c r="B753" s="217"/>
      <c r="C753" s="217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34"/>
      <c r="Q753" s="234"/>
      <c r="R753" s="234"/>
      <c r="S753" s="234"/>
      <c r="T753" s="234"/>
      <c r="U753" s="234"/>
      <c r="V753" s="234"/>
      <c r="W753" s="234"/>
      <c r="X753" s="234"/>
      <c r="Y753" s="234"/>
      <c r="Z753" s="234"/>
    </row>
    <row r="754" ht="12.0" customHeight="1" outlineLevel="1">
      <c r="A754" s="11" t="str">
        <f>A$201</f>
        <v/>
      </c>
      <c r="B754" s="217"/>
      <c r="C754" s="217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34"/>
      <c r="Q754" s="234"/>
      <c r="R754" s="234"/>
      <c r="S754" s="234"/>
      <c r="T754" s="234"/>
      <c r="U754" s="234"/>
      <c r="V754" s="234"/>
      <c r="W754" s="234"/>
      <c r="X754" s="234"/>
      <c r="Y754" s="234"/>
      <c r="Z754" s="234"/>
    </row>
    <row r="755" ht="12.0" customHeight="1" outlineLevel="1">
      <c r="A755" s="11" t="str">
        <f>A$202</f>
        <v/>
      </c>
      <c r="B755" s="217"/>
      <c r="C755" s="217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34"/>
      <c r="Q755" s="234"/>
      <c r="R755" s="234"/>
      <c r="S755" s="234"/>
      <c r="T755" s="234"/>
      <c r="U755" s="234"/>
      <c r="V755" s="234"/>
      <c r="W755" s="234"/>
      <c r="X755" s="234"/>
      <c r="Y755" s="234"/>
      <c r="Z755" s="234"/>
    </row>
    <row r="756" ht="12.0" customHeight="1" outlineLevel="1">
      <c r="A756" s="11" t="s">
        <v>375</v>
      </c>
      <c r="B756" s="217"/>
      <c r="C756" s="217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34"/>
      <c r="Q756" s="234"/>
      <c r="R756" s="234"/>
      <c r="S756" s="234"/>
      <c r="T756" s="234"/>
      <c r="U756" s="234"/>
      <c r="V756" s="234"/>
      <c r="W756" s="234"/>
      <c r="X756" s="234"/>
      <c r="Y756" s="234"/>
      <c r="Z756" s="234"/>
    </row>
    <row r="757" ht="12.0" customHeight="1" outlineLevel="1">
      <c r="A757" s="11" t="str">
        <f>A$204</f>
        <v/>
      </c>
      <c r="B757" s="217"/>
      <c r="C757" s="217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34"/>
      <c r="Q757" s="234"/>
      <c r="R757" s="234"/>
      <c r="S757" s="234"/>
      <c r="T757" s="234"/>
      <c r="U757" s="234"/>
      <c r="V757" s="234"/>
      <c r="W757" s="234"/>
      <c r="X757" s="234"/>
      <c r="Y757" s="234"/>
      <c r="Z757" s="234"/>
    </row>
    <row r="758" ht="12.0" customHeight="1" outlineLevel="1">
      <c r="A758" s="11" t="str">
        <f>A$205</f>
        <v/>
      </c>
      <c r="B758" s="217"/>
      <c r="C758" s="217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34"/>
      <c r="Q758" s="234"/>
      <c r="R758" s="234"/>
      <c r="S758" s="234"/>
      <c r="T758" s="234"/>
      <c r="U758" s="234"/>
      <c r="V758" s="234"/>
      <c r="W758" s="234"/>
      <c r="X758" s="234"/>
      <c r="Y758" s="234"/>
      <c r="Z758" s="234"/>
    </row>
    <row r="759" ht="12.0" customHeight="1" outlineLevel="1">
      <c r="A759" s="11" t="str">
        <f>A$206</f>
        <v/>
      </c>
      <c r="B759" s="217"/>
      <c r="C759" s="217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34"/>
      <c r="Q759" s="234"/>
      <c r="R759" s="234"/>
      <c r="S759" s="234"/>
      <c r="T759" s="234"/>
      <c r="U759" s="234"/>
      <c r="V759" s="234"/>
      <c r="W759" s="234"/>
      <c r="X759" s="234"/>
      <c r="Y759" s="234"/>
      <c r="Z759" s="234"/>
    </row>
    <row r="760" ht="12.0" customHeight="1" outlineLevel="1">
      <c r="A760" s="11" t="str">
        <f>A$207</f>
        <v/>
      </c>
      <c r="B760" s="217"/>
      <c r="C760" s="217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34"/>
      <c r="Q760" s="234"/>
      <c r="R760" s="234"/>
      <c r="S760" s="234"/>
      <c r="T760" s="234"/>
      <c r="U760" s="234"/>
      <c r="V760" s="234"/>
      <c r="W760" s="234"/>
      <c r="X760" s="234"/>
      <c r="Y760" s="234"/>
      <c r="Z760" s="234"/>
    </row>
    <row r="761" ht="12.0" customHeight="1" outlineLevel="1">
      <c r="A761" s="11" t="str">
        <f>A$208</f>
        <v/>
      </c>
      <c r="B761" s="217"/>
      <c r="C761" s="217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34"/>
      <c r="Q761" s="234"/>
      <c r="R761" s="234"/>
      <c r="S761" s="234"/>
      <c r="T761" s="234"/>
      <c r="U761" s="234"/>
      <c r="V761" s="234"/>
      <c r="W761" s="234"/>
      <c r="X761" s="234"/>
      <c r="Y761" s="234"/>
      <c r="Z761" s="234"/>
    </row>
    <row r="762" ht="12.0" customHeight="1" outlineLevel="1">
      <c r="A762" s="11" t="str">
        <f>A$209</f>
        <v/>
      </c>
      <c r="B762" s="217"/>
      <c r="C762" s="217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34"/>
      <c r="Q762" s="234"/>
      <c r="R762" s="234"/>
      <c r="S762" s="234"/>
      <c r="T762" s="234"/>
      <c r="U762" s="234"/>
      <c r="V762" s="234"/>
      <c r="W762" s="234"/>
      <c r="X762" s="234"/>
      <c r="Y762" s="234"/>
      <c r="Z762" s="234"/>
    </row>
    <row r="763" ht="12.0" customHeight="1" outlineLevel="1">
      <c r="A763" s="11" t="str">
        <f>A$210</f>
        <v/>
      </c>
      <c r="B763" s="217"/>
      <c r="C763" s="217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34"/>
      <c r="Q763" s="234"/>
      <c r="R763" s="234"/>
      <c r="S763" s="234"/>
      <c r="T763" s="234"/>
      <c r="U763" s="234"/>
      <c r="V763" s="234"/>
      <c r="W763" s="234"/>
      <c r="X763" s="234"/>
      <c r="Y763" s="234"/>
      <c r="Z763" s="234"/>
    </row>
    <row r="764" ht="12.0" customHeight="1" outlineLevel="1">
      <c r="A764" s="11" t="str">
        <f>A$211</f>
        <v/>
      </c>
      <c r="B764" s="217"/>
      <c r="C764" s="217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34"/>
      <c r="Q764" s="234"/>
      <c r="R764" s="234"/>
      <c r="S764" s="234"/>
      <c r="T764" s="234"/>
      <c r="U764" s="234"/>
      <c r="V764" s="234"/>
      <c r="W764" s="234"/>
      <c r="X764" s="234"/>
      <c r="Y764" s="234"/>
      <c r="Z764" s="234"/>
    </row>
    <row r="765" ht="12.0" customHeight="1" outlineLevel="1">
      <c r="A765" s="11" t="str">
        <f>A$212</f>
        <v/>
      </c>
      <c r="B765" s="217"/>
      <c r="C765" s="217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34"/>
      <c r="Q765" s="234"/>
      <c r="R765" s="234"/>
      <c r="S765" s="234"/>
      <c r="T765" s="234"/>
      <c r="U765" s="234"/>
      <c r="V765" s="234"/>
      <c r="W765" s="234"/>
      <c r="X765" s="234"/>
      <c r="Y765" s="234"/>
      <c r="Z765" s="234"/>
    </row>
    <row r="766" ht="12.0" customHeight="1" outlineLevel="1">
      <c r="A766" s="11" t="str">
        <f>A$213</f>
        <v/>
      </c>
      <c r="B766" s="217"/>
      <c r="C766" s="217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34"/>
      <c r="Q766" s="234"/>
      <c r="R766" s="234"/>
      <c r="S766" s="234"/>
      <c r="T766" s="234"/>
      <c r="U766" s="234"/>
      <c r="V766" s="234"/>
      <c r="W766" s="234"/>
      <c r="X766" s="234"/>
      <c r="Y766" s="234"/>
      <c r="Z766" s="234"/>
    </row>
    <row r="767" ht="12.0" customHeight="1" outlineLevel="1">
      <c r="A767" s="11" t="str">
        <f>A$214</f>
        <v/>
      </c>
      <c r="B767" s="217"/>
      <c r="C767" s="217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34"/>
      <c r="Q767" s="234"/>
      <c r="R767" s="234"/>
      <c r="S767" s="234"/>
      <c r="T767" s="234"/>
      <c r="U767" s="234"/>
      <c r="V767" s="234"/>
      <c r="W767" s="234"/>
      <c r="X767" s="234"/>
      <c r="Y767" s="234"/>
      <c r="Z767" s="234"/>
    </row>
    <row r="768" ht="12.0" customHeight="1" outlineLevel="1">
      <c r="A768" s="11" t="str">
        <f>A$215</f>
        <v/>
      </c>
      <c r="B768" s="217"/>
      <c r="C768" s="217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34"/>
      <c r="Q768" s="234"/>
      <c r="R768" s="234"/>
      <c r="S768" s="234"/>
      <c r="T768" s="234"/>
      <c r="U768" s="234"/>
      <c r="V768" s="234"/>
      <c r="W768" s="234"/>
      <c r="X768" s="234"/>
      <c r="Y768" s="234"/>
      <c r="Z768" s="234"/>
    </row>
    <row r="769" ht="12.0" customHeight="1" outlineLevel="1">
      <c r="A769" s="11" t="str">
        <f>A$216</f>
        <v/>
      </c>
      <c r="B769" s="217"/>
      <c r="C769" s="217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34"/>
      <c r="Q769" s="234"/>
      <c r="R769" s="234"/>
      <c r="S769" s="234"/>
      <c r="T769" s="234"/>
      <c r="U769" s="234"/>
      <c r="V769" s="234"/>
      <c r="W769" s="234"/>
      <c r="X769" s="234"/>
      <c r="Y769" s="234"/>
      <c r="Z769" s="234"/>
    </row>
    <row r="770" ht="12.0" customHeight="1">
      <c r="A770" s="242" t="s">
        <v>374</v>
      </c>
      <c r="B770" s="217"/>
      <c r="C770" s="242"/>
      <c r="D770" s="241"/>
      <c r="E770" s="241"/>
      <c r="F770" s="241"/>
      <c r="G770" s="241"/>
      <c r="H770" s="241"/>
      <c r="I770" s="241"/>
      <c r="J770" s="241"/>
      <c r="K770" s="241"/>
      <c r="L770" s="241"/>
      <c r="M770" s="241"/>
      <c r="N770" s="241"/>
      <c r="O770" s="241"/>
      <c r="P770" s="234"/>
      <c r="Q770" s="234"/>
      <c r="R770" s="234"/>
      <c r="S770" s="234"/>
      <c r="T770" s="234"/>
      <c r="U770" s="234"/>
      <c r="V770" s="234"/>
      <c r="W770" s="234"/>
      <c r="X770" s="234"/>
      <c r="Y770" s="234"/>
      <c r="Z770" s="234"/>
    </row>
    <row r="771" ht="12.0" customHeight="1" outlineLevel="1">
      <c r="A771" s="11" t="str">
        <f>A$192</f>
        <v/>
      </c>
      <c r="B771" s="217"/>
      <c r="C771" s="217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34"/>
      <c r="Q771" s="234"/>
      <c r="R771" s="234"/>
      <c r="S771" s="234"/>
      <c r="T771" s="234"/>
      <c r="U771" s="234"/>
      <c r="V771" s="234"/>
      <c r="W771" s="234"/>
      <c r="X771" s="234"/>
      <c r="Y771" s="234"/>
      <c r="Z771" s="234"/>
    </row>
    <row r="772" ht="12.0" customHeight="1" outlineLevel="1">
      <c r="A772" s="11" t="str">
        <f>A$193</f>
        <v/>
      </c>
      <c r="B772" s="217"/>
      <c r="C772" s="217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34"/>
      <c r="Q772" s="234"/>
      <c r="R772" s="234"/>
      <c r="S772" s="234"/>
      <c r="T772" s="234"/>
      <c r="U772" s="234"/>
      <c r="V772" s="234"/>
      <c r="W772" s="234"/>
      <c r="X772" s="234"/>
      <c r="Y772" s="234"/>
      <c r="Z772" s="234"/>
    </row>
    <row r="773" ht="12.0" customHeight="1" outlineLevel="1">
      <c r="A773" s="11" t="str">
        <f>A$194</f>
        <v/>
      </c>
      <c r="B773" s="217"/>
      <c r="C773" s="217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34"/>
      <c r="Q773" s="234"/>
      <c r="R773" s="234"/>
      <c r="S773" s="234"/>
      <c r="T773" s="234"/>
      <c r="U773" s="234"/>
      <c r="V773" s="234"/>
      <c r="W773" s="234"/>
      <c r="X773" s="234"/>
      <c r="Y773" s="234"/>
      <c r="Z773" s="234"/>
    </row>
    <row r="774" ht="12.0" customHeight="1" outlineLevel="1">
      <c r="A774" s="11" t="str">
        <f>A$195</f>
        <v/>
      </c>
      <c r="B774" s="217"/>
      <c r="C774" s="217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34"/>
      <c r="Q774" s="234"/>
      <c r="R774" s="234"/>
      <c r="S774" s="234"/>
      <c r="T774" s="234"/>
      <c r="U774" s="234"/>
      <c r="V774" s="234"/>
      <c r="W774" s="234"/>
      <c r="X774" s="234"/>
      <c r="Y774" s="234"/>
      <c r="Z774" s="234"/>
    </row>
    <row r="775" ht="12.0" customHeight="1" outlineLevel="1">
      <c r="A775" s="11" t="str">
        <f>A$196</f>
        <v/>
      </c>
      <c r="B775" s="217"/>
      <c r="C775" s="217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34"/>
      <c r="Q775" s="234"/>
      <c r="R775" s="234"/>
      <c r="S775" s="234"/>
      <c r="T775" s="234"/>
      <c r="U775" s="234"/>
      <c r="V775" s="234"/>
      <c r="W775" s="234"/>
      <c r="X775" s="234"/>
      <c r="Y775" s="234"/>
      <c r="Z775" s="234"/>
    </row>
    <row r="776" ht="12.0" customHeight="1" outlineLevel="1">
      <c r="A776" s="11" t="str">
        <f>A$197</f>
        <v/>
      </c>
      <c r="B776" s="217"/>
      <c r="C776" s="217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34"/>
      <c r="Q776" s="234"/>
      <c r="R776" s="234"/>
      <c r="S776" s="234"/>
      <c r="T776" s="234"/>
      <c r="U776" s="234"/>
      <c r="V776" s="234"/>
      <c r="W776" s="234"/>
      <c r="X776" s="234"/>
      <c r="Y776" s="234"/>
      <c r="Z776" s="234"/>
    </row>
    <row r="777" ht="12.0" customHeight="1" outlineLevel="1">
      <c r="A777" s="11" t="str">
        <f>A$198</f>
        <v/>
      </c>
      <c r="B777" s="217"/>
      <c r="C777" s="217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34"/>
      <c r="Q777" s="234"/>
      <c r="R777" s="234"/>
      <c r="S777" s="234"/>
      <c r="T777" s="234"/>
      <c r="U777" s="234"/>
      <c r="V777" s="234"/>
      <c r="W777" s="234"/>
      <c r="X777" s="234"/>
      <c r="Y777" s="234"/>
      <c r="Z777" s="234"/>
    </row>
    <row r="778" ht="12.0" customHeight="1" outlineLevel="1">
      <c r="A778" s="11" t="str">
        <f>A$199</f>
        <v/>
      </c>
      <c r="B778" s="217"/>
      <c r="C778" s="217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34"/>
      <c r="Q778" s="234"/>
      <c r="R778" s="234"/>
      <c r="S778" s="234"/>
      <c r="T778" s="234"/>
      <c r="U778" s="234"/>
      <c r="V778" s="234"/>
      <c r="W778" s="234"/>
      <c r="X778" s="234"/>
      <c r="Y778" s="234"/>
      <c r="Z778" s="234"/>
    </row>
    <row r="779" ht="12.0" customHeight="1" outlineLevel="1">
      <c r="A779" s="11" t="str">
        <f>A$200</f>
        <v/>
      </c>
      <c r="B779" s="217"/>
      <c r="C779" s="217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34"/>
      <c r="Q779" s="234"/>
      <c r="R779" s="234"/>
      <c r="S779" s="234"/>
      <c r="T779" s="234"/>
      <c r="U779" s="234"/>
      <c r="V779" s="234"/>
      <c r="W779" s="234"/>
      <c r="X779" s="234"/>
      <c r="Y779" s="234"/>
      <c r="Z779" s="234"/>
    </row>
    <row r="780" ht="12.0" customHeight="1" outlineLevel="1">
      <c r="A780" s="11" t="str">
        <f>A$201</f>
        <v/>
      </c>
      <c r="B780" s="217"/>
      <c r="C780" s="217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34"/>
      <c r="Q780" s="234"/>
      <c r="R780" s="234"/>
      <c r="S780" s="234"/>
      <c r="T780" s="234"/>
      <c r="U780" s="234"/>
      <c r="V780" s="234"/>
      <c r="W780" s="234"/>
      <c r="X780" s="234"/>
      <c r="Y780" s="234"/>
      <c r="Z780" s="234"/>
    </row>
    <row r="781" ht="12.0" customHeight="1" outlineLevel="1">
      <c r="A781" s="11" t="str">
        <f>A$202</f>
        <v/>
      </c>
      <c r="B781" s="217"/>
      <c r="C781" s="217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34"/>
      <c r="Q781" s="234"/>
      <c r="R781" s="234"/>
      <c r="S781" s="234"/>
      <c r="T781" s="234"/>
      <c r="U781" s="234"/>
      <c r="V781" s="234"/>
      <c r="W781" s="234"/>
      <c r="X781" s="234"/>
      <c r="Y781" s="234"/>
      <c r="Z781" s="234"/>
    </row>
    <row r="782" ht="12.0" customHeight="1" outlineLevel="1">
      <c r="A782" s="11" t="s">
        <v>375</v>
      </c>
      <c r="B782" s="217"/>
      <c r="C782" s="217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34"/>
      <c r="Q782" s="234"/>
      <c r="R782" s="234"/>
      <c r="S782" s="234"/>
      <c r="T782" s="234"/>
      <c r="U782" s="234"/>
      <c r="V782" s="234"/>
      <c r="W782" s="234"/>
      <c r="X782" s="234"/>
      <c r="Y782" s="234"/>
      <c r="Z782" s="234"/>
    </row>
    <row r="783" ht="12.0" customHeight="1" outlineLevel="1">
      <c r="A783" s="11" t="str">
        <f>A$204</f>
        <v/>
      </c>
      <c r="B783" s="217"/>
      <c r="C783" s="217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34"/>
      <c r="Q783" s="234"/>
      <c r="R783" s="234"/>
      <c r="S783" s="234"/>
      <c r="T783" s="234"/>
      <c r="U783" s="234"/>
      <c r="V783" s="234"/>
      <c r="W783" s="234"/>
      <c r="X783" s="234"/>
      <c r="Y783" s="234"/>
      <c r="Z783" s="234"/>
    </row>
    <row r="784" ht="12.0" customHeight="1" outlineLevel="1">
      <c r="A784" s="11" t="str">
        <f>A$205</f>
        <v/>
      </c>
      <c r="B784" s="217"/>
      <c r="C784" s="217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34"/>
      <c r="Q784" s="234"/>
      <c r="R784" s="234"/>
      <c r="S784" s="234"/>
      <c r="T784" s="234"/>
      <c r="U784" s="234"/>
      <c r="V784" s="234"/>
      <c r="W784" s="234"/>
      <c r="X784" s="234"/>
      <c r="Y784" s="234"/>
      <c r="Z784" s="234"/>
    </row>
    <row r="785" ht="12.0" customHeight="1" outlineLevel="1">
      <c r="A785" s="11" t="str">
        <f>A$206</f>
        <v/>
      </c>
      <c r="B785" s="217"/>
      <c r="C785" s="217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34"/>
      <c r="Q785" s="234"/>
      <c r="R785" s="234"/>
      <c r="S785" s="234"/>
      <c r="T785" s="234"/>
      <c r="U785" s="234"/>
      <c r="V785" s="234"/>
      <c r="W785" s="234"/>
      <c r="X785" s="234"/>
      <c r="Y785" s="234"/>
      <c r="Z785" s="234"/>
    </row>
    <row r="786" ht="12.0" customHeight="1" outlineLevel="1">
      <c r="A786" s="11" t="str">
        <f>A$207</f>
        <v/>
      </c>
      <c r="B786" s="217"/>
      <c r="C786" s="217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34"/>
      <c r="Q786" s="234"/>
      <c r="R786" s="234"/>
      <c r="S786" s="234"/>
      <c r="T786" s="234"/>
      <c r="U786" s="234"/>
      <c r="V786" s="234"/>
      <c r="W786" s="234"/>
      <c r="X786" s="234"/>
      <c r="Y786" s="234"/>
      <c r="Z786" s="234"/>
    </row>
    <row r="787" ht="12.0" customHeight="1" outlineLevel="1">
      <c r="A787" s="11" t="str">
        <f>A$208</f>
        <v/>
      </c>
      <c r="B787" s="217"/>
      <c r="C787" s="217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34"/>
      <c r="Q787" s="234"/>
      <c r="R787" s="234"/>
      <c r="S787" s="234"/>
      <c r="T787" s="234"/>
      <c r="U787" s="234"/>
      <c r="V787" s="234"/>
      <c r="W787" s="234"/>
      <c r="X787" s="234"/>
      <c r="Y787" s="234"/>
      <c r="Z787" s="234"/>
    </row>
    <row r="788" ht="12.0" customHeight="1" outlineLevel="1">
      <c r="A788" s="11" t="str">
        <f>A$209</f>
        <v/>
      </c>
      <c r="B788" s="217"/>
      <c r="C788" s="217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34"/>
      <c r="Q788" s="234"/>
      <c r="R788" s="234"/>
      <c r="S788" s="234"/>
      <c r="T788" s="234"/>
      <c r="U788" s="234"/>
      <c r="V788" s="234"/>
      <c r="W788" s="234"/>
      <c r="X788" s="234"/>
      <c r="Y788" s="234"/>
      <c r="Z788" s="234"/>
    </row>
    <row r="789" ht="12.0" customHeight="1" outlineLevel="1">
      <c r="A789" s="11" t="str">
        <f>A$210</f>
        <v/>
      </c>
      <c r="B789" s="217"/>
      <c r="C789" s="217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34"/>
      <c r="Q789" s="234"/>
      <c r="R789" s="234"/>
      <c r="S789" s="234"/>
      <c r="T789" s="234"/>
      <c r="U789" s="234"/>
      <c r="V789" s="234"/>
      <c r="W789" s="234"/>
      <c r="X789" s="234"/>
      <c r="Y789" s="234"/>
      <c r="Z789" s="234"/>
    </row>
    <row r="790" ht="12.0" customHeight="1" outlineLevel="1">
      <c r="A790" s="11" t="str">
        <f>A$211</f>
        <v/>
      </c>
      <c r="B790" s="217"/>
      <c r="C790" s="217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34"/>
      <c r="Q790" s="234"/>
      <c r="R790" s="234"/>
      <c r="S790" s="234"/>
      <c r="T790" s="234"/>
      <c r="U790" s="234"/>
      <c r="V790" s="234"/>
      <c r="W790" s="234"/>
      <c r="X790" s="234"/>
      <c r="Y790" s="234"/>
      <c r="Z790" s="234"/>
    </row>
    <row r="791" ht="12.0" customHeight="1" outlineLevel="1">
      <c r="A791" s="11" t="str">
        <f>A$212</f>
        <v/>
      </c>
      <c r="B791" s="217"/>
      <c r="C791" s="217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34"/>
      <c r="Q791" s="234"/>
      <c r="R791" s="234"/>
      <c r="S791" s="234"/>
      <c r="T791" s="234"/>
      <c r="U791" s="234"/>
      <c r="V791" s="234"/>
      <c r="W791" s="234"/>
      <c r="X791" s="234"/>
      <c r="Y791" s="234"/>
      <c r="Z791" s="234"/>
    </row>
    <row r="792" ht="12.0" customHeight="1" outlineLevel="1">
      <c r="A792" s="11" t="str">
        <f>A$213</f>
        <v/>
      </c>
      <c r="B792" s="217"/>
      <c r="C792" s="217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34"/>
      <c r="Q792" s="234"/>
      <c r="R792" s="234"/>
      <c r="S792" s="234"/>
      <c r="T792" s="234"/>
      <c r="U792" s="234"/>
      <c r="V792" s="234"/>
      <c r="W792" s="234"/>
      <c r="X792" s="234"/>
      <c r="Y792" s="234"/>
      <c r="Z792" s="234"/>
    </row>
    <row r="793" ht="12.0" customHeight="1" outlineLevel="1">
      <c r="A793" s="11" t="str">
        <f>A$214</f>
        <v/>
      </c>
      <c r="B793" s="217"/>
      <c r="C793" s="217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34"/>
      <c r="Q793" s="234"/>
      <c r="R793" s="234"/>
      <c r="S793" s="234"/>
      <c r="T793" s="234"/>
      <c r="U793" s="234"/>
      <c r="V793" s="234"/>
      <c r="W793" s="234"/>
      <c r="X793" s="234"/>
      <c r="Y793" s="234"/>
      <c r="Z793" s="234"/>
    </row>
    <row r="794" ht="12.0" customHeight="1" outlineLevel="1">
      <c r="A794" s="11" t="str">
        <f>A$215</f>
        <v/>
      </c>
      <c r="B794" s="217"/>
      <c r="C794" s="217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34"/>
      <c r="Q794" s="234"/>
      <c r="R794" s="234"/>
      <c r="S794" s="234"/>
      <c r="T794" s="234"/>
      <c r="U794" s="234"/>
      <c r="V794" s="234"/>
      <c r="W794" s="234"/>
      <c r="X794" s="234"/>
      <c r="Y794" s="234"/>
      <c r="Z794" s="234"/>
    </row>
    <row r="795" ht="12.0" customHeight="1" outlineLevel="1">
      <c r="A795" s="11" t="str">
        <f>A$216</f>
        <v/>
      </c>
      <c r="B795" s="217"/>
      <c r="C795" s="217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34"/>
      <c r="Q795" s="234"/>
      <c r="R795" s="234"/>
      <c r="S795" s="234"/>
      <c r="T795" s="234"/>
      <c r="U795" s="234"/>
      <c r="V795" s="234"/>
      <c r="W795" s="234"/>
      <c r="X795" s="234"/>
      <c r="Y795" s="234"/>
      <c r="Z795" s="234"/>
    </row>
    <row r="796" ht="12.0" customHeight="1">
      <c r="A796" s="242" t="s">
        <v>374</v>
      </c>
      <c r="B796" s="217"/>
      <c r="C796" s="242"/>
      <c r="D796" s="241"/>
      <c r="E796" s="241"/>
      <c r="F796" s="241"/>
      <c r="G796" s="241"/>
      <c r="H796" s="241"/>
      <c r="I796" s="241"/>
      <c r="J796" s="241"/>
      <c r="K796" s="241"/>
      <c r="L796" s="241"/>
      <c r="M796" s="241"/>
      <c r="N796" s="241"/>
      <c r="O796" s="241"/>
      <c r="P796" s="234"/>
      <c r="Q796" s="234"/>
      <c r="R796" s="234"/>
      <c r="S796" s="234"/>
      <c r="T796" s="234"/>
      <c r="U796" s="234"/>
      <c r="V796" s="234"/>
      <c r="W796" s="234"/>
      <c r="X796" s="234"/>
      <c r="Y796" s="234"/>
      <c r="Z796" s="234"/>
    </row>
    <row r="797" ht="12.0" customHeight="1" outlineLevel="1">
      <c r="A797" s="11" t="str">
        <f>A$192</f>
        <v/>
      </c>
      <c r="B797" s="217"/>
      <c r="C797" s="217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34"/>
      <c r="Q797" s="234"/>
      <c r="R797" s="234"/>
      <c r="S797" s="234"/>
      <c r="T797" s="234"/>
      <c r="U797" s="234"/>
      <c r="V797" s="234"/>
      <c r="W797" s="234"/>
      <c r="X797" s="234"/>
      <c r="Y797" s="234"/>
      <c r="Z797" s="234"/>
    </row>
    <row r="798" ht="12.0" customHeight="1" outlineLevel="1">
      <c r="A798" s="11" t="str">
        <f>A$193</f>
        <v/>
      </c>
      <c r="B798" s="217"/>
      <c r="C798" s="217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34"/>
      <c r="Q798" s="234"/>
      <c r="R798" s="234"/>
      <c r="S798" s="234"/>
      <c r="T798" s="234"/>
      <c r="U798" s="234"/>
      <c r="V798" s="234"/>
      <c r="W798" s="234"/>
      <c r="X798" s="234"/>
      <c r="Y798" s="234"/>
      <c r="Z798" s="234"/>
    </row>
    <row r="799" ht="12.0" customHeight="1" outlineLevel="1">
      <c r="A799" s="11" t="str">
        <f>A$194</f>
        <v/>
      </c>
      <c r="B799" s="217"/>
      <c r="C799" s="217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34"/>
      <c r="Q799" s="234"/>
      <c r="R799" s="234"/>
      <c r="S799" s="234"/>
      <c r="T799" s="234"/>
      <c r="U799" s="234"/>
      <c r="V799" s="234"/>
      <c r="W799" s="234"/>
      <c r="X799" s="234"/>
      <c r="Y799" s="234"/>
      <c r="Z799" s="234"/>
    </row>
    <row r="800" ht="12.0" customHeight="1" outlineLevel="1">
      <c r="A800" s="11" t="str">
        <f>A$195</f>
        <v/>
      </c>
      <c r="B800" s="217"/>
      <c r="C800" s="217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34"/>
      <c r="Q800" s="234"/>
      <c r="R800" s="234"/>
      <c r="S800" s="234"/>
      <c r="T800" s="234"/>
      <c r="U800" s="234"/>
      <c r="V800" s="234"/>
      <c r="W800" s="234"/>
      <c r="X800" s="234"/>
      <c r="Y800" s="234"/>
      <c r="Z800" s="234"/>
    </row>
    <row r="801" ht="12.0" customHeight="1" outlineLevel="1">
      <c r="A801" s="11" t="str">
        <f>A$196</f>
        <v/>
      </c>
      <c r="B801" s="217"/>
      <c r="C801" s="217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34"/>
      <c r="Q801" s="234"/>
      <c r="R801" s="234"/>
      <c r="S801" s="234"/>
      <c r="T801" s="234"/>
      <c r="U801" s="234"/>
      <c r="V801" s="234"/>
      <c r="W801" s="234"/>
      <c r="X801" s="234"/>
      <c r="Y801" s="234"/>
      <c r="Z801" s="234"/>
    </row>
    <row r="802" ht="12.0" customHeight="1" outlineLevel="1">
      <c r="A802" s="11" t="str">
        <f>A$197</f>
        <v/>
      </c>
      <c r="B802" s="217"/>
      <c r="C802" s="217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34"/>
      <c r="Q802" s="234"/>
      <c r="R802" s="234"/>
      <c r="S802" s="234"/>
      <c r="T802" s="234"/>
      <c r="U802" s="234"/>
      <c r="V802" s="234"/>
      <c r="W802" s="234"/>
      <c r="X802" s="234"/>
      <c r="Y802" s="234"/>
      <c r="Z802" s="234"/>
    </row>
    <row r="803" ht="12.0" customHeight="1" outlineLevel="1">
      <c r="A803" s="11" t="str">
        <f>A$198</f>
        <v/>
      </c>
      <c r="B803" s="217"/>
      <c r="C803" s="217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34"/>
      <c r="Q803" s="234"/>
      <c r="R803" s="234"/>
      <c r="S803" s="234"/>
      <c r="T803" s="234"/>
      <c r="U803" s="234"/>
      <c r="V803" s="234"/>
      <c r="W803" s="234"/>
      <c r="X803" s="234"/>
      <c r="Y803" s="234"/>
      <c r="Z803" s="234"/>
    </row>
    <row r="804" ht="12.0" customHeight="1" outlineLevel="1">
      <c r="A804" s="11" t="str">
        <f>A$199</f>
        <v/>
      </c>
      <c r="B804" s="217"/>
      <c r="C804" s="217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34"/>
      <c r="Q804" s="234"/>
      <c r="R804" s="234"/>
      <c r="S804" s="234"/>
      <c r="T804" s="234"/>
      <c r="U804" s="234"/>
      <c r="V804" s="234"/>
      <c r="W804" s="234"/>
      <c r="X804" s="234"/>
      <c r="Y804" s="234"/>
      <c r="Z804" s="234"/>
    </row>
    <row r="805" ht="12.0" customHeight="1" outlineLevel="1">
      <c r="A805" s="11" t="str">
        <f>A$200</f>
        <v/>
      </c>
      <c r="B805" s="217"/>
      <c r="C805" s="217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34"/>
      <c r="Q805" s="234"/>
      <c r="R805" s="234"/>
      <c r="S805" s="234"/>
      <c r="T805" s="234"/>
      <c r="U805" s="234"/>
      <c r="V805" s="234"/>
      <c r="W805" s="234"/>
      <c r="X805" s="234"/>
      <c r="Y805" s="234"/>
      <c r="Z805" s="234"/>
    </row>
    <row r="806" ht="12.0" customHeight="1" outlineLevel="1">
      <c r="A806" s="11" t="str">
        <f>A$201</f>
        <v/>
      </c>
      <c r="B806" s="217"/>
      <c r="C806" s="217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34"/>
      <c r="Q806" s="234"/>
      <c r="R806" s="234"/>
      <c r="S806" s="234"/>
      <c r="T806" s="234"/>
      <c r="U806" s="234"/>
      <c r="V806" s="234"/>
      <c r="W806" s="234"/>
      <c r="X806" s="234"/>
      <c r="Y806" s="234"/>
      <c r="Z806" s="234"/>
    </row>
    <row r="807" ht="12.0" customHeight="1" outlineLevel="1">
      <c r="A807" s="11" t="str">
        <f>A$202</f>
        <v/>
      </c>
      <c r="B807" s="217"/>
      <c r="C807" s="217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34"/>
      <c r="Q807" s="234"/>
      <c r="R807" s="234"/>
      <c r="S807" s="234"/>
      <c r="T807" s="234"/>
      <c r="U807" s="234"/>
      <c r="V807" s="234"/>
      <c r="W807" s="234"/>
      <c r="X807" s="234"/>
      <c r="Y807" s="234"/>
      <c r="Z807" s="234"/>
    </row>
    <row r="808" ht="12.0" customHeight="1" outlineLevel="1">
      <c r="A808" s="11" t="s">
        <v>375</v>
      </c>
      <c r="B808" s="217"/>
      <c r="C808" s="217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34"/>
      <c r="Q808" s="234"/>
      <c r="R808" s="234"/>
      <c r="S808" s="234"/>
      <c r="T808" s="234"/>
      <c r="U808" s="234"/>
      <c r="V808" s="234"/>
      <c r="W808" s="234"/>
      <c r="X808" s="234"/>
      <c r="Y808" s="234"/>
      <c r="Z808" s="234"/>
    </row>
    <row r="809" ht="12.0" customHeight="1" outlineLevel="1">
      <c r="A809" s="11" t="str">
        <f>A$204</f>
        <v/>
      </c>
      <c r="B809" s="217"/>
      <c r="C809" s="217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34"/>
      <c r="Q809" s="234"/>
      <c r="R809" s="234"/>
      <c r="S809" s="234"/>
      <c r="T809" s="234"/>
      <c r="U809" s="234"/>
      <c r="V809" s="234"/>
      <c r="W809" s="234"/>
      <c r="X809" s="234"/>
      <c r="Y809" s="234"/>
      <c r="Z809" s="234"/>
    </row>
    <row r="810" ht="12.0" customHeight="1" outlineLevel="1">
      <c r="A810" s="11" t="str">
        <f>A$205</f>
        <v/>
      </c>
      <c r="B810" s="217"/>
      <c r="C810" s="217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34"/>
      <c r="Q810" s="234"/>
      <c r="R810" s="234"/>
      <c r="S810" s="234"/>
      <c r="T810" s="234"/>
      <c r="U810" s="234"/>
      <c r="V810" s="234"/>
      <c r="W810" s="234"/>
      <c r="X810" s="234"/>
      <c r="Y810" s="234"/>
      <c r="Z810" s="234"/>
    </row>
    <row r="811" ht="12.0" customHeight="1" outlineLevel="1">
      <c r="A811" s="11" t="str">
        <f>A$206</f>
        <v/>
      </c>
      <c r="B811" s="217"/>
      <c r="C811" s="217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34"/>
      <c r="Q811" s="234"/>
      <c r="R811" s="234"/>
      <c r="S811" s="234"/>
      <c r="T811" s="234"/>
      <c r="U811" s="234"/>
      <c r="V811" s="234"/>
      <c r="W811" s="234"/>
      <c r="X811" s="234"/>
      <c r="Y811" s="234"/>
      <c r="Z811" s="234"/>
    </row>
    <row r="812" ht="12.0" customHeight="1" outlineLevel="1">
      <c r="A812" s="11" t="str">
        <f>A$207</f>
        <v/>
      </c>
      <c r="B812" s="217"/>
      <c r="C812" s="217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34"/>
      <c r="Q812" s="234"/>
      <c r="R812" s="234"/>
      <c r="S812" s="234"/>
      <c r="T812" s="234"/>
      <c r="U812" s="234"/>
      <c r="V812" s="234"/>
      <c r="W812" s="234"/>
      <c r="X812" s="234"/>
      <c r="Y812" s="234"/>
      <c r="Z812" s="234"/>
    </row>
    <row r="813" ht="12.0" customHeight="1" outlineLevel="1">
      <c r="A813" s="11" t="str">
        <f>A$208</f>
        <v/>
      </c>
      <c r="B813" s="217"/>
      <c r="C813" s="217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34"/>
      <c r="Q813" s="234"/>
      <c r="R813" s="234"/>
      <c r="S813" s="234"/>
      <c r="T813" s="234"/>
      <c r="U813" s="234"/>
      <c r="V813" s="234"/>
      <c r="W813" s="234"/>
      <c r="X813" s="234"/>
      <c r="Y813" s="234"/>
      <c r="Z813" s="234"/>
    </row>
    <row r="814" ht="12.0" customHeight="1" outlineLevel="1">
      <c r="A814" s="11" t="str">
        <f>A$209</f>
        <v/>
      </c>
      <c r="B814" s="217"/>
      <c r="C814" s="217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34"/>
      <c r="Q814" s="234"/>
      <c r="R814" s="234"/>
      <c r="S814" s="234"/>
      <c r="T814" s="234"/>
      <c r="U814" s="234"/>
      <c r="V814" s="234"/>
      <c r="W814" s="234"/>
      <c r="X814" s="234"/>
      <c r="Y814" s="234"/>
      <c r="Z814" s="234"/>
    </row>
    <row r="815" ht="12.0" customHeight="1" outlineLevel="1">
      <c r="A815" s="11" t="str">
        <f>A$210</f>
        <v/>
      </c>
      <c r="B815" s="217"/>
      <c r="C815" s="217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34"/>
      <c r="Q815" s="234"/>
      <c r="R815" s="234"/>
      <c r="S815" s="234"/>
      <c r="T815" s="234"/>
      <c r="U815" s="234"/>
      <c r="V815" s="234"/>
      <c r="W815" s="234"/>
      <c r="X815" s="234"/>
      <c r="Y815" s="234"/>
      <c r="Z815" s="234"/>
    </row>
    <row r="816" ht="12.0" customHeight="1" outlineLevel="1">
      <c r="A816" s="11" t="str">
        <f>A$211</f>
        <v/>
      </c>
      <c r="B816" s="217"/>
      <c r="C816" s="217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34"/>
      <c r="Q816" s="234"/>
      <c r="R816" s="234"/>
      <c r="S816" s="234"/>
      <c r="T816" s="234"/>
      <c r="U816" s="234"/>
      <c r="V816" s="234"/>
      <c r="W816" s="234"/>
      <c r="X816" s="234"/>
      <c r="Y816" s="234"/>
      <c r="Z816" s="234"/>
    </row>
    <row r="817" ht="12.0" customHeight="1" outlineLevel="1">
      <c r="A817" s="11" t="str">
        <f>A$212</f>
        <v/>
      </c>
      <c r="B817" s="217"/>
      <c r="C817" s="217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34"/>
      <c r="Q817" s="234"/>
      <c r="R817" s="234"/>
      <c r="S817" s="234"/>
      <c r="T817" s="234"/>
      <c r="U817" s="234"/>
      <c r="V817" s="234"/>
      <c r="W817" s="234"/>
      <c r="X817" s="234"/>
      <c r="Y817" s="234"/>
      <c r="Z817" s="234"/>
    </row>
    <row r="818" ht="12.0" customHeight="1" outlineLevel="1">
      <c r="A818" s="11" t="str">
        <f>A$213</f>
        <v/>
      </c>
      <c r="B818" s="217"/>
      <c r="C818" s="217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34"/>
      <c r="Q818" s="234"/>
      <c r="R818" s="234"/>
      <c r="S818" s="234"/>
      <c r="T818" s="234"/>
      <c r="U818" s="234"/>
      <c r="V818" s="234"/>
      <c r="W818" s="234"/>
      <c r="X818" s="234"/>
      <c r="Y818" s="234"/>
      <c r="Z818" s="234"/>
    </row>
    <row r="819" ht="12.0" customHeight="1" outlineLevel="1">
      <c r="A819" s="11" t="str">
        <f>A$214</f>
        <v/>
      </c>
      <c r="B819" s="217"/>
      <c r="C819" s="217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34"/>
      <c r="Q819" s="234"/>
      <c r="R819" s="234"/>
      <c r="S819" s="234"/>
      <c r="T819" s="234"/>
      <c r="U819" s="234"/>
      <c r="V819" s="234"/>
      <c r="W819" s="234"/>
      <c r="X819" s="234"/>
      <c r="Y819" s="234"/>
      <c r="Z819" s="234"/>
    </row>
    <row r="820" ht="12.0" customHeight="1" outlineLevel="1">
      <c r="A820" s="11" t="str">
        <f>A$215</f>
        <v/>
      </c>
      <c r="B820" s="217"/>
      <c r="C820" s="217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34"/>
      <c r="Q820" s="234"/>
      <c r="R820" s="234"/>
      <c r="S820" s="234"/>
      <c r="T820" s="234"/>
      <c r="U820" s="234"/>
      <c r="V820" s="234"/>
      <c r="W820" s="234"/>
      <c r="X820" s="234"/>
      <c r="Y820" s="234"/>
      <c r="Z820" s="234"/>
    </row>
    <row r="821" ht="12.0" customHeight="1" outlineLevel="1">
      <c r="A821" s="11" t="str">
        <f>A$216</f>
        <v/>
      </c>
      <c r="B821" s="217"/>
      <c r="C821" s="217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34"/>
      <c r="Q821" s="234"/>
      <c r="R821" s="234"/>
      <c r="S821" s="234"/>
      <c r="T821" s="234"/>
      <c r="U821" s="234"/>
      <c r="V821" s="234"/>
      <c r="W821" s="234"/>
      <c r="X821" s="234"/>
      <c r="Y821" s="234"/>
      <c r="Z821" s="234"/>
    </row>
    <row r="822" ht="12.75" customHeight="1">
      <c r="A822" s="192" t="s">
        <v>358</v>
      </c>
      <c r="B822" s="232"/>
      <c r="C822" s="232"/>
      <c r="D822" s="232"/>
      <c r="E822" s="232"/>
      <c r="F822" s="232"/>
      <c r="G822" s="232"/>
      <c r="H822" s="232"/>
      <c r="I822" s="232"/>
      <c r="J822" s="232"/>
      <c r="K822" s="232"/>
      <c r="L822" s="232"/>
      <c r="M822" s="232"/>
      <c r="N822" s="232"/>
      <c r="O822" s="23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0" customHeight="1">
      <c r="A823" s="242" t="s">
        <v>374</v>
      </c>
      <c r="B823" s="30"/>
      <c r="C823" s="30"/>
      <c r="D823" s="241"/>
      <c r="E823" s="241"/>
      <c r="F823" s="241"/>
      <c r="G823" s="241"/>
      <c r="H823" s="241"/>
      <c r="I823" s="241"/>
      <c r="J823" s="241"/>
      <c r="K823" s="241"/>
      <c r="L823" s="241"/>
      <c r="M823" s="241"/>
      <c r="N823" s="241"/>
      <c r="O823" s="241"/>
      <c r="P823" s="234"/>
      <c r="Q823" s="234"/>
      <c r="R823" s="234"/>
      <c r="S823" s="234"/>
      <c r="T823" s="234"/>
      <c r="U823" s="234"/>
      <c r="V823" s="234"/>
      <c r="W823" s="234"/>
      <c r="X823" s="234"/>
      <c r="Y823" s="234"/>
      <c r="Z823" s="234"/>
    </row>
    <row r="824" ht="12.0" customHeight="1" outlineLevel="1">
      <c r="A824" s="11" t="str">
        <f>A$192</f>
        <v/>
      </c>
      <c r="B824" s="217"/>
      <c r="C824" s="217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34"/>
      <c r="Q824" s="234"/>
      <c r="R824" s="234"/>
      <c r="S824" s="234"/>
      <c r="T824" s="234"/>
      <c r="U824" s="234"/>
      <c r="V824" s="234"/>
      <c r="W824" s="234"/>
      <c r="X824" s="234"/>
      <c r="Y824" s="234"/>
      <c r="Z824" s="234"/>
    </row>
    <row r="825" ht="12.0" customHeight="1" outlineLevel="1">
      <c r="A825" s="11" t="str">
        <f>A$193</f>
        <v/>
      </c>
      <c r="B825" s="217"/>
      <c r="C825" s="217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34"/>
      <c r="Q825" s="234"/>
      <c r="R825" s="234"/>
      <c r="S825" s="234"/>
      <c r="T825" s="234"/>
      <c r="U825" s="234"/>
      <c r="V825" s="234"/>
      <c r="W825" s="234"/>
      <c r="X825" s="234"/>
      <c r="Y825" s="234"/>
      <c r="Z825" s="234"/>
    </row>
    <row r="826" ht="12.0" customHeight="1" outlineLevel="1">
      <c r="A826" s="11" t="str">
        <f>A$194</f>
        <v/>
      </c>
      <c r="B826" s="217"/>
      <c r="C826" s="217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34"/>
      <c r="Q826" s="234"/>
      <c r="R826" s="234"/>
      <c r="S826" s="234"/>
      <c r="T826" s="234"/>
      <c r="U826" s="234"/>
      <c r="V826" s="234"/>
      <c r="W826" s="234"/>
      <c r="X826" s="234"/>
      <c r="Y826" s="234"/>
      <c r="Z826" s="234"/>
    </row>
    <row r="827" ht="12.0" customHeight="1" outlineLevel="1">
      <c r="A827" s="11" t="str">
        <f>A$195</f>
        <v/>
      </c>
      <c r="B827" s="217"/>
      <c r="C827" s="217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34"/>
      <c r="Q827" s="234"/>
      <c r="R827" s="234"/>
      <c r="S827" s="234"/>
      <c r="T827" s="234"/>
      <c r="U827" s="234"/>
      <c r="V827" s="234"/>
      <c r="W827" s="234"/>
      <c r="X827" s="234"/>
      <c r="Y827" s="234"/>
      <c r="Z827" s="234"/>
    </row>
    <row r="828" ht="12.0" customHeight="1" outlineLevel="1">
      <c r="A828" s="11" t="str">
        <f>A$196</f>
        <v/>
      </c>
      <c r="B828" s="217"/>
      <c r="C828" s="217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34"/>
      <c r="Q828" s="234"/>
      <c r="R828" s="234"/>
      <c r="S828" s="234"/>
      <c r="T828" s="234"/>
      <c r="U828" s="234"/>
      <c r="V828" s="234"/>
      <c r="W828" s="234"/>
      <c r="X828" s="234"/>
      <c r="Y828" s="234"/>
      <c r="Z828" s="234"/>
    </row>
    <row r="829" ht="12.0" customHeight="1" outlineLevel="1">
      <c r="A829" s="11" t="str">
        <f>A$197</f>
        <v/>
      </c>
      <c r="B829" s="217"/>
      <c r="C829" s="217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34"/>
      <c r="Q829" s="234"/>
      <c r="R829" s="234"/>
      <c r="S829" s="234"/>
      <c r="T829" s="234"/>
      <c r="U829" s="234"/>
      <c r="V829" s="234"/>
      <c r="W829" s="234"/>
      <c r="X829" s="234"/>
      <c r="Y829" s="234"/>
      <c r="Z829" s="234"/>
    </row>
    <row r="830" ht="12.0" customHeight="1" outlineLevel="1">
      <c r="A830" s="11" t="str">
        <f>A$198</f>
        <v/>
      </c>
      <c r="B830" s="217"/>
      <c r="C830" s="217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34"/>
      <c r="Q830" s="234"/>
      <c r="R830" s="234"/>
      <c r="S830" s="234"/>
      <c r="T830" s="234"/>
      <c r="U830" s="234"/>
      <c r="V830" s="234"/>
      <c r="W830" s="234"/>
      <c r="X830" s="234"/>
      <c r="Y830" s="234"/>
      <c r="Z830" s="234"/>
    </row>
    <row r="831" ht="12.0" customHeight="1" outlineLevel="1">
      <c r="A831" s="11" t="str">
        <f>A$199</f>
        <v/>
      </c>
      <c r="B831" s="217"/>
      <c r="C831" s="217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34"/>
      <c r="Q831" s="234"/>
      <c r="R831" s="234"/>
      <c r="S831" s="234"/>
      <c r="T831" s="234"/>
      <c r="U831" s="234"/>
      <c r="V831" s="234"/>
      <c r="W831" s="234"/>
      <c r="X831" s="234"/>
      <c r="Y831" s="234"/>
      <c r="Z831" s="234"/>
    </row>
    <row r="832" ht="12.0" customHeight="1" outlineLevel="1">
      <c r="A832" s="11" t="str">
        <f>A$200</f>
        <v/>
      </c>
      <c r="B832" s="217"/>
      <c r="C832" s="217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34"/>
      <c r="Q832" s="234"/>
      <c r="R832" s="234"/>
      <c r="S832" s="234"/>
      <c r="T832" s="234"/>
      <c r="U832" s="234"/>
      <c r="V832" s="234"/>
      <c r="W832" s="234"/>
      <c r="X832" s="234"/>
      <c r="Y832" s="234"/>
      <c r="Z832" s="234"/>
    </row>
    <row r="833" ht="12.0" customHeight="1" outlineLevel="1">
      <c r="A833" s="11" t="str">
        <f>A$201</f>
        <v/>
      </c>
      <c r="B833" s="217"/>
      <c r="C833" s="217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34"/>
      <c r="Q833" s="234"/>
      <c r="R833" s="234"/>
      <c r="S833" s="234"/>
      <c r="T833" s="234"/>
      <c r="U833" s="234"/>
      <c r="V833" s="234"/>
      <c r="W833" s="234"/>
      <c r="X833" s="234"/>
      <c r="Y833" s="234"/>
      <c r="Z833" s="234"/>
    </row>
    <row r="834" ht="12.0" customHeight="1" outlineLevel="1">
      <c r="A834" s="11" t="str">
        <f>A$202</f>
        <v/>
      </c>
      <c r="B834" s="217"/>
      <c r="C834" s="217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34"/>
      <c r="Q834" s="234"/>
      <c r="R834" s="234"/>
      <c r="S834" s="234"/>
      <c r="T834" s="234"/>
      <c r="U834" s="234"/>
      <c r="V834" s="234"/>
      <c r="W834" s="234"/>
      <c r="X834" s="234"/>
      <c r="Y834" s="234"/>
      <c r="Z834" s="234"/>
    </row>
    <row r="835" ht="12.0" customHeight="1" outlineLevel="1">
      <c r="A835" s="11" t="s">
        <v>375</v>
      </c>
      <c r="B835" s="217"/>
      <c r="C835" s="217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34"/>
      <c r="Q835" s="234"/>
      <c r="R835" s="234"/>
      <c r="S835" s="234"/>
      <c r="T835" s="234"/>
      <c r="U835" s="234"/>
      <c r="V835" s="234"/>
      <c r="W835" s="234"/>
      <c r="X835" s="234"/>
      <c r="Y835" s="234"/>
      <c r="Z835" s="234"/>
    </row>
    <row r="836" ht="12.0" customHeight="1" outlineLevel="1">
      <c r="A836" s="11" t="str">
        <f>A$204</f>
        <v/>
      </c>
      <c r="B836" s="217"/>
      <c r="C836" s="217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34"/>
      <c r="Q836" s="234"/>
      <c r="R836" s="234"/>
      <c r="S836" s="234"/>
      <c r="T836" s="234"/>
      <c r="U836" s="234"/>
      <c r="V836" s="234"/>
      <c r="W836" s="234"/>
      <c r="X836" s="234"/>
      <c r="Y836" s="234"/>
      <c r="Z836" s="234"/>
    </row>
    <row r="837" ht="12.0" customHeight="1" outlineLevel="1">
      <c r="A837" s="11" t="str">
        <f>A$205</f>
        <v/>
      </c>
      <c r="B837" s="217"/>
      <c r="C837" s="217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34"/>
      <c r="Q837" s="234"/>
      <c r="R837" s="234"/>
      <c r="S837" s="234"/>
      <c r="T837" s="234"/>
      <c r="U837" s="234"/>
      <c r="V837" s="234"/>
      <c r="W837" s="234"/>
      <c r="X837" s="234"/>
      <c r="Y837" s="234"/>
      <c r="Z837" s="234"/>
    </row>
    <row r="838" ht="12.0" customHeight="1" outlineLevel="1">
      <c r="A838" s="11" t="str">
        <f>A$206</f>
        <v/>
      </c>
      <c r="B838" s="217"/>
      <c r="C838" s="217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34"/>
      <c r="Q838" s="234"/>
      <c r="R838" s="234"/>
      <c r="S838" s="234"/>
      <c r="T838" s="234"/>
      <c r="U838" s="234"/>
      <c r="V838" s="234"/>
      <c r="W838" s="234"/>
      <c r="X838" s="234"/>
      <c r="Y838" s="234"/>
      <c r="Z838" s="234"/>
    </row>
    <row r="839" ht="12.0" customHeight="1" outlineLevel="1">
      <c r="A839" s="11" t="str">
        <f>A$207</f>
        <v/>
      </c>
      <c r="B839" s="217"/>
      <c r="C839" s="217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34"/>
      <c r="Q839" s="234"/>
      <c r="R839" s="234"/>
      <c r="S839" s="234"/>
      <c r="T839" s="234"/>
      <c r="U839" s="234"/>
      <c r="V839" s="234"/>
      <c r="W839" s="234"/>
      <c r="X839" s="234"/>
      <c r="Y839" s="234"/>
      <c r="Z839" s="234"/>
    </row>
    <row r="840" ht="12.0" customHeight="1" outlineLevel="1">
      <c r="A840" s="11" t="str">
        <f>A$208</f>
        <v/>
      </c>
      <c r="B840" s="217"/>
      <c r="C840" s="217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34"/>
      <c r="Q840" s="234"/>
      <c r="R840" s="234"/>
      <c r="S840" s="234"/>
      <c r="T840" s="234"/>
      <c r="U840" s="234"/>
      <c r="V840" s="234"/>
      <c r="W840" s="234"/>
      <c r="X840" s="234"/>
      <c r="Y840" s="234"/>
      <c r="Z840" s="234"/>
    </row>
    <row r="841" ht="12.0" customHeight="1" outlineLevel="1">
      <c r="A841" s="11" t="str">
        <f>A$209</f>
        <v/>
      </c>
      <c r="B841" s="217"/>
      <c r="C841" s="217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34"/>
      <c r="Q841" s="234"/>
      <c r="R841" s="234"/>
      <c r="S841" s="234"/>
      <c r="T841" s="234"/>
      <c r="U841" s="234"/>
      <c r="V841" s="234"/>
      <c r="W841" s="234"/>
      <c r="X841" s="234"/>
      <c r="Y841" s="234"/>
      <c r="Z841" s="234"/>
    </row>
    <row r="842" ht="12.0" customHeight="1" outlineLevel="1">
      <c r="A842" s="11" t="str">
        <f>A$210</f>
        <v/>
      </c>
      <c r="B842" s="217"/>
      <c r="C842" s="217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34"/>
      <c r="Q842" s="234"/>
      <c r="R842" s="234"/>
      <c r="S842" s="234"/>
      <c r="T842" s="234"/>
      <c r="U842" s="234"/>
      <c r="V842" s="234"/>
      <c r="W842" s="234"/>
      <c r="X842" s="234"/>
      <c r="Y842" s="234"/>
      <c r="Z842" s="234"/>
    </row>
    <row r="843" ht="12.0" customHeight="1" outlineLevel="1">
      <c r="A843" s="11" t="str">
        <f>A$211</f>
        <v/>
      </c>
      <c r="B843" s="217"/>
      <c r="C843" s="217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34"/>
      <c r="Q843" s="234"/>
      <c r="R843" s="234"/>
      <c r="S843" s="234"/>
      <c r="T843" s="234"/>
      <c r="U843" s="234"/>
      <c r="V843" s="234"/>
      <c r="W843" s="234"/>
      <c r="X843" s="234"/>
      <c r="Y843" s="234"/>
      <c r="Z843" s="234"/>
    </row>
    <row r="844" ht="12.0" customHeight="1" outlineLevel="1">
      <c r="A844" s="11" t="str">
        <f>A$212</f>
        <v/>
      </c>
      <c r="B844" s="217"/>
      <c r="C844" s="217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34"/>
      <c r="Q844" s="234"/>
      <c r="R844" s="234"/>
      <c r="S844" s="234"/>
      <c r="T844" s="234"/>
      <c r="U844" s="234"/>
      <c r="V844" s="234"/>
      <c r="W844" s="234"/>
      <c r="X844" s="234"/>
      <c r="Y844" s="234"/>
      <c r="Z844" s="234"/>
    </row>
    <row r="845" ht="12.0" customHeight="1" outlineLevel="1">
      <c r="A845" s="11" t="str">
        <f>A$213</f>
        <v/>
      </c>
      <c r="B845" s="217"/>
      <c r="C845" s="217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34"/>
      <c r="Q845" s="234"/>
      <c r="R845" s="234"/>
      <c r="S845" s="234"/>
      <c r="T845" s="234"/>
      <c r="U845" s="234"/>
      <c r="V845" s="234"/>
      <c r="W845" s="234"/>
      <c r="X845" s="234"/>
      <c r="Y845" s="234"/>
      <c r="Z845" s="234"/>
    </row>
    <row r="846" ht="12.0" customHeight="1" outlineLevel="1">
      <c r="A846" s="11" t="str">
        <f>A$214</f>
        <v/>
      </c>
      <c r="B846" s="217"/>
      <c r="C846" s="217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34"/>
      <c r="Q846" s="234"/>
      <c r="R846" s="234"/>
      <c r="S846" s="234"/>
      <c r="T846" s="234"/>
      <c r="U846" s="234"/>
      <c r="V846" s="234"/>
      <c r="W846" s="234"/>
      <c r="X846" s="234"/>
      <c r="Y846" s="234"/>
      <c r="Z846" s="234"/>
    </row>
    <row r="847" ht="12.0" customHeight="1" outlineLevel="1">
      <c r="A847" s="11" t="str">
        <f>A$215</f>
        <v/>
      </c>
      <c r="B847" s="217"/>
      <c r="C847" s="217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34"/>
      <c r="Q847" s="234"/>
      <c r="R847" s="234"/>
      <c r="S847" s="234"/>
      <c r="T847" s="234"/>
      <c r="U847" s="234"/>
      <c r="V847" s="234"/>
      <c r="W847" s="234"/>
      <c r="X847" s="234"/>
      <c r="Y847" s="234"/>
      <c r="Z847" s="234"/>
    </row>
    <row r="848" ht="12.0" customHeight="1" outlineLevel="1">
      <c r="A848" s="11" t="str">
        <f>A$216</f>
        <v/>
      </c>
      <c r="B848" s="217"/>
      <c r="C848" s="217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34"/>
      <c r="Q848" s="234"/>
      <c r="R848" s="234"/>
      <c r="S848" s="234"/>
      <c r="T848" s="234"/>
      <c r="U848" s="234"/>
      <c r="V848" s="234"/>
      <c r="W848" s="234"/>
      <c r="X848" s="234"/>
      <c r="Y848" s="234"/>
      <c r="Z848" s="234"/>
    </row>
    <row r="849" ht="12.0" customHeight="1">
      <c r="A849" s="242" t="s">
        <v>374</v>
      </c>
      <c r="B849" s="217"/>
      <c r="C849" s="217"/>
      <c r="D849" s="241"/>
      <c r="E849" s="241"/>
      <c r="F849" s="241"/>
      <c r="G849" s="241"/>
      <c r="H849" s="241"/>
      <c r="I849" s="241"/>
      <c r="J849" s="241"/>
      <c r="K849" s="241"/>
      <c r="L849" s="241"/>
      <c r="M849" s="241"/>
      <c r="N849" s="241"/>
      <c r="O849" s="241"/>
      <c r="P849" s="234"/>
      <c r="Q849" s="234"/>
      <c r="R849" s="234"/>
      <c r="S849" s="234"/>
      <c r="T849" s="234"/>
      <c r="U849" s="234"/>
      <c r="V849" s="234"/>
      <c r="W849" s="234"/>
      <c r="X849" s="234"/>
      <c r="Y849" s="234"/>
      <c r="Z849" s="234"/>
    </row>
    <row r="850" ht="12.0" customHeight="1" outlineLevel="2">
      <c r="A850" s="11" t="str">
        <f>A$192</f>
        <v/>
      </c>
      <c r="B850" s="111"/>
      <c r="C850" s="217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34"/>
      <c r="Q850" s="234"/>
      <c r="R850" s="234"/>
      <c r="S850" s="234"/>
      <c r="T850" s="234"/>
      <c r="U850" s="234"/>
      <c r="V850" s="234"/>
      <c r="W850" s="234"/>
      <c r="X850" s="234"/>
      <c r="Y850" s="234"/>
      <c r="Z850" s="234"/>
    </row>
    <row r="851" ht="12.0" customHeight="1" outlineLevel="2">
      <c r="A851" s="11" t="str">
        <f>A$193</f>
        <v/>
      </c>
      <c r="B851" s="111"/>
      <c r="C851" s="217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34"/>
      <c r="Q851" s="234"/>
      <c r="R851" s="234"/>
      <c r="S851" s="234"/>
      <c r="T851" s="234"/>
      <c r="U851" s="234"/>
      <c r="V851" s="234"/>
      <c r="W851" s="234"/>
      <c r="X851" s="234"/>
      <c r="Y851" s="234"/>
      <c r="Z851" s="234"/>
    </row>
    <row r="852" ht="12.0" customHeight="1" outlineLevel="2">
      <c r="A852" s="11" t="str">
        <f>A$194</f>
        <v/>
      </c>
      <c r="B852" s="111"/>
      <c r="C852" s="217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34"/>
      <c r="Q852" s="234"/>
      <c r="R852" s="234"/>
      <c r="S852" s="234"/>
      <c r="T852" s="234"/>
      <c r="U852" s="234"/>
      <c r="V852" s="234"/>
      <c r="W852" s="234"/>
      <c r="X852" s="234"/>
      <c r="Y852" s="234"/>
      <c r="Z852" s="234"/>
    </row>
    <row r="853" ht="12.0" customHeight="1" outlineLevel="2">
      <c r="A853" s="11" t="str">
        <f>A$195</f>
        <v/>
      </c>
      <c r="B853" s="111"/>
      <c r="C853" s="217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34"/>
      <c r="Q853" s="234"/>
      <c r="R853" s="234"/>
      <c r="S853" s="234"/>
      <c r="T853" s="234"/>
      <c r="U853" s="234"/>
      <c r="V853" s="234"/>
      <c r="W853" s="234"/>
      <c r="X853" s="234"/>
      <c r="Y853" s="234"/>
      <c r="Z853" s="234"/>
    </row>
    <row r="854" ht="12.0" customHeight="1" outlineLevel="2">
      <c r="A854" s="11" t="str">
        <f>A$196</f>
        <v/>
      </c>
      <c r="B854" s="111"/>
      <c r="C854" s="217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34"/>
      <c r="Q854" s="234"/>
      <c r="R854" s="234"/>
      <c r="S854" s="234"/>
      <c r="T854" s="234"/>
      <c r="U854" s="234"/>
      <c r="V854" s="234"/>
      <c r="W854" s="234"/>
      <c r="X854" s="234"/>
      <c r="Y854" s="234"/>
      <c r="Z854" s="234"/>
    </row>
    <row r="855" ht="12.0" customHeight="1" outlineLevel="2">
      <c r="A855" s="11" t="str">
        <f>A$197</f>
        <v/>
      </c>
      <c r="B855" s="111"/>
      <c r="C855" s="217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34"/>
      <c r="Q855" s="234"/>
      <c r="R855" s="234"/>
      <c r="S855" s="234"/>
      <c r="T855" s="234"/>
      <c r="U855" s="234"/>
      <c r="V855" s="234"/>
      <c r="W855" s="234"/>
      <c r="X855" s="234"/>
      <c r="Y855" s="234"/>
      <c r="Z855" s="234"/>
    </row>
    <row r="856" ht="12.0" customHeight="1" outlineLevel="2">
      <c r="A856" s="11" t="str">
        <f>A$198</f>
        <v/>
      </c>
      <c r="B856" s="111"/>
      <c r="C856" s="217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34"/>
      <c r="Q856" s="234"/>
      <c r="R856" s="234"/>
      <c r="S856" s="234"/>
      <c r="T856" s="234"/>
      <c r="U856" s="234"/>
      <c r="V856" s="234"/>
      <c r="W856" s="234"/>
      <c r="X856" s="234"/>
      <c r="Y856" s="234"/>
      <c r="Z856" s="234"/>
    </row>
    <row r="857" ht="12.0" customHeight="1" outlineLevel="2">
      <c r="A857" s="11" t="str">
        <f>A$199</f>
        <v/>
      </c>
      <c r="B857" s="111"/>
      <c r="C857" s="217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34"/>
      <c r="Q857" s="234"/>
      <c r="R857" s="234"/>
      <c r="S857" s="234"/>
      <c r="T857" s="234"/>
      <c r="U857" s="234"/>
      <c r="V857" s="234"/>
      <c r="W857" s="234"/>
      <c r="X857" s="234"/>
      <c r="Y857" s="234"/>
      <c r="Z857" s="234"/>
    </row>
    <row r="858" ht="12.0" customHeight="1" outlineLevel="2">
      <c r="A858" s="11" t="str">
        <f>A$200</f>
        <v/>
      </c>
      <c r="B858" s="111"/>
      <c r="C858" s="217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34"/>
      <c r="Q858" s="234"/>
      <c r="R858" s="234"/>
      <c r="S858" s="234"/>
      <c r="T858" s="234"/>
      <c r="U858" s="234"/>
      <c r="V858" s="234"/>
      <c r="W858" s="234"/>
      <c r="X858" s="234"/>
      <c r="Y858" s="234"/>
      <c r="Z858" s="234"/>
    </row>
    <row r="859" ht="12.0" customHeight="1" outlineLevel="2">
      <c r="A859" s="11" t="str">
        <f>A$201</f>
        <v/>
      </c>
      <c r="B859" s="111"/>
      <c r="C859" s="217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34"/>
      <c r="Q859" s="234"/>
      <c r="R859" s="234"/>
      <c r="S859" s="234"/>
      <c r="T859" s="234"/>
      <c r="U859" s="234"/>
      <c r="V859" s="234"/>
      <c r="W859" s="234"/>
      <c r="X859" s="234"/>
      <c r="Y859" s="234"/>
      <c r="Z859" s="234"/>
    </row>
    <row r="860" ht="12.0" customHeight="1" outlineLevel="2">
      <c r="A860" s="11" t="str">
        <f>A$202</f>
        <v/>
      </c>
      <c r="B860" s="111"/>
      <c r="C860" s="217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34"/>
      <c r="Q860" s="234"/>
      <c r="R860" s="234"/>
      <c r="S860" s="234"/>
      <c r="T860" s="234"/>
      <c r="U860" s="234"/>
      <c r="V860" s="234"/>
      <c r="W860" s="234"/>
      <c r="X860" s="234"/>
      <c r="Y860" s="234"/>
      <c r="Z860" s="234"/>
    </row>
    <row r="861" ht="12.0" customHeight="1" outlineLevel="2">
      <c r="A861" s="11" t="s">
        <v>375</v>
      </c>
      <c r="B861" s="111"/>
      <c r="C861" s="217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34"/>
      <c r="Q861" s="234"/>
      <c r="R861" s="234"/>
      <c r="S861" s="234"/>
      <c r="T861" s="234"/>
      <c r="U861" s="234"/>
      <c r="V861" s="234"/>
      <c r="W861" s="234"/>
      <c r="X861" s="234"/>
      <c r="Y861" s="234"/>
      <c r="Z861" s="234"/>
    </row>
    <row r="862" ht="12.0" customHeight="1" outlineLevel="2">
      <c r="A862" s="11" t="str">
        <f>A$204</f>
        <v/>
      </c>
      <c r="B862" s="111"/>
      <c r="C862" s="217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34"/>
      <c r="Q862" s="234"/>
      <c r="R862" s="234"/>
      <c r="S862" s="234"/>
      <c r="T862" s="234"/>
      <c r="U862" s="234"/>
      <c r="V862" s="234"/>
      <c r="W862" s="234"/>
      <c r="X862" s="234"/>
      <c r="Y862" s="234"/>
      <c r="Z862" s="234"/>
    </row>
    <row r="863" ht="12.0" customHeight="1" outlineLevel="2">
      <c r="A863" s="11" t="str">
        <f>A$205</f>
        <v/>
      </c>
      <c r="B863" s="111"/>
      <c r="C863" s="217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34"/>
      <c r="Q863" s="234"/>
      <c r="R863" s="234"/>
      <c r="S863" s="234"/>
      <c r="T863" s="234"/>
      <c r="U863" s="234"/>
      <c r="V863" s="234"/>
      <c r="W863" s="234"/>
      <c r="X863" s="234"/>
      <c r="Y863" s="234"/>
      <c r="Z863" s="234"/>
    </row>
    <row r="864" ht="12.0" customHeight="1" outlineLevel="2">
      <c r="A864" s="11" t="str">
        <f>A$206</f>
        <v/>
      </c>
      <c r="B864" s="111"/>
      <c r="C864" s="217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34"/>
      <c r="Q864" s="234"/>
      <c r="R864" s="234"/>
      <c r="S864" s="234"/>
      <c r="T864" s="234"/>
      <c r="U864" s="234"/>
      <c r="V864" s="234"/>
      <c r="W864" s="234"/>
      <c r="X864" s="234"/>
      <c r="Y864" s="234"/>
      <c r="Z864" s="234"/>
    </row>
    <row r="865" ht="12.0" customHeight="1" outlineLevel="2">
      <c r="A865" s="11" t="str">
        <f>A$207</f>
        <v/>
      </c>
      <c r="B865" s="111"/>
      <c r="C865" s="217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34"/>
      <c r="Q865" s="234"/>
      <c r="R865" s="234"/>
      <c r="S865" s="234"/>
      <c r="T865" s="234"/>
      <c r="U865" s="234"/>
      <c r="V865" s="234"/>
      <c r="W865" s="234"/>
      <c r="X865" s="234"/>
      <c r="Y865" s="234"/>
      <c r="Z865" s="234"/>
    </row>
    <row r="866" ht="12.0" customHeight="1" outlineLevel="2">
      <c r="A866" s="11" t="str">
        <f>A$208</f>
        <v/>
      </c>
      <c r="B866" s="111"/>
      <c r="C866" s="217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34"/>
      <c r="Q866" s="234"/>
      <c r="R866" s="234"/>
      <c r="S866" s="234"/>
      <c r="T866" s="234"/>
      <c r="U866" s="234"/>
      <c r="V866" s="234"/>
      <c r="W866" s="234"/>
      <c r="X866" s="234"/>
      <c r="Y866" s="234"/>
      <c r="Z866" s="234"/>
    </row>
    <row r="867" ht="12.0" customHeight="1" outlineLevel="2">
      <c r="A867" s="11" t="str">
        <f>A$209</f>
        <v/>
      </c>
      <c r="B867" s="111"/>
      <c r="C867" s="217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34"/>
      <c r="Q867" s="234"/>
      <c r="R867" s="234"/>
      <c r="S867" s="234"/>
      <c r="T867" s="234"/>
      <c r="U867" s="234"/>
      <c r="V867" s="234"/>
      <c r="W867" s="234"/>
      <c r="X867" s="234"/>
      <c r="Y867" s="234"/>
      <c r="Z867" s="234"/>
    </row>
    <row r="868" ht="12.0" customHeight="1" outlineLevel="2">
      <c r="A868" s="11" t="str">
        <f>A$210</f>
        <v/>
      </c>
      <c r="B868" s="111"/>
      <c r="C868" s="217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34"/>
      <c r="Q868" s="234"/>
      <c r="R868" s="234"/>
      <c r="S868" s="234"/>
      <c r="T868" s="234"/>
      <c r="U868" s="234"/>
      <c r="V868" s="234"/>
      <c r="W868" s="234"/>
      <c r="X868" s="234"/>
      <c r="Y868" s="234"/>
      <c r="Z868" s="234"/>
    </row>
    <row r="869" ht="12.0" customHeight="1" outlineLevel="2">
      <c r="A869" s="11" t="str">
        <f>A$211</f>
        <v/>
      </c>
      <c r="B869" s="111"/>
      <c r="C869" s="217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34"/>
      <c r="Q869" s="234"/>
      <c r="R869" s="234"/>
      <c r="S869" s="234"/>
      <c r="T869" s="234"/>
      <c r="U869" s="234"/>
      <c r="V869" s="234"/>
      <c r="W869" s="234"/>
      <c r="X869" s="234"/>
      <c r="Y869" s="234"/>
      <c r="Z869" s="234"/>
    </row>
    <row r="870" ht="12.0" customHeight="1" outlineLevel="2">
      <c r="A870" s="11" t="str">
        <f>A$212</f>
        <v/>
      </c>
      <c r="B870" s="111"/>
      <c r="C870" s="217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34"/>
      <c r="Q870" s="234"/>
      <c r="R870" s="234"/>
      <c r="S870" s="234"/>
      <c r="T870" s="234"/>
      <c r="U870" s="234"/>
      <c r="V870" s="234"/>
      <c r="W870" s="234"/>
      <c r="X870" s="234"/>
      <c r="Y870" s="234"/>
      <c r="Z870" s="234"/>
    </row>
    <row r="871" ht="12.0" customHeight="1" outlineLevel="2">
      <c r="A871" s="11" t="str">
        <f>A$213</f>
        <v/>
      </c>
      <c r="B871" s="111"/>
      <c r="C871" s="217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34"/>
      <c r="Q871" s="234"/>
      <c r="R871" s="234"/>
      <c r="S871" s="234"/>
      <c r="T871" s="234"/>
      <c r="U871" s="234"/>
      <c r="V871" s="234"/>
      <c r="W871" s="234"/>
      <c r="X871" s="234"/>
      <c r="Y871" s="234"/>
      <c r="Z871" s="234"/>
    </row>
    <row r="872" ht="12.0" customHeight="1" outlineLevel="2">
      <c r="A872" s="11" t="str">
        <f>A$214</f>
        <v/>
      </c>
      <c r="B872" s="111"/>
      <c r="C872" s="217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34"/>
      <c r="Q872" s="234"/>
      <c r="R872" s="234"/>
      <c r="S872" s="234"/>
      <c r="T872" s="234"/>
      <c r="U872" s="234"/>
      <c r="V872" s="234"/>
      <c r="W872" s="234"/>
      <c r="X872" s="234"/>
      <c r="Y872" s="234"/>
      <c r="Z872" s="234"/>
    </row>
    <row r="873" ht="12.0" customHeight="1" outlineLevel="2">
      <c r="A873" s="11" t="str">
        <f>A$215</f>
        <v/>
      </c>
      <c r="B873" s="111"/>
      <c r="C873" s="217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34"/>
      <c r="Q873" s="234"/>
      <c r="R873" s="234"/>
      <c r="S873" s="234"/>
      <c r="T873" s="234"/>
      <c r="U873" s="234"/>
      <c r="V873" s="234"/>
      <c r="W873" s="234"/>
      <c r="X873" s="234"/>
      <c r="Y873" s="234"/>
      <c r="Z873" s="234"/>
    </row>
    <row r="874" ht="12.0" customHeight="1" outlineLevel="2">
      <c r="A874" s="11" t="str">
        <f>A$216</f>
        <v/>
      </c>
      <c r="B874" s="111"/>
      <c r="C874" s="217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34"/>
      <c r="Q874" s="234"/>
      <c r="R874" s="234"/>
      <c r="S874" s="234"/>
      <c r="T874" s="234"/>
      <c r="U874" s="234"/>
      <c r="V874" s="234"/>
      <c r="W874" s="234"/>
      <c r="X874" s="234"/>
      <c r="Y874" s="234"/>
      <c r="Z874" s="234"/>
    </row>
    <row r="875" ht="12.75" customHeight="1">
      <c r="A875" s="192" t="s">
        <v>359</v>
      </c>
      <c r="B875" s="232"/>
      <c r="C875" s="232"/>
      <c r="D875" s="232"/>
      <c r="E875" s="232"/>
      <c r="F875" s="232"/>
      <c r="G875" s="232"/>
      <c r="H875" s="232"/>
      <c r="I875" s="232"/>
      <c r="J875" s="232"/>
      <c r="K875" s="232"/>
      <c r="L875" s="232"/>
      <c r="M875" s="232"/>
      <c r="N875" s="232"/>
      <c r="O875" s="23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0" customHeight="1">
      <c r="A876" s="242" t="s">
        <v>374</v>
      </c>
      <c r="B876" s="30"/>
      <c r="C876" s="217"/>
      <c r="D876" s="241"/>
      <c r="E876" s="241"/>
      <c r="F876" s="241"/>
      <c r="G876" s="241"/>
      <c r="H876" s="241"/>
      <c r="I876" s="241"/>
      <c r="J876" s="241"/>
      <c r="K876" s="241"/>
      <c r="L876" s="241"/>
      <c r="M876" s="241"/>
      <c r="N876" s="241"/>
      <c r="O876" s="241"/>
      <c r="P876" s="234"/>
      <c r="Q876" s="234"/>
      <c r="R876" s="234"/>
      <c r="S876" s="234"/>
      <c r="T876" s="234"/>
      <c r="U876" s="234"/>
      <c r="V876" s="234"/>
      <c r="W876" s="234"/>
      <c r="X876" s="234"/>
      <c r="Y876" s="234"/>
      <c r="Z876" s="234"/>
    </row>
    <row r="877" ht="12.0" customHeight="1" outlineLevel="1">
      <c r="A877" s="11" t="str">
        <f>A$192</f>
        <v/>
      </c>
      <c r="B877" s="217"/>
      <c r="C877" s="217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34"/>
      <c r="Q877" s="234"/>
      <c r="R877" s="234"/>
      <c r="S877" s="234"/>
      <c r="T877" s="234"/>
      <c r="U877" s="234"/>
      <c r="V877" s="234"/>
      <c r="W877" s="234"/>
      <c r="X877" s="234"/>
      <c r="Y877" s="234"/>
      <c r="Z877" s="234"/>
    </row>
    <row r="878" ht="12.0" customHeight="1" outlineLevel="1">
      <c r="A878" s="11" t="str">
        <f>A$193</f>
        <v/>
      </c>
      <c r="B878" s="217"/>
      <c r="C878" s="217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34"/>
      <c r="Q878" s="234"/>
      <c r="R878" s="234"/>
      <c r="S878" s="234"/>
      <c r="T878" s="234"/>
      <c r="U878" s="234"/>
      <c r="V878" s="234"/>
      <c r="W878" s="234"/>
      <c r="X878" s="234"/>
      <c r="Y878" s="234"/>
      <c r="Z878" s="234"/>
    </row>
    <row r="879" ht="12.0" customHeight="1" outlineLevel="1">
      <c r="A879" s="11" t="str">
        <f>A$194</f>
        <v/>
      </c>
      <c r="B879" s="217"/>
      <c r="C879" s="217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34"/>
      <c r="Q879" s="234"/>
      <c r="R879" s="234"/>
      <c r="S879" s="234"/>
      <c r="T879" s="234"/>
      <c r="U879" s="234"/>
      <c r="V879" s="234"/>
      <c r="W879" s="234"/>
      <c r="X879" s="234"/>
      <c r="Y879" s="234"/>
      <c r="Z879" s="234"/>
    </row>
    <row r="880" ht="12.0" customHeight="1" outlineLevel="1">
      <c r="A880" s="11" t="str">
        <f>A$195</f>
        <v/>
      </c>
      <c r="B880" s="217"/>
      <c r="C880" s="217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34"/>
      <c r="Q880" s="234"/>
      <c r="R880" s="234"/>
      <c r="S880" s="234"/>
      <c r="T880" s="234"/>
      <c r="U880" s="234"/>
      <c r="V880" s="234"/>
      <c r="W880" s="234"/>
      <c r="X880" s="234"/>
      <c r="Y880" s="234"/>
      <c r="Z880" s="234"/>
    </row>
    <row r="881" ht="12.0" customHeight="1" outlineLevel="1">
      <c r="A881" s="11" t="str">
        <f>A$196</f>
        <v/>
      </c>
      <c r="B881" s="217"/>
      <c r="C881" s="217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34"/>
      <c r="Q881" s="234"/>
      <c r="R881" s="234"/>
      <c r="S881" s="234"/>
      <c r="T881" s="234"/>
      <c r="U881" s="234"/>
      <c r="V881" s="234"/>
      <c r="W881" s="234"/>
      <c r="X881" s="234"/>
      <c r="Y881" s="234"/>
      <c r="Z881" s="234"/>
    </row>
    <row r="882" ht="12.0" customHeight="1" outlineLevel="1">
      <c r="A882" s="11" t="str">
        <f>A$197</f>
        <v/>
      </c>
      <c r="B882" s="217"/>
      <c r="C882" s="217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34"/>
      <c r="Q882" s="234"/>
      <c r="R882" s="234"/>
      <c r="S882" s="234"/>
      <c r="T882" s="234"/>
      <c r="U882" s="234"/>
      <c r="V882" s="234"/>
      <c r="W882" s="234"/>
      <c r="X882" s="234"/>
      <c r="Y882" s="234"/>
      <c r="Z882" s="234"/>
    </row>
    <row r="883" ht="12.0" customHeight="1" outlineLevel="1">
      <c r="A883" s="11" t="str">
        <f>A$198</f>
        <v/>
      </c>
      <c r="B883" s="217"/>
      <c r="C883" s="217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34"/>
      <c r="Q883" s="234"/>
      <c r="R883" s="234"/>
      <c r="S883" s="234"/>
      <c r="T883" s="234"/>
      <c r="U883" s="234"/>
      <c r="V883" s="234"/>
      <c r="W883" s="234"/>
      <c r="X883" s="234"/>
      <c r="Y883" s="234"/>
      <c r="Z883" s="234"/>
    </row>
    <row r="884" ht="12.0" customHeight="1" outlineLevel="1">
      <c r="A884" s="11" t="str">
        <f>A$199</f>
        <v/>
      </c>
      <c r="B884" s="217"/>
      <c r="C884" s="217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34"/>
      <c r="Q884" s="234"/>
      <c r="R884" s="234"/>
      <c r="S884" s="234"/>
      <c r="T884" s="234"/>
      <c r="U884" s="234"/>
      <c r="V884" s="234"/>
      <c r="W884" s="234"/>
      <c r="X884" s="234"/>
      <c r="Y884" s="234"/>
      <c r="Z884" s="234"/>
    </row>
    <row r="885" ht="12.0" customHeight="1" outlineLevel="1">
      <c r="A885" s="11" t="str">
        <f>A$200</f>
        <v/>
      </c>
      <c r="B885" s="217"/>
      <c r="C885" s="217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34"/>
      <c r="Q885" s="234"/>
      <c r="R885" s="234"/>
      <c r="S885" s="234"/>
      <c r="T885" s="234"/>
      <c r="U885" s="234"/>
      <c r="V885" s="234"/>
      <c r="W885" s="234"/>
      <c r="X885" s="234"/>
      <c r="Y885" s="234"/>
      <c r="Z885" s="234"/>
    </row>
    <row r="886" ht="12.0" customHeight="1" outlineLevel="1">
      <c r="A886" s="11" t="str">
        <f>A$201</f>
        <v/>
      </c>
      <c r="B886" s="217"/>
      <c r="C886" s="217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34"/>
      <c r="Q886" s="234"/>
      <c r="R886" s="234"/>
      <c r="S886" s="234"/>
      <c r="T886" s="234"/>
      <c r="U886" s="234"/>
      <c r="V886" s="234"/>
      <c r="W886" s="234"/>
      <c r="X886" s="234"/>
      <c r="Y886" s="234"/>
      <c r="Z886" s="234"/>
    </row>
    <row r="887" ht="12.0" customHeight="1" outlineLevel="1">
      <c r="A887" s="11" t="str">
        <f>A$202</f>
        <v/>
      </c>
      <c r="B887" s="217"/>
      <c r="C887" s="217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34"/>
      <c r="Q887" s="234"/>
      <c r="R887" s="234"/>
      <c r="S887" s="234"/>
      <c r="T887" s="234"/>
      <c r="U887" s="234"/>
      <c r="V887" s="234"/>
      <c r="W887" s="234"/>
      <c r="X887" s="234"/>
      <c r="Y887" s="234"/>
      <c r="Z887" s="234"/>
    </row>
    <row r="888" ht="12.0" customHeight="1" outlineLevel="1">
      <c r="A888" s="11" t="s">
        <v>375</v>
      </c>
      <c r="B888" s="217"/>
      <c r="C888" s="217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34"/>
      <c r="Q888" s="234"/>
      <c r="R888" s="234"/>
      <c r="S888" s="234"/>
      <c r="T888" s="234"/>
      <c r="U888" s="234"/>
      <c r="V888" s="234"/>
      <c r="W888" s="234"/>
      <c r="X888" s="234"/>
      <c r="Y888" s="234"/>
      <c r="Z888" s="234"/>
    </row>
    <row r="889" ht="12.0" customHeight="1" outlineLevel="1">
      <c r="A889" s="11" t="str">
        <f>A$204</f>
        <v/>
      </c>
      <c r="B889" s="217"/>
      <c r="C889" s="217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34"/>
      <c r="Q889" s="234"/>
      <c r="R889" s="234"/>
      <c r="S889" s="234"/>
      <c r="T889" s="234"/>
      <c r="U889" s="234"/>
      <c r="V889" s="234"/>
      <c r="W889" s="234"/>
      <c r="X889" s="234"/>
      <c r="Y889" s="234"/>
      <c r="Z889" s="234"/>
    </row>
    <row r="890" ht="12.0" customHeight="1" outlineLevel="1">
      <c r="A890" s="11" t="str">
        <f>A$205</f>
        <v/>
      </c>
      <c r="B890" s="217"/>
      <c r="C890" s="217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34"/>
      <c r="Q890" s="234"/>
      <c r="R890" s="234"/>
      <c r="S890" s="234"/>
      <c r="T890" s="234"/>
      <c r="U890" s="234"/>
      <c r="V890" s="234"/>
      <c r="W890" s="234"/>
      <c r="X890" s="234"/>
      <c r="Y890" s="234"/>
      <c r="Z890" s="234"/>
    </row>
    <row r="891" ht="12.0" customHeight="1" outlineLevel="1">
      <c r="A891" s="11" t="str">
        <f>A$206</f>
        <v/>
      </c>
      <c r="B891" s="217"/>
      <c r="C891" s="217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34"/>
      <c r="Q891" s="234"/>
      <c r="R891" s="234"/>
      <c r="S891" s="234"/>
      <c r="T891" s="234"/>
      <c r="U891" s="234"/>
      <c r="V891" s="234"/>
      <c r="W891" s="234"/>
      <c r="X891" s="234"/>
      <c r="Y891" s="234"/>
      <c r="Z891" s="234"/>
    </row>
    <row r="892" ht="12.0" customHeight="1" outlineLevel="1">
      <c r="A892" s="11" t="str">
        <f>A$207</f>
        <v/>
      </c>
      <c r="B892" s="217"/>
      <c r="C892" s="217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34"/>
      <c r="Q892" s="234"/>
      <c r="R892" s="234"/>
      <c r="S892" s="234"/>
      <c r="T892" s="234"/>
      <c r="U892" s="234"/>
      <c r="V892" s="234"/>
      <c r="W892" s="234"/>
      <c r="X892" s="234"/>
      <c r="Y892" s="234"/>
      <c r="Z892" s="234"/>
    </row>
    <row r="893" ht="12.0" customHeight="1" outlineLevel="1">
      <c r="A893" s="11" t="str">
        <f>A$208</f>
        <v/>
      </c>
      <c r="B893" s="217"/>
      <c r="C893" s="217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34"/>
      <c r="Q893" s="234"/>
      <c r="R893" s="234"/>
      <c r="S893" s="234"/>
      <c r="T893" s="234"/>
      <c r="U893" s="234"/>
      <c r="V893" s="234"/>
      <c r="W893" s="234"/>
      <c r="X893" s="234"/>
      <c r="Y893" s="234"/>
      <c r="Z893" s="234"/>
    </row>
    <row r="894" ht="12.0" customHeight="1" outlineLevel="1">
      <c r="A894" s="11" t="str">
        <f>A$209</f>
        <v/>
      </c>
      <c r="B894" s="217"/>
      <c r="C894" s="217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34"/>
      <c r="Q894" s="234"/>
      <c r="R894" s="234"/>
      <c r="S894" s="234"/>
      <c r="T894" s="234"/>
      <c r="U894" s="234"/>
      <c r="V894" s="234"/>
      <c r="W894" s="234"/>
      <c r="X894" s="234"/>
      <c r="Y894" s="234"/>
      <c r="Z894" s="234"/>
    </row>
    <row r="895" ht="12.0" customHeight="1" outlineLevel="1">
      <c r="A895" s="11" t="str">
        <f>A$210</f>
        <v/>
      </c>
      <c r="B895" s="217"/>
      <c r="C895" s="217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34"/>
      <c r="Q895" s="234"/>
      <c r="R895" s="234"/>
      <c r="S895" s="234"/>
      <c r="T895" s="234"/>
      <c r="U895" s="234"/>
      <c r="V895" s="234"/>
      <c r="W895" s="234"/>
      <c r="X895" s="234"/>
      <c r="Y895" s="234"/>
      <c r="Z895" s="234"/>
    </row>
    <row r="896" ht="12.0" customHeight="1" outlineLevel="1">
      <c r="A896" s="11" t="str">
        <f>A$211</f>
        <v/>
      </c>
      <c r="B896" s="217"/>
      <c r="C896" s="217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34"/>
      <c r="Q896" s="234"/>
      <c r="R896" s="234"/>
      <c r="S896" s="234"/>
      <c r="T896" s="234"/>
      <c r="U896" s="234"/>
      <c r="V896" s="234"/>
      <c r="W896" s="234"/>
      <c r="X896" s="234"/>
      <c r="Y896" s="234"/>
      <c r="Z896" s="234"/>
    </row>
    <row r="897" ht="12.0" customHeight="1" outlineLevel="1">
      <c r="A897" s="11" t="str">
        <f>A$212</f>
        <v/>
      </c>
      <c r="B897" s="217"/>
      <c r="C897" s="217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34"/>
      <c r="Q897" s="234"/>
      <c r="R897" s="234"/>
      <c r="S897" s="234"/>
      <c r="T897" s="234"/>
      <c r="U897" s="234"/>
      <c r="V897" s="234"/>
      <c r="W897" s="234"/>
      <c r="X897" s="234"/>
      <c r="Y897" s="234"/>
      <c r="Z897" s="234"/>
    </row>
    <row r="898" ht="12.0" customHeight="1" outlineLevel="1">
      <c r="A898" s="11" t="str">
        <f>A$213</f>
        <v/>
      </c>
      <c r="B898" s="217"/>
      <c r="C898" s="217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34"/>
      <c r="Q898" s="234"/>
      <c r="R898" s="234"/>
      <c r="S898" s="234"/>
      <c r="T898" s="234"/>
      <c r="U898" s="234"/>
      <c r="V898" s="234"/>
      <c r="W898" s="234"/>
      <c r="X898" s="234"/>
      <c r="Y898" s="234"/>
      <c r="Z898" s="234"/>
    </row>
    <row r="899" ht="12.0" customHeight="1" outlineLevel="1">
      <c r="A899" s="11" t="str">
        <f>A$214</f>
        <v/>
      </c>
      <c r="B899" s="217"/>
      <c r="C899" s="217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34"/>
      <c r="Q899" s="234"/>
      <c r="R899" s="234"/>
      <c r="S899" s="234"/>
      <c r="T899" s="234"/>
      <c r="U899" s="234"/>
      <c r="V899" s="234"/>
      <c r="W899" s="234"/>
      <c r="X899" s="234"/>
      <c r="Y899" s="234"/>
      <c r="Z899" s="234"/>
    </row>
    <row r="900" ht="12.0" customHeight="1" outlineLevel="1">
      <c r="A900" s="11" t="str">
        <f>A$215</f>
        <v/>
      </c>
      <c r="B900" s="217"/>
      <c r="C900" s="217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34"/>
      <c r="Q900" s="234"/>
      <c r="R900" s="234"/>
      <c r="S900" s="234"/>
      <c r="T900" s="234"/>
      <c r="U900" s="234"/>
      <c r="V900" s="234"/>
      <c r="W900" s="234"/>
      <c r="X900" s="234"/>
      <c r="Y900" s="234"/>
      <c r="Z900" s="234"/>
    </row>
    <row r="901" ht="12.0" customHeight="1" outlineLevel="1">
      <c r="A901" s="11" t="str">
        <f>A$216</f>
        <v/>
      </c>
      <c r="B901" s="217"/>
      <c r="C901" s="217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34"/>
      <c r="Q901" s="234"/>
      <c r="R901" s="234"/>
      <c r="S901" s="234"/>
      <c r="T901" s="234"/>
      <c r="U901" s="234"/>
      <c r="V901" s="234"/>
      <c r="W901" s="234"/>
      <c r="X901" s="234"/>
      <c r="Y901" s="234"/>
      <c r="Z901" s="234"/>
    </row>
    <row r="902" ht="12.0" customHeight="1">
      <c r="A902" s="242" t="s">
        <v>374</v>
      </c>
      <c r="B902" s="217"/>
      <c r="C902" s="217"/>
      <c r="D902" s="241"/>
      <c r="E902" s="241"/>
      <c r="F902" s="241"/>
      <c r="G902" s="241"/>
      <c r="H902" s="241"/>
      <c r="I902" s="241"/>
      <c r="J902" s="241"/>
      <c r="K902" s="241"/>
      <c r="L902" s="241"/>
      <c r="M902" s="241"/>
      <c r="N902" s="241"/>
      <c r="O902" s="241"/>
      <c r="P902" s="234"/>
      <c r="Q902" s="234"/>
      <c r="R902" s="234"/>
      <c r="S902" s="234"/>
      <c r="T902" s="234"/>
      <c r="U902" s="234"/>
      <c r="V902" s="234"/>
      <c r="W902" s="234"/>
      <c r="X902" s="234"/>
      <c r="Y902" s="234"/>
      <c r="Z902" s="234"/>
    </row>
    <row r="903" ht="12.0" customHeight="1" outlineLevel="1">
      <c r="A903" s="11" t="str">
        <f>A$192</f>
        <v/>
      </c>
      <c r="B903" s="111"/>
      <c r="C903" s="217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34"/>
      <c r="Q903" s="234"/>
      <c r="R903" s="234"/>
      <c r="S903" s="234"/>
      <c r="T903" s="234"/>
      <c r="U903" s="234"/>
      <c r="V903" s="234"/>
      <c r="W903" s="234"/>
      <c r="X903" s="234"/>
      <c r="Y903" s="234"/>
      <c r="Z903" s="234"/>
    </row>
    <row r="904" ht="12.0" customHeight="1" outlineLevel="1">
      <c r="A904" s="11" t="str">
        <f>A$193</f>
        <v/>
      </c>
      <c r="B904" s="111"/>
      <c r="C904" s="217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34"/>
      <c r="Q904" s="234"/>
      <c r="R904" s="234"/>
      <c r="S904" s="234"/>
      <c r="T904" s="234"/>
      <c r="U904" s="234"/>
      <c r="V904" s="234"/>
      <c r="W904" s="234"/>
      <c r="X904" s="234"/>
      <c r="Y904" s="234"/>
      <c r="Z904" s="234"/>
    </row>
    <row r="905" ht="12.0" customHeight="1" outlineLevel="1">
      <c r="A905" s="11" t="str">
        <f>A$194</f>
        <v/>
      </c>
      <c r="B905" s="111"/>
      <c r="C905" s="217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34"/>
      <c r="Q905" s="234"/>
      <c r="R905" s="234"/>
      <c r="S905" s="234"/>
      <c r="T905" s="234"/>
      <c r="U905" s="234"/>
      <c r="V905" s="234"/>
      <c r="W905" s="234"/>
      <c r="X905" s="234"/>
      <c r="Y905" s="234"/>
      <c r="Z905" s="234"/>
    </row>
    <row r="906" ht="12.0" customHeight="1" outlineLevel="1">
      <c r="A906" s="11" t="str">
        <f>A$195</f>
        <v/>
      </c>
      <c r="B906" s="111"/>
      <c r="C906" s="217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34"/>
      <c r="Q906" s="234"/>
      <c r="R906" s="234"/>
      <c r="S906" s="234"/>
      <c r="T906" s="234"/>
      <c r="U906" s="234"/>
      <c r="V906" s="234"/>
      <c r="W906" s="234"/>
      <c r="X906" s="234"/>
      <c r="Y906" s="234"/>
      <c r="Z906" s="234"/>
    </row>
    <row r="907" ht="12.0" customHeight="1" outlineLevel="1">
      <c r="A907" s="11" t="str">
        <f>A$196</f>
        <v/>
      </c>
      <c r="B907" s="111"/>
      <c r="C907" s="217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34"/>
      <c r="Q907" s="234"/>
      <c r="R907" s="234"/>
      <c r="S907" s="234"/>
      <c r="T907" s="234"/>
      <c r="U907" s="234"/>
      <c r="V907" s="234"/>
      <c r="W907" s="234"/>
      <c r="X907" s="234"/>
      <c r="Y907" s="234"/>
      <c r="Z907" s="234"/>
    </row>
    <row r="908" ht="12.0" customHeight="1" outlineLevel="1">
      <c r="A908" s="11" t="str">
        <f>A$197</f>
        <v/>
      </c>
      <c r="B908" s="111"/>
      <c r="C908" s="217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34"/>
      <c r="Q908" s="234"/>
      <c r="R908" s="234"/>
      <c r="S908" s="234"/>
      <c r="T908" s="234"/>
      <c r="U908" s="234"/>
      <c r="V908" s="234"/>
      <c r="W908" s="234"/>
      <c r="X908" s="234"/>
      <c r="Y908" s="234"/>
      <c r="Z908" s="234"/>
    </row>
    <row r="909" ht="12.0" customHeight="1" outlineLevel="1">
      <c r="A909" s="11" t="str">
        <f>A$198</f>
        <v/>
      </c>
      <c r="B909" s="111"/>
      <c r="C909" s="217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34"/>
      <c r="Q909" s="234"/>
      <c r="R909" s="234"/>
      <c r="S909" s="234"/>
      <c r="T909" s="234"/>
      <c r="U909" s="234"/>
      <c r="V909" s="234"/>
      <c r="W909" s="234"/>
      <c r="X909" s="234"/>
      <c r="Y909" s="234"/>
      <c r="Z909" s="234"/>
    </row>
    <row r="910" ht="12.0" customHeight="1" outlineLevel="1">
      <c r="A910" s="11" t="str">
        <f>A$199</f>
        <v/>
      </c>
      <c r="B910" s="111"/>
      <c r="C910" s="217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2"/>
      <c r="P910" s="234"/>
      <c r="Q910" s="234"/>
      <c r="R910" s="234"/>
      <c r="S910" s="234"/>
      <c r="T910" s="234"/>
      <c r="U910" s="234"/>
      <c r="V910" s="234"/>
      <c r="W910" s="234"/>
      <c r="X910" s="234"/>
      <c r="Y910" s="234"/>
      <c r="Z910" s="234"/>
    </row>
    <row r="911" ht="12.0" customHeight="1" outlineLevel="1">
      <c r="A911" s="11" t="str">
        <f>A$200</f>
        <v/>
      </c>
      <c r="B911" s="111"/>
      <c r="C911" s="217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2"/>
      <c r="P911" s="234"/>
      <c r="Q911" s="234"/>
      <c r="R911" s="234"/>
      <c r="S911" s="234"/>
      <c r="T911" s="234"/>
      <c r="U911" s="234"/>
      <c r="V911" s="234"/>
      <c r="W911" s="234"/>
      <c r="X911" s="234"/>
      <c r="Y911" s="234"/>
      <c r="Z911" s="234"/>
    </row>
    <row r="912" ht="12.0" customHeight="1" outlineLevel="1">
      <c r="A912" s="11" t="str">
        <f>A$201</f>
        <v/>
      </c>
      <c r="B912" s="111"/>
      <c r="C912" s="217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2"/>
      <c r="P912" s="234"/>
      <c r="Q912" s="234"/>
      <c r="R912" s="234"/>
      <c r="S912" s="234"/>
      <c r="T912" s="234"/>
      <c r="U912" s="234"/>
      <c r="V912" s="234"/>
      <c r="W912" s="234"/>
      <c r="X912" s="234"/>
      <c r="Y912" s="234"/>
      <c r="Z912" s="234"/>
    </row>
    <row r="913" ht="12.0" customHeight="1" outlineLevel="1">
      <c r="A913" s="11" t="str">
        <f>A$202</f>
        <v/>
      </c>
      <c r="B913" s="111"/>
      <c r="C913" s="217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2"/>
      <c r="P913" s="234"/>
      <c r="Q913" s="234"/>
      <c r="R913" s="234"/>
      <c r="S913" s="234"/>
      <c r="T913" s="234"/>
      <c r="U913" s="234"/>
      <c r="V913" s="234"/>
      <c r="W913" s="234"/>
      <c r="X913" s="234"/>
      <c r="Y913" s="234"/>
      <c r="Z913" s="234"/>
    </row>
    <row r="914" ht="12.0" customHeight="1" outlineLevel="1">
      <c r="A914" s="11" t="s">
        <v>375</v>
      </c>
      <c r="B914" s="111"/>
      <c r="C914" s="217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2"/>
      <c r="P914" s="234"/>
      <c r="Q914" s="234"/>
      <c r="R914" s="234"/>
      <c r="S914" s="234"/>
      <c r="T914" s="234"/>
      <c r="U914" s="234"/>
      <c r="V914" s="234"/>
      <c r="W914" s="234"/>
      <c r="X914" s="234"/>
      <c r="Y914" s="234"/>
      <c r="Z914" s="234"/>
    </row>
    <row r="915" ht="12.0" customHeight="1" outlineLevel="1">
      <c r="A915" s="11" t="str">
        <f>A$204</f>
        <v/>
      </c>
      <c r="B915" s="111"/>
      <c r="C915" s="217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2"/>
      <c r="P915" s="234"/>
      <c r="Q915" s="234"/>
      <c r="R915" s="234"/>
      <c r="S915" s="234"/>
      <c r="T915" s="234"/>
      <c r="U915" s="234"/>
      <c r="V915" s="234"/>
      <c r="W915" s="234"/>
      <c r="X915" s="234"/>
      <c r="Y915" s="234"/>
      <c r="Z915" s="234"/>
    </row>
    <row r="916" ht="12.0" customHeight="1" outlineLevel="1">
      <c r="A916" s="11" t="str">
        <f>A$205</f>
        <v/>
      </c>
      <c r="B916" s="111"/>
      <c r="C916" s="217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2"/>
      <c r="P916" s="234"/>
      <c r="Q916" s="234"/>
      <c r="R916" s="234"/>
      <c r="S916" s="234"/>
      <c r="T916" s="234"/>
      <c r="U916" s="234"/>
      <c r="V916" s="234"/>
      <c r="W916" s="234"/>
      <c r="X916" s="234"/>
      <c r="Y916" s="234"/>
      <c r="Z916" s="234"/>
    </row>
    <row r="917" ht="12.0" customHeight="1" outlineLevel="1">
      <c r="A917" s="11" t="str">
        <f>A$206</f>
        <v/>
      </c>
      <c r="B917" s="111"/>
      <c r="C917" s="217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2"/>
      <c r="P917" s="234"/>
      <c r="Q917" s="234"/>
      <c r="R917" s="234"/>
      <c r="S917" s="234"/>
      <c r="T917" s="234"/>
      <c r="U917" s="234"/>
      <c r="V917" s="234"/>
      <c r="W917" s="234"/>
      <c r="X917" s="234"/>
      <c r="Y917" s="234"/>
      <c r="Z917" s="234"/>
    </row>
    <row r="918" ht="12.0" customHeight="1" outlineLevel="1">
      <c r="A918" s="11" t="str">
        <f>A$207</f>
        <v/>
      </c>
      <c r="B918" s="111"/>
      <c r="C918" s="217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2"/>
      <c r="P918" s="234"/>
      <c r="Q918" s="234"/>
      <c r="R918" s="234"/>
      <c r="S918" s="234"/>
      <c r="T918" s="234"/>
      <c r="U918" s="234"/>
      <c r="V918" s="234"/>
      <c r="W918" s="234"/>
      <c r="X918" s="234"/>
      <c r="Y918" s="234"/>
      <c r="Z918" s="234"/>
    </row>
    <row r="919" ht="12.0" customHeight="1" outlineLevel="1">
      <c r="A919" s="11" t="str">
        <f>A$208</f>
        <v/>
      </c>
      <c r="B919" s="111"/>
      <c r="C919" s="217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2"/>
      <c r="P919" s="234"/>
      <c r="Q919" s="234"/>
      <c r="R919" s="234"/>
      <c r="S919" s="234"/>
      <c r="T919" s="234"/>
      <c r="U919" s="234"/>
      <c r="V919" s="234"/>
      <c r="W919" s="234"/>
      <c r="X919" s="234"/>
      <c r="Y919" s="234"/>
      <c r="Z919" s="234"/>
    </row>
    <row r="920" ht="12.0" customHeight="1" outlineLevel="1">
      <c r="A920" s="11" t="str">
        <f>A$209</f>
        <v/>
      </c>
      <c r="B920" s="111"/>
      <c r="C920" s="217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2"/>
      <c r="P920" s="234"/>
      <c r="Q920" s="234"/>
      <c r="R920" s="234"/>
      <c r="S920" s="234"/>
      <c r="T920" s="234"/>
      <c r="U920" s="234"/>
      <c r="V920" s="234"/>
      <c r="W920" s="234"/>
      <c r="X920" s="234"/>
      <c r="Y920" s="234"/>
      <c r="Z920" s="234"/>
    </row>
    <row r="921" ht="12.0" customHeight="1" outlineLevel="1">
      <c r="A921" s="11" t="str">
        <f>A$210</f>
        <v/>
      </c>
      <c r="B921" s="111"/>
      <c r="C921" s="217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2"/>
      <c r="P921" s="234"/>
      <c r="Q921" s="234"/>
      <c r="R921" s="234"/>
      <c r="S921" s="234"/>
      <c r="T921" s="234"/>
      <c r="U921" s="234"/>
      <c r="V921" s="234"/>
      <c r="W921" s="234"/>
      <c r="X921" s="234"/>
      <c r="Y921" s="234"/>
      <c r="Z921" s="234"/>
    </row>
    <row r="922" ht="12.0" customHeight="1" outlineLevel="1">
      <c r="A922" s="11" t="str">
        <f>A$211</f>
        <v/>
      </c>
      <c r="B922" s="111"/>
      <c r="C922" s="217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2"/>
      <c r="P922" s="234"/>
      <c r="Q922" s="234"/>
      <c r="R922" s="234"/>
      <c r="S922" s="234"/>
      <c r="T922" s="234"/>
      <c r="U922" s="234"/>
      <c r="V922" s="234"/>
      <c r="W922" s="234"/>
      <c r="X922" s="234"/>
      <c r="Y922" s="234"/>
      <c r="Z922" s="234"/>
    </row>
    <row r="923" ht="12.0" customHeight="1" outlineLevel="1">
      <c r="A923" s="11" t="str">
        <f>A$212</f>
        <v/>
      </c>
      <c r="B923" s="111"/>
      <c r="C923" s="217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2"/>
      <c r="P923" s="234"/>
      <c r="Q923" s="234"/>
      <c r="R923" s="234"/>
      <c r="S923" s="234"/>
      <c r="T923" s="234"/>
      <c r="U923" s="234"/>
      <c r="V923" s="234"/>
      <c r="W923" s="234"/>
      <c r="X923" s="234"/>
      <c r="Y923" s="234"/>
      <c r="Z923" s="234"/>
    </row>
    <row r="924" ht="12.0" customHeight="1" outlineLevel="1">
      <c r="A924" s="11" t="str">
        <f>A$213</f>
        <v/>
      </c>
      <c r="B924" s="111"/>
      <c r="C924" s="217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2"/>
      <c r="P924" s="234"/>
      <c r="Q924" s="234"/>
      <c r="R924" s="234"/>
      <c r="S924" s="234"/>
      <c r="T924" s="234"/>
      <c r="U924" s="234"/>
      <c r="V924" s="234"/>
      <c r="W924" s="234"/>
      <c r="X924" s="234"/>
      <c r="Y924" s="234"/>
      <c r="Z924" s="234"/>
    </row>
    <row r="925" ht="12.0" customHeight="1" outlineLevel="1">
      <c r="A925" s="11" t="str">
        <f>A$214</f>
        <v/>
      </c>
      <c r="B925" s="111"/>
      <c r="C925" s="217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2"/>
      <c r="P925" s="234"/>
      <c r="Q925" s="234"/>
      <c r="R925" s="234"/>
      <c r="S925" s="234"/>
      <c r="T925" s="234"/>
      <c r="U925" s="234"/>
      <c r="V925" s="234"/>
      <c r="W925" s="234"/>
      <c r="X925" s="234"/>
      <c r="Y925" s="234"/>
      <c r="Z925" s="234"/>
    </row>
    <row r="926" ht="12.0" customHeight="1" outlineLevel="1">
      <c r="A926" s="11" t="str">
        <f>A$215</f>
        <v/>
      </c>
      <c r="B926" s="111"/>
      <c r="C926" s="217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2"/>
      <c r="P926" s="234"/>
      <c r="Q926" s="234"/>
      <c r="R926" s="234"/>
      <c r="S926" s="234"/>
      <c r="T926" s="234"/>
      <c r="U926" s="234"/>
      <c r="V926" s="234"/>
      <c r="W926" s="234"/>
      <c r="X926" s="234"/>
      <c r="Y926" s="234"/>
      <c r="Z926" s="234"/>
    </row>
    <row r="927" ht="12.0" customHeight="1" outlineLevel="1">
      <c r="A927" s="11" t="str">
        <f>A$216</f>
        <v/>
      </c>
      <c r="B927" s="111"/>
      <c r="C927" s="217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2"/>
      <c r="P927" s="234"/>
      <c r="Q927" s="234"/>
      <c r="R927" s="234"/>
      <c r="S927" s="234"/>
      <c r="T927" s="234"/>
      <c r="U927" s="234"/>
      <c r="V927" s="234"/>
      <c r="W927" s="234"/>
      <c r="X927" s="234"/>
      <c r="Y927" s="234"/>
      <c r="Z927" s="234"/>
    </row>
    <row r="928" ht="12.75" customHeight="1">
      <c r="A928" s="192" t="s">
        <v>360</v>
      </c>
      <c r="B928" s="232"/>
      <c r="C928" s="232"/>
      <c r="D928" s="232"/>
      <c r="E928" s="232"/>
      <c r="F928" s="232"/>
      <c r="G928" s="232"/>
      <c r="H928" s="232"/>
      <c r="I928" s="232"/>
      <c r="J928" s="232"/>
      <c r="K928" s="232"/>
      <c r="L928" s="232"/>
      <c r="M928" s="232"/>
      <c r="N928" s="232"/>
      <c r="O928" s="23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0" customHeight="1">
      <c r="A929" s="242" t="s">
        <v>374</v>
      </c>
      <c r="B929" s="217"/>
      <c r="C929" s="217"/>
      <c r="D929" s="241"/>
      <c r="E929" s="241"/>
      <c r="F929" s="241"/>
      <c r="G929" s="241"/>
      <c r="H929" s="241"/>
      <c r="I929" s="241"/>
      <c r="J929" s="241"/>
      <c r="K929" s="241"/>
      <c r="L929" s="241"/>
      <c r="M929" s="241"/>
      <c r="N929" s="241"/>
      <c r="O929" s="241"/>
      <c r="P929" s="234"/>
      <c r="Q929" s="234"/>
      <c r="R929" s="234"/>
      <c r="S929" s="234"/>
      <c r="T929" s="234"/>
      <c r="U929" s="234"/>
      <c r="V929" s="234"/>
      <c r="W929" s="234"/>
      <c r="X929" s="234"/>
      <c r="Y929" s="234"/>
      <c r="Z929" s="234"/>
    </row>
    <row r="930" ht="12.0" customHeight="1" outlineLevel="1">
      <c r="A930" s="11" t="str">
        <f>A$192</f>
        <v/>
      </c>
      <c r="B930" s="111"/>
      <c r="C930" s="217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2"/>
      <c r="P930" s="234"/>
      <c r="Q930" s="234"/>
      <c r="R930" s="234"/>
      <c r="S930" s="234"/>
      <c r="T930" s="234"/>
      <c r="U930" s="234"/>
      <c r="V930" s="234"/>
      <c r="W930" s="234"/>
      <c r="X930" s="234"/>
      <c r="Y930" s="234"/>
      <c r="Z930" s="234"/>
    </row>
    <row r="931" ht="12.0" customHeight="1" outlineLevel="1">
      <c r="A931" s="11" t="str">
        <f>A$193</f>
        <v/>
      </c>
      <c r="B931" s="111"/>
      <c r="C931" s="217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2"/>
      <c r="P931" s="234"/>
      <c r="Q931" s="234"/>
      <c r="R931" s="234"/>
      <c r="S931" s="234"/>
      <c r="T931" s="234"/>
      <c r="U931" s="234"/>
      <c r="V931" s="234"/>
      <c r="W931" s="234"/>
      <c r="X931" s="234"/>
      <c r="Y931" s="234"/>
      <c r="Z931" s="234"/>
    </row>
    <row r="932" ht="12.0" customHeight="1" outlineLevel="1">
      <c r="A932" s="11" t="str">
        <f>A$194</f>
        <v/>
      </c>
      <c r="B932" s="111"/>
      <c r="C932" s="217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2"/>
      <c r="P932" s="234"/>
      <c r="Q932" s="234"/>
      <c r="R932" s="234"/>
      <c r="S932" s="234"/>
      <c r="T932" s="234"/>
      <c r="U932" s="234"/>
      <c r="V932" s="234"/>
      <c r="W932" s="234"/>
      <c r="X932" s="234"/>
      <c r="Y932" s="234"/>
      <c r="Z932" s="234"/>
    </row>
    <row r="933" ht="12.0" customHeight="1" outlineLevel="1">
      <c r="A933" s="11" t="str">
        <f>A$195</f>
        <v/>
      </c>
      <c r="B933" s="111"/>
      <c r="C933" s="217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2"/>
      <c r="P933" s="234"/>
      <c r="Q933" s="234"/>
      <c r="R933" s="234"/>
      <c r="S933" s="234"/>
      <c r="T933" s="234"/>
      <c r="U933" s="234"/>
      <c r="V933" s="234"/>
      <c r="W933" s="234"/>
      <c r="X933" s="234"/>
      <c r="Y933" s="234"/>
      <c r="Z933" s="234"/>
    </row>
    <row r="934" ht="12.0" customHeight="1" outlineLevel="1">
      <c r="A934" s="11" t="str">
        <f>A$196</f>
        <v/>
      </c>
      <c r="B934" s="111"/>
      <c r="C934" s="217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2"/>
      <c r="P934" s="234"/>
      <c r="Q934" s="234"/>
      <c r="R934" s="234"/>
      <c r="S934" s="234"/>
      <c r="T934" s="234"/>
      <c r="U934" s="234"/>
      <c r="V934" s="234"/>
      <c r="W934" s="234"/>
      <c r="X934" s="234"/>
      <c r="Y934" s="234"/>
      <c r="Z934" s="234"/>
    </row>
    <row r="935" ht="12.0" customHeight="1" outlineLevel="1">
      <c r="A935" s="11" t="str">
        <f>A$197</f>
        <v/>
      </c>
      <c r="B935" s="111"/>
      <c r="C935" s="217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2"/>
      <c r="P935" s="234"/>
      <c r="Q935" s="234"/>
      <c r="R935" s="234"/>
      <c r="S935" s="234"/>
      <c r="T935" s="234"/>
      <c r="U935" s="234"/>
      <c r="V935" s="234"/>
      <c r="W935" s="234"/>
      <c r="X935" s="234"/>
      <c r="Y935" s="234"/>
      <c r="Z935" s="234"/>
    </row>
    <row r="936" ht="12.0" customHeight="1" outlineLevel="1">
      <c r="A936" s="11" t="str">
        <f>A$198</f>
        <v/>
      </c>
      <c r="B936" s="111"/>
      <c r="C936" s="217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2"/>
      <c r="P936" s="234"/>
      <c r="Q936" s="234"/>
      <c r="R936" s="234"/>
      <c r="S936" s="234"/>
      <c r="T936" s="234"/>
      <c r="U936" s="234"/>
      <c r="V936" s="234"/>
      <c r="W936" s="234"/>
      <c r="X936" s="234"/>
      <c r="Y936" s="234"/>
      <c r="Z936" s="234"/>
    </row>
    <row r="937" ht="12.0" customHeight="1" outlineLevel="1">
      <c r="A937" s="11" t="str">
        <f>A$199</f>
        <v/>
      </c>
      <c r="B937" s="111"/>
      <c r="C937" s="217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2"/>
      <c r="P937" s="234"/>
      <c r="Q937" s="234"/>
      <c r="R937" s="234"/>
      <c r="S937" s="234"/>
      <c r="T937" s="234"/>
      <c r="U937" s="234"/>
      <c r="V937" s="234"/>
      <c r="W937" s="234"/>
      <c r="X937" s="234"/>
      <c r="Y937" s="234"/>
      <c r="Z937" s="234"/>
    </row>
    <row r="938" ht="12.0" customHeight="1" outlineLevel="1">
      <c r="A938" s="11" t="str">
        <f>A$200</f>
        <v/>
      </c>
      <c r="B938" s="111"/>
      <c r="C938" s="217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2"/>
      <c r="P938" s="234"/>
      <c r="Q938" s="234"/>
      <c r="R938" s="234"/>
      <c r="S938" s="234"/>
      <c r="T938" s="234"/>
      <c r="U938" s="234"/>
      <c r="V938" s="234"/>
      <c r="W938" s="234"/>
      <c r="X938" s="234"/>
      <c r="Y938" s="234"/>
      <c r="Z938" s="234"/>
    </row>
    <row r="939" ht="12.0" customHeight="1" outlineLevel="1">
      <c r="A939" s="11" t="str">
        <f>A$201</f>
        <v/>
      </c>
      <c r="B939" s="111"/>
      <c r="C939" s="217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2"/>
      <c r="P939" s="234"/>
      <c r="Q939" s="234"/>
      <c r="R939" s="234"/>
      <c r="S939" s="234"/>
      <c r="T939" s="234"/>
      <c r="U939" s="234"/>
      <c r="V939" s="234"/>
      <c r="W939" s="234"/>
      <c r="X939" s="234"/>
      <c r="Y939" s="234"/>
      <c r="Z939" s="234"/>
    </row>
    <row r="940" ht="12.0" customHeight="1" outlineLevel="1">
      <c r="A940" s="11" t="str">
        <f>A$202</f>
        <v/>
      </c>
      <c r="B940" s="111"/>
      <c r="C940" s="217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2"/>
      <c r="P940" s="234"/>
      <c r="Q940" s="234"/>
      <c r="R940" s="234"/>
      <c r="S940" s="234"/>
      <c r="T940" s="234"/>
      <c r="U940" s="234"/>
      <c r="V940" s="234"/>
      <c r="W940" s="234"/>
      <c r="X940" s="234"/>
      <c r="Y940" s="234"/>
      <c r="Z940" s="234"/>
    </row>
    <row r="941" ht="12.0" customHeight="1" outlineLevel="1">
      <c r="A941" s="11" t="s">
        <v>375</v>
      </c>
      <c r="B941" s="111"/>
      <c r="C941" s="217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2"/>
      <c r="P941" s="234"/>
      <c r="Q941" s="234"/>
      <c r="R941" s="234"/>
      <c r="S941" s="234"/>
      <c r="T941" s="234"/>
      <c r="U941" s="234"/>
      <c r="V941" s="234"/>
      <c r="W941" s="234"/>
      <c r="X941" s="234"/>
      <c r="Y941" s="234"/>
      <c r="Z941" s="234"/>
    </row>
    <row r="942" ht="12.0" customHeight="1" outlineLevel="1">
      <c r="A942" s="11" t="str">
        <f>A$204</f>
        <v/>
      </c>
      <c r="B942" s="111"/>
      <c r="C942" s="217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2"/>
      <c r="P942" s="234"/>
      <c r="Q942" s="234"/>
      <c r="R942" s="234"/>
      <c r="S942" s="234"/>
      <c r="T942" s="234"/>
      <c r="U942" s="234"/>
      <c r="V942" s="234"/>
      <c r="W942" s="234"/>
      <c r="X942" s="234"/>
      <c r="Y942" s="234"/>
      <c r="Z942" s="234"/>
    </row>
    <row r="943" ht="12.0" customHeight="1" outlineLevel="1">
      <c r="A943" s="11" t="str">
        <f>A$205</f>
        <v/>
      </c>
      <c r="B943" s="111"/>
      <c r="C943" s="217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2"/>
      <c r="P943" s="234"/>
      <c r="Q943" s="234"/>
      <c r="R943" s="234"/>
      <c r="S943" s="234"/>
      <c r="T943" s="234"/>
      <c r="U943" s="234"/>
      <c r="V943" s="234"/>
      <c r="W943" s="234"/>
      <c r="X943" s="234"/>
      <c r="Y943" s="234"/>
      <c r="Z943" s="234"/>
    </row>
    <row r="944" ht="12.0" customHeight="1" outlineLevel="1">
      <c r="A944" s="11" t="str">
        <f>A$206</f>
        <v/>
      </c>
      <c r="B944" s="111"/>
      <c r="C944" s="217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2"/>
      <c r="P944" s="234"/>
      <c r="Q944" s="234"/>
      <c r="R944" s="234"/>
      <c r="S944" s="234"/>
      <c r="T944" s="234"/>
      <c r="U944" s="234"/>
      <c r="V944" s="234"/>
      <c r="W944" s="234"/>
      <c r="X944" s="234"/>
      <c r="Y944" s="234"/>
      <c r="Z944" s="234"/>
    </row>
    <row r="945" ht="12.0" customHeight="1" outlineLevel="1">
      <c r="A945" s="11" t="str">
        <f>A$207</f>
        <v/>
      </c>
      <c r="B945" s="111"/>
      <c r="C945" s="217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2"/>
      <c r="P945" s="234"/>
      <c r="Q945" s="234"/>
      <c r="R945" s="234"/>
      <c r="S945" s="234"/>
      <c r="T945" s="234"/>
      <c r="U945" s="234"/>
      <c r="V945" s="234"/>
      <c r="W945" s="234"/>
      <c r="X945" s="234"/>
      <c r="Y945" s="234"/>
      <c r="Z945" s="234"/>
    </row>
    <row r="946" ht="12.0" customHeight="1" outlineLevel="1">
      <c r="A946" s="11" t="str">
        <f>A$208</f>
        <v/>
      </c>
      <c r="B946" s="111"/>
      <c r="C946" s="217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2"/>
      <c r="P946" s="234"/>
      <c r="Q946" s="234"/>
      <c r="R946" s="234"/>
      <c r="S946" s="234"/>
      <c r="T946" s="234"/>
      <c r="U946" s="234"/>
      <c r="V946" s="234"/>
      <c r="W946" s="234"/>
      <c r="X946" s="234"/>
      <c r="Y946" s="234"/>
      <c r="Z946" s="234"/>
    </row>
    <row r="947" ht="12.0" customHeight="1" outlineLevel="1">
      <c r="A947" s="11" t="str">
        <f>A$209</f>
        <v/>
      </c>
      <c r="B947" s="111"/>
      <c r="C947" s="217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2"/>
      <c r="P947" s="234"/>
      <c r="Q947" s="234"/>
      <c r="R947" s="234"/>
      <c r="S947" s="234"/>
      <c r="T947" s="234"/>
      <c r="U947" s="234"/>
      <c r="V947" s="234"/>
      <c r="W947" s="234"/>
      <c r="X947" s="234"/>
      <c r="Y947" s="234"/>
      <c r="Z947" s="234"/>
    </row>
    <row r="948" ht="12.0" customHeight="1" outlineLevel="1">
      <c r="A948" s="11" t="str">
        <f>A$210</f>
        <v/>
      </c>
      <c r="B948" s="111"/>
      <c r="C948" s="217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2"/>
      <c r="P948" s="234"/>
      <c r="Q948" s="234"/>
      <c r="R948" s="234"/>
      <c r="S948" s="234"/>
      <c r="T948" s="234"/>
      <c r="U948" s="234"/>
      <c r="V948" s="234"/>
      <c r="W948" s="234"/>
      <c r="X948" s="234"/>
      <c r="Y948" s="234"/>
      <c r="Z948" s="234"/>
    </row>
    <row r="949" ht="12.0" customHeight="1" outlineLevel="1">
      <c r="A949" s="11" t="str">
        <f>A$211</f>
        <v/>
      </c>
      <c r="B949" s="111"/>
      <c r="C949" s="217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2"/>
      <c r="P949" s="234"/>
      <c r="Q949" s="234"/>
      <c r="R949" s="234"/>
      <c r="S949" s="234"/>
      <c r="T949" s="234"/>
      <c r="U949" s="234"/>
      <c r="V949" s="234"/>
      <c r="W949" s="234"/>
      <c r="X949" s="234"/>
      <c r="Y949" s="234"/>
      <c r="Z949" s="234"/>
    </row>
    <row r="950" ht="12.0" customHeight="1" outlineLevel="1">
      <c r="A950" s="11" t="str">
        <f>A$212</f>
        <v/>
      </c>
      <c r="B950" s="111"/>
      <c r="C950" s="217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2"/>
      <c r="P950" s="234"/>
      <c r="Q950" s="234"/>
      <c r="R950" s="234"/>
      <c r="S950" s="234"/>
      <c r="T950" s="234"/>
      <c r="U950" s="234"/>
      <c r="V950" s="234"/>
      <c r="W950" s="234"/>
      <c r="X950" s="234"/>
      <c r="Y950" s="234"/>
      <c r="Z950" s="234"/>
    </row>
    <row r="951" ht="12.0" customHeight="1" outlineLevel="1">
      <c r="A951" s="11" t="str">
        <f>A$213</f>
        <v/>
      </c>
      <c r="B951" s="111"/>
      <c r="C951" s="217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2"/>
      <c r="P951" s="234"/>
      <c r="Q951" s="234"/>
      <c r="R951" s="234"/>
      <c r="S951" s="234"/>
      <c r="T951" s="234"/>
      <c r="U951" s="234"/>
      <c r="V951" s="234"/>
      <c r="W951" s="234"/>
      <c r="X951" s="234"/>
      <c r="Y951" s="234"/>
      <c r="Z951" s="234"/>
    </row>
    <row r="952" ht="12.0" customHeight="1" outlineLevel="1">
      <c r="A952" s="11" t="str">
        <f>A$214</f>
        <v/>
      </c>
      <c r="B952" s="111"/>
      <c r="C952" s="217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2"/>
      <c r="P952" s="234"/>
      <c r="Q952" s="234"/>
      <c r="R952" s="234"/>
      <c r="S952" s="234"/>
      <c r="T952" s="234"/>
      <c r="U952" s="234"/>
      <c r="V952" s="234"/>
      <c r="W952" s="234"/>
      <c r="X952" s="234"/>
      <c r="Y952" s="234"/>
      <c r="Z952" s="234"/>
    </row>
    <row r="953" ht="12.0" customHeight="1" outlineLevel="1">
      <c r="A953" s="11" t="str">
        <f>A$215</f>
        <v/>
      </c>
      <c r="B953" s="111"/>
      <c r="C953" s="217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2"/>
      <c r="P953" s="234"/>
      <c r="Q953" s="234"/>
      <c r="R953" s="234"/>
      <c r="S953" s="234"/>
      <c r="T953" s="234"/>
      <c r="U953" s="234"/>
      <c r="V953" s="234"/>
      <c r="W953" s="234"/>
      <c r="X953" s="234"/>
      <c r="Y953" s="234"/>
      <c r="Z953" s="234"/>
    </row>
    <row r="954" ht="12.0" customHeight="1" outlineLevel="1">
      <c r="A954" s="11" t="str">
        <f>A$216</f>
        <v/>
      </c>
      <c r="B954" s="111"/>
      <c r="C954" s="217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2"/>
      <c r="P954" s="234"/>
      <c r="Q954" s="234"/>
      <c r="R954" s="234"/>
      <c r="S954" s="234"/>
      <c r="T954" s="234"/>
      <c r="U954" s="234"/>
      <c r="V954" s="234"/>
      <c r="W954" s="234"/>
      <c r="X954" s="234"/>
      <c r="Y954" s="234"/>
      <c r="Z954" s="234"/>
    </row>
    <row r="955" ht="12.75" customHeight="1">
      <c r="A955" s="192" t="s">
        <v>361</v>
      </c>
      <c r="B955" s="232"/>
      <c r="C955" s="232"/>
      <c r="D955" s="232"/>
      <c r="E955" s="232"/>
      <c r="F955" s="232"/>
      <c r="G955" s="232"/>
      <c r="H955" s="232"/>
      <c r="I955" s="232"/>
      <c r="J955" s="232"/>
      <c r="K955" s="232"/>
      <c r="L955" s="232"/>
      <c r="M955" s="232"/>
      <c r="N955" s="232"/>
      <c r="O955" s="23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0" customHeight="1">
      <c r="A956" s="242" t="s">
        <v>374</v>
      </c>
      <c r="B956" s="30"/>
      <c r="C956" s="217"/>
      <c r="D956" s="241"/>
      <c r="E956" s="241"/>
      <c r="F956" s="241"/>
      <c r="G956" s="241"/>
      <c r="H956" s="241"/>
      <c r="I956" s="241"/>
      <c r="J956" s="241"/>
      <c r="K956" s="241"/>
      <c r="L956" s="241"/>
      <c r="M956" s="241"/>
      <c r="N956" s="241"/>
      <c r="O956" s="241"/>
      <c r="P956" s="234"/>
      <c r="Q956" s="234"/>
      <c r="R956" s="234"/>
      <c r="S956" s="234"/>
      <c r="T956" s="234"/>
      <c r="U956" s="234"/>
      <c r="V956" s="234"/>
      <c r="W956" s="234"/>
      <c r="X956" s="234"/>
      <c r="Y956" s="234"/>
      <c r="Z956" s="234"/>
    </row>
    <row r="957" ht="12.0" customHeight="1" outlineLevel="1">
      <c r="A957" s="11" t="str">
        <f>A$192</f>
        <v/>
      </c>
      <c r="B957" s="217"/>
      <c r="C957" s="217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2"/>
      <c r="P957" s="234"/>
      <c r="Q957" s="234"/>
      <c r="R957" s="234"/>
      <c r="S957" s="234"/>
      <c r="T957" s="234"/>
      <c r="U957" s="234"/>
      <c r="V957" s="234"/>
      <c r="W957" s="234"/>
      <c r="X957" s="234"/>
      <c r="Y957" s="234"/>
      <c r="Z957" s="234"/>
    </row>
    <row r="958" ht="12.0" customHeight="1" outlineLevel="1">
      <c r="A958" s="11" t="str">
        <f>A$193</f>
        <v/>
      </c>
      <c r="B958" s="217"/>
      <c r="C958" s="217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2"/>
      <c r="P958" s="234"/>
      <c r="Q958" s="234"/>
      <c r="R958" s="234"/>
      <c r="S958" s="234"/>
      <c r="T958" s="234"/>
      <c r="U958" s="234"/>
      <c r="V958" s="234"/>
      <c r="W958" s="234"/>
      <c r="X958" s="234"/>
      <c r="Y958" s="234"/>
      <c r="Z958" s="234"/>
    </row>
    <row r="959" ht="12.0" customHeight="1" outlineLevel="1">
      <c r="A959" s="11" t="str">
        <f>A$194</f>
        <v/>
      </c>
      <c r="B959" s="217"/>
      <c r="C959" s="217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2"/>
      <c r="P959" s="234"/>
      <c r="Q959" s="234"/>
      <c r="R959" s="234"/>
      <c r="S959" s="234"/>
      <c r="T959" s="234"/>
      <c r="U959" s="234"/>
      <c r="V959" s="234"/>
      <c r="W959" s="234"/>
      <c r="X959" s="234"/>
      <c r="Y959" s="234"/>
      <c r="Z959" s="234"/>
    </row>
    <row r="960" ht="12.0" customHeight="1" outlineLevel="1">
      <c r="A960" s="11" t="str">
        <f>A$195</f>
        <v/>
      </c>
      <c r="B960" s="217"/>
      <c r="C960" s="217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2"/>
      <c r="P960" s="234"/>
      <c r="Q960" s="234"/>
      <c r="R960" s="234"/>
      <c r="S960" s="234"/>
      <c r="T960" s="234"/>
      <c r="U960" s="234"/>
      <c r="V960" s="234"/>
      <c r="W960" s="234"/>
      <c r="X960" s="234"/>
      <c r="Y960" s="234"/>
      <c r="Z960" s="234"/>
    </row>
    <row r="961" ht="12.0" customHeight="1" outlineLevel="1">
      <c r="A961" s="11" t="str">
        <f>A$196</f>
        <v/>
      </c>
      <c r="B961" s="217"/>
      <c r="C961" s="217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2"/>
      <c r="P961" s="234"/>
      <c r="Q961" s="234"/>
      <c r="R961" s="234"/>
      <c r="S961" s="234"/>
      <c r="T961" s="234"/>
      <c r="U961" s="234"/>
      <c r="V961" s="234"/>
      <c r="W961" s="234"/>
      <c r="X961" s="234"/>
      <c r="Y961" s="234"/>
      <c r="Z961" s="234"/>
    </row>
    <row r="962" ht="12.0" customHeight="1" outlineLevel="1">
      <c r="A962" s="11" t="str">
        <f>A$197</f>
        <v/>
      </c>
      <c r="B962" s="217"/>
      <c r="C962" s="217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2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</row>
    <row r="963" ht="12.0" customHeight="1" outlineLevel="1">
      <c r="A963" s="11" t="str">
        <f>A$198</f>
        <v/>
      </c>
      <c r="B963" s="217"/>
      <c r="C963" s="217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2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</row>
    <row r="964" ht="12.0" customHeight="1" outlineLevel="1">
      <c r="A964" s="11" t="str">
        <f>A$199</f>
        <v/>
      </c>
      <c r="B964" s="217"/>
      <c r="C964" s="217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2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</row>
    <row r="965" ht="12.0" customHeight="1" outlineLevel="1">
      <c r="A965" s="11" t="str">
        <f>A$200</f>
        <v/>
      </c>
      <c r="B965" s="217"/>
      <c r="C965" s="217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2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</row>
    <row r="966" ht="12.0" customHeight="1" outlineLevel="1">
      <c r="A966" s="11" t="str">
        <f>A$201</f>
        <v/>
      </c>
      <c r="B966" s="217"/>
      <c r="C966" s="217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2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</row>
    <row r="967" ht="12.0" customHeight="1" outlineLevel="1">
      <c r="A967" s="11" t="str">
        <f t="shared" ref="A967:A969" si="213">A$202</f>
        <v/>
      </c>
      <c r="B967" s="217"/>
      <c r="C967" s="217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2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</row>
    <row r="968" ht="12.0" customHeight="1" outlineLevel="1">
      <c r="A968" s="11" t="str">
        <f t="shared" si="213"/>
        <v/>
      </c>
      <c r="B968" s="217"/>
      <c r="C968" s="217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2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</row>
    <row r="969" ht="12.0" customHeight="1" outlineLevel="1">
      <c r="A969" s="11" t="str">
        <f t="shared" si="213"/>
        <v/>
      </c>
      <c r="B969" s="217"/>
      <c r="C969" s="217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2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</row>
    <row r="970" ht="12.0" customHeight="1" outlineLevel="1">
      <c r="A970" s="11" t="str">
        <f>A$205</f>
        <v/>
      </c>
      <c r="B970" s="217"/>
      <c r="C970" s="217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2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</row>
    <row r="971" ht="12.0" customHeight="1" outlineLevel="1">
      <c r="A971" s="11" t="str">
        <f>A$206</f>
        <v/>
      </c>
      <c r="B971" s="217"/>
      <c r="C971" s="217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2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</row>
    <row r="972" ht="12.0" customHeight="1" outlineLevel="1">
      <c r="A972" s="11" t="str">
        <f>A$207</f>
        <v/>
      </c>
      <c r="B972" s="217"/>
      <c r="C972" s="217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2"/>
      <c r="P972" s="234"/>
      <c r="Q972" s="234"/>
      <c r="R972" s="234"/>
      <c r="S972" s="234"/>
      <c r="T972" s="234"/>
      <c r="U972" s="234"/>
      <c r="V972" s="234"/>
      <c r="W972" s="234"/>
      <c r="X972" s="234"/>
      <c r="Y972" s="234"/>
      <c r="Z972" s="234"/>
    </row>
    <row r="973" ht="12.0" customHeight="1" outlineLevel="1">
      <c r="A973" s="11" t="str">
        <f>A$208</f>
        <v/>
      </c>
      <c r="B973" s="217"/>
      <c r="C973" s="217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2"/>
      <c r="P973" s="234"/>
      <c r="Q973" s="234"/>
      <c r="R973" s="234"/>
      <c r="S973" s="234"/>
      <c r="T973" s="234"/>
      <c r="U973" s="234"/>
      <c r="V973" s="234"/>
      <c r="W973" s="234"/>
      <c r="X973" s="234"/>
      <c r="Y973" s="234"/>
      <c r="Z973" s="234"/>
    </row>
    <row r="974" ht="12.0" customHeight="1" outlineLevel="1">
      <c r="A974" s="11" t="str">
        <f>A$209</f>
        <v/>
      </c>
      <c r="B974" s="217"/>
      <c r="C974" s="217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2"/>
      <c r="P974" s="234"/>
      <c r="Q974" s="234"/>
      <c r="R974" s="234"/>
      <c r="S974" s="234"/>
      <c r="T974" s="234"/>
      <c r="U974" s="234"/>
      <c r="V974" s="234"/>
      <c r="W974" s="234"/>
      <c r="X974" s="234"/>
      <c r="Y974" s="234"/>
      <c r="Z974" s="234"/>
    </row>
    <row r="975" ht="12.0" customHeight="1" outlineLevel="1">
      <c r="A975" s="11" t="str">
        <f>A$210</f>
        <v/>
      </c>
      <c r="B975" s="217"/>
      <c r="C975" s="217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2"/>
      <c r="P975" s="234"/>
      <c r="Q975" s="234"/>
      <c r="R975" s="234"/>
      <c r="S975" s="234"/>
      <c r="T975" s="234"/>
      <c r="U975" s="234"/>
      <c r="V975" s="234"/>
      <c r="W975" s="234"/>
      <c r="X975" s="234"/>
      <c r="Y975" s="234"/>
      <c r="Z975" s="234"/>
    </row>
    <row r="976" ht="12.0" customHeight="1" outlineLevel="1">
      <c r="A976" s="11" t="str">
        <f>A$211</f>
        <v/>
      </c>
      <c r="B976" s="217"/>
      <c r="C976" s="217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2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</row>
    <row r="977" ht="12.0" customHeight="1" outlineLevel="1">
      <c r="A977" s="11" t="str">
        <f>A$212</f>
        <v/>
      </c>
      <c r="B977" s="217"/>
      <c r="C977" s="217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2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</row>
    <row r="978" ht="12.0" customHeight="1" outlineLevel="1">
      <c r="A978" s="11" t="str">
        <f>A$213</f>
        <v/>
      </c>
      <c r="B978" s="217"/>
      <c r="C978" s="217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2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</row>
    <row r="979" ht="12.0" customHeight="1" outlineLevel="1">
      <c r="A979" s="11" t="str">
        <f>A$214</f>
        <v/>
      </c>
      <c r="B979" s="217"/>
      <c r="C979" s="217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2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</row>
    <row r="980" ht="12.0" customHeight="1" outlineLevel="1">
      <c r="A980" s="11" t="str">
        <f>A$215</f>
        <v/>
      </c>
      <c r="B980" s="217"/>
      <c r="C980" s="217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2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</row>
    <row r="981" ht="12.0" customHeight="1" outlineLevel="1">
      <c r="A981" s="11" t="str">
        <f>A$216</f>
        <v/>
      </c>
      <c r="B981" s="217"/>
      <c r="C981" s="217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2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</row>
    <row r="982" ht="12.0" customHeight="1">
      <c r="A982" s="242" t="s">
        <v>374</v>
      </c>
      <c r="B982" s="30"/>
      <c r="C982" s="217"/>
      <c r="D982" s="241"/>
      <c r="E982" s="241"/>
      <c r="F982" s="241"/>
      <c r="G982" s="241"/>
      <c r="H982" s="241"/>
      <c r="I982" s="241"/>
      <c r="J982" s="241"/>
      <c r="K982" s="241"/>
      <c r="L982" s="241"/>
      <c r="M982" s="241"/>
      <c r="N982" s="241"/>
      <c r="O982" s="241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</row>
    <row r="983" ht="12.0" customHeight="1" outlineLevel="1">
      <c r="A983" s="11" t="str">
        <f>A$192</f>
        <v/>
      </c>
      <c r="B983" s="217"/>
      <c r="C983" s="217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2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</row>
    <row r="984" ht="12.0" customHeight="1" outlineLevel="1">
      <c r="A984" s="11" t="str">
        <f>A$193</f>
        <v/>
      </c>
      <c r="B984" s="217"/>
      <c r="C984" s="217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2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  <c r="Z984" s="234"/>
    </row>
    <row r="985" ht="12.0" customHeight="1" outlineLevel="1">
      <c r="A985" s="11" t="str">
        <f>A$194</f>
        <v/>
      </c>
      <c r="B985" s="217"/>
      <c r="C985" s="217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2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  <c r="Z985" s="234"/>
    </row>
    <row r="986" ht="12.0" customHeight="1" outlineLevel="1">
      <c r="A986" s="11" t="str">
        <f>A$195</f>
        <v/>
      </c>
      <c r="B986" s="217"/>
      <c r="C986" s="217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2"/>
      <c r="P986" s="234"/>
      <c r="Q986" s="234"/>
      <c r="R986" s="234"/>
      <c r="S986" s="234"/>
      <c r="T986" s="234"/>
      <c r="U986" s="234"/>
      <c r="V986" s="234"/>
      <c r="W986" s="234"/>
      <c r="X986" s="234"/>
      <c r="Y986" s="234"/>
      <c r="Z986" s="234"/>
    </row>
    <row r="987" ht="12.0" customHeight="1" outlineLevel="1">
      <c r="A987" s="11" t="str">
        <f>A$196</f>
        <v/>
      </c>
      <c r="B987" s="217"/>
      <c r="C987" s="217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2"/>
      <c r="P987" s="234"/>
      <c r="Q987" s="234"/>
      <c r="R987" s="234"/>
      <c r="S987" s="234"/>
      <c r="T987" s="234"/>
      <c r="U987" s="234"/>
      <c r="V987" s="234"/>
      <c r="W987" s="234"/>
      <c r="X987" s="234"/>
      <c r="Y987" s="234"/>
      <c r="Z987" s="234"/>
    </row>
    <row r="988" ht="12.0" customHeight="1" outlineLevel="1">
      <c r="A988" s="11" t="str">
        <f>A$197</f>
        <v/>
      </c>
      <c r="B988" s="217"/>
      <c r="C988" s="217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2"/>
      <c r="P988" s="234"/>
      <c r="Q988" s="234"/>
      <c r="R988" s="234"/>
      <c r="S988" s="234"/>
      <c r="T988" s="234"/>
      <c r="U988" s="234"/>
      <c r="V988" s="234"/>
      <c r="W988" s="234"/>
      <c r="X988" s="234"/>
      <c r="Y988" s="234"/>
      <c r="Z988" s="234"/>
    </row>
    <row r="989" ht="12.0" customHeight="1" outlineLevel="1">
      <c r="A989" s="11" t="str">
        <f>A$198</f>
        <v/>
      </c>
      <c r="B989" s="217"/>
      <c r="C989" s="217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2"/>
      <c r="P989" s="234"/>
      <c r="Q989" s="234"/>
      <c r="R989" s="234"/>
      <c r="S989" s="234"/>
      <c r="T989" s="234"/>
      <c r="U989" s="234"/>
      <c r="V989" s="234"/>
      <c r="W989" s="234"/>
      <c r="X989" s="234"/>
      <c r="Y989" s="234"/>
      <c r="Z989" s="234"/>
    </row>
    <row r="990" ht="12.0" customHeight="1" outlineLevel="1">
      <c r="A990" s="11" t="str">
        <f>A$199</f>
        <v/>
      </c>
      <c r="B990" s="217"/>
      <c r="C990" s="217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2"/>
      <c r="P990" s="234"/>
      <c r="Q990" s="234"/>
      <c r="R990" s="234"/>
      <c r="S990" s="234"/>
      <c r="T990" s="234"/>
      <c r="U990" s="234"/>
      <c r="V990" s="234"/>
      <c r="W990" s="234"/>
      <c r="X990" s="234"/>
      <c r="Y990" s="234"/>
      <c r="Z990" s="234"/>
    </row>
    <row r="991" ht="12.0" customHeight="1" outlineLevel="1">
      <c r="A991" s="11" t="str">
        <f>A$200</f>
        <v/>
      </c>
      <c r="B991" s="217"/>
      <c r="C991" s="217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2"/>
      <c r="P991" s="234"/>
      <c r="Q991" s="234"/>
      <c r="R991" s="234"/>
      <c r="S991" s="234"/>
      <c r="T991" s="234"/>
      <c r="U991" s="234"/>
      <c r="V991" s="234"/>
      <c r="W991" s="234"/>
      <c r="X991" s="234"/>
      <c r="Y991" s="234"/>
      <c r="Z991" s="234"/>
    </row>
    <row r="992" ht="12.0" customHeight="1" outlineLevel="1">
      <c r="A992" s="11" t="str">
        <f t="shared" ref="A992:A994" si="214">A$201</f>
        <v/>
      </c>
      <c r="B992" s="217"/>
      <c r="C992" s="217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2"/>
      <c r="P992" s="234"/>
      <c r="Q992" s="234"/>
      <c r="R992" s="234"/>
      <c r="S992" s="234"/>
      <c r="T992" s="234"/>
      <c r="U992" s="234"/>
      <c r="V992" s="234"/>
      <c r="W992" s="234"/>
      <c r="X992" s="234"/>
      <c r="Y992" s="234"/>
      <c r="Z992" s="234"/>
    </row>
    <row r="993" ht="12.0" customHeight="1" outlineLevel="1">
      <c r="A993" s="11" t="str">
        <f t="shared" si="214"/>
        <v/>
      </c>
      <c r="B993" s="217"/>
      <c r="C993" s="217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2"/>
      <c r="P993" s="234"/>
      <c r="Q993" s="234"/>
      <c r="R993" s="234"/>
      <c r="S993" s="234"/>
      <c r="T993" s="234"/>
      <c r="U993" s="234"/>
      <c r="V993" s="234"/>
      <c r="W993" s="234"/>
      <c r="X993" s="234"/>
      <c r="Y993" s="234"/>
      <c r="Z993" s="234"/>
    </row>
    <row r="994" ht="12.0" customHeight="1" outlineLevel="1">
      <c r="A994" s="11" t="str">
        <f t="shared" si="214"/>
        <v/>
      </c>
      <c r="B994" s="217"/>
      <c r="C994" s="217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2"/>
      <c r="P994" s="234"/>
      <c r="Q994" s="234"/>
      <c r="R994" s="234"/>
      <c r="S994" s="234"/>
      <c r="T994" s="234"/>
      <c r="U994" s="234"/>
      <c r="V994" s="234"/>
      <c r="W994" s="234"/>
      <c r="X994" s="234"/>
      <c r="Y994" s="234"/>
      <c r="Z994" s="234"/>
    </row>
    <row r="995" ht="12.0" customHeight="1" outlineLevel="1">
      <c r="A995" s="11" t="str">
        <f>A$204</f>
        <v/>
      </c>
      <c r="B995" s="217"/>
      <c r="C995" s="217"/>
      <c r="D995" s="242"/>
      <c r="E995" s="242"/>
      <c r="F995" s="242"/>
      <c r="G995" s="242"/>
      <c r="H995" s="242"/>
      <c r="I995" s="242"/>
      <c r="J995" s="242"/>
      <c r="K995" s="242"/>
      <c r="L995" s="242"/>
      <c r="M995" s="242"/>
      <c r="N995" s="242"/>
      <c r="O995" s="242"/>
      <c r="P995" s="234"/>
      <c r="Q995" s="234"/>
      <c r="R995" s="234"/>
      <c r="S995" s="234"/>
      <c r="T995" s="234"/>
      <c r="U995" s="234"/>
      <c r="V995" s="234"/>
      <c r="W995" s="234"/>
      <c r="X995" s="234"/>
      <c r="Y995" s="234"/>
      <c r="Z995" s="234"/>
    </row>
    <row r="996" ht="12.0" customHeight="1" outlineLevel="1">
      <c r="A996" s="11" t="str">
        <f>A$205</f>
        <v/>
      </c>
      <c r="B996" s="217"/>
      <c r="C996" s="217"/>
      <c r="D996" s="242"/>
      <c r="E996" s="242"/>
      <c r="F996" s="242"/>
      <c r="G996" s="242"/>
      <c r="H996" s="242"/>
      <c r="I996" s="242"/>
      <c r="J996" s="242"/>
      <c r="K996" s="242"/>
      <c r="L996" s="242"/>
      <c r="M996" s="242"/>
      <c r="N996" s="242"/>
      <c r="O996" s="242"/>
      <c r="P996" s="234"/>
      <c r="Q996" s="234"/>
      <c r="R996" s="234"/>
      <c r="S996" s="234"/>
      <c r="T996" s="234"/>
      <c r="U996" s="234"/>
      <c r="V996" s="234"/>
      <c r="W996" s="234"/>
      <c r="X996" s="234"/>
      <c r="Y996" s="234"/>
      <c r="Z996" s="234"/>
    </row>
    <row r="997" ht="12.0" customHeight="1" outlineLevel="1">
      <c r="A997" s="11" t="str">
        <f>A$206</f>
        <v/>
      </c>
      <c r="B997" s="217"/>
      <c r="C997" s="217"/>
      <c r="D997" s="242"/>
      <c r="E997" s="242"/>
      <c r="F997" s="242"/>
      <c r="G997" s="242"/>
      <c r="H997" s="242"/>
      <c r="I997" s="242"/>
      <c r="J997" s="242"/>
      <c r="K997" s="242"/>
      <c r="L997" s="242"/>
      <c r="M997" s="242"/>
      <c r="N997" s="242"/>
      <c r="O997" s="242"/>
      <c r="P997" s="234"/>
      <c r="Q997" s="234"/>
      <c r="R997" s="234"/>
      <c r="S997" s="234"/>
      <c r="T997" s="234"/>
      <c r="U997" s="234"/>
      <c r="V997" s="234"/>
      <c r="W997" s="234"/>
      <c r="X997" s="234"/>
      <c r="Y997" s="234"/>
      <c r="Z997" s="234"/>
    </row>
    <row r="998" ht="12.0" customHeight="1" outlineLevel="1">
      <c r="A998" s="11" t="str">
        <f>A$207</f>
        <v/>
      </c>
      <c r="B998" s="217"/>
      <c r="C998" s="217"/>
      <c r="D998" s="242"/>
      <c r="E998" s="242"/>
      <c r="F998" s="242"/>
      <c r="G998" s="242"/>
      <c r="H998" s="242"/>
      <c r="I998" s="242"/>
      <c r="J998" s="242"/>
      <c r="K998" s="242"/>
      <c r="L998" s="242"/>
      <c r="M998" s="242"/>
      <c r="N998" s="242"/>
      <c r="O998" s="242"/>
      <c r="P998" s="234"/>
      <c r="Q998" s="234"/>
      <c r="R998" s="234"/>
      <c r="S998" s="234"/>
      <c r="T998" s="234"/>
      <c r="U998" s="234"/>
      <c r="V998" s="234"/>
      <c r="W998" s="234"/>
      <c r="X998" s="234"/>
      <c r="Y998" s="234"/>
      <c r="Z998" s="234"/>
    </row>
    <row r="999" ht="12.0" customHeight="1" outlineLevel="1">
      <c r="A999" s="11" t="str">
        <f>A$208</f>
        <v/>
      </c>
      <c r="B999" s="217"/>
      <c r="C999" s="217"/>
      <c r="D999" s="242"/>
      <c r="E999" s="242"/>
      <c r="F999" s="242"/>
      <c r="G999" s="242"/>
      <c r="H999" s="242"/>
      <c r="I999" s="242"/>
      <c r="J999" s="242"/>
      <c r="K999" s="242"/>
      <c r="L999" s="242"/>
      <c r="M999" s="242"/>
      <c r="N999" s="242"/>
      <c r="O999" s="242"/>
      <c r="P999" s="234"/>
      <c r="Q999" s="234"/>
      <c r="R999" s="234"/>
      <c r="S999" s="234"/>
      <c r="T999" s="234"/>
      <c r="U999" s="234"/>
      <c r="V999" s="234"/>
      <c r="W999" s="234"/>
      <c r="X999" s="234"/>
      <c r="Y999" s="234"/>
      <c r="Z999" s="234"/>
    </row>
    <row r="1000" ht="12.0" customHeight="1" outlineLevel="1">
      <c r="A1000" s="11" t="str">
        <f>A$209</f>
        <v/>
      </c>
      <c r="B1000" s="217"/>
      <c r="C1000" s="217"/>
      <c r="D1000" s="242"/>
      <c r="E1000" s="242"/>
      <c r="F1000" s="242"/>
      <c r="G1000" s="242"/>
      <c r="H1000" s="242"/>
      <c r="I1000" s="242"/>
      <c r="J1000" s="242"/>
      <c r="K1000" s="242"/>
      <c r="L1000" s="242"/>
      <c r="M1000" s="242"/>
      <c r="N1000" s="242"/>
      <c r="O1000" s="242"/>
      <c r="P1000" s="234"/>
      <c r="Q1000" s="234"/>
      <c r="R1000" s="234"/>
      <c r="S1000" s="234"/>
      <c r="T1000" s="234"/>
      <c r="U1000" s="234"/>
      <c r="V1000" s="234"/>
      <c r="W1000" s="234"/>
      <c r="X1000" s="234"/>
      <c r="Y1000" s="234"/>
      <c r="Z1000" s="234"/>
    </row>
    <row r="1001" ht="12.0" customHeight="1" outlineLevel="1">
      <c r="A1001" s="11" t="str">
        <f>A$210</f>
        <v/>
      </c>
      <c r="B1001" s="217"/>
      <c r="C1001" s="217"/>
      <c r="D1001" s="242"/>
      <c r="E1001" s="242"/>
      <c r="F1001" s="242"/>
      <c r="G1001" s="242"/>
      <c r="H1001" s="242"/>
      <c r="I1001" s="242"/>
      <c r="J1001" s="242"/>
      <c r="K1001" s="242"/>
      <c r="L1001" s="242"/>
      <c r="M1001" s="242"/>
      <c r="N1001" s="242"/>
      <c r="O1001" s="242"/>
      <c r="P1001" s="234"/>
      <c r="Q1001" s="234"/>
      <c r="R1001" s="234"/>
      <c r="S1001" s="234"/>
      <c r="T1001" s="234"/>
      <c r="U1001" s="234"/>
      <c r="V1001" s="234"/>
      <c r="W1001" s="234"/>
      <c r="X1001" s="234"/>
      <c r="Y1001" s="234"/>
      <c r="Z1001" s="234"/>
    </row>
    <row r="1002" ht="12.0" customHeight="1" outlineLevel="1">
      <c r="A1002" s="11" t="str">
        <f>A$211</f>
        <v/>
      </c>
      <c r="B1002" s="217"/>
      <c r="C1002" s="217"/>
      <c r="D1002" s="242"/>
      <c r="E1002" s="242"/>
      <c r="F1002" s="242"/>
      <c r="G1002" s="242"/>
      <c r="H1002" s="242"/>
      <c r="I1002" s="242"/>
      <c r="J1002" s="242"/>
      <c r="K1002" s="242"/>
      <c r="L1002" s="242"/>
      <c r="M1002" s="242"/>
      <c r="N1002" s="242"/>
      <c r="O1002" s="242"/>
      <c r="P1002" s="234"/>
      <c r="Q1002" s="234"/>
      <c r="R1002" s="234"/>
      <c r="S1002" s="234"/>
      <c r="T1002" s="234"/>
      <c r="U1002" s="234"/>
      <c r="V1002" s="234"/>
      <c r="W1002" s="234"/>
      <c r="X1002" s="234"/>
      <c r="Y1002" s="234"/>
      <c r="Z1002" s="234"/>
    </row>
    <row r="1003" ht="12.0" customHeight="1" outlineLevel="1">
      <c r="A1003" s="11" t="str">
        <f>A$212</f>
        <v/>
      </c>
      <c r="B1003" s="217"/>
      <c r="C1003" s="217"/>
      <c r="D1003" s="242"/>
      <c r="E1003" s="242"/>
      <c r="F1003" s="242"/>
      <c r="G1003" s="242"/>
      <c r="H1003" s="242"/>
      <c r="I1003" s="242"/>
      <c r="J1003" s="242"/>
      <c r="K1003" s="242"/>
      <c r="L1003" s="242"/>
      <c r="M1003" s="242"/>
      <c r="N1003" s="242"/>
      <c r="O1003" s="242"/>
      <c r="P1003" s="234"/>
      <c r="Q1003" s="234"/>
      <c r="R1003" s="234"/>
      <c r="S1003" s="234"/>
      <c r="T1003" s="234"/>
      <c r="U1003" s="234"/>
      <c r="V1003" s="234"/>
      <c r="W1003" s="234"/>
      <c r="X1003" s="234"/>
      <c r="Y1003" s="234"/>
      <c r="Z1003" s="234"/>
    </row>
    <row r="1004" ht="12.0" customHeight="1" outlineLevel="1">
      <c r="A1004" s="11" t="str">
        <f>A$213</f>
        <v/>
      </c>
      <c r="B1004" s="217"/>
      <c r="C1004" s="217"/>
      <c r="D1004" s="242"/>
      <c r="E1004" s="242"/>
      <c r="F1004" s="242"/>
      <c r="G1004" s="242"/>
      <c r="H1004" s="242"/>
      <c r="I1004" s="242"/>
      <c r="J1004" s="242"/>
      <c r="K1004" s="242"/>
      <c r="L1004" s="242"/>
      <c r="M1004" s="242"/>
      <c r="N1004" s="242"/>
      <c r="O1004" s="242"/>
      <c r="P1004" s="234"/>
      <c r="Q1004" s="234"/>
      <c r="R1004" s="234"/>
      <c r="S1004" s="234"/>
      <c r="T1004" s="234"/>
      <c r="U1004" s="234"/>
      <c r="V1004" s="234"/>
      <c r="W1004" s="234"/>
      <c r="X1004" s="234"/>
      <c r="Y1004" s="234"/>
      <c r="Z1004" s="234"/>
    </row>
    <row r="1005" ht="12.0" customHeight="1" outlineLevel="1">
      <c r="A1005" s="11" t="str">
        <f>A$214</f>
        <v/>
      </c>
      <c r="B1005" s="217"/>
      <c r="C1005" s="217"/>
      <c r="D1005" s="242"/>
      <c r="E1005" s="242"/>
      <c r="F1005" s="242"/>
      <c r="G1005" s="242"/>
      <c r="H1005" s="242"/>
      <c r="I1005" s="242"/>
      <c r="J1005" s="242"/>
      <c r="K1005" s="242"/>
      <c r="L1005" s="242"/>
      <c r="M1005" s="242"/>
      <c r="N1005" s="242"/>
      <c r="O1005" s="242"/>
      <c r="P1005" s="234"/>
      <c r="Q1005" s="234"/>
      <c r="R1005" s="234"/>
      <c r="S1005" s="234"/>
      <c r="T1005" s="234"/>
      <c r="U1005" s="234"/>
      <c r="V1005" s="234"/>
      <c r="W1005" s="234"/>
      <c r="X1005" s="234"/>
      <c r="Y1005" s="234"/>
      <c r="Z1005" s="234"/>
    </row>
    <row r="1006" ht="12.0" customHeight="1" outlineLevel="1">
      <c r="A1006" s="11" t="str">
        <f>A$215</f>
        <v/>
      </c>
      <c r="B1006" s="217"/>
      <c r="C1006" s="217"/>
      <c r="D1006" s="242"/>
      <c r="E1006" s="242"/>
      <c r="F1006" s="242"/>
      <c r="G1006" s="242"/>
      <c r="H1006" s="242"/>
      <c r="I1006" s="242"/>
      <c r="J1006" s="242"/>
      <c r="K1006" s="242"/>
      <c r="L1006" s="242"/>
      <c r="M1006" s="242"/>
      <c r="N1006" s="242"/>
      <c r="O1006" s="242"/>
      <c r="P1006" s="234"/>
      <c r="Q1006" s="234"/>
      <c r="R1006" s="234"/>
      <c r="S1006" s="234"/>
      <c r="T1006" s="234"/>
      <c r="U1006" s="234"/>
      <c r="V1006" s="234"/>
      <c r="W1006" s="234"/>
      <c r="X1006" s="234"/>
      <c r="Y1006" s="234"/>
      <c r="Z1006" s="234"/>
    </row>
    <row r="1007" ht="12.0" customHeight="1" outlineLevel="1">
      <c r="A1007" s="11" t="str">
        <f>A$216</f>
        <v/>
      </c>
      <c r="B1007" s="217"/>
      <c r="C1007" s="217"/>
      <c r="D1007" s="242"/>
      <c r="E1007" s="242"/>
      <c r="F1007" s="242"/>
      <c r="G1007" s="242"/>
      <c r="H1007" s="242"/>
      <c r="I1007" s="242"/>
      <c r="J1007" s="242"/>
      <c r="K1007" s="242"/>
      <c r="L1007" s="242"/>
      <c r="M1007" s="242"/>
      <c r="N1007" s="242"/>
      <c r="O1007" s="242"/>
      <c r="P1007" s="234"/>
      <c r="Q1007" s="234"/>
      <c r="R1007" s="234"/>
      <c r="S1007" s="234"/>
      <c r="T1007" s="234"/>
      <c r="U1007" s="234"/>
      <c r="V1007" s="234"/>
      <c r="W1007" s="234"/>
      <c r="X1007" s="234"/>
      <c r="Y1007" s="234"/>
      <c r="Z1007" s="234"/>
    </row>
    <row r="1008" ht="12.75" customHeight="1">
      <c r="A1008" s="192" t="s">
        <v>362</v>
      </c>
      <c r="B1008" s="232"/>
      <c r="C1008" s="232"/>
      <c r="D1008" s="232"/>
      <c r="E1008" s="232"/>
      <c r="F1008" s="232"/>
      <c r="G1008" s="232"/>
      <c r="H1008" s="232"/>
      <c r="I1008" s="232"/>
      <c r="J1008" s="232"/>
      <c r="K1008" s="232"/>
      <c r="L1008" s="232"/>
      <c r="M1008" s="232"/>
      <c r="N1008" s="232"/>
      <c r="O1008" s="23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0" customHeight="1">
      <c r="A1009" s="242" t="s">
        <v>374</v>
      </c>
      <c r="B1009" s="217"/>
      <c r="C1009" s="217"/>
      <c r="D1009" s="241"/>
      <c r="E1009" s="241"/>
      <c r="F1009" s="241"/>
      <c r="G1009" s="241"/>
      <c r="H1009" s="241"/>
      <c r="I1009" s="241"/>
      <c r="J1009" s="241"/>
      <c r="K1009" s="241"/>
      <c r="L1009" s="241"/>
      <c r="M1009" s="241"/>
      <c r="N1009" s="241"/>
      <c r="O1009" s="241"/>
      <c r="P1009" s="234"/>
      <c r="Q1009" s="234"/>
      <c r="R1009" s="234"/>
      <c r="S1009" s="234"/>
      <c r="T1009" s="234"/>
      <c r="U1009" s="234"/>
      <c r="V1009" s="234"/>
      <c r="W1009" s="234"/>
      <c r="X1009" s="234"/>
      <c r="Y1009" s="234"/>
      <c r="Z1009" s="234"/>
    </row>
    <row r="1010" ht="12.0" customHeight="1" outlineLevel="1">
      <c r="A1010" s="11" t="str">
        <f>A$192</f>
        <v/>
      </c>
      <c r="B1010" s="111"/>
      <c r="C1010" s="217"/>
      <c r="D1010" s="242"/>
      <c r="E1010" s="242"/>
      <c r="F1010" s="242"/>
      <c r="G1010" s="242"/>
      <c r="H1010" s="242"/>
      <c r="I1010" s="242"/>
      <c r="J1010" s="242"/>
      <c r="K1010" s="242"/>
      <c r="L1010" s="242"/>
      <c r="M1010" s="242"/>
      <c r="N1010" s="242"/>
      <c r="O1010" s="242"/>
      <c r="P1010" s="234"/>
      <c r="Q1010" s="234"/>
      <c r="R1010" s="234"/>
      <c r="S1010" s="234"/>
      <c r="T1010" s="234"/>
      <c r="U1010" s="234"/>
      <c r="V1010" s="234"/>
      <c r="W1010" s="234"/>
      <c r="X1010" s="234"/>
      <c r="Y1010" s="234"/>
      <c r="Z1010" s="234"/>
    </row>
    <row r="1011" ht="12.0" customHeight="1" outlineLevel="1">
      <c r="A1011" s="11" t="str">
        <f>A$193</f>
        <v/>
      </c>
      <c r="B1011" s="111"/>
      <c r="C1011" s="217"/>
      <c r="D1011" s="242"/>
      <c r="E1011" s="242"/>
      <c r="F1011" s="242"/>
      <c r="G1011" s="242"/>
      <c r="H1011" s="242"/>
      <c r="I1011" s="242"/>
      <c r="J1011" s="242"/>
      <c r="K1011" s="242"/>
      <c r="L1011" s="242"/>
      <c r="M1011" s="242"/>
      <c r="N1011" s="242"/>
      <c r="O1011" s="242"/>
      <c r="P1011" s="234"/>
      <c r="Q1011" s="234"/>
      <c r="R1011" s="234"/>
      <c r="S1011" s="234"/>
      <c r="T1011" s="234"/>
      <c r="U1011" s="234"/>
      <c r="V1011" s="234"/>
      <c r="W1011" s="234"/>
      <c r="X1011" s="234"/>
      <c r="Y1011" s="234"/>
      <c r="Z1011" s="234"/>
    </row>
    <row r="1012" ht="12.0" customHeight="1" outlineLevel="1">
      <c r="A1012" s="11" t="str">
        <f>A$194</f>
        <v/>
      </c>
      <c r="B1012" s="111"/>
      <c r="C1012" s="217"/>
      <c r="D1012" s="242"/>
      <c r="E1012" s="242"/>
      <c r="F1012" s="242"/>
      <c r="G1012" s="242"/>
      <c r="H1012" s="242"/>
      <c r="I1012" s="242"/>
      <c r="J1012" s="242"/>
      <c r="K1012" s="242"/>
      <c r="L1012" s="242"/>
      <c r="M1012" s="242"/>
      <c r="N1012" s="242"/>
      <c r="O1012" s="242"/>
      <c r="P1012" s="234"/>
      <c r="Q1012" s="234"/>
      <c r="R1012" s="234"/>
      <c r="S1012" s="234"/>
      <c r="T1012" s="234"/>
      <c r="U1012" s="234"/>
      <c r="V1012" s="234"/>
      <c r="W1012" s="234"/>
      <c r="X1012" s="234"/>
      <c r="Y1012" s="234"/>
      <c r="Z1012" s="234"/>
    </row>
    <row r="1013" ht="12.0" customHeight="1" outlineLevel="1">
      <c r="A1013" s="11" t="str">
        <f>A$195</f>
        <v/>
      </c>
      <c r="B1013" s="111"/>
      <c r="C1013" s="217"/>
      <c r="D1013" s="242"/>
      <c r="E1013" s="242"/>
      <c r="F1013" s="242"/>
      <c r="G1013" s="242"/>
      <c r="H1013" s="242"/>
      <c r="I1013" s="242"/>
      <c r="J1013" s="242"/>
      <c r="K1013" s="242"/>
      <c r="L1013" s="242"/>
      <c r="M1013" s="242"/>
      <c r="N1013" s="242"/>
      <c r="O1013" s="242"/>
      <c r="P1013" s="234"/>
      <c r="Q1013" s="234"/>
      <c r="R1013" s="234"/>
      <c r="S1013" s="234"/>
      <c r="T1013" s="234"/>
      <c r="U1013" s="234"/>
      <c r="V1013" s="234"/>
      <c r="W1013" s="234"/>
      <c r="X1013" s="234"/>
      <c r="Y1013" s="234"/>
      <c r="Z1013" s="234"/>
    </row>
    <row r="1014" ht="12.0" customHeight="1" outlineLevel="1">
      <c r="A1014" s="11" t="str">
        <f>A$196</f>
        <v/>
      </c>
      <c r="B1014" s="111"/>
      <c r="C1014" s="217"/>
      <c r="D1014" s="242"/>
      <c r="E1014" s="242"/>
      <c r="F1014" s="242"/>
      <c r="G1014" s="242"/>
      <c r="H1014" s="242"/>
      <c r="I1014" s="242"/>
      <c r="J1014" s="242"/>
      <c r="K1014" s="242"/>
      <c r="L1014" s="242"/>
      <c r="M1014" s="242"/>
      <c r="N1014" s="242"/>
      <c r="O1014" s="242"/>
      <c r="P1014" s="234"/>
      <c r="Q1014" s="234"/>
      <c r="R1014" s="234"/>
      <c r="S1014" s="234"/>
      <c r="T1014" s="234"/>
      <c r="U1014" s="234"/>
      <c r="V1014" s="234"/>
      <c r="W1014" s="234"/>
      <c r="X1014" s="234"/>
      <c r="Y1014" s="234"/>
      <c r="Z1014" s="234"/>
    </row>
    <row r="1015" ht="12.0" customHeight="1" outlineLevel="1">
      <c r="A1015" s="11" t="str">
        <f>A$197</f>
        <v/>
      </c>
      <c r="B1015" s="111"/>
      <c r="C1015" s="217"/>
      <c r="D1015" s="242"/>
      <c r="E1015" s="242"/>
      <c r="F1015" s="242"/>
      <c r="G1015" s="242"/>
      <c r="H1015" s="242"/>
      <c r="I1015" s="242"/>
      <c r="J1015" s="242"/>
      <c r="K1015" s="242"/>
      <c r="L1015" s="242"/>
      <c r="M1015" s="242"/>
      <c r="N1015" s="242"/>
      <c r="O1015" s="242"/>
      <c r="P1015" s="234"/>
      <c r="Q1015" s="234"/>
      <c r="R1015" s="234"/>
      <c r="S1015" s="234"/>
      <c r="T1015" s="234"/>
      <c r="U1015" s="234"/>
      <c r="V1015" s="234"/>
      <c r="W1015" s="234"/>
      <c r="X1015" s="234"/>
      <c r="Y1015" s="234"/>
      <c r="Z1015" s="234"/>
    </row>
    <row r="1016" ht="12.0" customHeight="1" outlineLevel="1">
      <c r="A1016" s="11" t="str">
        <f>A$198</f>
        <v/>
      </c>
      <c r="B1016" s="111"/>
      <c r="C1016" s="217"/>
      <c r="D1016" s="242"/>
      <c r="E1016" s="242"/>
      <c r="F1016" s="242"/>
      <c r="G1016" s="242"/>
      <c r="H1016" s="242"/>
      <c r="I1016" s="242"/>
      <c r="J1016" s="242"/>
      <c r="K1016" s="242"/>
      <c r="L1016" s="242"/>
      <c r="M1016" s="242"/>
      <c r="N1016" s="242"/>
      <c r="O1016" s="242"/>
      <c r="P1016" s="234"/>
      <c r="Q1016" s="234"/>
      <c r="R1016" s="234"/>
      <c r="S1016" s="234"/>
      <c r="T1016" s="234"/>
      <c r="U1016" s="234"/>
      <c r="V1016" s="234"/>
      <c r="W1016" s="234"/>
      <c r="X1016" s="234"/>
      <c r="Y1016" s="234"/>
      <c r="Z1016" s="234"/>
    </row>
    <row r="1017" ht="12.0" customHeight="1" outlineLevel="1">
      <c r="A1017" s="11" t="str">
        <f>A$199</f>
        <v/>
      </c>
      <c r="B1017" s="111"/>
      <c r="C1017" s="217"/>
      <c r="D1017" s="242"/>
      <c r="E1017" s="242"/>
      <c r="F1017" s="242"/>
      <c r="G1017" s="242"/>
      <c r="H1017" s="242"/>
      <c r="I1017" s="242"/>
      <c r="J1017" s="242"/>
      <c r="K1017" s="242"/>
      <c r="L1017" s="242"/>
      <c r="M1017" s="242"/>
      <c r="N1017" s="242"/>
      <c r="O1017" s="242"/>
      <c r="P1017" s="234"/>
      <c r="Q1017" s="234"/>
      <c r="R1017" s="234"/>
      <c r="S1017" s="234"/>
      <c r="T1017" s="234"/>
      <c r="U1017" s="234"/>
      <c r="V1017" s="234"/>
      <c r="W1017" s="234"/>
      <c r="X1017" s="234"/>
      <c r="Y1017" s="234"/>
      <c r="Z1017" s="234"/>
    </row>
    <row r="1018" ht="12.0" customHeight="1" outlineLevel="1">
      <c r="A1018" s="11" t="str">
        <f>A$200</f>
        <v/>
      </c>
      <c r="B1018" s="111"/>
      <c r="C1018" s="217"/>
      <c r="D1018" s="242"/>
      <c r="E1018" s="242"/>
      <c r="F1018" s="242"/>
      <c r="G1018" s="242"/>
      <c r="H1018" s="242"/>
      <c r="I1018" s="242"/>
      <c r="J1018" s="242"/>
      <c r="K1018" s="242"/>
      <c r="L1018" s="242"/>
      <c r="M1018" s="242"/>
      <c r="N1018" s="242"/>
      <c r="O1018" s="242"/>
      <c r="P1018" s="234"/>
      <c r="Q1018" s="234"/>
      <c r="R1018" s="234"/>
      <c r="S1018" s="234"/>
      <c r="T1018" s="234"/>
      <c r="U1018" s="234"/>
      <c r="V1018" s="234"/>
      <c r="W1018" s="234"/>
      <c r="X1018" s="234"/>
      <c r="Y1018" s="234"/>
      <c r="Z1018" s="234"/>
    </row>
    <row r="1019" ht="12.0" customHeight="1" outlineLevel="1">
      <c r="A1019" s="11" t="str">
        <f>A$201</f>
        <v/>
      </c>
      <c r="B1019" s="111"/>
      <c r="C1019" s="217"/>
      <c r="D1019" s="242"/>
      <c r="E1019" s="242"/>
      <c r="F1019" s="242"/>
      <c r="G1019" s="242"/>
      <c r="H1019" s="242"/>
      <c r="I1019" s="242"/>
      <c r="J1019" s="242"/>
      <c r="K1019" s="242"/>
      <c r="L1019" s="242"/>
      <c r="M1019" s="242"/>
      <c r="N1019" s="242"/>
      <c r="O1019" s="242"/>
      <c r="P1019" s="234"/>
      <c r="Q1019" s="234"/>
      <c r="R1019" s="234"/>
      <c r="S1019" s="234"/>
      <c r="T1019" s="234"/>
      <c r="U1019" s="234"/>
      <c r="V1019" s="234"/>
      <c r="W1019" s="234"/>
      <c r="X1019" s="234"/>
      <c r="Y1019" s="234"/>
      <c r="Z1019" s="234"/>
    </row>
    <row r="1020" ht="12.0" customHeight="1" outlineLevel="1">
      <c r="A1020" s="11" t="str">
        <f t="shared" ref="A1020:A1021" si="215">A$202</f>
        <v/>
      </c>
      <c r="B1020" s="111"/>
      <c r="C1020" s="217"/>
      <c r="D1020" s="242"/>
      <c r="E1020" s="242"/>
      <c r="F1020" s="242"/>
      <c r="G1020" s="242"/>
      <c r="H1020" s="242"/>
      <c r="I1020" s="242"/>
      <c r="J1020" s="242"/>
      <c r="K1020" s="242"/>
      <c r="L1020" s="242"/>
      <c r="M1020" s="242"/>
      <c r="N1020" s="242"/>
      <c r="O1020" s="242"/>
      <c r="P1020" s="234"/>
      <c r="Q1020" s="234"/>
      <c r="R1020" s="234"/>
      <c r="S1020" s="234"/>
      <c r="T1020" s="234"/>
      <c r="U1020" s="234"/>
      <c r="V1020" s="234"/>
      <c r="W1020" s="234"/>
      <c r="X1020" s="234"/>
      <c r="Y1020" s="234"/>
      <c r="Z1020" s="234"/>
    </row>
    <row r="1021" ht="12.0" customHeight="1" outlineLevel="1">
      <c r="A1021" s="11" t="str">
        <f t="shared" si="215"/>
        <v/>
      </c>
      <c r="B1021" s="111"/>
      <c r="C1021" s="217"/>
      <c r="D1021" s="242"/>
      <c r="E1021" s="242"/>
      <c r="F1021" s="242"/>
      <c r="G1021" s="242"/>
      <c r="H1021" s="242"/>
      <c r="I1021" s="242"/>
      <c r="J1021" s="242"/>
      <c r="K1021" s="242"/>
      <c r="L1021" s="242"/>
      <c r="M1021" s="242"/>
      <c r="N1021" s="242"/>
      <c r="O1021" s="242"/>
      <c r="P1021" s="234"/>
      <c r="Q1021" s="234"/>
      <c r="R1021" s="234"/>
      <c r="S1021" s="234"/>
      <c r="T1021" s="234"/>
      <c r="U1021" s="234"/>
      <c r="V1021" s="234"/>
      <c r="W1021" s="234"/>
      <c r="X1021" s="234"/>
      <c r="Y1021" s="234"/>
      <c r="Z1021" s="234"/>
    </row>
    <row r="1022" ht="12.0" customHeight="1" outlineLevel="1">
      <c r="A1022" s="11" t="str">
        <f>A$204</f>
        <v/>
      </c>
      <c r="B1022" s="111"/>
      <c r="C1022" s="217"/>
      <c r="D1022" s="242"/>
      <c r="E1022" s="242"/>
      <c r="F1022" s="242"/>
      <c r="G1022" s="242"/>
      <c r="H1022" s="242"/>
      <c r="I1022" s="242"/>
      <c r="J1022" s="242"/>
      <c r="K1022" s="242"/>
      <c r="L1022" s="242"/>
      <c r="M1022" s="242"/>
      <c r="N1022" s="242"/>
      <c r="O1022" s="242"/>
      <c r="P1022" s="234"/>
      <c r="Q1022" s="234"/>
      <c r="R1022" s="234"/>
      <c r="S1022" s="234"/>
      <c r="T1022" s="234"/>
      <c r="U1022" s="234"/>
      <c r="V1022" s="234"/>
      <c r="W1022" s="234"/>
      <c r="X1022" s="234"/>
      <c r="Y1022" s="234"/>
      <c r="Z1022" s="234"/>
    </row>
    <row r="1023" ht="12.0" customHeight="1" outlineLevel="1">
      <c r="A1023" s="11" t="str">
        <f>A$205</f>
        <v/>
      </c>
      <c r="B1023" s="111"/>
      <c r="C1023" s="217"/>
      <c r="D1023" s="242"/>
      <c r="E1023" s="242"/>
      <c r="F1023" s="242"/>
      <c r="G1023" s="242"/>
      <c r="H1023" s="242"/>
      <c r="I1023" s="242"/>
      <c r="J1023" s="242"/>
      <c r="K1023" s="242"/>
      <c r="L1023" s="242"/>
      <c r="M1023" s="242"/>
      <c r="N1023" s="242"/>
      <c r="O1023" s="242"/>
      <c r="P1023" s="234"/>
      <c r="Q1023" s="234"/>
      <c r="R1023" s="234"/>
      <c r="S1023" s="234"/>
      <c r="T1023" s="234"/>
      <c r="U1023" s="234"/>
      <c r="V1023" s="234"/>
      <c r="W1023" s="234"/>
      <c r="X1023" s="234"/>
      <c r="Y1023" s="234"/>
      <c r="Z1023" s="234"/>
    </row>
    <row r="1024" ht="12.0" customHeight="1" outlineLevel="1">
      <c r="A1024" s="11" t="str">
        <f>A$206</f>
        <v/>
      </c>
      <c r="B1024" s="111"/>
      <c r="C1024" s="217"/>
      <c r="D1024" s="242"/>
      <c r="E1024" s="242"/>
      <c r="F1024" s="242"/>
      <c r="G1024" s="242"/>
      <c r="H1024" s="242"/>
      <c r="I1024" s="242"/>
      <c r="J1024" s="242"/>
      <c r="K1024" s="242"/>
      <c r="L1024" s="242"/>
      <c r="M1024" s="242"/>
      <c r="N1024" s="242"/>
      <c r="O1024" s="242"/>
      <c r="P1024" s="234"/>
      <c r="Q1024" s="234"/>
      <c r="R1024" s="234"/>
      <c r="S1024" s="234"/>
      <c r="T1024" s="234"/>
      <c r="U1024" s="234"/>
      <c r="V1024" s="234"/>
      <c r="W1024" s="234"/>
      <c r="X1024" s="234"/>
      <c r="Y1024" s="234"/>
      <c r="Z1024" s="234"/>
    </row>
    <row r="1025" ht="12.0" customHeight="1" outlineLevel="1">
      <c r="A1025" s="11" t="str">
        <f>A$207</f>
        <v/>
      </c>
      <c r="B1025" s="111"/>
      <c r="C1025" s="217"/>
      <c r="D1025" s="242"/>
      <c r="E1025" s="242"/>
      <c r="F1025" s="242"/>
      <c r="G1025" s="242"/>
      <c r="H1025" s="242"/>
      <c r="I1025" s="242"/>
      <c r="J1025" s="242"/>
      <c r="K1025" s="242"/>
      <c r="L1025" s="242"/>
      <c r="M1025" s="242"/>
      <c r="N1025" s="242"/>
      <c r="O1025" s="242"/>
      <c r="P1025" s="234"/>
      <c r="Q1025" s="234"/>
      <c r="R1025" s="234"/>
      <c r="S1025" s="234"/>
      <c r="T1025" s="234"/>
      <c r="U1025" s="234"/>
      <c r="V1025" s="234"/>
      <c r="W1025" s="234"/>
      <c r="X1025" s="234"/>
      <c r="Y1025" s="234"/>
      <c r="Z1025" s="234"/>
    </row>
    <row r="1026" ht="12.0" customHeight="1" outlineLevel="1">
      <c r="A1026" s="11" t="str">
        <f>A$208</f>
        <v/>
      </c>
      <c r="B1026" s="111"/>
      <c r="C1026" s="217"/>
      <c r="D1026" s="242"/>
      <c r="E1026" s="242"/>
      <c r="F1026" s="242"/>
      <c r="G1026" s="242"/>
      <c r="H1026" s="242"/>
      <c r="I1026" s="242"/>
      <c r="J1026" s="242"/>
      <c r="K1026" s="242"/>
      <c r="L1026" s="242"/>
      <c r="M1026" s="242"/>
      <c r="N1026" s="242"/>
      <c r="O1026" s="242"/>
      <c r="P1026" s="234"/>
      <c r="Q1026" s="234"/>
      <c r="R1026" s="234"/>
      <c r="S1026" s="234"/>
      <c r="T1026" s="234"/>
      <c r="U1026" s="234"/>
      <c r="V1026" s="234"/>
      <c r="W1026" s="234"/>
      <c r="X1026" s="234"/>
      <c r="Y1026" s="234"/>
      <c r="Z1026" s="234"/>
    </row>
    <row r="1027" ht="12.0" customHeight="1" outlineLevel="1">
      <c r="A1027" s="11" t="str">
        <f>A$209</f>
        <v/>
      </c>
      <c r="B1027" s="111"/>
      <c r="C1027" s="217"/>
      <c r="D1027" s="242"/>
      <c r="E1027" s="242"/>
      <c r="F1027" s="242"/>
      <c r="G1027" s="242"/>
      <c r="H1027" s="242"/>
      <c r="I1027" s="242"/>
      <c r="J1027" s="242"/>
      <c r="K1027" s="242"/>
      <c r="L1027" s="242"/>
      <c r="M1027" s="242"/>
      <c r="N1027" s="242"/>
      <c r="O1027" s="242"/>
      <c r="P1027" s="234"/>
      <c r="Q1027" s="234"/>
      <c r="R1027" s="234"/>
      <c r="S1027" s="234"/>
      <c r="T1027" s="234"/>
      <c r="U1027" s="234"/>
      <c r="V1027" s="234"/>
      <c r="W1027" s="234"/>
      <c r="X1027" s="234"/>
      <c r="Y1027" s="234"/>
      <c r="Z1027" s="234"/>
    </row>
    <row r="1028" ht="12.0" customHeight="1" outlineLevel="1">
      <c r="A1028" s="11" t="str">
        <f>A$210</f>
        <v/>
      </c>
      <c r="B1028" s="111"/>
      <c r="C1028" s="217"/>
      <c r="D1028" s="242"/>
      <c r="E1028" s="242"/>
      <c r="F1028" s="242"/>
      <c r="G1028" s="242"/>
      <c r="H1028" s="242"/>
      <c r="I1028" s="242"/>
      <c r="J1028" s="242"/>
      <c r="K1028" s="242"/>
      <c r="L1028" s="242"/>
      <c r="M1028" s="242"/>
      <c r="N1028" s="242"/>
      <c r="O1028" s="242"/>
      <c r="P1028" s="234"/>
      <c r="Q1028" s="234"/>
      <c r="R1028" s="234"/>
      <c r="S1028" s="234"/>
      <c r="T1028" s="234"/>
      <c r="U1028" s="234"/>
      <c r="V1028" s="234"/>
      <c r="W1028" s="234"/>
      <c r="X1028" s="234"/>
      <c r="Y1028" s="234"/>
      <c r="Z1028" s="234"/>
    </row>
    <row r="1029" ht="12.0" customHeight="1" outlineLevel="1">
      <c r="A1029" s="11" t="str">
        <f>A$211</f>
        <v/>
      </c>
      <c r="B1029" s="111"/>
      <c r="C1029" s="217"/>
      <c r="D1029" s="242"/>
      <c r="E1029" s="242"/>
      <c r="F1029" s="242"/>
      <c r="G1029" s="242"/>
      <c r="H1029" s="242"/>
      <c r="I1029" s="242"/>
      <c r="J1029" s="242"/>
      <c r="K1029" s="242"/>
      <c r="L1029" s="242"/>
      <c r="M1029" s="242"/>
      <c r="N1029" s="242"/>
      <c r="O1029" s="242"/>
      <c r="P1029" s="234"/>
      <c r="Q1029" s="234"/>
      <c r="R1029" s="234"/>
      <c r="S1029" s="234"/>
      <c r="T1029" s="234"/>
      <c r="U1029" s="234"/>
      <c r="V1029" s="234"/>
      <c r="W1029" s="234"/>
      <c r="X1029" s="234"/>
      <c r="Y1029" s="234"/>
      <c r="Z1029" s="234"/>
    </row>
    <row r="1030" ht="12.0" customHeight="1" outlineLevel="1">
      <c r="A1030" s="11" t="str">
        <f>A$212</f>
        <v/>
      </c>
      <c r="B1030" s="111"/>
      <c r="C1030" s="217"/>
      <c r="D1030" s="242"/>
      <c r="E1030" s="242"/>
      <c r="F1030" s="242"/>
      <c r="G1030" s="242"/>
      <c r="H1030" s="242"/>
      <c r="I1030" s="242"/>
      <c r="J1030" s="242"/>
      <c r="K1030" s="242"/>
      <c r="L1030" s="242"/>
      <c r="M1030" s="242"/>
      <c r="N1030" s="242"/>
      <c r="O1030" s="242"/>
      <c r="P1030" s="234"/>
      <c r="Q1030" s="234"/>
      <c r="R1030" s="234"/>
      <c r="S1030" s="234"/>
      <c r="T1030" s="234"/>
      <c r="U1030" s="234"/>
      <c r="V1030" s="234"/>
      <c r="W1030" s="234"/>
      <c r="X1030" s="234"/>
      <c r="Y1030" s="234"/>
      <c r="Z1030" s="234"/>
    </row>
    <row r="1031" ht="12.0" customHeight="1" outlineLevel="1">
      <c r="A1031" s="11" t="str">
        <f>A$213</f>
        <v/>
      </c>
      <c r="B1031" s="111"/>
      <c r="C1031" s="217"/>
      <c r="D1031" s="242"/>
      <c r="E1031" s="242"/>
      <c r="F1031" s="242"/>
      <c r="G1031" s="242"/>
      <c r="H1031" s="242"/>
      <c r="I1031" s="242"/>
      <c r="J1031" s="242"/>
      <c r="K1031" s="242"/>
      <c r="L1031" s="242"/>
      <c r="M1031" s="242"/>
      <c r="N1031" s="242"/>
      <c r="O1031" s="242"/>
      <c r="P1031" s="234"/>
      <c r="Q1031" s="234"/>
      <c r="R1031" s="234"/>
      <c r="S1031" s="234"/>
      <c r="T1031" s="234"/>
      <c r="U1031" s="234"/>
      <c r="V1031" s="234"/>
      <c r="W1031" s="234"/>
      <c r="X1031" s="234"/>
      <c r="Y1031" s="234"/>
      <c r="Z1031" s="234"/>
    </row>
    <row r="1032" ht="12.0" customHeight="1" outlineLevel="1">
      <c r="A1032" s="11" t="str">
        <f>A$214</f>
        <v/>
      </c>
      <c r="B1032" s="111"/>
      <c r="C1032" s="217"/>
      <c r="D1032" s="242"/>
      <c r="E1032" s="242"/>
      <c r="F1032" s="242"/>
      <c r="G1032" s="242"/>
      <c r="H1032" s="242"/>
      <c r="I1032" s="242"/>
      <c r="J1032" s="242"/>
      <c r="K1032" s="242"/>
      <c r="L1032" s="242"/>
      <c r="M1032" s="242"/>
      <c r="N1032" s="242"/>
      <c r="O1032" s="242"/>
      <c r="P1032" s="234"/>
      <c r="Q1032" s="234"/>
      <c r="R1032" s="234"/>
      <c r="S1032" s="234"/>
      <c r="T1032" s="234"/>
      <c r="U1032" s="234"/>
      <c r="V1032" s="234"/>
      <c r="W1032" s="234"/>
      <c r="X1032" s="234"/>
      <c r="Y1032" s="234"/>
      <c r="Z1032" s="234"/>
    </row>
    <row r="1033" ht="12.0" customHeight="1" outlineLevel="1">
      <c r="A1033" s="11" t="str">
        <f>A$215</f>
        <v/>
      </c>
      <c r="B1033" s="111"/>
      <c r="C1033" s="217"/>
      <c r="D1033" s="242"/>
      <c r="E1033" s="242"/>
      <c r="F1033" s="242"/>
      <c r="G1033" s="242"/>
      <c r="H1033" s="242"/>
      <c r="I1033" s="242"/>
      <c r="J1033" s="242"/>
      <c r="K1033" s="242"/>
      <c r="L1033" s="242"/>
      <c r="M1033" s="242"/>
      <c r="N1033" s="242"/>
      <c r="O1033" s="242"/>
      <c r="P1033" s="234"/>
      <c r="Q1033" s="234"/>
      <c r="R1033" s="234"/>
      <c r="S1033" s="234"/>
      <c r="T1033" s="234"/>
      <c r="U1033" s="234"/>
      <c r="V1033" s="234"/>
      <c r="W1033" s="234"/>
      <c r="X1033" s="234"/>
      <c r="Y1033" s="234"/>
      <c r="Z1033" s="234"/>
    </row>
    <row r="1034" ht="12.0" customHeight="1" outlineLevel="1">
      <c r="A1034" s="11" t="str">
        <f>A$216</f>
        <v/>
      </c>
      <c r="B1034" s="111"/>
      <c r="C1034" s="217"/>
      <c r="D1034" s="242"/>
      <c r="E1034" s="242"/>
      <c r="F1034" s="242"/>
      <c r="G1034" s="242"/>
      <c r="H1034" s="242"/>
      <c r="I1034" s="242"/>
      <c r="J1034" s="242"/>
      <c r="K1034" s="242"/>
      <c r="L1034" s="242"/>
      <c r="M1034" s="242"/>
      <c r="N1034" s="242"/>
      <c r="O1034" s="242"/>
      <c r="P1034" s="234"/>
      <c r="Q1034" s="234"/>
      <c r="R1034" s="234"/>
      <c r="S1034" s="234"/>
      <c r="T1034" s="234"/>
      <c r="U1034" s="234"/>
      <c r="V1034" s="234"/>
      <c r="W1034" s="234"/>
      <c r="X1034" s="234"/>
      <c r="Y1034" s="234"/>
      <c r="Z1034" s="234"/>
    </row>
    <row r="1035" ht="14.25" customHeight="1">
      <c r="A1035" s="234"/>
      <c r="B1035" s="234"/>
      <c r="C1035" s="234"/>
      <c r="D1035" s="234"/>
      <c r="E1035" s="234"/>
      <c r="F1035" s="234"/>
      <c r="G1035" s="234"/>
      <c r="H1035" s="234"/>
      <c r="I1035" s="234"/>
      <c r="J1035" s="234"/>
      <c r="K1035" s="234"/>
      <c r="L1035" s="234"/>
      <c r="M1035" s="234"/>
      <c r="N1035" s="234"/>
      <c r="O1035" s="234"/>
      <c r="P1035" s="234"/>
      <c r="Q1035" s="234"/>
      <c r="R1035" s="234"/>
      <c r="S1035" s="234"/>
      <c r="T1035" s="234"/>
      <c r="U1035" s="234"/>
      <c r="V1035" s="234"/>
      <c r="W1035" s="234"/>
      <c r="X1035" s="234"/>
      <c r="Y1035" s="234"/>
      <c r="Z1035" s="234"/>
    </row>
    <row r="1036" ht="14.25" customHeight="1">
      <c r="A1036" s="89" t="s">
        <v>376</v>
      </c>
      <c r="B1036" s="89"/>
      <c r="C1036" s="89"/>
      <c r="D1036" s="89"/>
      <c r="E1036" s="89"/>
      <c r="F1036" s="89"/>
      <c r="G1036" s="89"/>
      <c r="H1036" s="89"/>
      <c r="I1036" s="89"/>
      <c r="J1036" s="89"/>
      <c r="K1036" s="89"/>
      <c r="L1036" s="89"/>
      <c r="M1036" s="89"/>
      <c r="N1036" s="89"/>
      <c r="O1036" s="89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14.25" customHeight="1">
      <c r="A1037" s="3" t="s">
        <v>1</v>
      </c>
      <c r="B1037" s="3" t="s">
        <v>2</v>
      </c>
      <c r="C1037" s="3" t="s">
        <v>3</v>
      </c>
      <c r="D1037" s="3" t="s">
        <v>4</v>
      </c>
      <c r="E1037" s="3" t="s">
        <v>5</v>
      </c>
      <c r="F1037" s="3" t="s">
        <v>6</v>
      </c>
      <c r="G1037" s="3" t="s">
        <v>7</v>
      </c>
      <c r="H1037" s="3" t="s">
        <v>8</v>
      </c>
      <c r="I1037" s="3" t="s">
        <v>9</v>
      </c>
      <c r="J1037" s="3" t="s">
        <v>10</v>
      </c>
      <c r="K1037" s="3" t="s">
        <v>11</v>
      </c>
      <c r="L1037" s="3" t="s">
        <v>12</v>
      </c>
      <c r="M1037" s="3" t="s">
        <v>13</v>
      </c>
      <c r="N1037" s="3" t="s">
        <v>14</v>
      </c>
      <c r="O1037" s="3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14.25" customHeight="1">
      <c r="A1038" s="68" t="s">
        <v>200</v>
      </c>
      <c r="B1038" s="69"/>
      <c r="C1038" s="69"/>
      <c r="D1038" s="69"/>
      <c r="E1038" s="69"/>
      <c r="F1038" s="69"/>
      <c r="G1038" s="69"/>
      <c r="H1038" s="69"/>
      <c r="I1038" s="69"/>
      <c r="J1038" s="69"/>
      <c r="K1038" s="69"/>
      <c r="L1038" s="69"/>
      <c r="M1038" s="69"/>
      <c r="N1038" s="105"/>
      <c r="O1038" s="105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12.75" customHeight="1">
      <c r="A1039" s="2" t="s">
        <v>356</v>
      </c>
      <c r="B1039" s="244">
        <f t="shared" ref="B1039:M1039" si="216">SUMPRODUCT(B1048:B1073,B192:B217)/1000</f>
        <v>0</v>
      </c>
      <c r="C1039" s="244">
        <f t="shared" si="216"/>
        <v>0</v>
      </c>
      <c r="D1039" s="244">
        <f t="shared" si="216"/>
        <v>0</v>
      </c>
      <c r="E1039" s="244">
        <f t="shared" si="216"/>
        <v>0</v>
      </c>
      <c r="F1039" s="244">
        <f t="shared" si="216"/>
        <v>0</v>
      </c>
      <c r="G1039" s="244">
        <f t="shared" si="216"/>
        <v>0</v>
      </c>
      <c r="H1039" s="244">
        <f t="shared" si="216"/>
        <v>0</v>
      </c>
      <c r="I1039" s="244">
        <f t="shared" si="216"/>
        <v>0</v>
      </c>
      <c r="J1039" s="244">
        <f t="shared" si="216"/>
        <v>0</v>
      </c>
      <c r="K1039" s="244">
        <f t="shared" si="216"/>
        <v>0</v>
      </c>
      <c r="L1039" s="244">
        <f t="shared" si="216"/>
        <v>0</v>
      </c>
      <c r="M1039" s="244">
        <f t="shared" si="216"/>
        <v>0</v>
      </c>
      <c r="N1039" s="244">
        <f t="shared" ref="N1039:N1043" si="218">B1039+C1039+D1039+E1039+F1039+G1039+H1039+I1039+J1039+K1039+L1039+M1039</f>
        <v>0</v>
      </c>
      <c r="O1039" s="244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12.75" customHeight="1">
      <c r="A1040" s="2" t="s">
        <v>357</v>
      </c>
      <c r="B1040" s="245">
        <f t="shared" ref="B1040:M1040" si="217">SUMPRODUCT(B1075:B1100,B192:B217)/1000</f>
        <v>0</v>
      </c>
      <c r="C1040" s="245">
        <f t="shared" si="217"/>
        <v>0</v>
      </c>
      <c r="D1040" s="245">
        <f t="shared" si="217"/>
        <v>0</v>
      </c>
      <c r="E1040" s="245">
        <f t="shared" si="217"/>
        <v>0</v>
      </c>
      <c r="F1040" s="245">
        <f t="shared" si="217"/>
        <v>0</v>
      </c>
      <c r="G1040" s="245">
        <f t="shared" si="217"/>
        <v>0</v>
      </c>
      <c r="H1040" s="245">
        <f t="shared" si="217"/>
        <v>0</v>
      </c>
      <c r="I1040" s="245">
        <f t="shared" si="217"/>
        <v>0</v>
      </c>
      <c r="J1040" s="245">
        <f t="shared" si="217"/>
        <v>0</v>
      </c>
      <c r="K1040" s="245">
        <f t="shared" si="217"/>
        <v>0</v>
      </c>
      <c r="L1040" s="245">
        <f t="shared" si="217"/>
        <v>0</v>
      </c>
      <c r="M1040" s="245">
        <f t="shared" si="217"/>
        <v>0</v>
      </c>
      <c r="N1040" s="244">
        <f t="shared" si="218"/>
        <v>0</v>
      </c>
      <c r="O1040" s="244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12.75" customHeight="1">
      <c r="A1041" s="2" t="s">
        <v>358</v>
      </c>
      <c r="B1041" s="244">
        <f t="shared" ref="B1041:M1041" si="219">SUMPRODUCT(B1102:B1126,B192:B216)/1000</f>
        <v>0</v>
      </c>
      <c r="C1041" s="244">
        <f t="shared" si="219"/>
        <v>0</v>
      </c>
      <c r="D1041" s="244">
        <f t="shared" si="219"/>
        <v>0</v>
      </c>
      <c r="E1041" s="244">
        <f t="shared" si="219"/>
        <v>0</v>
      </c>
      <c r="F1041" s="244">
        <f t="shared" si="219"/>
        <v>0</v>
      </c>
      <c r="G1041" s="244">
        <f t="shared" si="219"/>
        <v>0</v>
      </c>
      <c r="H1041" s="244">
        <f t="shared" si="219"/>
        <v>0</v>
      </c>
      <c r="I1041" s="244">
        <f t="shared" si="219"/>
        <v>0</v>
      </c>
      <c r="J1041" s="244">
        <f t="shared" si="219"/>
        <v>0</v>
      </c>
      <c r="K1041" s="244">
        <f t="shared" si="219"/>
        <v>0</v>
      </c>
      <c r="L1041" s="244">
        <f t="shared" si="219"/>
        <v>0</v>
      </c>
      <c r="M1041" s="244">
        <f t="shared" si="219"/>
        <v>0</v>
      </c>
      <c r="N1041" s="244">
        <f t="shared" si="218"/>
        <v>0</v>
      </c>
      <c r="O1041" s="244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12.75" customHeight="1">
      <c r="A1042" s="2" t="s">
        <v>359</v>
      </c>
      <c r="B1042" s="244">
        <f t="shared" ref="B1042:M1042" si="220">SUMPRODUCT(B1129:B1153,B192:B216)/1000</f>
        <v>0</v>
      </c>
      <c r="C1042" s="244">
        <f t="shared" si="220"/>
        <v>0</v>
      </c>
      <c r="D1042" s="244">
        <f t="shared" si="220"/>
        <v>0</v>
      </c>
      <c r="E1042" s="244">
        <f t="shared" si="220"/>
        <v>0</v>
      </c>
      <c r="F1042" s="244">
        <f t="shared" si="220"/>
        <v>0</v>
      </c>
      <c r="G1042" s="244">
        <f t="shared" si="220"/>
        <v>0</v>
      </c>
      <c r="H1042" s="244">
        <f t="shared" si="220"/>
        <v>0</v>
      </c>
      <c r="I1042" s="244">
        <f t="shared" si="220"/>
        <v>0</v>
      </c>
      <c r="J1042" s="244">
        <f t="shared" si="220"/>
        <v>0</v>
      </c>
      <c r="K1042" s="244">
        <f t="shared" si="220"/>
        <v>0</v>
      </c>
      <c r="L1042" s="244">
        <f t="shared" si="220"/>
        <v>0</v>
      </c>
      <c r="M1042" s="244">
        <f t="shared" si="220"/>
        <v>0</v>
      </c>
      <c r="N1042" s="244">
        <f t="shared" si="218"/>
        <v>0</v>
      </c>
      <c r="O1042" s="244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12.75" customHeight="1">
      <c r="A1043" s="2" t="s">
        <v>360</v>
      </c>
      <c r="B1043" s="246">
        <f t="shared" ref="B1043:M1043" si="221">SUMPRODUCT(B1155:B1179,B192:B216)/1000</f>
        <v>0</v>
      </c>
      <c r="C1043" s="246">
        <f t="shared" si="221"/>
        <v>0</v>
      </c>
      <c r="D1043" s="246">
        <f t="shared" si="221"/>
        <v>0</v>
      </c>
      <c r="E1043" s="246">
        <f t="shared" si="221"/>
        <v>0</v>
      </c>
      <c r="F1043" s="246">
        <f t="shared" si="221"/>
        <v>0</v>
      </c>
      <c r="G1043" s="246">
        <f t="shared" si="221"/>
        <v>0</v>
      </c>
      <c r="H1043" s="246">
        <f t="shared" si="221"/>
        <v>0</v>
      </c>
      <c r="I1043" s="246">
        <f t="shared" si="221"/>
        <v>0</v>
      </c>
      <c r="J1043" s="246">
        <f t="shared" si="221"/>
        <v>0</v>
      </c>
      <c r="K1043" s="246">
        <f t="shared" si="221"/>
        <v>0</v>
      </c>
      <c r="L1043" s="246">
        <f t="shared" si="221"/>
        <v>0</v>
      </c>
      <c r="M1043" s="246">
        <f t="shared" si="221"/>
        <v>0</v>
      </c>
      <c r="N1043" s="244">
        <f t="shared" si="218"/>
        <v>0</v>
      </c>
      <c r="O1043" s="244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12.75" customHeight="1">
      <c r="A1044" s="7" t="s">
        <v>367</v>
      </c>
      <c r="B1044" s="247">
        <f t="shared" ref="B1044:N1044" si="222">B1039+B1040+B1041+B1042+B1043</f>
        <v>0</v>
      </c>
      <c r="C1044" s="247">
        <f t="shared" si="222"/>
        <v>0</v>
      </c>
      <c r="D1044" s="247">
        <f t="shared" si="222"/>
        <v>0</v>
      </c>
      <c r="E1044" s="247">
        <f t="shared" si="222"/>
        <v>0</v>
      </c>
      <c r="F1044" s="247">
        <f t="shared" si="222"/>
        <v>0</v>
      </c>
      <c r="G1044" s="247">
        <f t="shared" si="222"/>
        <v>0</v>
      </c>
      <c r="H1044" s="247">
        <f t="shared" si="222"/>
        <v>0</v>
      </c>
      <c r="I1044" s="247">
        <f t="shared" si="222"/>
        <v>0</v>
      </c>
      <c r="J1044" s="247">
        <f t="shared" si="222"/>
        <v>0</v>
      </c>
      <c r="K1044" s="247">
        <f t="shared" si="222"/>
        <v>0</v>
      </c>
      <c r="L1044" s="247">
        <f t="shared" si="222"/>
        <v>0</v>
      </c>
      <c r="M1044" s="247">
        <f t="shared" si="222"/>
        <v>0</v>
      </c>
      <c r="N1044" s="247">
        <f t="shared" si="222"/>
        <v>0</v>
      </c>
      <c r="O1044" s="247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14.25" customHeight="1">
      <c r="A1045" s="234"/>
      <c r="B1045" s="234"/>
      <c r="C1045" s="234"/>
      <c r="D1045" s="234"/>
      <c r="E1045" s="234"/>
      <c r="F1045" s="234"/>
      <c r="G1045" s="234"/>
      <c r="H1045" s="234"/>
      <c r="I1045" s="234"/>
      <c r="J1045" s="234"/>
      <c r="K1045" s="234"/>
      <c r="L1045" s="234"/>
      <c r="M1045" s="234"/>
      <c r="N1045" s="234"/>
      <c r="O1045" s="234"/>
      <c r="P1045" s="234"/>
      <c r="Q1045" s="234"/>
      <c r="R1045" s="234"/>
      <c r="S1045" s="234"/>
      <c r="T1045" s="234"/>
      <c r="U1045" s="234"/>
      <c r="V1045" s="234"/>
      <c r="W1045" s="234"/>
      <c r="X1045" s="234"/>
      <c r="Y1045" s="234"/>
      <c r="Z1045" s="234"/>
    </row>
    <row r="1046" ht="14.25" customHeight="1">
      <c r="A1046" s="248" t="s">
        <v>377</v>
      </c>
      <c r="B1046" s="124"/>
      <c r="C1046" s="124"/>
      <c r="D1046" s="124"/>
      <c r="E1046" s="124"/>
      <c r="F1046" s="124"/>
      <c r="G1046" s="124"/>
      <c r="H1046" s="124"/>
      <c r="I1046" s="124"/>
      <c r="J1046" s="124"/>
      <c r="K1046" s="124"/>
      <c r="L1046" s="124"/>
      <c r="M1046" s="124"/>
      <c r="N1046" s="124"/>
      <c r="O1046" s="124"/>
      <c r="P1046" s="234"/>
      <c r="Q1046" s="234"/>
      <c r="R1046" s="234"/>
      <c r="S1046" s="234"/>
      <c r="T1046" s="234"/>
      <c r="U1046" s="234"/>
      <c r="V1046" s="234"/>
      <c r="W1046" s="234"/>
      <c r="X1046" s="234"/>
      <c r="Y1046" s="234"/>
      <c r="Z1046" s="234"/>
    </row>
    <row r="1047" ht="14.25" customHeight="1">
      <c r="A1047" s="208" t="s">
        <v>356</v>
      </c>
      <c r="B1047" s="208" t="s">
        <v>2</v>
      </c>
      <c r="C1047" s="208" t="s">
        <v>3</v>
      </c>
      <c r="D1047" s="208" t="s">
        <v>4</v>
      </c>
      <c r="E1047" s="208" t="s">
        <v>5</v>
      </c>
      <c r="F1047" s="208" t="s">
        <v>6</v>
      </c>
      <c r="G1047" s="208" t="s">
        <v>7</v>
      </c>
      <c r="H1047" s="208" t="s">
        <v>8</v>
      </c>
      <c r="I1047" s="208" t="s">
        <v>9</v>
      </c>
      <c r="J1047" s="208" t="s">
        <v>10</v>
      </c>
      <c r="K1047" s="208" t="s">
        <v>11</v>
      </c>
      <c r="L1047" s="208" t="s">
        <v>12</v>
      </c>
      <c r="M1047" s="208" t="s">
        <v>13</v>
      </c>
      <c r="N1047" s="249" t="s">
        <v>14</v>
      </c>
      <c r="O1047" s="249"/>
      <c r="P1047" s="234"/>
      <c r="Q1047" s="234"/>
      <c r="R1047" s="234"/>
      <c r="S1047" s="234"/>
      <c r="T1047" s="234"/>
      <c r="U1047" s="234"/>
      <c r="V1047" s="234"/>
      <c r="W1047" s="234"/>
      <c r="X1047" s="234"/>
      <c r="Y1047" s="234"/>
      <c r="Z1047" s="234"/>
    </row>
    <row r="1048" ht="12.0" customHeight="1" outlineLevel="1">
      <c r="A1048" s="11"/>
      <c r="B1048" s="235"/>
      <c r="C1048" s="235"/>
      <c r="D1048" s="235"/>
      <c r="E1048" s="235"/>
      <c r="F1048" s="235"/>
      <c r="G1048" s="235"/>
      <c r="H1048" s="235"/>
      <c r="I1048" s="235"/>
      <c r="J1048" s="235"/>
      <c r="K1048" s="235"/>
      <c r="L1048" s="235"/>
      <c r="M1048" s="235"/>
      <c r="N1048" s="244"/>
      <c r="O1048" s="244"/>
      <c r="P1048" s="234"/>
      <c r="Q1048" s="234"/>
      <c r="R1048" s="234"/>
      <c r="S1048" s="234"/>
      <c r="T1048" s="234"/>
      <c r="U1048" s="234"/>
      <c r="V1048" s="234"/>
      <c r="W1048" s="234"/>
      <c r="X1048" s="234"/>
      <c r="Y1048" s="234"/>
      <c r="Z1048" s="234"/>
    </row>
    <row r="1049" ht="12.0" customHeight="1" outlineLevel="1">
      <c r="A1049" s="11"/>
      <c r="B1049" s="235"/>
      <c r="C1049" s="235"/>
      <c r="D1049" s="235"/>
      <c r="E1049" s="235"/>
      <c r="F1049" s="235"/>
      <c r="G1049" s="235"/>
      <c r="H1049" s="235"/>
      <c r="I1049" s="235"/>
      <c r="J1049" s="235"/>
      <c r="K1049" s="235"/>
      <c r="L1049" s="235"/>
      <c r="M1049" s="235"/>
      <c r="N1049" s="244"/>
      <c r="O1049" s="244"/>
      <c r="P1049" s="234"/>
      <c r="Q1049" s="234"/>
      <c r="R1049" s="234"/>
      <c r="S1049" s="234"/>
      <c r="T1049" s="234"/>
      <c r="U1049" s="234"/>
      <c r="V1049" s="234"/>
      <c r="W1049" s="234"/>
      <c r="X1049" s="234"/>
      <c r="Y1049" s="234"/>
      <c r="Z1049" s="234"/>
    </row>
    <row r="1050" ht="12.0" customHeight="1" outlineLevel="1">
      <c r="A1050" s="11"/>
      <c r="B1050" s="235"/>
      <c r="C1050" s="235"/>
      <c r="D1050" s="235"/>
      <c r="E1050" s="235"/>
      <c r="F1050" s="235"/>
      <c r="G1050" s="235"/>
      <c r="H1050" s="235"/>
      <c r="I1050" s="235"/>
      <c r="J1050" s="235"/>
      <c r="K1050" s="235"/>
      <c r="L1050" s="235"/>
      <c r="M1050" s="235"/>
      <c r="N1050" s="244"/>
      <c r="O1050" s="244"/>
      <c r="P1050" s="234"/>
      <c r="Q1050" s="234"/>
      <c r="R1050" s="234"/>
      <c r="S1050" s="234"/>
      <c r="T1050" s="234"/>
      <c r="U1050" s="234"/>
      <c r="V1050" s="234"/>
      <c r="W1050" s="234"/>
      <c r="X1050" s="234"/>
      <c r="Y1050" s="234"/>
      <c r="Z1050" s="234"/>
    </row>
    <row r="1051" ht="12.0" customHeight="1" outlineLevel="1">
      <c r="A1051" s="11"/>
      <c r="B1051" s="235"/>
      <c r="C1051" s="235"/>
      <c r="D1051" s="235"/>
      <c r="E1051" s="235"/>
      <c r="F1051" s="235"/>
      <c r="G1051" s="235"/>
      <c r="H1051" s="235"/>
      <c r="I1051" s="235"/>
      <c r="J1051" s="235"/>
      <c r="K1051" s="235"/>
      <c r="L1051" s="235"/>
      <c r="M1051" s="235"/>
      <c r="N1051" s="244"/>
      <c r="O1051" s="244"/>
      <c r="P1051" s="234"/>
      <c r="Q1051" s="234"/>
      <c r="R1051" s="234"/>
      <c r="S1051" s="234"/>
      <c r="T1051" s="234"/>
      <c r="U1051" s="234"/>
      <c r="V1051" s="234"/>
      <c r="W1051" s="234"/>
      <c r="X1051" s="234"/>
      <c r="Y1051" s="234"/>
      <c r="Z1051" s="234"/>
    </row>
    <row r="1052" ht="12.0" customHeight="1" outlineLevel="1">
      <c r="A1052" s="11"/>
      <c r="B1052" s="235"/>
      <c r="C1052" s="235"/>
      <c r="D1052" s="235"/>
      <c r="E1052" s="235"/>
      <c r="F1052" s="235"/>
      <c r="G1052" s="235"/>
      <c r="H1052" s="235"/>
      <c r="I1052" s="235"/>
      <c r="J1052" s="235"/>
      <c r="K1052" s="235"/>
      <c r="L1052" s="235"/>
      <c r="M1052" s="235"/>
      <c r="N1052" s="244"/>
      <c r="O1052" s="244"/>
      <c r="P1052" s="234"/>
      <c r="Q1052" s="234"/>
      <c r="R1052" s="234"/>
      <c r="S1052" s="234"/>
      <c r="T1052" s="234"/>
      <c r="U1052" s="234"/>
      <c r="V1052" s="234"/>
      <c r="W1052" s="234"/>
      <c r="X1052" s="234"/>
      <c r="Y1052" s="234"/>
      <c r="Z1052" s="234"/>
    </row>
    <row r="1053" ht="12.0" customHeight="1" outlineLevel="1">
      <c r="A1053" s="11"/>
      <c r="B1053" s="235"/>
      <c r="C1053" s="235"/>
      <c r="D1053" s="235"/>
      <c r="E1053" s="235"/>
      <c r="F1053" s="235"/>
      <c r="G1053" s="235"/>
      <c r="H1053" s="235"/>
      <c r="I1053" s="235"/>
      <c r="J1053" s="235"/>
      <c r="K1053" s="235"/>
      <c r="L1053" s="235"/>
      <c r="M1053" s="235"/>
      <c r="N1053" s="244"/>
      <c r="O1053" s="244"/>
      <c r="P1053" s="234"/>
      <c r="Q1053" s="234"/>
      <c r="R1053" s="234"/>
      <c r="S1053" s="234"/>
      <c r="T1053" s="234"/>
      <c r="U1053" s="234"/>
      <c r="V1053" s="234"/>
      <c r="W1053" s="234"/>
      <c r="X1053" s="234"/>
      <c r="Y1053" s="234"/>
      <c r="Z1053" s="234"/>
    </row>
    <row r="1054" ht="12.0" customHeight="1" outlineLevel="1">
      <c r="A1054" s="11"/>
      <c r="B1054" s="235"/>
      <c r="C1054" s="235"/>
      <c r="D1054" s="235"/>
      <c r="E1054" s="235"/>
      <c r="F1054" s="235"/>
      <c r="G1054" s="235"/>
      <c r="H1054" s="235"/>
      <c r="I1054" s="235"/>
      <c r="J1054" s="235"/>
      <c r="K1054" s="235"/>
      <c r="L1054" s="235"/>
      <c r="M1054" s="235"/>
      <c r="N1054" s="244"/>
      <c r="O1054" s="244"/>
      <c r="P1054" s="234"/>
      <c r="Q1054" s="234"/>
      <c r="R1054" s="234"/>
      <c r="S1054" s="234"/>
      <c r="T1054" s="234"/>
      <c r="U1054" s="234"/>
      <c r="V1054" s="234"/>
      <c r="W1054" s="234"/>
      <c r="X1054" s="234"/>
      <c r="Y1054" s="234"/>
      <c r="Z1054" s="234"/>
    </row>
    <row r="1055" ht="12.0" customHeight="1" outlineLevel="1">
      <c r="A1055" s="11"/>
      <c r="B1055" s="235"/>
      <c r="C1055" s="235"/>
      <c r="D1055" s="235"/>
      <c r="E1055" s="235"/>
      <c r="F1055" s="235"/>
      <c r="G1055" s="235"/>
      <c r="H1055" s="235"/>
      <c r="I1055" s="235"/>
      <c r="J1055" s="235"/>
      <c r="K1055" s="235"/>
      <c r="L1055" s="235"/>
      <c r="M1055" s="235"/>
      <c r="N1055" s="244"/>
      <c r="O1055" s="244"/>
      <c r="P1055" s="234"/>
      <c r="Q1055" s="234"/>
      <c r="R1055" s="234"/>
      <c r="S1055" s="234"/>
      <c r="T1055" s="234"/>
      <c r="U1055" s="234"/>
      <c r="V1055" s="234"/>
      <c r="W1055" s="234"/>
      <c r="X1055" s="234"/>
      <c r="Y1055" s="234"/>
      <c r="Z1055" s="234"/>
    </row>
    <row r="1056" ht="12.0" customHeight="1" outlineLevel="1">
      <c r="A1056" s="11"/>
      <c r="B1056" s="235"/>
      <c r="C1056" s="235"/>
      <c r="D1056" s="235"/>
      <c r="E1056" s="235"/>
      <c r="F1056" s="235"/>
      <c r="G1056" s="235"/>
      <c r="H1056" s="235"/>
      <c r="I1056" s="235"/>
      <c r="J1056" s="235"/>
      <c r="K1056" s="235"/>
      <c r="L1056" s="235"/>
      <c r="M1056" s="235"/>
      <c r="N1056" s="244"/>
      <c r="O1056" s="244"/>
      <c r="P1056" s="234"/>
      <c r="Q1056" s="234"/>
      <c r="R1056" s="234"/>
      <c r="S1056" s="234"/>
      <c r="T1056" s="234"/>
      <c r="U1056" s="234"/>
      <c r="V1056" s="234"/>
      <c r="W1056" s="234"/>
      <c r="X1056" s="234"/>
      <c r="Y1056" s="234"/>
      <c r="Z1056" s="234"/>
    </row>
    <row r="1057" ht="12.0" customHeight="1" outlineLevel="1">
      <c r="A1057" s="11"/>
      <c r="B1057" s="235"/>
      <c r="C1057" s="235"/>
      <c r="D1057" s="235"/>
      <c r="E1057" s="235"/>
      <c r="F1057" s="235"/>
      <c r="G1057" s="235"/>
      <c r="H1057" s="235"/>
      <c r="I1057" s="235"/>
      <c r="J1057" s="235"/>
      <c r="K1057" s="235"/>
      <c r="L1057" s="235"/>
      <c r="M1057" s="235"/>
      <c r="N1057" s="244"/>
      <c r="O1057" s="244"/>
      <c r="P1057" s="234"/>
      <c r="Q1057" s="234"/>
      <c r="R1057" s="234"/>
      <c r="S1057" s="234"/>
      <c r="T1057" s="234"/>
      <c r="U1057" s="234"/>
      <c r="V1057" s="234"/>
      <c r="W1057" s="234"/>
      <c r="X1057" s="234"/>
      <c r="Y1057" s="234"/>
      <c r="Z1057" s="234"/>
    </row>
    <row r="1058" ht="12.0" customHeight="1" outlineLevel="1">
      <c r="A1058" s="11"/>
      <c r="B1058" s="235"/>
      <c r="C1058" s="235"/>
      <c r="D1058" s="235"/>
      <c r="E1058" s="235"/>
      <c r="F1058" s="235"/>
      <c r="G1058" s="235"/>
      <c r="H1058" s="235"/>
      <c r="I1058" s="235"/>
      <c r="J1058" s="235"/>
      <c r="K1058" s="235"/>
      <c r="L1058" s="235"/>
      <c r="M1058" s="235"/>
      <c r="N1058" s="244"/>
      <c r="O1058" s="244"/>
      <c r="P1058" s="234"/>
      <c r="Q1058" s="234"/>
      <c r="R1058" s="234"/>
      <c r="S1058" s="234"/>
      <c r="T1058" s="234"/>
      <c r="U1058" s="234"/>
      <c r="V1058" s="234"/>
      <c r="W1058" s="234"/>
      <c r="X1058" s="234"/>
      <c r="Y1058" s="234"/>
      <c r="Z1058" s="234"/>
    </row>
    <row r="1059" ht="12.0" customHeight="1" outlineLevel="1">
      <c r="A1059" s="11"/>
      <c r="B1059" s="235"/>
      <c r="C1059" s="235"/>
      <c r="D1059" s="235"/>
      <c r="E1059" s="235"/>
      <c r="F1059" s="235"/>
      <c r="G1059" s="235"/>
      <c r="H1059" s="235"/>
      <c r="I1059" s="235"/>
      <c r="J1059" s="235"/>
      <c r="K1059" s="235"/>
      <c r="L1059" s="235"/>
      <c r="M1059" s="235"/>
      <c r="N1059" s="244"/>
      <c r="O1059" s="244"/>
      <c r="P1059" s="234"/>
      <c r="Q1059" s="234"/>
      <c r="R1059" s="234"/>
      <c r="S1059" s="234"/>
      <c r="T1059" s="234"/>
      <c r="U1059" s="234"/>
      <c r="V1059" s="234"/>
      <c r="W1059" s="234"/>
      <c r="X1059" s="234"/>
      <c r="Y1059" s="234"/>
      <c r="Z1059" s="234"/>
    </row>
    <row r="1060" ht="12.0" customHeight="1" outlineLevel="1">
      <c r="A1060" s="11"/>
      <c r="B1060" s="235"/>
      <c r="C1060" s="235"/>
      <c r="D1060" s="235"/>
      <c r="E1060" s="235"/>
      <c r="F1060" s="235"/>
      <c r="G1060" s="235"/>
      <c r="H1060" s="235"/>
      <c r="I1060" s="235"/>
      <c r="J1060" s="235"/>
      <c r="K1060" s="235"/>
      <c r="L1060" s="235"/>
      <c r="M1060" s="235"/>
      <c r="N1060" s="244"/>
      <c r="O1060" s="244"/>
      <c r="P1060" s="234"/>
      <c r="Q1060" s="234"/>
      <c r="R1060" s="234"/>
      <c r="S1060" s="234"/>
      <c r="T1060" s="234"/>
      <c r="U1060" s="234"/>
      <c r="V1060" s="234"/>
      <c r="W1060" s="234"/>
      <c r="X1060" s="234"/>
      <c r="Y1060" s="234"/>
      <c r="Z1060" s="234"/>
    </row>
    <row r="1061" ht="12.0" customHeight="1" outlineLevel="1">
      <c r="A1061" s="11"/>
      <c r="B1061" s="235"/>
      <c r="C1061" s="235"/>
      <c r="D1061" s="235"/>
      <c r="E1061" s="235"/>
      <c r="F1061" s="235"/>
      <c r="G1061" s="235"/>
      <c r="H1061" s="235"/>
      <c r="I1061" s="235"/>
      <c r="J1061" s="235"/>
      <c r="K1061" s="235"/>
      <c r="L1061" s="235"/>
      <c r="M1061" s="235"/>
      <c r="N1061" s="244"/>
      <c r="O1061" s="244"/>
      <c r="P1061" s="234"/>
      <c r="Q1061" s="234"/>
      <c r="R1061" s="234"/>
      <c r="S1061" s="234"/>
      <c r="T1061" s="234"/>
      <c r="U1061" s="234"/>
      <c r="V1061" s="234"/>
      <c r="W1061" s="234"/>
      <c r="X1061" s="234"/>
      <c r="Y1061" s="234"/>
      <c r="Z1061" s="234"/>
    </row>
    <row r="1062" ht="12.0" customHeight="1" outlineLevel="1">
      <c r="A1062" s="11"/>
      <c r="B1062" s="235"/>
      <c r="C1062" s="235"/>
      <c r="D1062" s="235"/>
      <c r="E1062" s="235"/>
      <c r="F1062" s="235"/>
      <c r="G1062" s="235"/>
      <c r="H1062" s="235"/>
      <c r="I1062" s="235"/>
      <c r="J1062" s="235"/>
      <c r="K1062" s="235"/>
      <c r="L1062" s="235"/>
      <c r="M1062" s="235"/>
      <c r="N1062" s="244"/>
      <c r="O1062" s="244"/>
      <c r="P1062" s="234"/>
      <c r="Q1062" s="234"/>
      <c r="R1062" s="234"/>
      <c r="S1062" s="234"/>
      <c r="T1062" s="234"/>
      <c r="U1062" s="234"/>
      <c r="V1062" s="234"/>
      <c r="W1062" s="234"/>
      <c r="X1062" s="234"/>
      <c r="Y1062" s="234"/>
      <c r="Z1062" s="234"/>
    </row>
    <row r="1063" ht="12.0" customHeight="1" outlineLevel="1">
      <c r="A1063" s="11"/>
      <c r="B1063" s="235"/>
      <c r="C1063" s="235"/>
      <c r="D1063" s="235"/>
      <c r="E1063" s="235"/>
      <c r="F1063" s="235"/>
      <c r="G1063" s="235"/>
      <c r="H1063" s="235"/>
      <c r="I1063" s="235"/>
      <c r="J1063" s="235"/>
      <c r="K1063" s="235"/>
      <c r="L1063" s="235"/>
      <c r="M1063" s="235"/>
      <c r="N1063" s="244"/>
      <c r="O1063" s="244"/>
      <c r="P1063" s="234"/>
      <c r="Q1063" s="234"/>
      <c r="R1063" s="234"/>
      <c r="S1063" s="234"/>
      <c r="T1063" s="234"/>
      <c r="U1063" s="234"/>
      <c r="V1063" s="234"/>
      <c r="W1063" s="234"/>
      <c r="X1063" s="234"/>
      <c r="Y1063" s="234"/>
      <c r="Z1063" s="234"/>
    </row>
    <row r="1064" ht="12.0" customHeight="1" outlineLevel="1">
      <c r="A1064" s="11"/>
      <c r="B1064" s="235"/>
      <c r="C1064" s="235"/>
      <c r="D1064" s="235"/>
      <c r="E1064" s="235"/>
      <c r="F1064" s="235"/>
      <c r="G1064" s="235"/>
      <c r="H1064" s="235"/>
      <c r="I1064" s="235"/>
      <c r="J1064" s="235"/>
      <c r="K1064" s="235"/>
      <c r="L1064" s="235"/>
      <c r="M1064" s="235"/>
      <c r="N1064" s="244"/>
      <c r="O1064" s="244"/>
      <c r="P1064" s="234"/>
      <c r="Q1064" s="234"/>
      <c r="R1064" s="234"/>
      <c r="S1064" s="234"/>
      <c r="T1064" s="234"/>
      <c r="U1064" s="234"/>
      <c r="V1064" s="234"/>
      <c r="W1064" s="234"/>
      <c r="X1064" s="234"/>
      <c r="Y1064" s="234"/>
      <c r="Z1064" s="234"/>
    </row>
    <row r="1065" ht="12.0" customHeight="1" outlineLevel="1">
      <c r="A1065" s="11"/>
      <c r="B1065" s="235"/>
      <c r="C1065" s="235"/>
      <c r="D1065" s="235"/>
      <c r="E1065" s="235"/>
      <c r="F1065" s="235"/>
      <c r="G1065" s="235"/>
      <c r="H1065" s="235"/>
      <c r="I1065" s="235"/>
      <c r="J1065" s="235"/>
      <c r="K1065" s="235"/>
      <c r="L1065" s="235"/>
      <c r="M1065" s="235"/>
      <c r="N1065" s="244"/>
      <c r="O1065" s="244"/>
      <c r="P1065" s="234"/>
      <c r="Q1065" s="234"/>
      <c r="R1065" s="234"/>
      <c r="S1065" s="234"/>
      <c r="T1065" s="234"/>
      <c r="U1065" s="234"/>
      <c r="V1065" s="234"/>
      <c r="W1065" s="234"/>
      <c r="X1065" s="234"/>
      <c r="Y1065" s="234"/>
      <c r="Z1065" s="234"/>
    </row>
    <row r="1066" ht="12.0" customHeight="1" outlineLevel="1">
      <c r="A1066" s="11"/>
      <c r="B1066" s="235"/>
      <c r="C1066" s="235"/>
      <c r="D1066" s="235"/>
      <c r="E1066" s="235"/>
      <c r="F1066" s="235"/>
      <c r="G1066" s="235"/>
      <c r="H1066" s="235"/>
      <c r="I1066" s="235"/>
      <c r="J1066" s="235"/>
      <c r="K1066" s="235"/>
      <c r="L1066" s="235"/>
      <c r="M1066" s="235"/>
      <c r="N1066" s="244"/>
      <c r="O1066" s="244"/>
      <c r="P1066" s="234"/>
      <c r="Q1066" s="234"/>
      <c r="R1066" s="234"/>
      <c r="S1066" s="234"/>
      <c r="T1066" s="234"/>
      <c r="U1066" s="234"/>
      <c r="V1066" s="234"/>
      <c r="W1066" s="234"/>
      <c r="X1066" s="234"/>
      <c r="Y1066" s="234"/>
      <c r="Z1066" s="234"/>
    </row>
    <row r="1067" ht="12.0" customHeight="1" outlineLevel="1">
      <c r="A1067" s="11"/>
      <c r="B1067" s="235"/>
      <c r="C1067" s="235"/>
      <c r="D1067" s="235"/>
      <c r="E1067" s="235"/>
      <c r="F1067" s="235"/>
      <c r="G1067" s="235"/>
      <c r="H1067" s="235"/>
      <c r="I1067" s="235"/>
      <c r="J1067" s="235"/>
      <c r="K1067" s="235"/>
      <c r="L1067" s="235"/>
      <c r="M1067" s="235"/>
      <c r="N1067" s="244"/>
      <c r="O1067" s="244"/>
      <c r="P1067" s="234"/>
      <c r="Q1067" s="234"/>
      <c r="R1067" s="234"/>
      <c r="S1067" s="234"/>
      <c r="T1067" s="234"/>
      <c r="U1067" s="234"/>
      <c r="V1067" s="234"/>
      <c r="W1067" s="234"/>
      <c r="X1067" s="234"/>
      <c r="Y1067" s="234"/>
      <c r="Z1067" s="234"/>
    </row>
    <row r="1068" ht="12.0" customHeight="1" outlineLevel="1">
      <c r="A1068" s="11"/>
      <c r="B1068" s="235"/>
      <c r="C1068" s="235"/>
      <c r="D1068" s="235"/>
      <c r="E1068" s="235"/>
      <c r="F1068" s="235"/>
      <c r="G1068" s="235"/>
      <c r="H1068" s="235"/>
      <c r="I1068" s="235"/>
      <c r="J1068" s="235"/>
      <c r="K1068" s="235"/>
      <c r="L1068" s="235"/>
      <c r="M1068" s="235"/>
      <c r="N1068" s="244"/>
      <c r="O1068" s="244"/>
      <c r="P1068" s="234"/>
      <c r="Q1068" s="234"/>
      <c r="R1068" s="234"/>
      <c r="S1068" s="234"/>
      <c r="T1068" s="234"/>
      <c r="U1068" s="234"/>
      <c r="V1068" s="234"/>
      <c r="W1068" s="234"/>
      <c r="X1068" s="234"/>
      <c r="Y1068" s="234"/>
      <c r="Z1068" s="234"/>
    </row>
    <row r="1069" ht="12.0" customHeight="1" outlineLevel="1">
      <c r="A1069" s="11"/>
      <c r="B1069" s="235"/>
      <c r="C1069" s="235"/>
      <c r="D1069" s="235"/>
      <c r="E1069" s="235"/>
      <c r="F1069" s="235"/>
      <c r="G1069" s="235"/>
      <c r="H1069" s="235"/>
      <c r="I1069" s="235"/>
      <c r="J1069" s="235"/>
      <c r="K1069" s="235"/>
      <c r="L1069" s="235"/>
      <c r="M1069" s="235"/>
      <c r="N1069" s="244"/>
      <c r="O1069" s="244"/>
      <c r="P1069" s="234"/>
      <c r="Q1069" s="234"/>
      <c r="R1069" s="234"/>
      <c r="S1069" s="234"/>
      <c r="T1069" s="234"/>
      <c r="U1069" s="234"/>
      <c r="V1069" s="234"/>
      <c r="W1069" s="234"/>
      <c r="X1069" s="234"/>
      <c r="Y1069" s="234"/>
      <c r="Z1069" s="234"/>
    </row>
    <row r="1070" ht="12.0" customHeight="1" outlineLevel="1">
      <c r="A1070" s="11"/>
      <c r="B1070" s="235"/>
      <c r="C1070" s="235"/>
      <c r="D1070" s="235"/>
      <c r="E1070" s="235"/>
      <c r="F1070" s="235"/>
      <c r="G1070" s="235"/>
      <c r="H1070" s="235"/>
      <c r="I1070" s="235"/>
      <c r="J1070" s="235"/>
      <c r="K1070" s="235"/>
      <c r="L1070" s="235"/>
      <c r="M1070" s="235"/>
      <c r="N1070" s="244"/>
      <c r="O1070" s="244"/>
      <c r="P1070" s="234"/>
      <c r="Q1070" s="234"/>
      <c r="R1070" s="234"/>
      <c r="S1070" s="234"/>
      <c r="T1070" s="234"/>
      <c r="U1070" s="234"/>
      <c r="V1070" s="234"/>
      <c r="W1070" s="234"/>
      <c r="X1070" s="234"/>
      <c r="Y1070" s="234"/>
      <c r="Z1070" s="234"/>
    </row>
    <row r="1071" ht="12.0" customHeight="1" outlineLevel="1">
      <c r="A1071" s="11"/>
      <c r="B1071" s="235"/>
      <c r="C1071" s="235"/>
      <c r="D1071" s="235"/>
      <c r="E1071" s="235"/>
      <c r="F1071" s="235"/>
      <c r="G1071" s="235"/>
      <c r="H1071" s="235"/>
      <c r="I1071" s="235"/>
      <c r="J1071" s="235"/>
      <c r="K1071" s="235"/>
      <c r="L1071" s="235"/>
      <c r="M1071" s="235"/>
      <c r="N1071" s="244"/>
      <c r="O1071" s="244"/>
      <c r="P1071" s="234"/>
      <c r="Q1071" s="234"/>
      <c r="R1071" s="234"/>
      <c r="S1071" s="234"/>
      <c r="T1071" s="234"/>
      <c r="U1071" s="234"/>
      <c r="V1071" s="234"/>
      <c r="W1071" s="234"/>
      <c r="X1071" s="234"/>
      <c r="Y1071" s="234"/>
      <c r="Z1071" s="234"/>
    </row>
    <row r="1072" ht="12.0" customHeight="1" outlineLevel="1">
      <c r="A1072" s="11"/>
      <c r="B1072" s="235"/>
      <c r="C1072" s="235"/>
      <c r="D1072" s="235"/>
      <c r="E1072" s="235"/>
      <c r="F1072" s="235"/>
      <c r="G1072" s="235"/>
      <c r="H1072" s="235"/>
      <c r="I1072" s="235"/>
      <c r="J1072" s="235"/>
      <c r="K1072" s="235"/>
      <c r="L1072" s="235"/>
      <c r="M1072" s="235"/>
      <c r="N1072" s="244"/>
      <c r="O1072" s="244"/>
      <c r="P1072" s="234"/>
      <c r="Q1072" s="234"/>
      <c r="R1072" s="234"/>
      <c r="S1072" s="234"/>
      <c r="T1072" s="234"/>
      <c r="U1072" s="234"/>
      <c r="V1072" s="234"/>
      <c r="W1072" s="234"/>
      <c r="X1072" s="234"/>
      <c r="Y1072" s="234"/>
      <c r="Z1072" s="234"/>
    </row>
    <row r="1073" ht="12.0" customHeight="1" outlineLevel="1">
      <c r="A1073" s="11"/>
      <c r="B1073" s="235"/>
      <c r="C1073" s="235"/>
      <c r="D1073" s="235"/>
      <c r="E1073" s="235"/>
      <c r="F1073" s="235"/>
      <c r="G1073" s="235"/>
      <c r="H1073" s="235"/>
      <c r="I1073" s="235"/>
      <c r="J1073" s="235"/>
      <c r="K1073" s="235"/>
      <c r="L1073" s="235"/>
      <c r="M1073" s="235"/>
      <c r="N1073" s="244"/>
      <c r="O1073" s="244"/>
      <c r="P1073" s="234"/>
      <c r="Q1073" s="234"/>
      <c r="R1073" s="234"/>
      <c r="S1073" s="234"/>
      <c r="T1073" s="234"/>
      <c r="U1073" s="234"/>
      <c r="V1073" s="234"/>
      <c r="W1073" s="234"/>
      <c r="X1073" s="234"/>
      <c r="Y1073" s="234"/>
      <c r="Z1073" s="234"/>
    </row>
    <row r="1074" ht="12.0" customHeight="1">
      <c r="A1074" s="208" t="s">
        <v>357</v>
      </c>
      <c r="B1074" s="249"/>
      <c r="C1074" s="249"/>
      <c r="D1074" s="249"/>
      <c r="E1074" s="249"/>
      <c r="F1074" s="249"/>
      <c r="G1074" s="249"/>
      <c r="H1074" s="249"/>
      <c r="I1074" s="249"/>
      <c r="J1074" s="249"/>
      <c r="K1074" s="249"/>
      <c r="L1074" s="249"/>
      <c r="M1074" s="249"/>
      <c r="N1074" s="249"/>
      <c r="O1074" s="249"/>
      <c r="P1074" s="234"/>
      <c r="Q1074" s="234"/>
      <c r="R1074" s="234"/>
      <c r="S1074" s="234"/>
      <c r="T1074" s="234"/>
      <c r="U1074" s="234"/>
      <c r="V1074" s="234"/>
      <c r="W1074" s="234"/>
      <c r="X1074" s="234"/>
      <c r="Y1074" s="234"/>
      <c r="Z1074" s="234"/>
    </row>
    <row r="1075" ht="12.0" customHeight="1" outlineLevel="1">
      <c r="A1075" s="11"/>
      <c r="B1075" s="235"/>
      <c r="C1075" s="235"/>
      <c r="D1075" s="235"/>
      <c r="E1075" s="235"/>
      <c r="F1075" s="235"/>
      <c r="G1075" s="235"/>
      <c r="H1075" s="235"/>
      <c r="I1075" s="235"/>
      <c r="J1075" s="235"/>
      <c r="K1075" s="235"/>
      <c r="L1075" s="235"/>
      <c r="M1075" s="235"/>
      <c r="N1075" s="244"/>
      <c r="O1075" s="244"/>
      <c r="P1075" s="234"/>
      <c r="Q1075" s="234"/>
      <c r="R1075" s="234"/>
      <c r="S1075" s="234"/>
      <c r="T1075" s="234"/>
      <c r="U1075" s="234"/>
      <c r="V1075" s="234"/>
      <c r="W1075" s="234"/>
      <c r="X1075" s="234"/>
      <c r="Y1075" s="234"/>
      <c r="Z1075" s="234"/>
    </row>
    <row r="1076" ht="12.0" customHeight="1" outlineLevel="1">
      <c r="A1076" s="11"/>
      <c r="B1076" s="235"/>
      <c r="C1076" s="235"/>
      <c r="D1076" s="235"/>
      <c r="E1076" s="235"/>
      <c r="F1076" s="235"/>
      <c r="G1076" s="235"/>
      <c r="H1076" s="235"/>
      <c r="I1076" s="235"/>
      <c r="J1076" s="235"/>
      <c r="K1076" s="235"/>
      <c r="L1076" s="235"/>
      <c r="M1076" s="235"/>
      <c r="N1076" s="244"/>
      <c r="O1076" s="244"/>
      <c r="P1076" s="234"/>
      <c r="Q1076" s="234"/>
      <c r="R1076" s="234"/>
      <c r="S1076" s="234"/>
      <c r="T1076" s="234"/>
      <c r="U1076" s="234"/>
      <c r="V1076" s="234"/>
      <c r="W1076" s="234"/>
      <c r="X1076" s="234"/>
      <c r="Y1076" s="234"/>
      <c r="Z1076" s="234"/>
    </row>
    <row r="1077" ht="12.0" customHeight="1" outlineLevel="1">
      <c r="A1077" s="11"/>
      <c r="B1077" s="235"/>
      <c r="C1077" s="235"/>
      <c r="D1077" s="235"/>
      <c r="E1077" s="235"/>
      <c r="F1077" s="235"/>
      <c r="G1077" s="235"/>
      <c r="H1077" s="235"/>
      <c r="I1077" s="235"/>
      <c r="J1077" s="235"/>
      <c r="K1077" s="235"/>
      <c r="L1077" s="235"/>
      <c r="M1077" s="235"/>
      <c r="N1077" s="244"/>
      <c r="O1077" s="244"/>
      <c r="P1077" s="234"/>
      <c r="Q1077" s="234"/>
      <c r="R1077" s="234"/>
      <c r="S1077" s="234"/>
      <c r="T1077" s="234"/>
      <c r="U1077" s="234"/>
      <c r="V1077" s="234"/>
      <c r="W1077" s="234"/>
      <c r="X1077" s="234"/>
      <c r="Y1077" s="234"/>
      <c r="Z1077" s="234"/>
    </row>
    <row r="1078" ht="12.0" customHeight="1" outlineLevel="1">
      <c r="A1078" s="11"/>
      <c r="B1078" s="235"/>
      <c r="C1078" s="235"/>
      <c r="D1078" s="235"/>
      <c r="E1078" s="235"/>
      <c r="F1078" s="235"/>
      <c r="G1078" s="235"/>
      <c r="H1078" s="235"/>
      <c r="I1078" s="235"/>
      <c r="J1078" s="235"/>
      <c r="K1078" s="235"/>
      <c r="L1078" s="235"/>
      <c r="M1078" s="235"/>
      <c r="N1078" s="244"/>
      <c r="O1078" s="244"/>
      <c r="P1078" s="234"/>
      <c r="Q1078" s="234"/>
      <c r="R1078" s="234"/>
      <c r="S1078" s="234"/>
      <c r="T1078" s="234"/>
      <c r="U1078" s="234"/>
      <c r="V1078" s="234"/>
      <c r="W1078" s="234"/>
      <c r="X1078" s="234"/>
      <c r="Y1078" s="234"/>
      <c r="Z1078" s="234"/>
    </row>
    <row r="1079" ht="12.0" customHeight="1" outlineLevel="1">
      <c r="A1079" s="11"/>
      <c r="B1079" s="235"/>
      <c r="C1079" s="235"/>
      <c r="D1079" s="235"/>
      <c r="E1079" s="235"/>
      <c r="F1079" s="235"/>
      <c r="G1079" s="235"/>
      <c r="H1079" s="235"/>
      <c r="I1079" s="235"/>
      <c r="J1079" s="235"/>
      <c r="K1079" s="235"/>
      <c r="L1079" s="235"/>
      <c r="M1079" s="235"/>
      <c r="N1079" s="244"/>
      <c r="O1079" s="244"/>
      <c r="P1079" s="234"/>
      <c r="Q1079" s="234"/>
      <c r="R1079" s="234"/>
      <c r="S1079" s="234"/>
      <c r="T1079" s="234"/>
      <c r="U1079" s="234"/>
      <c r="V1079" s="234"/>
      <c r="W1079" s="234"/>
      <c r="X1079" s="234"/>
      <c r="Y1079" s="234"/>
      <c r="Z1079" s="234"/>
    </row>
    <row r="1080" ht="12.0" customHeight="1" outlineLevel="1">
      <c r="A1080" s="11"/>
      <c r="B1080" s="235"/>
      <c r="C1080" s="235"/>
      <c r="D1080" s="235"/>
      <c r="E1080" s="235"/>
      <c r="F1080" s="235"/>
      <c r="G1080" s="235"/>
      <c r="H1080" s="235"/>
      <c r="I1080" s="235"/>
      <c r="J1080" s="235"/>
      <c r="K1080" s="235"/>
      <c r="L1080" s="235"/>
      <c r="M1080" s="235"/>
      <c r="N1080" s="244"/>
      <c r="O1080" s="244"/>
      <c r="P1080" s="234"/>
      <c r="Q1080" s="234"/>
      <c r="R1080" s="234"/>
      <c r="S1080" s="234"/>
      <c r="T1080" s="234"/>
      <c r="U1080" s="234"/>
      <c r="V1080" s="234"/>
      <c r="W1080" s="234"/>
      <c r="X1080" s="234"/>
      <c r="Y1080" s="234"/>
      <c r="Z1080" s="234"/>
    </row>
    <row r="1081" ht="12.0" customHeight="1" outlineLevel="1">
      <c r="A1081" s="11"/>
      <c r="B1081" s="235"/>
      <c r="C1081" s="235"/>
      <c r="D1081" s="235"/>
      <c r="E1081" s="235"/>
      <c r="F1081" s="235"/>
      <c r="G1081" s="235"/>
      <c r="H1081" s="235"/>
      <c r="I1081" s="235"/>
      <c r="J1081" s="235"/>
      <c r="K1081" s="235"/>
      <c r="L1081" s="235"/>
      <c r="M1081" s="235"/>
      <c r="N1081" s="244"/>
      <c r="O1081" s="244"/>
      <c r="P1081" s="234"/>
      <c r="Q1081" s="234"/>
      <c r="R1081" s="234"/>
      <c r="S1081" s="234"/>
      <c r="T1081" s="234"/>
      <c r="U1081" s="234"/>
      <c r="V1081" s="234"/>
      <c r="W1081" s="234"/>
      <c r="X1081" s="234"/>
      <c r="Y1081" s="234"/>
      <c r="Z1081" s="234"/>
    </row>
    <row r="1082" ht="12.0" customHeight="1" outlineLevel="1">
      <c r="A1082" s="11"/>
      <c r="B1082" s="235"/>
      <c r="C1082" s="235"/>
      <c r="D1082" s="235"/>
      <c r="E1082" s="235"/>
      <c r="F1082" s="235"/>
      <c r="G1082" s="235"/>
      <c r="H1082" s="235"/>
      <c r="I1082" s="235"/>
      <c r="J1082" s="235"/>
      <c r="K1082" s="235"/>
      <c r="L1082" s="235"/>
      <c r="M1082" s="235"/>
      <c r="N1082" s="244"/>
      <c r="O1082" s="244"/>
      <c r="P1082" s="234"/>
      <c r="Q1082" s="234"/>
      <c r="R1082" s="234"/>
      <c r="S1082" s="234"/>
      <c r="T1082" s="234"/>
      <c r="U1082" s="234"/>
      <c r="V1082" s="234"/>
      <c r="W1082" s="234"/>
      <c r="X1082" s="234"/>
      <c r="Y1082" s="234"/>
      <c r="Z1082" s="234"/>
    </row>
    <row r="1083" ht="12.0" customHeight="1" outlineLevel="1">
      <c r="A1083" s="11"/>
      <c r="B1083" s="235"/>
      <c r="C1083" s="235"/>
      <c r="D1083" s="235"/>
      <c r="E1083" s="235"/>
      <c r="F1083" s="235"/>
      <c r="G1083" s="235"/>
      <c r="H1083" s="235"/>
      <c r="I1083" s="235"/>
      <c r="J1083" s="235"/>
      <c r="K1083" s="235"/>
      <c r="L1083" s="235"/>
      <c r="M1083" s="235"/>
      <c r="N1083" s="244"/>
      <c r="O1083" s="244"/>
      <c r="P1083" s="234"/>
      <c r="Q1083" s="234"/>
      <c r="R1083" s="234"/>
      <c r="S1083" s="234"/>
      <c r="T1083" s="234"/>
      <c r="U1083" s="234"/>
      <c r="V1083" s="234"/>
      <c r="W1083" s="234"/>
      <c r="X1083" s="234"/>
      <c r="Y1083" s="234"/>
      <c r="Z1083" s="234"/>
    </row>
    <row r="1084" ht="12.0" customHeight="1" outlineLevel="1">
      <c r="A1084" s="11"/>
      <c r="B1084" s="235"/>
      <c r="C1084" s="235"/>
      <c r="D1084" s="235"/>
      <c r="E1084" s="235"/>
      <c r="F1084" s="235"/>
      <c r="G1084" s="235"/>
      <c r="H1084" s="235"/>
      <c r="I1084" s="235"/>
      <c r="J1084" s="235"/>
      <c r="K1084" s="235"/>
      <c r="L1084" s="235"/>
      <c r="M1084" s="235"/>
      <c r="N1084" s="244"/>
      <c r="O1084" s="244"/>
      <c r="P1084" s="234"/>
      <c r="Q1084" s="234"/>
      <c r="R1084" s="234"/>
      <c r="S1084" s="234"/>
      <c r="T1084" s="234"/>
      <c r="U1084" s="234"/>
      <c r="V1084" s="234"/>
      <c r="W1084" s="234"/>
      <c r="X1084" s="234"/>
      <c r="Y1084" s="234"/>
      <c r="Z1084" s="234"/>
    </row>
    <row r="1085" ht="12.0" customHeight="1" outlineLevel="1">
      <c r="A1085" s="11"/>
      <c r="B1085" s="235"/>
      <c r="C1085" s="235"/>
      <c r="D1085" s="235"/>
      <c r="E1085" s="235"/>
      <c r="F1085" s="235"/>
      <c r="G1085" s="235"/>
      <c r="H1085" s="235"/>
      <c r="I1085" s="235"/>
      <c r="J1085" s="235"/>
      <c r="K1085" s="235"/>
      <c r="L1085" s="235"/>
      <c r="M1085" s="235"/>
      <c r="N1085" s="244"/>
      <c r="O1085" s="244"/>
      <c r="P1085" s="234"/>
      <c r="Q1085" s="234"/>
      <c r="R1085" s="234"/>
      <c r="S1085" s="234"/>
      <c r="T1085" s="234"/>
      <c r="U1085" s="234"/>
      <c r="V1085" s="234"/>
      <c r="W1085" s="234"/>
      <c r="X1085" s="234"/>
      <c r="Y1085" s="234"/>
      <c r="Z1085" s="234"/>
    </row>
    <row r="1086" ht="12.0" customHeight="1" outlineLevel="1">
      <c r="A1086" s="11"/>
      <c r="B1086" s="235"/>
      <c r="C1086" s="235"/>
      <c r="D1086" s="235"/>
      <c r="E1086" s="235"/>
      <c r="F1086" s="235"/>
      <c r="G1086" s="235"/>
      <c r="H1086" s="235"/>
      <c r="I1086" s="235"/>
      <c r="J1086" s="235"/>
      <c r="K1086" s="235"/>
      <c r="L1086" s="235"/>
      <c r="M1086" s="235"/>
      <c r="N1086" s="244"/>
      <c r="O1086" s="244"/>
      <c r="P1086" s="234"/>
      <c r="Q1086" s="234"/>
      <c r="R1086" s="234"/>
      <c r="S1086" s="234"/>
      <c r="T1086" s="234"/>
      <c r="U1086" s="234"/>
      <c r="V1086" s="234"/>
      <c r="W1086" s="234"/>
      <c r="X1086" s="234"/>
      <c r="Y1086" s="234"/>
      <c r="Z1086" s="234"/>
    </row>
    <row r="1087" ht="12.0" customHeight="1" outlineLevel="1">
      <c r="A1087" s="11"/>
      <c r="B1087" s="235"/>
      <c r="C1087" s="235"/>
      <c r="D1087" s="235"/>
      <c r="E1087" s="235"/>
      <c r="F1087" s="235"/>
      <c r="G1087" s="235"/>
      <c r="H1087" s="235"/>
      <c r="I1087" s="235"/>
      <c r="J1087" s="235"/>
      <c r="K1087" s="235"/>
      <c r="L1087" s="235"/>
      <c r="M1087" s="235"/>
      <c r="N1087" s="244"/>
      <c r="O1087" s="244"/>
      <c r="P1087" s="234"/>
      <c r="Q1087" s="234"/>
      <c r="R1087" s="234"/>
      <c r="S1087" s="234"/>
      <c r="T1087" s="234"/>
      <c r="U1087" s="234"/>
      <c r="V1087" s="234"/>
      <c r="W1087" s="234"/>
      <c r="X1087" s="234"/>
      <c r="Y1087" s="234"/>
      <c r="Z1087" s="234"/>
    </row>
    <row r="1088" ht="12.0" customHeight="1" outlineLevel="1">
      <c r="A1088" s="11"/>
      <c r="B1088" s="235"/>
      <c r="C1088" s="235"/>
      <c r="D1088" s="235"/>
      <c r="E1088" s="235"/>
      <c r="F1088" s="235"/>
      <c r="G1088" s="235"/>
      <c r="H1088" s="235"/>
      <c r="I1088" s="235"/>
      <c r="J1088" s="235"/>
      <c r="K1088" s="235"/>
      <c r="L1088" s="235"/>
      <c r="M1088" s="235"/>
      <c r="N1088" s="244"/>
      <c r="O1088" s="244"/>
      <c r="P1088" s="234"/>
      <c r="Q1088" s="234"/>
      <c r="R1088" s="234"/>
      <c r="S1088" s="234"/>
      <c r="T1088" s="234"/>
      <c r="U1088" s="234"/>
      <c r="V1088" s="234"/>
      <c r="W1088" s="234"/>
      <c r="X1088" s="234"/>
      <c r="Y1088" s="234"/>
      <c r="Z1088" s="234"/>
    </row>
    <row r="1089" ht="12.0" customHeight="1" outlineLevel="1">
      <c r="A1089" s="11"/>
      <c r="B1089" s="235"/>
      <c r="C1089" s="235"/>
      <c r="D1089" s="235"/>
      <c r="E1089" s="235"/>
      <c r="F1089" s="235"/>
      <c r="G1089" s="235"/>
      <c r="H1089" s="235"/>
      <c r="I1089" s="235"/>
      <c r="J1089" s="235"/>
      <c r="K1089" s="235"/>
      <c r="L1089" s="235"/>
      <c r="M1089" s="235"/>
      <c r="N1089" s="244"/>
      <c r="O1089" s="244"/>
      <c r="P1089" s="234"/>
      <c r="Q1089" s="234"/>
      <c r="R1089" s="234"/>
      <c r="S1089" s="234"/>
      <c r="T1089" s="234"/>
      <c r="U1089" s="234"/>
      <c r="V1089" s="234"/>
      <c r="W1089" s="234"/>
      <c r="X1089" s="234"/>
      <c r="Y1089" s="234"/>
      <c r="Z1089" s="234"/>
    </row>
    <row r="1090" ht="12.0" customHeight="1" outlineLevel="1">
      <c r="A1090" s="11"/>
      <c r="B1090" s="235"/>
      <c r="C1090" s="235"/>
      <c r="D1090" s="235"/>
      <c r="E1090" s="235"/>
      <c r="F1090" s="235"/>
      <c r="G1090" s="235"/>
      <c r="H1090" s="235"/>
      <c r="I1090" s="235"/>
      <c r="J1090" s="235"/>
      <c r="K1090" s="235"/>
      <c r="L1090" s="235"/>
      <c r="M1090" s="235"/>
      <c r="N1090" s="244"/>
      <c r="O1090" s="244"/>
      <c r="P1090" s="234"/>
      <c r="Q1090" s="234"/>
      <c r="R1090" s="234"/>
      <c r="S1090" s="234"/>
      <c r="T1090" s="234"/>
      <c r="U1090" s="234"/>
      <c r="V1090" s="234"/>
      <c r="W1090" s="234"/>
      <c r="X1090" s="234"/>
      <c r="Y1090" s="234"/>
      <c r="Z1090" s="234"/>
    </row>
    <row r="1091" ht="12.0" customHeight="1" outlineLevel="1">
      <c r="A1091" s="11"/>
      <c r="B1091" s="235"/>
      <c r="C1091" s="235"/>
      <c r="D1091" s="235"/>
      <c r="E1091" s="235"/>
      <c r="F1091" s="235"/>
      <c r="G1091" s="235"/>
      <c r="H1091" s="235"/>
      <c r="I1091" s="235"/>
      <c r="J1091" s="235"/>
      <c r="K1091" s="235"/>
      <c r="L1091" s="235"/>
      <c r="M1091" s="235"/>
      <c r="N1091" s="244"/>
      <c r="O1091" s="244"/>
      <c r="P1091" s="234"/>
      <c r="Q1091" s="234"/>
      <c r="R1091" s="234"/>
      <c r="S1091" s="234"/>
      <c r="T1091" s="234"/>
      <c r="U1091" s="234"/>
      <c r="V1091" s="234"/>
      <c r="W1091" s="234"/>
      <c r="X1091" s="234"/>
      <c r="Y1091" s="234"/>
      <c r="Z1091" s="234"/>
    </row>
    <row r="1092" ht="12.0" customHeight="1" outlineLevel="1">
      <c r="A1092" s="11"/>
      <c r="B1092" s="235"/>
      <c r="C1092" s="235"/>
      <c r="D1092" s="235"/>
      <c r="E1092" s="235"/>
      <c r="F1092" s="235"/>
      <c r="G1092" s="235"/>
      <c r="H1092" s="235"/>
      <c r="I1092" s="235"/>
      <c r="J1092" s="235"/>
      <c r="K1092" s="235"/>
      <c r="L1092" s="235"/>
      <c r="M1092" s="235"/>
      <c r="N1092" s="244"/>
      <c r="O1092" s="244"/>
      <c r="P1092" s="234"/>
      <c r="Q1092" s="234"/>
      <c r="R1092" s="234"/>
      <c r="S1092" s="234"/>
      <c r="T1092" s="234"/>
      <c r="U1092" s="234"/>
      <c r="V1092" s="234"/>
      <c r="W1092" s="234"/>
      <c r="X1092" s="234"/>
      <c r="Y1092" s="234"/>
      <c r="Z1092" s="234"/>
    </row>
    <row r="1093" ht="12.0" customHeight="1" outlineLevel="1">
      <c r="A1093" s="11"/>
      <c r="B1093" s="235"/>
      <c r="C1093" s="235"/>
      <c r="D1093" s="235"/>
      <c r="E1093" s="235"/>
      <c r="F1093" s="235"/>
      <c r="G1093" s="235"/>
      <c r="H1093" s="235"/>
      <c r="I1093" s="235"/>
      <c r="J1093" s="235"/>
      <c r="K1093" s="235"/>
      <c r="L1093" s="235"/>
      <c r="M1093" s="235"/>
      <c r="N1093" s="244"/>
      <c r="O1093" s="244"/>
      <c r="P1093" s="234"/>
      <c r="Q1093" s="234"/>
      <c r="R1093" s="234"/>
      <c r="S1093" s="234"/>
      <c r="T1093" s="234"/>
      <c r="U1093" s="234"/>
      <c r="V1093" s="234"/>
      <c r="W1093" s="234"/>
      <c r="X1093" s="234"/>
      <c r="Y1093" s="234"/>
      <c r="Z1093" s="234"/>
    </row>
    <row r="1094" ht="12.0" customHeight="1" outlineLevel="1">
      <c r="A1094" s="11"/>
      <c r="B1094" s="235"/>
      <c r="C1094" s="235"/>
      <c r="D1094" s="235"/>
      <c r="E1094" s="235"/>
      <c r="F1094" s="235"/>
      <c r="G1094" s="235"/>
      <c r="H1094" s="235"/>
      <c r="I1094" s="235"/>
      <c r="J1094" s="235"/>
      <c r="K1094" s="235"/>
      <c r="L1094" s="235"/>
      <c r="M1094" s="235"/>
      <c r="N1094" s="244"/>
      <c r="O1094" s="244"/>
      <c r="P1094" s="234"/>
      <c r="Q1094" s="234"/>
      <c r="R1094" s="234"/>
      <c r="S1094" s="234"/>
      <c r="T1094" s="234"/>
      <c r="U1094" s="234"/>
      <c r="V1094" s="234"/>
      <c r="W1094" s="234"/>
      <c r="X1094" s="234"/>
      <c r="Y1094" s="234"/>
      <c r="Z1094" s="234"/>
    </row>
    <row r="1095" ht="12.0" customHeight="1" outlineLevel="1">
      <c r="A1095" s="11"/>
      <c r="B1095" s="235"/>
      <c r="C1095" s="235"/>
      <c r="D1095" s="235"/>
      <c r="E1095" s="235"/>
      <c r="F1095" s="235"/>
      <c r="G1095" s="235"/>
      <c r="H1095" s="235"/>
      <c r="I1095" s="235"/>
      <c r="J1095" s="235"/>
      <c r="K1095" s="235"/>
      <c r="L1095" s="235"/>
      <c r="M1095" s="235"/>
      <c r="N1095" s="244"/>
      <c r="O1095" s="244"/>
      <c r="P1095" s="234"/>
      <c r="Q1095" s="234"/>
      <c r="R1095" s="234"/>
      <c r="S1095" s="234"/>
      <c r="T1095" s="234"/>
      <c r="U1095" s="234"/>
      <c r="V1095" s="234"/>
      <c r="W1095" s="234"/>
      <c r="X1095" s="234"/>
      <c r="Y1095" s="234"/>
      <c r="Z1095" s="234"/>
    </row>
    <row r="1096" ht="12.0" customHeight="1" outlineLevel="1">
      <c r="A1096" s="11"/>
      <c r="B1096" s="235"/>
      <c r="C1096" s="235"/>
      <c r="D1096" s="235"/>
      <c r="E1096" s="235"/>
      <c r="F1096" s="235"/>
      <c r="G1096" s="235"/>
      <c r="H1096" s="235"/>
      <c r="I1096" s="235"/>
      <c r="J1096" s="235"/>
      <c r="K1096" s="235"/>
      <c r="L1096" s="235"/>
      <c r="M1096" s="235"/>
      <c r="N1096" s="244"/>
      <c r="O1096" s="244"/>
      <c r="P1096" s="234"/>
      <c r="Q1096" s="234"/>
      <c r="R1096" s="234"/>
      <c r="S1096" s="234"/>
      <c r="T1096" s="234"/>
      <c r="U1096" s="234"/>
      <c r="V1096" s="234"/>
      <c r="W1096" s="234"/>
      <c r="X1096" s="234"/>
      <c r="Y1096" s="234"/>
      <c r="Z1096" s="234"/>
    </row>
    <row r="1097" ht="12.0" customHeight="1" outlineLevel="1">
      <c r="A1097" s="11"/>
      <c r="B1097" s="235"/>
      <c r="C1097" s="235"/>
      <c r="D1097" s="235"/>
      <c r="E1097" s="235"/>
      <c r="F1097" s="235"/>
      <c r="G1097" s="235"/>
      <c r="H1097" s="235"/>
      <c r="I1097" s="235"/>
      <c r="J1097" s="235"/>
      <c r="K1097" s="235"/>
      <c r="L1097" s="235"/>
      <c r="M1097" s="235"/>
      <c r="N1097" s="244"/>
      <c r="O1097" s="244"/>
      <c r="P1097" s="234"/>
      <c r="Q1097" s="234"/>
      <c r="R1097" s="234"/>
      <c r="S1097" s="234"/>
      <c r="T1097" s="234"/>
      <c r="U1097" s="234"/>
      <c r="V1097" s="234"/>
      <c r="W1097" s="234"/>
      <c r="X1097" s="234"/>
      <c r="Y1097" s="234"/>
      <c r="Z1097" s="234"/>
    </row>
    <row r="1098" ht="12.0" customHeight="1" outlineLevel="1">
      <c r="A1098" s="11"/>
      <c r="B1098" s="235"/>
      <c r="C1098" s="235"/>
      <c r="D1098" s="235"/>
      <c r="E1098" s="235"/>
      <c r="F1098" s="235"/>
      <c r="G1098" s="235"/>
      <c r="H1098" s="235"/>
      <c r="I1098" s="235"/>
      <c r="J1098" s="235"/>
      <c r="K1098" s="235"/>
      <c r="L1098" s="235"/>
      <c r="M1098" s="235"/>
      <c r="N1098" s="244"/>
      <c r="O1098" s="244"/>
      <c r="P1098" s="234"/>
      <c r="Q1098" s="234"/>
      <c r="R1098" s="234"/>
      <c r="S1098" s="234"/>
      <c r="T1098" s="234"/>
      <c r="U1098" s="234"/>
      <c r="V1098" s="234"/>
      <c r="W1098" s="234"/>
      <c r="X1098" s="234"/>
      <c r="Y1098" s="234"/>
      <c r="Z1098" s="234"/>
    </row>
    <row r="1099" ht="12.0" customHeight="1" outlineLevel="1">
      <c r="A1099" s="11"/>
      <c r="B1099" s="235"/>
      <c r="C1099" s="235"/>
      <c r="D1099" s="235"/>
      <c r="E1099" s="235"/>
      <c r="F1099" s="235"/>
      <c r="G1099" s="235"/>
      <c r="H1099" s="235"/>
      <c r="I1099" s="235"/>
      <c r="J1099" s="235"/>
      <c r="K1099" s="235"/>
      <c r="L1099" s="235"/>
      <c r="M1099" s="235"/>
      <c r="N1099" s="244"/>
      <c r="O1099" s="244"/>
      <c r="P1099" s="234"/>
      <c r="Q1099" s="234"/>
      <c r="R1099" s="234"/>
      <c r="S1099" s="234"/>
      <c r="T1099" s="234"/>
      <c r="U1099" s="234"/>
      <c r="V1099" s="234"/>
      <c r="W1099" s="234"/>
      <c r="X1099" s="234"/>
      <c r="Y1099" s="234"/>
      <c r="Z1099" s="234"/>
    </row>
    <row r="1100" ht="12.0" customHeight="1" outlineLevel="1">
      <c r="A1100" s="11"/>
      <c r="B1100" s="235"/>
      <c r="C1100" s="235"/>
      <c r="D1100" s="235"/>
      <c r="E1100" s="235"/>
      <c r="F1100" s="235"/>
      <c r="G1100" s="235"/>
      <c r="H1100" s="235"/>
      <c r="I1100" s="235"/>
      <c r="J1100" s="235"/>
      <c r="K1100" s="235"/>
      <c r="L1100" s="235"/>
      <c r="M1100" s="235"/>
      <c r="N1100" s="244"/>
      <c r="O1100" s="244"/>
      <c r="P1100" s="234"/>
      <c r="Q1100" s="234"/>
      <c r="R1100" s="234"/>
      <c r="S1100" s="234"/>
      <c r="T1100" s="234"/>
      <c r="U1100" s="234"/>
      <c r="V1100" s="234"/>
      <c r="W1100" s="234"/>
      <c r="X1100" s="234"/>
      <c r="Y1100" s="234"/>
      <c r="Z1100" s="234"/>
    </row>
    <row r="1101" ht="12.0" customHeight="1">
      <c r="A1101" s="208" t="s">
        <v>358</v>
      </c>
      <c r="B1101" s="249"/>
      <c r="C1101" s="249"/>
      <c r="D1101" s="249"/>
      <c r="E1101" s="249"/>
      <c r="F1101" s="249"/>
      <c r="G1101" s="249"/>
      <c r="H1101" s="249"/>
      <c r="I1101" s="249"/>
      <c r="J1101" s="249"/>
      <c r="K1101" s="249"/>
      <c r="L1101" s="249"/>
      <c r="M1101" s="249"/>
      <c r="N1101" s="249"/>
      <c r="O1101" s="249"/>
      <c r="P1101" s="234"/>
      <c r="Q1101" s="234"/>
      <c r="R1101" s="234"/>
      <c r="S1101" s="234"/>
      <c r="T1101" s="234"/>
      <c r="U1101" s="234"/>
      <c r="V1101" s="234"/>
      <c r="W1101" s="234"/>
      <c r="X1101" s="234"/>
      <c r="Y1101" s="234"/>
      <c r="Z1101" s="234"/>
    </row>
    <row r="1102" ht="12.0" customHeight="1" outlineLevel="1">
      <c r="A1102" s="11"/>
      <c r="B1102" s="217"/>
      <c r="C1102" s="217"/>
      <c r="D1102" s="217"/>
      <c r="E1102" s="217"/>
      <c r="F1102" s="217"/>
      <c r="G1102" s="217"/>
      <c r="H1102" s="217"/>
      <c r="I1102" s="217"/>
      <c r="J1102" s="217"/>
      <c r="K1102" s="217"/>
      <c r="L1102" s="217"/>
      <c r="M1102" s="217"/>
      <c r="N1102" s="244"/>
      <c r="O1102" s="244"/>
      <c r="P1102" s="234"/>
      <c r="Q1102" s="234"/>
      <c r="R1102" s="234"/>
      <c r="S1102" s="234"/>
      <c r="T1102" s="234"/>
      <c r="U1102" s="234"/>
      <c r="V1102" s="234"/>
      <c r="W1102" s="234"/>
      <c r="X1102" s="234"/>
      <c r="Y1102" s="234"/>
      <c r="Z1102" s="234"/>
    </row>
    <row r="1103" ht="12.0" customHeight="1" outlineLevel="1">
      <c r="A1103" s="11"/>
      <c r="B1103" s="217"/>
      <c r="C1103" s="217"/>
      <c r="D1103" s="217"/>
      <c r="E1103" s="217"/>
      <c r="F1103" s="217"/>
      <c r="G1103" s="217"/>
      <c r="H1103" s="217"/>
      <c r="I1103" s="217"/>
      <c r="J1103" s="217"/>
      <c r="K1103" s="217"/>
      <c r="L1103" s="217"/>
      <c r="M1103" s="217"/>
      <c r="N1103" s="244"/>
      <c r="O1103" s="244"/>
      <c r="P1103" s="234"/>
      <c r="Q1103" s="234"/>
      <c r="R1103" s="234"/>
      <c r="S1103" s="234"/>
      <c r="T1103" s="234"/>
      <c r="U1103" s="234"/>
      <c r="V1103" s="234"/>
      <c r="W1103" s="234"/>
      <c r="X1103" s="234"/>
      <c r="Y1103" s="234"/>
      <c r="Z1103" s="234"/>
    </row>
    <row r="1104" ht="12.0" customHeight="1" outlineLevel="1">
      <c r="A1104" s="11"/>
      <c r="B1104" s="217"/>
      <c r="C1104" s="217"/>
      <c r="D1104" s="217"/>
      <c r="E1104" s="217"/>
      <c r="F1104" s="217"/>
      <c r="G1104" s="217"/>
      <c r="H1104" s="217"/>
      <c r="I1104" s="217"/>
      <c r="J1104" s="217"/>
      <c r="K1104" s="217"/>
      <c r="L1104" s="217"/>
      <c r="M1104" s="217"/>
      <c r="N1104" s="244"/>
      <c r="O1104" s="244"/>
      <c r="P1104" s="234"/>
      <c r="Q1104" s="234"/>
      <c r="R1104" s="234"/>
      <c r="S1104" s="234"/>
      <c r="T1104" s="234"/>
      <c r="U1104" s="234"/>
      <c r="V1104" s="234"/>
      <c r="W1104" s="234"/>
      <c r="X1104" s="234"/>
      <c r="Y1104" s="234"/>
      <c r="Z1104" s="234"/>
    </row>
    <row r="1105" ht="12.0" customHeight="1" outlineLevel="1">
      <c r="A1105" s="11"/>
      <c r="B1105" s="217"/>
      <c r="C1105" s="217"/>
      <c r="D1105" s="217"/>
      <c r="E1105" s="217"/>
      <c r="F1105" s="217"/>
      <c r="G1105" s="217"/>
      <c r="H1105" s="217"/>
      <c r="I1105" s="217"/>
      <c r="J1105" s="217"/>
      <c r="K1105" s="217"/>
      <c r="L1105" s="217"/>
      <c r="M1105" s="217"/>
      <c r="N1105" s="244"/>
      <c r="O1105" s="244"/>
      <c r="P1105" s="234"/>
      <c r="Q1105" s="234"/>
      <c r="R1105" s="234"/>
      <c r="S1105" s="234"/>
      <c r="T1105" s="234"/>
      <c r="U1105" s="234"/>
      <c r="V1105" s="234"/>
      <c r="W1105" s="234"/>
      <c r="X1105" s="234"/>
      <c r="Y1105" s="234"/>
      <c r="Z1105" s="234"/>
    </row>
    <row r="1106" ht="12.0" customHeight="1" outlineLevel="1">
      <c r="A1106" s="11"/>
      <c r="B1106" s="217"/>
      <c r="C1106" s="217"/>
      <c r="D1106" s="217"/>
      <c r="E1106" s="217"/>
      <c r="F1106" s="217"/>
      <c r="G1106" s="217"/>
      <c r="H1106" s="217"/>
      <c r="I1106" s="217"/>
      <c r="J1106" s="217"/>
      <c r="K1106" s="217"/>
      <c r="L1106" s="217"/>
      <c r="M1106" s="217"/>
      <c r="N1106" s="244"/>
      <c r="O1106" s="244"/>
      <c r="P1106" s="234"/>
      <c r="Q1106" s="234"/>
      <c r="R1106" s="234"/>
      <c r="S1106" s="234"/>
      <c r="T1106" s="234"/>
      <c r="U1106" s="234"/>
      <c r="V1106" s="234"/>
      <c r="W1106" s="234"/>
      <c r="X1106" s="234"/>
      <c r="Y1106" s="234"/>
      <c r="Z1106" s="234"/>
    </row>
    <row r="1107" ht="12.0" customHeight="1" outlineLevel="1">
      <c r="A1107" s="11"/>
      <c r="B1107" s="217"/>
      <c r="C1107" s="217"/>
      <c r="D1107" s="217"/>
      <c r="E1107" s="217"/>
      <c r="F1107" s="217"/>
      <c r="G1107" s="217"/>
      <c r="H1107" s="217"/>
      <c r="I1107" s="217"/>
      <c r="J1107" s="217"/>
      <c r="K1107" s="217"/>
      <c r="L1107" s="217"/>
      <c r="M1107" s="217"/>
      <c r="N1107" s="244"/>
      <c r="O1107" s="244"/>
      <c r="P1107" s="234"/>
      <c r="Q1107" s="234"/>
      <c r="R1107" s="234"/>
      <c r="S1107" s="234"/>
      <c r="T1107" s="234"/>
      <c r="U1107" s="234"/>
      <c r="V1107" s="234"/>
      <c r="W1107" s="234"/>
      <c r="X1107" s="234"/>
      <c r="Y1107" s="234"/>
      <c r="Z1107" s="234"/>
    </row>
    <row r="1108" ht="12.0" customHeight="1" outlineLevel="1">
      <c r="A1108" s="11"/>
      <c r="B1108" s="217"/>
      <c r="C1108" s="217"/>
      <c r="D1108" s="217"/>
      <c r="E1108" s="217"/>
      <c r="F1108" s="217"/>
      <c r="G1108" s="217"/>
      <c r="H1108" s="217"/>
      <c r="I1108" s="217"/>
      <c r="J1108" s="217"/>
      <c r="K1108" s="217"/>
      <c r="L1108" s="217"/>
      <c r="M1108" s="217"/>
      <c r="N1108" s="244"/>
      <c r="O1108" s="244"/>
      <c r="P1108" s="234"/>
      <c r="Q1108" s="234"/>
      <c r="R1108" s="234"/>
      <c r="S1108" s="234"/>
      <c r="T1108" s="234"/>
      <c r="U1108" s="234"/>
      <c r="V1108" s="234"/>
      <c r="W1108" s="234"/>
      <c r="X1108" s="234"/>
      <c r="Y1108" s="234"/>
      <c r="Z1108" s="234"/>
    </row>
    <row r="1109" ht="12.0" customHeight="1" outlineLevel="1">
      <c r="A1109" s="11"/>
      <c r="B1109" s="217"/>
      <c r="C1109" s="217"/>
      <c r="D1109" s="217"/>
      <c r="E1109" s="217"/>
      <c r="F1109" s="217"/>
      <c r="G1109" s="217"/>
      <c r="H1109" s="217"/>
      <c r="I1109" s="217"/>
      <c r="J1109" s="217"/>
      <c r="K1109" s="217"/>
      <c r="L1109" s="217"/>
      <c r="M1109" s="217"/>
      <c r="N1109" s="244"/>
      <c r="O1109" s="244"/>
      <c r="P1109" s="234"/>
      <c r="Q1109" s="234"/>
      <c r="R1109" s="234"/>
      <c r="S1109" s="234"/>
      <c r="T1109" s="234"/>
      <c r="U1109" s="234"/>
      <c r="V1109" s="234"/>
      <c r="W1109" s="234"/>
      <c r="X1109" s="234"/>
      <c r="Y1109" s="234"/>
      <c r="Z1109" s="234"/>
    </row>
    <row r="1110" ht="12.0" customHeight="1" outlineLevel="1">
      <c r="A1110" s="11"/>
      <c r="B1110" s="217"/>
      <c r="C1110" s="217"/>
      <c r="D1110" s="217"/>
      <c r="E1110" s="217"/>
      <c r="F1110" s="217"/>
      <c r="G1110" s="217"/>
      <c r="H1110" s="217"/>
      <c r="I1110" s="217"/>
      <c r="J1110" s="217"/>
      <c r="K1110" s="217"/>
      <c r="L1110" s="217"/>
      <c r="M1110" s="217"/>
      <c r="N1110" s="244"/>
      <c r="O1110" s="244"/>
      <c r="P1110" s="234"/>
      <c r="Q1110" s="234"/>
      <c r="R1110" s="234"/>
      <c r="S1110" s="234"/>
      <c r="T1110" s="234"/>
      <c r="U1110" s="234"/>
      <c r="V1110" s="234"/>
      <c r="W1110" s="234"/>
      <c r="X1110" s="234"/>
      <c r="Y1110" s="234"/>
      <c r="Z1110" s="234"/>
    </row>
    <row r="1111" ht="12.0" customHeight="1" outlineLevel="1">
      <c r="A1111" s="11"/>
      <c r="B1111" s="217"/>
      <c r="C1111" s="217"/>
      <c r="D1111" s="217"/>
      <c r="E1111" s="217"/>
      <c r="F1111" s="217"/>
      <c r="G1111" s="217"/>
      <c r="H1111" s="217"/>
      <c r="I1111" s="217"/>
      <c r="J1111" s="217"/>
      <c r="K1111" s="217"/>
      <c r="L1111" s="217"/>
      <c r="M1111" s="217"/>
      <c r="N1111" s="244"/>
      <c r="O1111" s="244"/>
      <c r="P1111" s="234"/>
      <c r="Q1111" s="234"/>
      <c r="R1111" s="234"/>
      <c r="S1111" s="234"/>
      <c r="T1111" s="234"/>
      <c r="U1111" s="234"/>
      <c r="V1111" s="234"/>
      <c r="W1111" s="234"/>
      <c r="X1111" s="234"/>
      <c r="Y1111" s="234"/>
      <c r="Z1111" s="234"/>
    </row>
    <row r="1112" ht="12.0" customHeight="1" outlineLevel="1">
      <c r="A1112" s="11"/>
      <c r="B1112" s="217"/>
      <c r="C1112" s="217"/>
      <c r="D1112" s="217"/>
      <c r="E1112" s="217"/>
      <c r="F1112" s="217"/>
      <c r="G1112" s="217"/>
      <c r="H1112" s="217"/>
      <c r="I1112" s="217"/>
      <c r="J1112" s="217"/>
      <c r="K1112" s="217"/>
      <c r="L1112" s="217"/>
      <c r="M1112" s="217"/>
      <c r="N1112" s="244"/>
      <c r="O1112" s="244"/>
      <c r="P1112" s="234"/>
      <c r="Q1112" s="234"/>
      <c r="R1112" s="234"/>
      <c r="S1112" s="234"/>
      <c r="T1112" s="234"/>
      <c r="U1112" s="234"/>
      <c r="V1112" s="234"/>
      <c r="W1112" s="234"/>
      <c r="X1112" s="234"/>
      <c r="Y1112" s="234"/>
      <c r="Z1112" s="234"/>
    </row>
    <row r="1113" ht="12.0" customHeight="1" outlineLevel="1">
      <c r="A1113" s="11"/>
      <c r="B1113" s="217"/>
      <c r="C1113" s="217"/>
      <c r="D1113" s="217"/>
      <c r="E1113" s="217"/>
      <c r="F1113" s="217"/>
      <c r="G1113" s="217"/>
      <c r="H1113" s="217"/>
      <c r="I1113" s="217"/>
      <c r="J1113" s="217"/>
      <c r="K1113" s="217"/>
      <c r="L1113" s="217"/>
      <c r="M1113" s="217"/>
      <c r="N1113" s="244"/>
      <c r="O1113" s="244"/>
      <c r="P1113" s="234"/>
      <c r="Q1113" s="234"/>
      <c r="R1113" s="234"/>
      <c r="S1113" s="234"/>
      <c r="T1113" s="234"/>
      <c r="U1113" s="234"/>
      <c r="V1113" s="234"/>
      <c r="W1113" s="234"/>
      <c r="X1113" s="234"/>
      <c r="Y1113" s="234"/>
      <c r="Z1113" s="234"/>
    </row>
    <row r="1114" ht="12.0" customHeight="1" outlineLevel="1">
      <c r="A1114" s="11"/>
      <c r="B1114" s="217"/>
      <c r="C1114" s="217"/>
      <c r="D1114" s="217"/>
      <c r="E1114" s="217"/>
      <c r="F1114" s="217"/>
      <c r="G1114" s="217"/>
      <c r="H1114" s="217"/>
      <c r="I1114" s="217"/>
      <c r="J1114" s="217"/>
      <c r="K1114" s="217"/>
      <c r="L1114" s="217"/>
      <c r="M1114" s="217"/>
      <c r="N1114" s="244"/>
      <c r="O1114" s="244"/>
      <c r="P1114" s="234"/>
      <c r="Q1114" s="234"/>
      <c r="R1114" s="234"/>
      <c r="S1114" s="234"/>
      <c r="T1114" s="234"/>
      <c r="U1114" s="234"/>
      <c r="V1114" s="234"/>
      <c r="W1114" s="234"/>
      <c r="X1114" s="234"/>
      <c r="Y1114" s="234"/>
      <c r="Z1114" s="234"/>
    </row>
    <row r="1115" ht="12.0" customHeight="1" outlineLevel="1">
      <c r="A1115" s="11"/>
      <c r="B1115" s="217"/>
      <c r="C1115" s="217"/>
      <c r="D1115" s="217"/>
      <c r="E1115" s="217"/>
      <c r="F1115" s="217"/>
      <c r="G1115" s="217"/>
      <c r="H1115" s="217"/>
      <c r="I1115" s="217"/>
      <c r="J1115" s="217"/>
      <c r="K1115" s="217"/>
      <c r="L1115" s="217"/>
      <c r="M1115" s="217"/>
      <c r="N1115" s="244"/>
      <c r="O1115" s="244"/>
      <c r="P1115" s="234"/>
      <c r="Q1115" s="234"/>
      <c r="R1115" s="234"/>
      <c r="S1115" s="234"/>
      <c r="T1115" s="234"/>
      <c r="U1115" s="234"/>
      <c r="V1115" s="234"/>
      <c r="W1115" s="234"/>
      <c r="X1115" s="234"/>
      <c r="Y1115" s="234"/>
      <c r="Z1115" s="234"/>
    </row>
    <row r="1116" ht="12.0" customHeight="1" outlineLevel="1">
      <c r="A1116" s="11"/>
      <c r="B1116" s="217"/>
      <c r="C1116" s="217"/>
      <c r="D1116" s="217"/>
      <c r="E1116" s="217"/>
      <c r="F1116" s="217"/>
      <c r="G1116" s="217"/>
      <c r="H1116" s="217"/>
      <c r="I1116" s="217"/>
      <c r="J1116" s="217"/>
      <c r="K1116" s="217"/>
      <c r="L1116" s="217"/>
      <c r="M1116" s="217"/>
      <c r="N1116" s="244"/>
      <c r="O1116" s="244"/>
      <c r="P1116" s="234"/>
      <c r="Q1116" s="234"/>
      <c r="R1116" s="234"/>
      <c r="S1116" s="234"/>
      <c r="T1116" s="234"/>
      <c r="U1116" s="234"/>
      <c r="V1116" s="234"/>
      <c r="W1116" s="234"/>
      <c r="X1116" s="234"/>
      <c r="Y1116" s="234"/>
      <c r="Z1116" s="234"/>
    </row>
    <row r="1117" ht="12.0" customHeight="1" outlineLevel="1">
      <c r="A1117" s="11"/>
      <c r="B1117" s="217"/>
      <c r="C1117" s="217"/>
      <c r="D1117" s="217"/>
      <c r="E1117" s="217"/>
      <c r="F1117" s="217"/>
      <c r="G1117" s="217"/>
      <c r="H1117" s="217"/>
      <c r="I1117" s="217"/>
      <c r="J1117" s="217"/>
      <c r="K1117" s="217"/>
      <c r="L1117" s="217"/>
      <c r="M1117" s="217"/>
      <c r="N1117" s="244"/>
      <c r="O1117" s="244"/>
      <c r="P1117" s="234"/>
      <c r="Q1117" s="234"/>
      <c r="R1117" s="234"/>
      <c r="S1117" s="234"/>
      <c r="T1117" s="234"/>
      <c r="U1117" s="234"/>
      <c r="V1117" s="234"/>
      <c r="W1117" s="234"/>
      <c r="X1117" s="234"/>
      <c r="Y1117" s="234"/>
      <c r="Z1117" s="234"/>
    </row>
    <row r="1118" ht="12.0" customHeight="1" outlineLevel="1">
      <c r="A1118" s="11"/>
      <c r="B1118" s="217"/>
      <c r="C1118" s="217"/>
      <c r="D1118" s="217"/>
      <c r="E1118" s="217"/>
      <c r="F1118" s="217"/>
      <c r="G1118" s="217"/>
      <c r="H1118" s="217"/>
      <c r="I1118" s="217"/>
      <c r="J1118" s="217"/>
      <c r="K1118" s="217"/>
      <c r="L1118" s="217"/>
      <c r="M1118" s="217"/>
      <c r="N1118" s="244"/>
      <c r="O1118" s="244"/>
      <c r="P1118" s="234"/>
      <c r="Q1118" s="234"/>
      <c r="R1118" s="234"/>
      <c r="S1118" s="234"/>
      <c r="T1118" s="234"/>
      <c r="U1118" s="234"/>
      <c r="V1118" s="234"/>
      <c r="W1118" s="234"/>
      <c r="X1118" s="234"/>
      <c r="Y1118" s="234"/>
      <c r="Z1118" s="234"/>
    </row>
    <row r="1119" ht="12.0" customHeight="1" outlineLevel="1">
      <c r="A1119" s="11"/>
      <c r="B1119" s="217"/>
      <c r="C1119" s="217"/>
      <c r="D1119" s="217"/>
      <c r="E1119" s="217"/>
      <c r="F1119" s="217"/>
      <c r="G1119" s="217"/>
      <c r="H1119" s="217"/>
      <c r="I1119" s="217"/>
      <c r="J1119" s="217"/>
      <c r="K1119" s="217"/>
      <c r="L1119" s="217"/>
      <c r="M1119" s="217"/>
      <c r="N1119" s="244"/>
      <c r="O1119" s="244"/>
      <c r="P1119" s="234"/>
      <c r="Q1119" s="234"/>
      <c r="R1119" s="234"/>
      <c r="S1119" s="234"/>
      <c r="T1119" s="234"/>
      <c r="U1119" s="234"/>
      <c r="V1119" s="234"/>
      <c r="W1119" s="234"/>
      <c r="X1119" s="234"/>
      <c r="Y1119" s="234"/>
      <c r="Z1119" s="234"/>
    </row>
    <row r="1120" ht="12.0" customHeight="1" outlineLevel="1">
      <c r="A1120" s="11"/>
      <c r="B1120" s="217"/>
      <c r="C1120" s="217"/>
      <c r="D1120" s="217"/>
      <c r="E1120" s="217"/>
      <c r="F1120" s="217"/>
      <c r="G1120" s="217"/>
      <c r="H1120" s="217"/>
      <c r="I1120" s="217"/>
      <c r="J1120" s="217"/>
      <c r="K1120" s="217"/>
      <c r="L1120" s="217"/>
      <c r="M1120" s="217"/>
      <c r="N1120" s="244"/>
      <c r="O1120" s="244"/>
      <c r="P1120" s="234"/>
      <c r="Q1120" s="234"/>
      <c r="R1120" s="234"/>
      <c r="S1120" s="234"/>
      <c r="T1120" s="234"/>
      <c r="U1120" s="234"/>
      <c r="V1120" s="234"/>
      <c r="W1120" s="234"/>
      <c r="X1120" s="234"/>
      <c r="Y1120" s="234"/>
      <c r="Z1120" s="234"/>
    </row>
    <row r="1121" ht="12.0" customHeight="1" outlineLevel="1">
      <c r="A1121" s="11"/>
      <c r="B1121" s="217"/>
      <c r="C1121" s="217"/>
      <c r="D1121" s="217"/>
      <c r="E1121" s="217"/>
      <c r="F1121" s="217"/>
      <c r="G1121" s="217"/>
      <c r="H1121" s="217"/>
      <c r="I1121" s="217"/>
      <c r="J1121" s="217"/>
      <c r="K1121" s="217"/>
      <c r="L1121" s="217"/>
      <c r="M1121" s="217"/>
      <c r="N1121" s="244"/>
      <c r="O1121" s="244"/>
      <c r="P1121" s="234"/>
      <c r="Q1121" s="234"/>
      <c r="R1121" s="234"/>
      <c r="S1121" s="234"/>
      <c r="T1121" s="234"/>
      <c r="U1121" s="234"/>
      <c r="V1121" s="234"/>
      <c r="W1121" s="234"/>
      <c r="X1121" s="234"/>
      <c r="Y1121" s="234"/>
      <c r="Z1121" s="234"/>
    </row>
    <row r="1122" ht="12.0" customHeight="1" outlineLevel="1">
      <c r="A1122" s="11"/>
      <c r="B1122" s="217"/>
      <c r="C1122" s="217"/>
      <c r="D1122" s="217"/>
      <c r="E1122" s="217"/>
      <c r="F1122" s="217"/>
      <c r="G1122" s="217"/>
      <c r="H1122" s="217"/>
      <c r="I1122" s="217"/>
      <c r="J1122" s="217"/>
      <c r="K1122" s="217"/>
      <c r="L1122" s="217"/>
      <c r="M1122" s="217"/>
      <c r="N1122" s="244"/>
      <c r="O1122" s="244"/>
      <c r="P1122" s="234"/>
      <c r="Q1122" s="234"/>
      <c r="R1122" s="234"/>
      <c r="S1122" s="234"/>
      <c r="T1122" s="234"/>
      <c r="U1122" s="234"/>
      <c r="V1122" s="234"/>
      <c r="W1122" s="234"/>
      <c r="X1122" s="234"/>
      <c r="Y1122" s="234"/>
      <c r="Z1122" s="234"/>
    </row>
    <row r="1123" ht="12.0" customHeight="1" outlineLevel="1">
      <c r="A1123" s="11"/>
      <c r="B1123" s="217"/>
      <c r="C1123" s="217"/>
      <c r="D1123" s="217"/>
      <c r="E1123" s="217"/>
      <c r="F1123" s="217"/>
      <c r="G1123" s="217"/>
      <c r="H1123" s="217"/>
      <c r="I1123" s="217"/>
      <c r="J1123" s="217"/>
      <c r="K1123" s="217"/>
      <c r="L1123" s="217"/>
      <c r="M1123" s="217"/>
      <c r="N1123" s="244"/>
      <c r="O1123" s="244"/>
      <c r="P1123" s="234"/>
      <c r="Q1123" s="234"/>
      <c r="R1123" s="234"/>
      <c r="S1123" s="234"/>
      <c r="T1123" s="234"/>
      <c r="U1123" s="234"/>
      <c r="V1123" s="234"/>
      <c r="W1123" s="234"/>
      <c r="X1123" s="234"/>
      <c r="Y1123" s="234"/>
      <c r="Z1123" s="234"/>
    </row>
    <row r="1124" ht="12.0" customHeight="1" outlineLevel="1">
      <c r="A1124" s="11"/>
      <c r="B1124" s="217"/>
      <c r="C1124" s="217"/>
      <c r="D1124" s="217"/>
      <c r="E1124" s="217"/>
      <c r="F1124" s="217"/>
      <c r="G1124" s="217"/>
      <c r="H1124" s="217"/>
      <c r="I1124" s="217"/>
      <c r="J1124" s="217"/>
      <c r="K1124" s="217"/>
      <c r="L1124" s="217"/>
      <c r="M1124" s="217"/>
      <c r="N1124" s="244"/>
      <c r="O1124" s="244"/>
      <c r="P1124" s="234"/>
      <c r="Q1124" s="234"/>
      <c r="R1124" s="234"/>
      <c r="S1124" s="234"/>
      <c r="T1124" s="234"/>
      <c r="U1124" s="234"/>
      <c r="V1124" s="234"/>
      <c r="W1124" s="234"/>
      <c r="X1124" s="234"/>
      <c r="Y1124" s="234"/>
      <c r="Z1124" s="234"/>
    </row>
    <row r="1125" ht="12.0" customHeight="1" outlineLevel="1">
      <c r="A1125" s="11"/>
      <c r="B1125" s="217"/>
      <c r="C1125" s="217"/>
      <c r="D1125" s="217"/>
      <c r="E1125" s="217"/>
      <c r="F1125" s="217"/>
      <c r="G1125" s="217"/>
      <c r="H1125" s="217"/>
      <c r="I1125" s="217"/>
      <c r="J1125" s="217"/>
      <c r="K1125" s="217"/>
      <c r="L1125" s="217"/>
      <c r="M1125" s="217"/>
      <c r="N1125" s="244"/>
      <c r="O1125" s="244"/>
      <c r="P1125" s="234"/>
      <c r="Q1125" s="234"/>
      <c r="R1125" s="234"/>
      <c r="S1125" s="234"/>
      <c r="T1125" s="234"/>
      <c r="U1125" s="234"/>
      <c r="V1125" s="234"/>
      <c r="W1125" s="234"/>
      <c r="X1125" s="234"/>
      <c r="Y1125" s="234"/>
      <c r="Z1125" s="234"/>
    </row>
    <row r="1126" ht="12.0" customHeight="1" outlineLevel="1">
      <c r="A1126" s="11"/>
      <c r="B1126" s="217"/>
      <c r="C1126" s="217"/>
      <c r="D1126" s="217"/>
      <c r="E1126" s="217"/>
      <c r="F1126" s="217"/>
      <c r="G1126" s="217"/>
      <c r="H1126" s="217"/>
      <c r="I1126" s="217"/>
      <c r="J1126" s="217"/>
      <c r="K1126" s="217"/>
      <c r="L1126" s="217"/>
      <c r="M1126" s="217"/>
      <c r="N1126" s="244"/>
      <c r="O1126" s="244"/>
      <c r="P1126" s="234"/>
      <c r="Q1126" s="234"/>
      <c r="R1126" s="234"/>
      <c r="S1126" s="234"/>
      <c r="T1126" s="234"/>
      <c r="U1126" s="234"/>
      <c r="V1126" s="234"/>
      <c r="W1126" s="234"/>
      <c r="X1126" s="234"/>
      <c r="Y1126" s="234"/>
      <c r="Z1126" s="234"/>
    </row>
    <row r="1127" ht="12.0" customHeight="1" outlineLevel="1">
      <c r="A1127" s="11"/>
      <c r="B1127" s="217"/>
      <c r="C1127" s="217"/>
      <c r="D1127" s="217"/>
      <c r="E1127" s="217"/>
      <c r="F1127" s="217"/>
      <c r="G1127" s="217"/>
      <c r="H1127" s="217"/>
      <c r="I1127" s="217"/>
      <c r="J1127" s="217"/>
      <c r="K1127" s="217"/>
      <c r="L1127" s="217"/>
      <c r="M1127" s="217"/>
      <c r="N1127" s="244"/>
      <c r="O1127" s="244"/>
      <c r="P1127" s="234"/>
      <c r="Q1127" s="234"/>
      <c r="R1127" s="234"/>
      <c r="S1127" s="234"/>
      <c r="T1127" s="234"/>
      <c r="U1127" s="234"/>
      <c r="V1127" s="234"/>
      <c r="W1127" s="234"/>
      <c r="X1127" s="234"/>
      <c r="Y1127" s="234"/>
      <c r="Z1127" s="234"/>
    </row>
    <row r="1128" ht="12.0" customHeight="1">
      <c r="A1128" s="208" t="s">
        <v>359</v>
      </c>
      <c r="B1128" s="249"/>
      <c r="C1128" s="249"/>
      <c r="D1128" s="249"/>
      <c r="E1128" s="249"/>
      <c r="F1128" s="249"/>
      <c r="G1128" s="249"/>
      <c r="H1128" s="249"/>
      <c r="I1128" s="249"/>
      <c r="J1128" s="249"/>
      <c r="K1128" s="249"/>
      <c r="L1128" s="249"/>
      <c r="M1128" s="249"/>
      <c r="N1128" s="249"/>
      <c r="O1128" s="249"/>
      <c r="P1128" s="234"/>
      <c r="Q1128" s="234"/>
      <c r="R1128" s="234"/>
      <c r="S1128" s="234"/>
      <c r="T1128" s="234"/>
      <c r="U1128" s="234"/>
      <c r="V1128" s="234"/>
      <c r="W1128" s="234"/>
      <c r="X1128" s="234"/>
      <c r="Y1128" s="234"/>
      <c r="Z1128" s="234"/>
    </row>
    <row r="1129" ht="12.0" customHeight="1" outlineLevel="1">
      <c r="A1129" s="11"/>
      <c r="B1129" s="235"/>
      <c r="C1129" s="235"/>
      <c r="D1129" s="235"/>
      <c r="E1129" s="235"/>
      <c r="F1129" s="235"/>
      <c r="G1129" s="235"/>
      <c r="H1129" s="235"/>
      <c r="I1129" s="235"/>
      <c r="J1129" s="235"/>
      <c r="K1129" s="235"/>
      <c r="L1129" s="235"/>
      <c r="M1129" s="235"/>
      <c r="N1129" s="217"/>
      <c r="O1129" s="217"/>
      <c r="P1129" s="234"/>
      <c r="Q1129" s="234"/>
      <c r="R1129" s="234"/>
      <c r="S1129" s="234"/>
      <c r="T1129" s="234"/>
      <c r="U1129" s="234"/>
      <c r="V1129" s="234"/>
      <c r="W1129" s="234"/>
      <c r="X1129" s="234"/>
      <c r="Y1129" s="234"/>
      <c r="Z1129" s="234"/>
    </row>
    <row r="1130" ht="12.0" customHeight="1" outlineLevel="1">
      <c r="A1130" s="11"/>
      <c r="B1130" s="235"/>
      <c r="C1130" s="235"/>
      <c r="D1130" s="235"/>
      <c r="E1130" s="235"/>
      <c r="F1130" s="235"/>
      <c r="G1130" s="235"/>
      <c r="H1130" s="235"/>
      <c r="I1130" s="235"/>
      <c r="J1130" s="235"/>
      <c r="K1130" s="235"/>
      <c r="L1130" s="235"/>
      <c r="M1130" s="235"/>
      <c r="N1130" s="244"/>
      <c r="O1130" s="244"/>
      <c r="P1130" s="234"/>
      <c r="Q1130" s="234"/>
      <c r="R1130" s="234"/>
      <c r="S1130" s="234"/>
      <c r="T1130" s="234"/>
      <c r="U1130" s="234"/>
      <c r="V1130" s="234"/>
      <c r="W1130" s="234"/>
      <c r="X1130" s="234"/>
      <c r="Y1130" s="234"/>
      <c r="Z1130" s="234"/>
    </row>
    <row r="1131" ht="12.0" customHeight="1" outlineLevel="1">
      <c r="A1131" s="11"/>
      <c r="B1131" s="235"/>
      <c r="C1131" s="235"/>
      <c r="D1131" s="235"/>
      <c r="E1131" s="235"/>
      <c r="F1131" s="235"/>
      <c r="G1131" s="235"/>
      <c r="H1131" s="235"/>
      <c r="I1131" s="235"/>
      <c r="J1131" s="235"/>
      <c r="K1131" s="235"/>
      <c r="L1131" s="235"/>
      <c r="M1131" s="235"/>
      <c r="N1131" s="244"/>
      <c r="O1131" s="244"/>
      <c r="P1131" s="234"/>
      <c r="Q1131" s="234"/>
      <c r="R1131" s="234"/>
      <c r="S1131" s="234"/>
      <c r="T1131" s="234"/>
      <c r="U1131" s="234"/>
      <c r="V1131" s="234"/>
      <c r="W1131" s="234"/>
      <c r="X1131" s="234"/>
      <c r="Y1131" s="234"/>
      <c r="Z1131" s="234"/>
    </row>
    <row r="1132" ht="12.0" customHeight="1" outlineLevel="1">
      <c r="A1132" s="11"/>
      <c r="B1132" s="235"/>
      <c r="C1132" s="235"/>
      <c r="D1132" s="235"/>
      <c r="E1132" s="235"/>
      <c r="F1132" s="235"/>
      <c r="G1132" s="235"/>
      <c r="H1132" s="235"/>
      <c r="I1132" s="235"/>
      <c r="J1132" s="235"/>
      <c r="K1132" s="235"/>
      <c r="L1132" s="235"/>
      <c r="M1132" s="235"/>
      <c r="N1132" s="244"/>
      <c r="O1132" s="244"/>
      <c r="P1132" s="234"/>
      <c r="Q1132" s="234"/>
      <c r="R1132" s="234"/>
      <c r="S1132" s="234"/>
      <c r="T1132" s="234"/>
      <c r="U1132" s="234"/>
      <c r="V1132" s="234"/>
      <c r="W1132" s="234"/>
      <c r="X1132" s="234"/>
      <c r="Y1132" s="234"/>
      <c r="Z1132" s="234"/>
    </row>
    <row r="1133" ht="12.0" customHeight="1" outlineLevel="1">
      <c r="A1133" s="11"/>
      <c r="B1133" s="235"/>
      <c r="C1133" s="235"/>
      <c r="D1133" s="235"/>
      <c r="E1133" s="235"/>
      <c r="F1133" s="235"/>
      <c r="G1133" s="235"/>
      <c r="H1133" s="235"/>
      <c r="I1133" s="235"/>
      <c r="J1133" s="235"/>
      <c r="K1133" s="235"/>
      <c r="L1133" s="235"/>
      <c r="M1133" s="235"/>
      <c r="N1133" s="244"/>
      <c r="O1133" s="244"/>
      <c r="P1133" s="234"/>
      <c r="Q1133" s="234"/>
      <c r="R1133" s="234"/>
      <c r="S1133" s="234"/>
      <c r="T1133" s="234"/>
      <c r="U1133" s="234"/>
      <c r="V1133" s="234"/>
      <c r="W1133" s="234"/>
      <c r="X1133" s="234"/>
      <c r="Y1133" s="234"/>
      <c r="Z1133" s="234"/>
    </row>
    <row r="1134" ht="12.0" customHeight="1" outlineLevel="1">
      <c r="A1134" s="11"/>
      <c r="B1134" s="235"/>
      <c r="C1134" s="235"/>
      <c r="D1134" s="235"/>
      <c r="E1134" s="235"/>
      <c r="F1134" s="235"/>
      <c r="G1134" s="235"/>
      <c r="H1134" s="235"/>
      <c r="I1134" s="235"/>
      <c r="J1134" s="235"/>
      <c r="K1134" s="235"/>
      <c r="L1134" s="235"/>
      <c r="M1134" s="235"/>
      <c r="N1134" s="244"/>
      <c r="O1134" s="244"/>
      <c r="P1134" s="234"/>
      <c r="Q1134" s="234"/>
      <c r="R1134" s="234"/>
      <c r="S1134" s="234"/>
      <c r="T1134" s="234"/>
      <c r="U1134" s="234"/>
      <c r="V1134" s="234"/>
      <c r="W1134" s="234"/>
      <c r="X1134" s="234"/>
      <c r="Y1134" s="234"/>
      <c r="Z1134" s="234"/>
    </row>
    <row r="1135" ht="12.0" customHeight="1" outlineLevel="1">
      <c r="A1135" s="11"/>
      <c r="B1135" s="235"/>
      <c r="C1135" s="235"/>
      <c r="D1135" s="235"/>
      <c r="E1135" s="235"/>
      <c r="F1135" s="235"/>
      <c r="G1135" s="235"/>
      <c r="H1135" s="235"/>
      <c r="I1135" s="235"/>
      <c r="J1135" s="235"/>
      <c r="K1135" s="235"/>
      <c r="L1135" s="235"/>
      <c r="M1135" s="235"/>
      <c r="N1135" s="244"/>
      <c r="O1135" s="244"/>
      <c r="P1135" s="234"/>
      <c r="Q1135" s="234"/>
      <c r="R1135" s="234"/>
      <c r="S1135" s="234"/>
      <c r="T1135" s="234"/>
      <c r="U1135" s="234"/>
      <c r="V1135" s="234"/>
      <c r="W1135" s="234"/>
      <c r="X1135" s="234"/>
      <c r="Y1135" s="234"/>
      <c r="Z1135" s="234"/>
    </row>
    <row r="1136" ht="12.0" customHeight="1" outlineLevel="1">
      <c r="A1136" s="11"/>
      <c r="B1136" s="235"/>
      <c r="C1136" s="235"/>
      <c r="D1136" s="235"/>
      <c r="E1136" s="235"/>
      <c r="F1136" s="235"/>
      <c r="G1136" s="235"/>
      <c r="H1136" s="235"/>
      <c r="I1136" s="235"/>
      <c r="J1136" s="235"/>
      <c r="K1136" s="235"/>
      <c r="L1136" s="235"/>
      <c r="M1136" s="235"/>
      <c r="N1136" s="244"/>
      <c r="O1136" s="244"/>
      <c r="P1136" s="234"/>
      <c r="Q1136" s="234"/>
      <c r="R1136" s="234"/>
      <c r="S1136" s="234"/>
      <c r="T1136" s="234"/>
      <c r="U1136" s="234"/>
      <c r="V1136" s="234"/>
      <c r="W1136" s="234"/>
      <c r="X1136" s="234"/>
      <c r="Y1136" s="234"/>
      <c r="Z1136" s="234"/>
    </row>
    <row r="1137" ht="12.0" customHeight="1" outlineLevel="1">
      <c r="A1137" s="11"/>
      <c r="B1137" s="235"/>
      <c r="C1137" s="235"/>
      <c r="D1137" s="235"/>
      <c r="E1137" s="235"/>
      <c r="F1137" s="235"/>
      <c r="G1137" s="235"/>
      <c r="H1137" s="235"/>
      <c r="I1137" s="235"/>
      <c r="J1137" s="235"/>
      <c r="K1137" s="235"/>
      <c r="L1137" s="235"/>
      <c r="M1137" s="235"/>
      <c r="N1137" s="244"/>
      <c r="O1137" s="244"/>
      <c r="P1137" s="234"/>
      <c r="Q1137" s="234"/>
      <c r="R1137" s="234"/>
      <c r="S1137" s="234"/>
      <c r="T1137" s="234"/>
      <c r="U1137" s="234"/>
      <c r="V1137" s="234"/>
      <c r="W1137" s="234"/>
      <c r="X1137" s="234"/>
      <c r="Y1137" s="234"/>
      <c r="Z1137" s="234"/>
    </row>
    <row r="1138" ht="12.0" customHeight="1" outlineLevel="1">
      <c r="A1138" s="11"/>
      <c r="B1138" s="235"/>
      <c r="C1138" s="235"/>
      <c r="D1138" s="235"/>
      <c r="E1138" s="235"/>
      <c r="F1138" s="235"/>
      <c r="G1138" s="235"/>
      <c r="H1138" s="235"/>
      <c r="I1138" s="235"/>
      <c r="J1138" s="235"/>
      <c r="K1138" s="235"/>
      <c r="L1138" s="235"/>
      <c r="M1138" s="235"/>
      <c r="N1138" s="244"/>
      <c r="O1138" s="244"/>
      <c r="P1138" s="234"/>
      <c r="Q1138" s="234"/>
      <c r="R1138" s="234"/>
      <c r="S1138" s="234"/>
      <c r="T1138" s="234"/>
      <c r="U1138" s="234"/>
      <c r="V1138" s="234"/>
      <c r="W1138" s="234"/>
      <c r="X1138" s="234"/>
      <c r="Y1138" s="234"/>
      <c r="Z1138" s="234"/>
    </row>
    <row r="1139" ht="12.0" customHeight="1" outlineLevel="1">
      <c r="A1139" s="11"/>
      <c r="B1139" s="235"/>
      <c r="C1139" s="235"/>
      <c r="D1139" s="235"/>
      <c r="E1139" s="235"/>
      <c r="F1139" s="235"/>
      <c r="G1139" s="235"/>
      <c r="H1139" s="235"/>
      <c r="I1139" s="235"/>
      <c r="J1139" s="235"/>
      <c r="K1139" s="235"/>
      <c r="L1139" s="235"/>
      <c r="M1139" s="235"/>
      <c r="N1139" s="244"/>
      <c r="O1139" s="244"/>
      <c r="P1139" s="234"/>
      <c r="Q1139" s="234"/>
      <c r="R1139" s="234"/>
      <c r="S1139" s="234"/>
      <c r="T1139" s="234"/>
      <c r="U1139" s="234"/>
      <c r="V1139" s="234"/>
      <c r="W1139" s="234"/>
      <c r="X1139" s="234"/>
      <c r="Y1139" s="234"/>
      <c r="Z1139" s="234"/>
    </row>
    <row r="1140" ht="12.0" customHeight="1" outlineLevel="1">
      <c r="A1140" s="11"/>
      <c r="B1140" s="235"/>
      <c r="C1140" s="235"/>
      <c r="D1140" s="235"/>
      <c r="E1140" s="235"/>
      <c r="F1140" s="235"/>
      <c r="G1140" s="235"/>
      <c r="H1140" s="235"/>
      <c r="I1140" s="235"/>
      <c r="J1140" s="235"/>
      <c r="K1140" s="235"/>
      <c r="L1140" s="235"/>
      <c r="M1140" s="235"/>
      <c r="N1140" s="244"/>
      <c r="O1140" s="244"/>
      <c r="P1140" s="234"/>
      <c r="Q1140" s="234"/>
      <c r="R1140" s="234"/>
      <c r="S1140" s="234"/>
      <c r="T1140" s="234"/>
      <c r="U1140" s="234"/>
      <c r="V1140" s="234"/>
      <c r="W1140" s="234"/>
      <c r="X1140" s="234"/>
      <c r="Y1140" s="234"/>
      <c r="Z1140" s="234"/>
    </row>
    <row r="1141" ht="12.0" customHeight="1" outlineLevel="1">
      <c r="A1141" s="11"/>
      <c r="B1141" s="235"/>
      <c r="C1141" s="235"/>
      <c r="D1141" s="235"/>
      <c r="E1141" s="235"/>
      <c r="F1141" s="235"/>
      <c r="G1141" s="235"/>
      <c r="H1141" s="235"/>
      <c r="I1141" s="235"/>
      <c r="J1141" s="235"/>
      <c r="K1141" s="235"/>
      <c r="L1141" s="235"/>
      <c r="M1141" s="235"/>
      <c r="N1141" s="244"/>
      <c r="O1141" s="244"/>
      <c r="P1141" s="234"/>
      <c r="Q1141" s="234"/>
      <c r="R1141" s="234"/>
      <c r="S1141" s="234"/>
      <c r="T1141" s="234"/>
      <c r="U1141" s="234"/>
      <c r="V1141" s="234"/>
      <c r="W1141" s="234"/>
      <c r="X1141" s="234"/>
      <c r="Y1141" s="234"/>
      <c r="Z1141" s="234"/>
    </row>
    <row r="1142" ht="12.0" customHeight="1" outlineLevel="1">
      <c r="A1142" s="11"/>
      <c r="B1142" s="235"/>
      <c r="C1142" s="235"/>
      <c r="D1142" s="235"/>
      <c r="E1142" s="235"/>
      <c r="F1142" s="235"/>
      <c r="G1142" s="235"/>
      <c r="H1142" s="235"/>
      <c r="I1142" s="235"/>
      <c r="J1142" s="235"/>
      <c r="K1142" s="235"/>
      <c r="L1142" s="235"/>
      <c r="M1142" s="235"/>
      <c r="N1142" s="244"/>
      <c r="O1142" s="244"/>
      <c r="P1142" s="234"/>
      <c r="Q1142" s="234"/>
      <c r="R1142" s="234"/>
      <c r="S1142" s="234"/>
      <c r="T1142" s="234"/>
      <c r="U1142" s="234"/>
      <c r="V1142" s="234"/>
      <c r="W1142" s="234"/>
      <c r="X1142" s="234"/>
      <c r="Y1142" s="234"/>
      <c r="Z1142" s="234"/>
    </row>
    <row r="1143" ht="12.0" customHeight="1" outlineLevel="1">
      <c r="A1143" s="11"/>
      <c r="B1143" s="235"/>
      <c r="C1143" s="235"/>
      <c r="D1143" s="235"/>
      <c r="E1143" s="235"/>
      <c r="F1143" s="235"/>
      <c r="G1143" s="235"/>
      <c r="H1143" s="235"/>
      <c r="I1143" s="235"/>
      <c r="J1143" s="235"/>
      <c r="K1143" s="235"/>
      <c r="L1143" s="235"/>
      <c r="M1143" s="235"/>
      <c r="N1143" s="244"/>
      <c r="O1143" s="244"/>
      <c r="P1143" s="234"/>
      <c r="Q1143" s="234"/>
      <c r="R1143" s="234"/>
      <c r="S1143" s="234"/>
      <c r="T1143" s="234"/>
      <c r="U1143" s="234"/>
      <c r="V1143" s="234"/>
      <c r="W1143" s="234"/>
      <c r="X1143" s="234"/>
      <c r="Y1143" s="234"/>
      <c r="Z1143" s="234"/>
    </row>
    <row r="1144" ht="12.0" customHeight="1" outlineLevel="1">
      <c r="A1144" s="11"/>
      <c r="B1144" s="235"/>
      <c r="C1144" s="235"/>
      <c r="D1144" s="235"/>
      <c r="E1144" s="235"/>
      <c r="F1144" s="235"/>
      <c r="G1144" s="235"/>
      <c r="H1144" s="235"/>
      <c r="I1144" s="235"/>
      <c r="J1144" s="235"/>
      <c r="K1144" s="235"/>
      <c r="L1144" s="235"/>
      <c r="M1144" s="235"/>
      <c r="N1144" s="244"/>
      <c r="O1144" s="244"/>
      <c r="P1144" s="234"/>
      <c r="Q1144" s="234"/>
      <c r="R1144" s="234"/>
      <c r="S1144" s="234"/>
      <c r="T1144" s="234"/>
      <c r="U1144" s="234"/>
      <c r="V1144" s="234"/>
      <c r="W1144" s="234"/>
      <c r="X1144" s="234"/>
      <c r="Y1144" s="234"/>
      <c r="Z1144" s="234"/>
    </row>
    <row r="1145" ht="12.0" customHeight="1" outlineLevel="1">
      <c r="A1145" s="11"/>
      <c r="B1145" s="235"/>
      <c r="C1145" s="235"/>
      <c r="D1145" s="235"/>
      <c r="E1145" s="235"/>
      <c r="F1145" s="235"/>
      <c r="G1145" s="235"/>
      <c r="H1145" s="235"/>
      <c r="I1145" s="235"/>
      <c r="J1145" s="235"/>
      <c r="K1145" s="235"/>
      <c r="L1145" s="235"/>
      <c r="M1145" s="235"/>
      <c r="N1145" s="244"/>
      <c r="O1145" s="244"/>
      <c r="P1145" s="234"/>
      <c r="Q1145" s="234"/>
      <c r="R1145" s="234"/>
      <c r="S1145" s="234"/>
      <c r="T1145" s="234"/>
      <c r="U1145" s="234"/>
      <c r="V1145" s="234"/>
      <c r="W1145" s="234"/>
      <c r="X1145" s="234"/>
      <c r="Y1145" s="234"/>
      <c r="Z1145" s="234"/>
    </row>
    <row r="1146" ht="12.0" customHeight="1" outlineLevel="1">
      <c r="A1146" s="11"/>
      <c r="B1146" s="235"/>
      <c r="C1146" s="235"/>
      <c r="D1146" s="235"/>
      <c r="E1146" s="235"/>
      <c r="F1146" s="235"/>
      <c r="G1146" s="235"/>
      <c r="H1146" s="235"/>
      <c r="I1146" s="235"/>
      <c r="J1146" s="235"/>
      <c r="K1146" s="235"/>
      <c r="L1146" s="235"/>
      <c r="M1146" s="235"/>
      <c r="N1146" s="244"/>
      <c r="O1146" s="244"/>
      <c r="P1146" s="234"/>
      <c r="Q1146" s="234"/>
      <c r="R1146" s="234"/>
      <c r="S1146" s="234"/>
      <c r="T1146" s="234"/>
      <c r="U1146" s="234"/>
      <c r="V1146" s="234"/>
      <c r="W1146" s="234"/>
      <c r="X1146" s="234"/>
      <c r="Y1146" s="234"/>
      <c r="Z1146" s="234"/>
    </row>
    <row r="1147" ht="12.0" customHeight="1" outlineLevel="1">
      <c r="A1147" s="11"/>
      <c r="B1147" s="235"/>
      <c r="C1147" s="235"/>
      <c r="D1147" s="235"/>
      <c r="E1147" s="235"/>
      <c r="F1147" s="235"/>
      <c r="G1147" s="235"/>
      <c r="H1147" s="235"/>
      <c r="I1147" s="235"/>
      <c r="J1147" s="235"/>
      <c r="K1147" s="235"/>
      <c r="L1147" s="235"/>
      <c r="M1147" s="235"/>
      <c r="N1147" s="244"/>
      <c r="O1147" s="244"/>
      <c r="P1147" s="234"/>
      <c r="Q1147" s="234"/>
      <c r="R1147" s="234"/>
      <c r="S1147" s="234"/>
      <c r="T1147" s="234"/>
      <c r="U1147" s="234"/>
      <c r="V1147" s="234"/>
      <c r="W1147" s="234"/>
      <c r="X1147" s="234"/>
      <c r="Y1147" s="234"/>
      <c r="Z1147" s="234"/>
    </row>
    <row r="1148" ht="12.0" customHeight="1" outlineLevel="1">
      <c r="A1148" s="11"/>
      <c r="B1148" s="235"/>
      <c r="C1148" s="235"/>
      <c r="D1148" s="235"/>
      <c r="E1148" s="235"/>
      <c r="F1148" s="235"/>
      <c r="G1148" s="235"/>
      <c r="H1148" s="235"/>
      <c r="I1148" s="235"/>
      <c r="J1148" s="235"/>
      <c r="K1148" s="235"/>
      <c r="L1148" s="235"/>
      <c r="M1148" s="235"/>
      <c r="N1148" s="244"/>
      <c r="O1148" s="244"/>
      <c r="P1148" s="234"/>
      <c r="Q1148" s="234"/>
      <c r="R1148" s="234"/>
      <c r="S1148" s="234"/>
      <c r="T1148" s="234"/>
      <c r="U1148" s="234"/>
      <c r="V1148" s="234"/>
      <c r="W1148" s="234"/>
      <c r="X1148" s="234"/>
      <c r="Y1148" s="234"/>
      <c r="Z1148" s="234"/>
    </row>
    <row r="1149" ht="12.0" customHeight="1" outlineLevel="1">
      <c r="A1149" s="11"/>
      <c r="B1149" s="235"/>
      <c r="C1149" s="235"/>
      <c r="D1149" s="235"/>
      <c r="E1149" s="235"/>
      <c r="F1149" s="235"/>
      <c r="G1149" s="235"/>
      <c r="H1149" s="235"/>
      <c r="I1149" s="235"/>
      <c r="J1149" s="235"/>
      <c r="K1149" s="235"/>
      <c r="L1149" s="235"/>
      <c r="M1149" s="235"/>
      <c r="N1149" s="244"/>
      <c r="O1149" s="244"/>
      <c r="P1149" s="234"/>
      <c r="Q1149" s="234"/>
      <c r="R1149" s="234"/>
      <c r="S1149" s="234"/>
      <c r="T1149" s="234"/>
      <c r="U1149" s="234"/>
      <c r="V1149" s="234"/>
      <c r="W1149" s="234"/>
      <c r="X1149" s="234"/>
      <c r="Y1149" s="234"/>
      <c r="Z1149" s="234"/>
    </row>
    <row r="1150" ht="12.0" customHeight="1" outlineLevel="1">
      <c r="A1150" s="11"/>
      <c r="B1150" s="235"/>
      <c r="C1150" s="235"/>
      <c r="D1150" s="235"/>
      <c r="E1150" s="235"/>
      <c r="F1150" s="235"/>
      <c r="G1150" s="235"/>
      <c r="H1150" s="235"/>
      <c r="I1150" s="235"/>
      <c r="J1150" s="235"/>
      <c r="K1150" s="235"/>
      <c r="L1150" s="235"/>
      <c r="M1150" s="235"/>
      <c r="N1150" s="244"/>
      <c r="O1150" s="244"/>
      <c r="P1150" s="234"/>
      <c r="Q1150" s="234"/>
      <c r="R1150" s="234"/>
      <c r="S1150" s="234"/>
      <c r="T1150" s="234"/>
      <c r="U1150" s="234"/>
      <c r="V1150" s="234"/>
      <c r="W1150" s="234"/>
      <c r="X1150" s="234"/>
      <c r="Y1150" s="234"/>
      <c r="Z1150" s="234"/>
    </row>
    <row r="1151" ht="12.0" customHeight="1" outlineLevel="1">
      <c r="A1151" s="11"/>
      <c r="B1151" s="235"/>
      <c r="C1151" s="235"/>
      <c r="D1151" s="235"/>
      <c r="E1151" s="235"/>
      <c r="F1151" s="235"/>
      <c r="G1151" s="235"/>
      <c r="H1151" s="235"/>
      <c r="I1151" s="235"/>
      <c r="J1151" s="235"/>
      <c r="K1151" s="235"/>
      <c r="L1151" s="235"/>
      <c r="M1151" s="235"/>
      <c r="N1151" s="244"/>
      <c r="O1151" s="244"/>
      <c r="P1151" s="234"/>
      <c r="Q1151" s="234"/>
      <c r="R1151" s="234"/>
      <c r="S1151" s="234"/>
      <c r="T1151" s="234"/>
      <c r="U1151" s="234"/>
      <c r="V1151" s="234"/>
      <c r="W1151" s="234"/>
      <c r="X1151" s="234"/>
      <c r="Y1151" s="234"/>
      <c r="Z1151" s="234"/>
    </row>
    <row r="1152" ht="12.0" customHeight="1" outlineLevel="1">
      <c r="A1152" s="11"/>
      <c r="B1152" s="235"/>
      <c r="C1152" s="235"/>
      <c r="D1152" s="235"/>
      <c r="E1152" s="235"/>
      <c r="F1152" s="235"/>
      <c r="G1152" s="235"/>
      <c r="H1152" s="235"/>
      <c r="I1152" s="235"/>
      <c r="J1152" s="235"/>
      <c r="K1152" s="235"/>
      <c r="L1152" s="235"/>
      <c r="M1152" s="235"/>
      <c r="N1152" s="244"/>
      <c r="O1152" s="244"/>
      <c r="P1152" s="234"/>
      <c r="Q1152" s="234"/>
      <c r="R1152" s="234"/>
      <c r="S1152" s="234"/>
      <c r="T1152" s="234"/>
      <c r="U1152" s="234"/>
      <c r="V1152" s="234"/>
      <c r="W1152" s="234"/>
      <c r="X1152" s="234"/>
      <c r="Y1152" s="234"/>
      <c r="Z1152" s="234"/>
    </row>
    <row r="1153" ht="12.0" customHeight="1" outlineLevel="1">
      <c r="A1153" s="11"/>
      <c r="B1153" s="235"/>
      <c r="C1153" s="235"/>
      <c r="D1153" s="235"/>
      <c r="E1153" s="235"/>
      <c r="F1153" s="235"/>
      <c r="G1153" s="235"/>
      <c r="H1153" s="235"/>
      <c r="I1153" s="235"/>
      <c r="J1153" s="235"/>
      <c r="K1153" s="235"/>
      <c r="L1153" s="235"/>
      <c r="M1153" s="235"/>
      <c r="N1153" s="244"/>
      <c r="O1153" s="244"/>
      <c r="P1153" s="234"/>
      <c r="Q1153" s="234"/>
      <c r="R1153" s="234"/>
      <c r="S1153" s="234"/>
      <c r="T1153" s="234"/>
      <c r="U1153" s="234"/>
      <c r="V1153" s="234"/>
      <c r="W1153" s="234"/>
      <c r="X1153" s="234"/>
      <c r="Y1153" s="234"/>
      <c r="Z1153" s="234"/>
    </row>
    <row r="1154" ht="12.0" customHeight="1">
      <c r="A1154" s="208" t="s">
        <v>360</v>
      </c>
      <c r="B1154" s="249"/>
      <c r="C1154" s="249"/>
      <c r="D1154" s="249"/>
      <c r="E1154" s="249"/>
      <c r="F1154" s="249"/>
      <c r="G1154" s="249"/>
      <c r="H1154" s="249"/>
      <c r="I1154" s="249"/>
      <c r="J1154" s="249"/>
      <c r="K1154" s="249"/>
      <c r="L1154" s="249"/>
      <c r="M1154" s="249"/>
      <c r="N1154" s="249"/>
      <c r="O1154" s="249"/>
      <c r="P1154" s="234"/>
      <c r="Q1154" s="234"/>
      <c r="R1154" s="234"/>
      <c r="S1154" s="234"/>
      <c r="T1154" s="234"/>
      <c r="U1154" s="234"/>
      <c r="V1154" s="234"/>
      <c r="W1154" s="234"/>
      <c r="X1154" s="234"/>
      <c r="Y1154" s="234"/>
      <c r="Z1154" s="234"/>
    </row>
    <row r="1155" ht="12.0" customHeight="1" outlineLevel="1">
      <c r="A1155" s="11"/>
      <c r="B1155" s="217"/>
      <c r="C1155" s="217"/>
      <c r="D1155" s="217"/>
      <c r="E1155" s="217"/>
      <c r="F1155" s="217"/>
      <c r="G1155" s="217"/>
      <c r="H1155" s="217"/>
      <c r="I1155" s="217"/>
      <c r="J1155" s="217"/>
      <c r="K1155" s="217"/>
      <c r="L1155" s="217"/>
      <c r="M1155" s="217"/>
      <c r="N1155" s="244">
        <f t="shared" ref="N1155:N1178" si="223">B1155+C1155+D1155+E1155+F1155+G1155+H1155+I1155+J1155+K1155+L1155+M1155</f>
        <v>0</v>
      </c>
      <c r="O1155" s="244"/>
      <c r="P1155" s="234"/>
      <c r="Q1155" s="234"/>
      <c r="R1155" s="234"/>
      <c r="S1155" s="234"/>
      <c r="T1155" s="234"/>
      <c r="U1155" s="234"/>
      <c r="V1155" s="234"/>
      <c r="W1155" s="234"/>
      <c r="X1155" s="234"/>
      <c r="Y1155" s="234"/>
      <c r="Z1155" s="234"/>
    </row>
    <row r="1156" ht="12.0" customHeight="1" outlineLevel="1">
      <c r="A1156" s="11"/>
      <c r="B1156" s="217"/>
      <c r="C1156" s="217"/>
      <c r="D1156" s="217"/>
      <c r="E1156" s="217"/>
      <c r="F1156" s="217"/>
      <c r="G1156" s="217"/>
      <c r="H1156" s="217"/>
      <c r="I1156" s="217"/>
      <c r="J1156" s="217"/>
      <c r="K1156" s="217"/>
      <c r="L1156" s="217"/>
      <c r="M1156" s="217"/>
      <c r="N1156" s="244">
        <f t="shared" si="223"/>
        <v>0</v>
      </c>
      <c r="O1156" s="244"/>
      <c r="P1156" s="234"/>
      <c r="Q1156" s="234"/>
      <c r="R1156" s="234"/>
      <c r="S1156" s="234"/>
      <c r="T1156" s="234"/>
      <c r="U1156" s="234"/>
      <c r="V1156" s="234"/>
      <c r="W1156" s="234"/>
      <c r="X1156" s="234"/>
      <c r="Y1156" s="234"/>
      <c r="Z1156" s="234"/>
    </row>
    <row r="1157" ht="12.0" customHeight="1" outlineLevel="1">
      <c r="A1157" s="11"/>
      <c r="B1157" s="217"/>
      <c r="C1157" s="217"/>
      <c r="D1157" s="217"/>
      <c r="E1157" s="217"/>
      <c r="F1157" s="217"/>
      <c r="G1157" s="217"/>
      <c r="H1157" s="217"/>
      <c r="I1157" s="217"/>
      <c r="J1157" s="217"/>
      <c r="K1157" s="217"/>
      <c r="L1157" s="217"/>
      <c r="M1157" s="217"/>
      <c r="N1157" s="244">
        <f t="shared" si="223"/>
        <v>0</v>
      </c>
      <c r="O1157" s="244"/>
      <c r="P1157" s="234"/>
      <c r="Q1157" s="234"/>
      <c r="R1157" s="234"/>
      <c r="S1157" s="234"/>
      <c r="T1157" s="234"/>
      <c r="U1157" s="234"/>
      <c r="V1157" s="234"/>
      <c r="W1157" s="234"/>
      <c r="X1157" s="234"/>
      <c r="Y1157" s="234"/>
      <c r="Z1157" s="234"/>
    </row>
    <row r="1158" ht="12.0" customHeight="1" outlineLevel="1">
      <c r="A1158" s="11"/>
      <c r="B1158" s="217"/>
      <c r="C1158" s="217"/>
      <c r="D1158" s="217"/>
      <c r="E1158" s="217"/>
      <c r="F1158" s="217"/>
      <c r="G1158" s="217"/>
      <c r="H1158" s="217"/>
      <c r="I1158" s="217"/>
      <c r="J1158" s="217"/>
      <c r="K1158" s="217"/>
      <c r="L1158" s="217"/>
      <c r="M1158" s="217"/>
      <c r="N1158" s="244">
        <f t="shared" si="223"/>
        <v>0</v>
      </c>
      <c r="O1158" s="244"/>
      <c r="P1158" s="234"/>
      <c r="Q1158" s="234"/>
      <c r="R1158" s="234"/>
      <c r="S1158" s="234"/>
      <c r="T1158" s="234"/>
      <c r="U1158" s="234"/>
      <c r="V1158" s="234"/>
      <c r="W1158" s="234"/>
      <c r="X1158" s="234"/>
      <c r="Y1158" s="234"/>
      <c r="Z1158" s="234"/>
    </row>
    <row r="1159" ht="12.0" customHeight="1" outlineLevel="1">
      <c r="A1159" s="11"/>
      <c r="B1159" s="217"/>
      <c r="C1159" s="217"/>
      <c r="D1159" s="217"/>
      <c r="E1159" s="217"/>
      <c r="F1159" s="217"/>
      <c r="G1159" s="217"/>
      <c r="H1159" s="217"/>
      <c r="I1159" s="217"/>
      <c r="J1159" s="217"/>
      <c r="K1159" s="217"/>
      <c r="L1159" s="217"/>
      <c r="M1159" s="217"/>
      <c r="N1159" s="244">
        <f t="shared" si="223"/>
        <v>0</v>
      </c>
      <c r="O1159" s="244"/>
      <c r="P1159" s="234"/>
      <c r="Q1159" s="234"/>
      <c r="R1159" s="234"/>
      <c r="S1159" s="234"/>
      <c r="T1159" s="234"/>
      <c r="U1159" s="234"/>
      <c r="V1159" s="234"/>
      <c r="W1159" s="234"/>
      <c r="X1159" s="234"/>
      <c r="Y1159" s="234"/>
      <c r="Z1159" s="234"/>
    </row>
    <row r="1160" ht="12.0" customHeight="1" outlineLevel="1">
      <c r="A1160" s="11"/>
      <c r="B1160" s="217"/>
      <c r="C1160" s="217"/>
      <c r="D1160" s="217"/>
      <c r="E1160" s="217"/>
      <c r="F1160" s="217"/>
      <c r="G1160" s="217"/>
      <c r="H1160" s="217"/>
      <c r="I1160" s="217"/>
      <c r="J1160" s="217"/>
      <c r="K1160" s="217"/>
      <c r="L1160" s="217"/>
      <c r="M1160" s="217"/>
      <c r="N1160" s="244">
        <f t="shared" si="223"/>
        <v>0</v>
      </c>
      <c r="O1160" s="244"/>
      <c r="P1160" s="234"/>
      <c r="Q1160" s="234"/>
      <c r="R1160" s="234"/>
      <c r="S1160" s="234"/>
      <c r="T1160" s="234"/>
      <c r="U1160" s="234"/>
      <c r="V1160" s="234"/>
      <c r="W1160" s="234"/>
      <c r="X1160" s="234"/>
      <c r="Y1160" s="234"/>
      <c r="Z1160" s="234"/>
    </row>
    <row r="1161" ht="12.0" customHeight="1" outlineLevel="1">
      <c r="A1161" s="11"/>
      <c r="B1161" s="217"/>
      <c r="C1161" s="217"/>
      <c r="D1161" s="217"/>
      <c r="E1161" s="217"/>
      <c r="F1161" s="217"/>
      <c r="G1161" s="217"/>
      <c r="H1161" s="217"/>
      <c r="I1161" s="217"/>
      <c r="J1161" s="217"/>
      <c r="K1161" s="217"/>
      <c r="L1161" s="217"/>
      <c r="M1161" s="217"/>
      <c r="N1161" s="244">
        <f t="shared" si="223"/>
        <v>0</v>
      </c>
      <c r="O1161" s="244"/>
      <c r="P1161" s="234"/>
      <c r="Q1161" s="234"/>
      <c r="R1161" s="234"/>
      <c r="S1161" s="234"/>
      <c r="T1161" s="234"/>
      <c r="U1161" s="234"/>
      <c r="V1161" s="234"/>
      <c r="W1161" s="234"/>
      <c r="X1161" s="234"/>
      <c r="Y1161" s="234"/>
      <c r="Z1161" s="234"/>
    </row>
    <row r="1162" ht="12.0" customHeight="1" outlineLevel="1">
      <c r="A1162" s="11"/>
      <c r="B1162" s="217"/>
      <c r="C1162" s="217"/>
      <c r="D1162" s="217"/>
      <c r="E1162" s="217"/>
      <c r="F1162" s="217"/>
      <c r="G1162" s="217"/>
      <c r="H1162" s="217"/>
      <c r="I1162" s="217"/>
      <c r="J1162" s="217"/>
      <c r="K1162" s="217"/>
      <c r="L1162" s="217"/>
      <c r="M1162" s="217"/>
      <c r="N1162" s="244">
        <f t="shared" si="223"/>
        <v>0</v>
      </c>
      <c r="O1162" s="244"/>
      <c r="P1162" s="234"/>
      <c r="Q1162" s="234"/>
      <c r="R1162" s="234"/>
      <c r="S1162" s="234"/>
      <c r="T1162" s="234"/>
      <c r="U1162" s="234"/>
      <c r="V1162" s="234"/>
      <c r="W1162" s="234"/>
      <c r="X1162" s="234"/>
      <c r="Y1162" s="234"/>
      <c r="Z1162" s="234"/>
    </row>
    <row r="1163" ht="12.0" customHeight="1" outlineLevel="1">
      <c r="A1163" s="11"/>
      <c r="B1163" s="217"/>
      <c r="C1163" s="217"/>
      <c r="D1163" s="217"/>
      <c r="E1163" s="217"/>
      <c r="F1163" s="217"/>
      <c r="G1163" s="217"/>
      <c r="H1163" s="217"/>
      <c r="I1163" s="217"/>
      <c r="J1163" s="217"/>
      <c r="K1163" s="217"/>
      <c r="L1163" s="217"/>
      <c r="M1163" s="217"/>
      <c r="N1163" s="244">
        <f t="shared" si="223"/>
        <v>0</v>
      </c>
      <c r="O1163" s="244"/>
      <c r="P1163" s="234"/>
      <c r="Q1163" s="234"/>
      <c r="R1163" s="234"/>
      <c r="S1163" s="234"/>
      <c r="T1163" s="234"/>
      <c r="U1163" s="234"/>
      <c r="V1163" s="234"/>
      <c r="W1163" s="234"/>
      <c r="X1163" s="234"/>
      <c r="Y1163" s="234"/>
      <c r="Z1163" s="234"/>
    </row>
    <row r="1164" ht="12.0" customHeight="1" outlineLevel="1">
      <c r="A1164" s="11"/>
      <c r="B1164" s="217"/>
      <c r="C1164" s="217"/>
      <c r="D1164" s="217"/>
      <c r="E1164" s="217"/>
      <c r="F1164" s="217"/>
      <c r="G1164" s="217"/>
      <c r="H1164" s="217"/>
      <c r="I1164" s="217"/>
      <c r="J1164" s="217"/>
      <c r="K1164" s="217"/>
      <c r="L1164" s="217"/>
      <c r="M1164" s="217"/>
      <c r="N1164" s="244">
        <f t="shared" si="223"/>
        <v>0</v>
      </c>
      <c r="O1164" s="244"/>
      <c r="P1164" s="234"/>
      <c r="Q1164" s="234"/>
      <c r="R1164" s="234"/>
      <c r="S1164" s="234"/>
      <c r="T1164" s="234"/>
      <c r="U1164" s="234"/>
      <c r="V1164" s="234"/>
      <c r="W1164" s="234"/>
      <c r="X1164" s="234"/>
      <c r="Y1164" s="234"/>
      <c r="Z1164" s="234"/>
    </row>
    <row r="1165" ht="12.0" customHeight="1" outlineLevel="1">
      <c r="A1165" s="11"/>
      <c r="B1165" s="217"/>
      <c r="C1165" s="217"/>
      <c r="D1165" s="217"/>
      <c r="E1165" s="217"/>
      <c r="F1165" s="217"/>
      <c r="G1165" s="217"/>
      <c r="H1165" s="217"/>
      <c r="I1165" s="217"/>
      <c r="J1165" s="217"/>
      <c r="K1165" s="217"/>
      <c r="L1165" s="217"/>
      <c r="M1165" s="217"/>
      <c r="N1165" s="244">
        <f t="shared" si="223"/>
        <v>0</v>
      </c>
      <c r="O1165" s="244"/>
      <c r="P1165" s="234"/>
      <c r="Q1165" s="234"/>
      <c r="R1165" s="234"/>
      <c r="S1165" s="234"/>
      <c r="T1165" s="234"/>
      <c r="U1165" s="234"/>
      <c r="V1165" s="234"/>
      <c r="W1165" s="234"/>
      <c r="X1165" s="234"/>
      <c r="Y1165" s="234"/>
      <c r="Z1165" s="234"/>
    </row>
    <row r="1166" ht="12.0" customHeight="1" outlineLevel="1">
      <c r="A1166" s="11"/>
      <c r="B1166" s="217"/>
      <c r="C1166" s="217"/>
      <c r="D1166" s="217"/>
      <c r="E1166" s="217"/>
      <c r="F1166" s="217"/>
      <c r="G1166" s="217"/>
      <c r="H1166" s="217"/>
      <c r="I1166" s="217"/>
      <c r="J1166" s="217"/>
      <c r="K1166" s="217"/>
      <c r="L1166" s="217"/>
      <c r="M1166" s="217"/>
      <c r="N1166" s="244">
        <f t="shared" si="223"/>
        <v>0</v>
      </c>
      <c r="O1166" s="244"/>
      <c r="P1166" s="234"/>
      <c r="Q1166" s="234"/>
      <c r="R1166" s="234"/>
      <c r="S1166" s="234"/>
      <c r="T1166" s="234"/>
      <c r="U1166" s="234"/>
      <c r="V1166" s="234"/>
      <c r="W1166" s="234"/>
      <c r="X1166" s="234"/>
      <c r="Y1166" s="234"/>
      <c r="Z1166" s="234"/>
    </row>
    <row r="1167" ht="12.0" customHeight="1" outlineLevel="1">
      <c r="A1167" s="11"/>
      <c r="B1167" s="217"/>
      <c r="C1167" s="217"/>
      <c r="D1167" s="217"/>
      <c r="E1167" s="217"/>
      <c r="F1167" s="217"/>
      <c r="G1167" s="217"/>
      <c r="H1167" s="217"/>
      <c r="I1167" s="217"/>
      <c r="J1167" s="217"/>
      <c r="K1167" s="217"/>
      <c r="L1167" s="217"/>
      <c r="M1167" s="217"/>
      <c r="N1167" s="244">
        <f t="shared" si="223"/>
        <v>0</v>
      </c>
      <c r="O1167" s="244"/>
      <c r="P1167" s="234"/>
      <c r="Q1167" s="234"/>
      <c r="R1167" s="234"/>
      <c r="S1167" s="234"/>
      <c r="T1167" s="234"/>
      <c r="U1167" s="234"/>
      <c r="V1167" s="234"/>
      <c r="W1167" s="234"/>
      <c r="X1167" s="234"/>
      <c r="Y1167" s="234"/>
      <c r="Z1167" s="234"/>
    </row>
    <row r="1168" ht="12.0" customHeight="1" outlineLevel="1">
      <c r="A1168" s="11"/>
      <c r="B1168" s="217"/>
      <c r="C1168" s="217"/>
      <c r="D1168" s="217"/>
      <c r="E1168" s="217"/>
      <c r="F1168" s="217"/>
      <c r="G1168" s="217"/>
      <c r="H1168" s="217"/>
      <c r="I1168" s="217"/>
      <c r="J1168" s="217"/>
      <c r="K1168" s="217"/>
      <c r="L1168" s="217"/>
      <c r="M1168" s="217"/>
      <c r="N1168" s="244">
        <f t="shared" si="223"/>
        <v>0</v>
      </c>
      <c r="O1168" s="244"/>
      <c r="P1168" s="234"/>
      <c r="Q1168" s="234"/>
      <c r="R1168" s="234"/>
      <c r="S1168" s="234"/>
      <c r="T1168" s="234"/>
      <c r="U1168" s="234"/>
      <c r="V1168" s="234"/>
      <c r="W1168" s="234"/>
      <c r="X1168" s="234"/>
      <c r="Y1168" s="234"/>
      <c r="Z1168" s="234"/>
    </row>
    <row r="1169" ht="12.0" customHeight="1" outlineLevel="1">
      <c r="A1169" s="11"/>
      <c r="B1169" s="217"/>
      <c r="C1169" s="217"/>
      <c r="D1169" s="217"/>
      <c r="E1169" s="217"/>
      <c r="F1169" s="217"/>
      <c r="G1169" s="217"/>
      <c r="H1169" s="217"/>
      <c r="I1169" s="217"/>
      <c r="J1169" s="217"/>
      <c r="K1169" s="217"/>
      <c r="L1169" s="217"/>
      <c r="M1169" s="217"/>
      <c r="N1169" s="244">
        <f t="shared" si="223"/>
        <v>0</v>
      </c>
      <c r="O1169" s="244"/>
      <c r="P1169" s="234"/>
      <c r="Q1169" s="234"/>
      <c r="R1169" s="234"/>
      <c r="S1169" s="234"/>
      <c r="T1169" s="234"/>
      <c r="U1169" s="234"/>
      <c r="V1169" s="234"/>
      <c r="W1169" s="234"/>
      <c r="X1169" s="234"/>
      <c r="Y1169" s="234"/>
      <c r="Z1169" s="234"/>
    </row>
    <row r="1170" ht="12.0" customHeight="1" outlineLevel="1">
      <c r="A1170" s="11"/>
      <c r="B1170" s="217"/>
      <c r="C1170" s="217"/>
      <c r="D1170" s="217"/>
      <c r="E1170" s="217"/>
      <c r="F1170" s="217"/>
      <c r="G1170" s="217"/>
      <c r="H1170" s="217"/>
      <c r="I1170" s="217"/>
      <c r="J1170" s="217"/>
      <c r="K1170" s="217"/>
      <c r="L1170" s="217"/>
      <c r="M1170" s="217"/>
      <c r="N1170" s="244">
        <f t="shared" si="223"/>
        <v>0</v>
      </c>
      <c r="O1170" s="244"/>
      <c r="P1170" s="234"/>
      <c r="Q1170" s="234"/>
      <c r="R1170" s="234"/>
      <c r="S1170" s="234"/>
      <c r="T1170" s="234"/>
      <c r="U1170" s="234"/>
      <c r="V1170" s="234"/>
      <c r="W1170" s="234"/>
      <c r="X1170" s="234"/>
      <c r="Y1170" s="234"/>
      <c r="Z1170" s="234"/>
    </row>
    <row r="1171" ht="12.0" customHeight="1" outlineLevel="1">
      <c r="A1171" s="11"/>
      <c r="B1171" s="217"/>
      <c r="C1171" s="217"/>
      <c r="D1171" s="217"/>
      <c r="E1171" s="217"/>
      <c r="F1171" s="217"/>
      <c r="G1171" s="217"/>
      <c r="H1171" s="217"/>
      <c r="I1171" s="217"/>
      <c r="J1171" s="217"/>
      <c r="K1171" s="217"/>
      <c r="L1171" s="217"/>
      <c r="M1171" s="217"/>
      <c r="N1171" s="244">
        <f t="shared" si="223"/>
        <v>0</v>
      </c>
      <c r="O1171" s="244"/>
      <c r="P1171" s="234"/>
      <c r="Q1171" s="234"/>
      <c r="R1171" s="234"/>
      <c r="S1171" s="234"/>
      <c r="T1171" s="234"/>
      <c r="U1171" s="234"/>
      <c r="V1171" s="234"/>
      <c r="W1171" s="234"/>
      <c r="X1171" s="234"/>
      <c r="Y1171" s="234"/>
      <c r="Z1171" s="234"/>
    </row>
    <row r="1172" ht="12.0" customHeight="1" outlineLevel="1">
      <c r="A1172" s="11"/>
      <c r="B1172" s="217"/>
      <c r="C1172" s="217"/>
      <c r="D1172" s="217"/>
      <c r="E1172" s="217"/>
      <c r="F1172" s="217"/>
      <c r="G1172" s="217"/>
      <c r="H1172" s="217"/>
      <c r="I1172" s="217"/>
      <c r="J1172" s="217"/>
      <c r="K1172" s="217"/>
      <c r="L1172" s="217"/>
      <c r="M1172" s="217"/>
      <c r="N1172" s="244">
        <f t="shared" si="223"/>
        <v>0</v>
      </c>
      <c r="O1172" s="244"/>
      <c r="P1172" s="234"/>
      <c r="Q1172" s="234"/>
      <c r="R1172" s="234"/>
      <c r="S1172" s="234"/>
      <c r="T1172" s="234"/>
      <c r="U1172" s="234"/>
      <c r="V1172" s="234"/>
      <c r="W1172" s="234"/>
      <c r="X1172" s="234"/>
      <c r="Y1172" s="234"/>
      <c r="Z1172" s="234"/>
    </row>
    <row r="1173" ht="12.0" customHeight="1" outlineLevel="1">
      <c r="A1173" s="11"/>
      <c r="B1173" s="217"/>
      <c r="C1173" s="217"/>
      <c r="D1173" s="217"/>
      <c r="E1173" s="217"/>
      <c r="F1173" s="217"/>
      <c r="G1173" s="217"/>
      <c r="H1173" s="217"/>
      <c r="I1173" s="217"/>
      <c r="J1173" s="217"/>
      <c r="K1173" s="217"/>
      <c r="L1173" s="217"/>
      <c r="M1173" s="217"/>
      <c r="N1173" s="244">
        <f t="shared" si="223"/>
        <v>0</v>
      </c>
      <c r="O1173" s="244"/>
      <c r="P1173" s="234"/>
      <c r="Q1173" s="234"/>
      <c r="R1173" s="234"/>
      <c r="S1173" s="234"/>
      <c r="T1173" s="234"/>
      <c r="U1173" s="234"/>
      <c r="V1173" s="234"/>
      <c r="W1173" s="234"/>
      <c r="X1173" s="234"/>
      <c r="Y1173" s="234"/>
      <c r="Z1173" s="234"/>
    </row>
    <row r="1174" ht="12.0" customHeight="1" outlineLevel="1">
      <c r="A1174" s="11"/>
      <c r="B1174" s="217"/>
      <c r="C1174" s="217"/>
      <c r="D1174" s="217"/>
      <c r="E1174" s="217"/>
      <c r="F1174" s="217"/>
      <c r="G1174" s="217"/>
      <c r="H1174" s="217"/>
      <c r="I1174" s="217"/>
      <c r="J1174" s="217"/>
      <c r="K1174" s="217"/>
      <c r="L1174" s="217"/>
      <c r="M1174" s="217"/>
      <c r="N1174" s="244">
        <f t="shared" si="223"/>
        <v>0</v>
      </c>
      <c r="O1174" s="244"/>
      <c r="P1174" s="234"/>
      <c r="Q1174" s="234"/>
      <c r="R1174" s="234"/>
      <c r="S1174" s="234"/>
      <c r="T1174" s="234"/>
      <c r="U1174" s="234"/>
      <c r="V1174" s="234"/>
      <c r="W1174" s="234"/>
      <c r="X1174" s="234"/>
      <c r="Y1174" s="234"/>
      <c r="Z1174" s="234"/>
    </row>
    <row r="1175" ht="12.0" customHeight="1" outlineLevel="1">
      <c r="A1175" s="11"/>
      <c r="B1175" s="217"/>
      <c r="C1175" s="217"/>
      <c r="D1175" s="217"/>
      <c r="E1175" s="217"/>
      <c r="F1175" s="217"/>
      <c r="G1175" s="217"/>
      <c r="H1175" s="217"/>
      <c r="I1175" s="217"/>
      <c r="J1175" s="217"/>
      <c r="K1175" s="217"/>
      <c r="L1175" s="217"/>
      <c r="M1175" s="217"/>
      <c r="N1175" s="244">
        <f t="shared" si="223"/>
        <v>0</v>
      </c>
      <c r="O1175" s="244"/>
      <c r="P1175" s="234"/>
      <c r="Q1175" s="234"/>
      <c r="R1175" s="234"/>
      <c r="S1175" s="234"/>
      <c r="T1175" s="234"/>
      <c r="U1175" s="234"/>
      <c r="V1175" s="234"/>
      <c r="W1175" s="234"/>
      <c r="X1175" s="234"/>
      <c r="Y1175" s="234"/>
      <c r="Z1175" s="234"/>
    </row>
    <row r="1176" ht="12.0" customHeight="1" outlineLevel="1">
      <c r="A1176" s="11"/>
      <c r="B1176" s="217"/>
      <c r="C1176" s="217"/>
      <c r="D1176" s="217"/>
      <c r="E1176" s="217"/>
      <c r="F1176" s="217"/>
      <c r="G1176" s="217"/>
      <c r="H1176" s="217"/>
      <c r="I1176" s="217"/>
      <c r="J1176" s="217"/>
      <c r="K1176" s="217"/>
      <c r="L1176" s="217"/>
      <c r="M1176" s="217"/>
      <c r="N1176" s="244">
        <f t="shared" si="223"/>
        <v>0</v>
      </c>
      <c r="O1176" s="244"/>
      <c r="P1176" s="234"/>
      <c r="Q1176" s="234"/>
      <c r="R1176" s="234"/>
      <c r="S1176" s="234"/>
      <c r="T1176" s="234"/>
      <c r="U1176" s="234"/>
      <c r="V1176" s="234"/>
      <c r="W1176" s="234"/>
      <c r="X1176" s="234"/>
      <c r="Y1176" s="234"/>
      <c r="Z1176" s="234"/>
    </row>
    <row r="1177" ht="12.0" customHeight="1" outlineLevel="1">
      <c r="A1177" s="11"/>
      <c r="B1177" s="217"/>
      <c r="C1177" s="217"/>
      <c r="D1177" s="217"/>
      <c r="E1177" s="217"/>
      <c r="F1177" s="217"/>
      <c r="G1177" s="217"/>
      <c r="H1177" s="217"/>
      <c r="I1177" s="217"/>
      <c r="J1177" s="217"/>
      <c r="K1177" s="217"/>
      <c r="L1177" s="217"/>
      <c r="M1177" s="217"/>
      <c r="N1177" s="244">
        <f t="shared" si="223"/>
        <v>0</v>
      </c>
      <c r="O1177" s="244"/>
      <c r="P1177" s="234"/>
      <c r="Q1177" s="234"/>
      <c r="R1177" s="234"/>
      <c r="S1177" s="234"/>
      <c r="T1177" s="234"/>
      <c r="U1177" s="234"/>
      <c r="V1177" s="234"/>
      <c r="W1177" s="234"/>
      <c r="X1177" s="234"/>
      <c r="Y1177" s="234"/>
      <c r="Z1177" s="234"/>
    </row>
    <row r="1178" ht="12.0" customHeight="1" outlineLevel="1">
      <c r="A1178" s="11"/>
      <c r="B1178" s="217"/>
      <c r="C1178" s="217"/>
      <c r="D1178" s="217"/>
      <c r="E1178" s="217"/>
      <c r="F1178" s="217"/>
      <c r="G1178" s="217"/>
      <c r="H1178" s="217"/>
      <c r="I1178" s="217"/>
      <c r="J1178" s="217"/>
      <c r="K1178" s="217"/>
      <c r="L1178" s="217"/>
      <c r="M1178" s="217"/>
      <c r="N1178" s="244">
        <f t="shared" si="223"/>
        <v>0</v>
      </c>
      <c r="O1178" s="244"/>
      <c r="P1178" s="234"/>
      <c r="Q1178" s="234"/>
      <c r="R1178" s="234"/>
      <c r="S1178" s="234"/>
      <c r="T1178" s="234"/>
      <c r="U1178" s="234"/>
      <c r="V1178" s="234"/>
      <c r="W1178" s="234"/>
      <c r="X1178" s="234"/>
      <c r="Y1178" s="234"/>
      <c r="Z1178" s="234"/>
    </row>
    <row r="1179" ht="12.0" customHeight="1" outlineLevel="1">
      <c r="A1179" s="11"/>
      <c r="B1179" s="217"/>
      <c r="C1179" s="217"/>
      <c r="D1179" s="217"/>
      <c r="E1179" s="217"/>
      <c r="F1179" s="217"/>
      <c r="G1179" s="217"/>
      <c r="H1179" s="217"/>
      <c r="I1179" s="217"/>
      <c r="J1179" s="217"/>
      <c r="K1179" s="217"/>
      <c r="L1179" s="217"/>
      <c r="M1179" s="217"/>
      <c r="N1179" s="217"/>
      <c r="O1179" s="217"/>
      <c r="P1179" s="234"/>
      <c r="Q1179" s="234"/>
      <c r="R1179" s="234"/>
      <c r="S1179" s="234"/>
      <c r="T1179" s="234"/>
      <c r="U1179" s="234"/>
      <c r="V1179" s="234"/>
      <c r="W1179" s="234"/>
      <c r="X1179" s="234"/>
      <c r="Y1179" s="234"/>
      <c r="Z1179" s="234"/>
    </row>
    <row r="1180" ht="14.25" customHeight="1">
      <c r="A1180" s="234"/>
      <c r="B1180" s="234"/>
      <c r="C1180" s="234"/>
      <c r="D1180" s="234"/>
      <c r="E1180" s="234"/>
      <c r="F1180" s="234"/>
      <c r="G1180" s="234"/>
      <c r="H1180" s="234"/>
      <c r="I1180" s="234"/>
      <c r="J1180" s="234"/>
      <c r="K1180" s="234"/>
      <c r="L1180" s="234"/>
      <c r="M1180" s="234"/>
      <c r="N1180" s="234"/>
      <c r="O1180" s="234"/>
      <c r="P1180" s="234"/>
      <c r="Q1180" s="234"/>
      <c r="R1180" s="234"/>
      <c r="S1180" s="234"/>
      <c r="T1180" s="234"/>
      <c r="U1180" s="234"/>
      <c r="V1180" s="234"/>
      <c r="W1180" s="234"/>
      <c r="X1180" s="234"/>
      <c r="Y1180" s="234"/>
      <c r="Z1180" s="234"/>
    </row>
    <row r="1181" ht="14.25" customHeight="1">
      <c r="A1181" s="234"/>
      <c r="B1181" s="234"/>
      <c r="C1181" s="234"/>
      <c r="D1181" s="234"/>
      <c r="E1181" s="234"/>
      <c r="F1181" s="234"/>
      <c r="G1181" s="234"/>
      <c r="H1181" s="234"/>
      <c r="I1181" s="234"/>
      <c r="J1181" s="234"/>
      <c r="K1181" s="234"/>
      <c r="L1181" s="234"/>
      <c r="M1181" s="234"/>
      <c r="N1181" s="234"/>
      <c r="O1181" s="234"/>
      <c r="P1181" s="234"/>
      <c r="Q1181" s="234"/>
      <c r="R1181" s="234"/>
      <c r="S1181" s="234"/>
      <c r="T1181" s="234"/>
      <c r="U1181" s="234"/>
      <c r="V1181" s="234"/>
      <c r="W1181" s="234"/>
      <c r="X1181" s="234"/>
      <c r="Y1181" s="234"/>
      <c r="Z1181" s="234"/>
    </row>
    <row r="1182" ht="14.25" customHeight="1">
      <c r="A1182" s="234"/>
      <c r="B1182" s="250"/>
      <c r="C1182" s="234"/>
      <c r="D1182" s="234"/>
      <c r="E1182" s="234"/>
      <c r="F1182" s="234"/>
      <c r="G1182" s="234"/>
      <c r="H1182" s="234"/>
      <c r="I1182" s="234"/>
      <c r="J1182" s="234"/>
      <c r="K1182" s="234"/>
      <c r="L1182" s="234"/>
      <c r="M1182" s="234"/>
      <c r="N1182" s="234"/>
      <c r="O1182" s="234"/>
      <c r="P1182" s="234"/>
      <c r="Q1182" s="234"/>
      <c r="R1182" s="234"/>
      <c r="S1182" s="234"/>
      <c r="T1182" s="234"/>
      <c r="U1182" s="234"/>
      <c r="V1182" s="234"/>
      <c r="W1182" s="234"/>
      <c r="X1182" s="234"/>
      <c r="Y1182" s="234"/>
      <c r="Z1182" s="234"/>
    </row>
    <row r="1183" ht="14.25" customHeight="1">
      <c r="A1183" s="234"/>
      <c r="B1183" s="250"/>
      <c r="C1183" s="234"/>
      <c r="D1183" s="234"/>
      <c r="E1183" s="234"/>
      <c r="F1183" s="234"/>
      <c r="G1183" s="234"/>
      <c r="H1183" s="234"/>
      <c r="I1183" s="234"/>
      <c r="J1183" s="234"/>
      <c r="K1183" s="234"/>
      <c r="L1183" s="234"/>
      <c r="M1183" s="234"/>
      <c r="N1183" s="234"/>
      <c r="O1183" s="234"/>
      <c r="P1183" s="234"/>
      <c r="Q1183" s="234"/>
      <c r="R1183" s="234"/>
      <c r="S1183" s="234"/>
      <c r="T1183" s="234"/>
      <c r="U1183" s="234"/>
      <c r="V1183" s="234"/>
      <c r="W1183" s="234"/>
      <c r="X1183" s="234"/>
      <c r="Y1183" s="234"/>
      <c r="Z1183" s="234"/>
    </row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FF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 outlineLevelRow="1"/>
  <cols>
    <col customWidth="1" min="1" max="1" width="42.86"/>
    <col customWidth="1" min="2" max="14" width="14.86"/>
    <col customWidth="1" min="15" max="26" width="9.14"/>
  </cols>
  <sheetData>
    <row r="1" ht="11.25" customHeight="1">
      <c r="A1" s="89" t="s">
        <v>378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3" t="s">
        <v>1</v>
      </c>
      <c r="B2" s="21" t="s">
        <v>2</v>
      </c>
      <c r="C2" s="21" t="s">
        <v>3</v>
      </c>
      <c r="D2" s="21" t="s">
        <v>4</v>
      </c>
      <c r="E2" s="21" t="s">
        <v>5</v>
      </c>
      <c r="F2" s="21" t="s">
        <v>6</v>
      </c>
      <c r="G2" s="21" t="s">
        <v>7</v>
      </c>
      <c r="H2" s="21" t="s">
        <v>8</v>
      </c>
      <c r="I2" s="21" t="s">
        <v>9</v>
      </c>
      <c r="J2" s="21" t="s">
        <v>10</v>
      </c>
      <c r="K2" s="21" t="s">
        <v>11</v>
      </c>
      <c r="L2" s="21" t="s">
        <v>12</v>
      </c>
      <c r="M2" s="21" t="s">
        <v>13</v>
      </c>
      <c r="N2" s="31" t="s">
        <v>14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.25" customHeight="1">
      <c r="A3" s="166" t="s">
        <v>62</v>
      </c>
      <c r="B3" s="159">
        <f>B23-C954/1000</f>
        <v>0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.25" customHeight="1">
      <c r="A4" s="7" t="s">
        <v>64</v>
      </c>
      <c r="B4" s="10">
        <f t="shared" ref="B4:M4" si="1">SUM(B5:B22)</f>
        <v>0</v>
      </c>
      <c r="C4" s="10">
        <f t="shared" si="1"/>
        <v>0</v>
      </c>
      <c r="D4" s="10">
        <f t="shared" si="1"/>
        <v>0</v>
      </c>
      <c r="E4" s="10">
        <f t="shared" si="1"/>
        <v>0</v>
      </c>
      <c r="F4" s="10">
        <f t="shared" si="1"/>
        <v>0</v>
      </c>
      <c r="G4" s="10">
        <f t="shared" si="1"/>
        <v>0</v>
      </c>
      <c r="H4" s="10">
        <f t="shared" si="1"/>
        <v>0</v>
      </c>
      <c r="I4" s="10">
        <f t="shared" si="1"/>
        <v>0</v>
      </c>
      <c r="J4" s="10">
        <f t="shared" si="1"/>
        <v>0</v>
      </c>
      <c r="K4" s="10">
        <f t="shared" si="1"/>
        <v>0</v>
      </c>
      <c r="L4" s="10">
        <f t="shared" si="1"/>
        <v>0</v>
      </c>
      <c r="M4" s="10">
        <f t="shared" si="1"/>
        <v>0</v>
      </c>
      <c r="N4" s="10">
        <f t="shared" ref="N4:N102" si="3">B4+C4+D4+E4+F4+G4+H4+I4+J4+K4+L4+M4</f>
        <v>0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1.25" hidden="1" customHeight="1" outlineLevel="1">
      <c r="A5" s="11" t="s">
        <v>379</v>
      </c>
      <c r="B5" s="12">
        <f t="shared" ref="B5:M5" si="2">C899/1000</f>
        <v>0</v>
      </c>
      <c r="C5" s="12">
        <f t="shared" si="2"/>
        <v>0</v>
      </c>
      <c r="D5" s="12">
        <f t="shared" si="2"/>
        <v>0</v>
      </c>
      <c r="E5" s="12">
        <f t="shared" si="2"/>
        <v>0</v>
      </c>
      <c r="F5" s="12">
        <f t="shared" si="2"/>
        <v>0</v>
      </c>
      <c r="G5" s="12">
        <f t="shared" si="2"/>
        <v>0</v>
      </c>
      <c r="H5" s="12">
        <f t="shared" si="2"/>
        <v>0</v>
      </c>
      <c r="I5" s="12">
        <f t="shared" si="2"/>
        <v>0</v>
      </c>
      <c r="J5" s="12">
        <f t="shared" si="2"/>
        <v>0</v>
      </c>
      <c r="K5" s="12">
        <f t="shared" si="2"/>
        <v>0</v>
      </c>
      <c r="L5" s="12">
        <f t="shared" si="2"/>
        <v>0</v>
      </c>
      <c r="M5" s="12">
        <f t="shared" si="2"/>
        <v>0</v>
      </c>
      <c r="N5" s="12">
        <f t="shared" si="3"/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.25" hidden="1" customHeight="1" outlineLevel="1">
      <c r="A6" s="11" t="s">
        <v>380</v>
      </c>
      <c r="B6" s="12">
        <f t="shared" ref="B6:M6" si="4">C902/1000</f>
        <v>0</v>
      </c>
      <c r="C6" s="12">
        <f t="shared" si="4"/>
        <v>0</v>
      </c>
      <c r="D6" s="12">
        <f t="shared" si="4"/>
        <v>0</v>
      </c>
      <c r="E6" s="12">
        <f t="shared" si="4"/>
        <v>0</v>
      </c>
      <c r="F6" s="12">
        <f t="shared" si="4"/>
        <v>0</v>
      </c>
      <c r="G6" s="12">
        <f t="shared" si="4"/>
        <v>0</v>
      </c>
      <c r="H6" s="12">
        <f t="shared" si="4"/>
        <v>0</v>
      </c>
      <c r="I6" s="12">
        <f t="shared" si="4"/>
        <v>0</v>
      </c>
      <c r="J6" s="12">
        <f t="shared" si="4"/>
        <v>0</v>
      </c>
      <c r="K6" s="12">
        <f t="shared" si="4"/>
        <v>0</v>
      </c>
      <c r="L6" s="12">
        <f t="shared" si="4"/>
        <v>0</v>
      </c>
      <c r="M6" s="12">
        <f t="shared" si="4"/>
        <v>0</v>
      </c>
      <c r="N6" s="12">
        <f t="shared" si="3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.25" hidden="1" customHeight="1" outlineLevel="1">
      <c r="A7" s="11" t="s">
        <v>381</v>
      </c>
      <c r="B7" s="12">
        <f t="shared" ref="B7:M7" si="5">C905/1000</f>
        <v>0</v>
      </c>
      <c r="C7" s="12">
        <f t="shared" si="5"/>
        <v>0</v>
      </c>
      <c r="D7" s="12">
        <f t="shared" si="5"/>
        <v>0</v>
      </c>
      <c r="E7" s="12">
        <f t="shared" si="5"/>
        <v>0</v>
      </c>
      <c r="F7" s="12">
        <f t="shared" si="5"/>
        <v>0</v>
      </c>
      <c r="G7" s="12">
        <f t="shared" si="5"/>
        <v>0</v>
      </c>
      <c r="H7" s="12">
        <f t="shared" si="5"/>
        <v>0</v>
      </c>
      <c r="I7" s="12">
        <f t="shared" si="5"/>
        <v>0</v>
      </c>
      <c r="J7" s="12">
        <f t="shared" si="5"/>
        <v>0</v>
      </c>
      <c r="K7" s="12">
        <f t="shared" si="5"/>
        <v>0</v>
      </c>
      <c r="L7" s="12">
        <f t="shared" si="5"/>
        <v>0</v>
      </c>
      <c r="M7" s="12">
        <f t="shared" si="5"/>
        <v>0</v>
      </c>
      <c r="N7" s="12">
        <f t="shared" si="3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.25" hidden="1" customHeight="1" outlineLevel="1">
      <c r="A8" s="11" t="s">
        <v>382</v>
      </c>
      <c r="B8" s="12">
        <f t="shared" ref="B8:M8" si="6">C908/1000</f>
        <v>0</v>
      </c>
      <c r="C8" s="12">
        <f t="shared" si="6"/>
        <v>0</v>
      </c>
      <c r="D8" s="12">
        <f t="shared" si="6"/>
        <v>0</v>
      </c>
      <c r="E8" s="12">
        <f t="shared" si="6"/>
        <v>0</v>
      </c>
      <c r="F8" s="12">
        <f t="shared" si="6"/>
        <v>0</v>
      </c>
      <c r="G8" s="12">
        <f t="shared" si="6"/>
        <v>0</v>
      </c>
      <c r="H8" s="12">
        <f t="shared" si="6"/>
        <v>0</v>
      </c>
      <c r="I8" s="12">
        <f t="shared" si="6"/>
        <v>0</v>
      </c>
      <c r="J8" s="12">
        <f t="shared" si="6"/>
        <v>0</v>
      </c>
      <c r="K8" s="12">
        <f t="shared" si="6"/>
        <v>0</v>
      </c>
      <c r="L8" s="12">
        <f t="shared" si="6"/>
        <v>0</v>
      </c>
      <c r="M8" s="12">
        <f t="shared" si="6"/>
        <v>0</v>
      </c>
      <c r="N8" s="12">
        <f t="shared" si="3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.25" hidden="1" customHeight="1" outlineLevel="1">
      <c r="A9" s="11" t="s">
        <v>383</v>
      </c>
      <c r="B9" s="12">
        <f t="shared" ref="B9:M9" si="7">C911/1000</f>
        <v>0</v>
      </c>
      <c r="C9" s="12">
        <f t="shared" si="7"/>
        <v>0</v>
      </c>
      <c r="D9" s="12">
        <f t="shared" si="7"/>
        <v>0</v>
      </c>
      <c r="E9" s="12">
        <f t="shared" si="7"/>
        <v>0</v>
      </c>
      <c r="F9" s="12">
        <f t="shared" si="7"/>
        <v>0</v>
      </c>
      <c r="G9" s="12">
        <f t="shared" si="7"/>
        <v>0</v>
      </c>
      <c r="H9" s="12">
        <f t="shared" si="7"/>
        <v>0</v>
      </c>
      <c r="I9" s="12">
        <f t="shared" si="7"/>
        <v>0</v>
      </c>
      <c r="J9" s="12">
        <f t="shared" si="7"/>
        <v>0</v>
      </c>
      <c r="K9" s="12">
        <f t="shared" si="7"/>
        <v>0</v>
      </c>
      <c r="L9" s="12">
        <f t="shared" si="7"/>
        <v>0</v>
      </c>
      <c r="M9" s="12">
        <f t="shared" si="7"/>
        <v>0</v>
      </c>
      <c r="N9" s="12">
        <f t="shared" si="3"/>
        <v>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.25" hidden="1" customHeight="1" outlineLevel="1">
      <c r="A10" s="11" t="s">
        <v>384</v>
      </c>
      <c r="B10" s="12">
        <f t="shared" ref="B10:M10" si="8">C914/1000</f>
        <v>0</v>
      </c>
      <c r="C10" s="12">
        <f t="shared" si="8"/>
        <v>0</v>
      </c>
      <c r="D10" s="12">
        <f t="shared" si="8"/>
        <v>0</v>
      </c>
      <c r="E10" s="12">
        <f t="shared" si="8"/>
        <v>0</v>
      </c>
      <c r="F10" s="12">
        <f t="shared" si="8"/>
        <v>0</v>
      </c>
      <c r="G10" s="12">
        <f t="shared" si="8"/>
        <v>0</v>
      </c>
      <c r="H10" s="12">
        <f t="shared" si="8"/>
        <v>0</v>
      </c>
      <c r="I10" s="12">
        <f t="shared" si="8"/>
        <v>0</v>
      </c>
      <c r="J10" s="12">
        <f t="shared" si="8"/>
        <v>0</v>
      </c>
      <c r="K10" s="12">
        <f t="shared" si="8"/>
        <v>0</v>
      </c>
      <c r="L10" s="12">
        <f t="shared" si="8"/>
        <v>0</v>
      </c>
      <c r="M10" s="12">
        <f t="shared" si="8"/>
        <v>0</v>
      </c>
      <c r="N10" s="12">
        <f t="shared" si="3"/>
        <v>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.25" hidden="1" customHeight="1" outlineLevel="1">
      <c r="A11" s="11" t="s">
        <v>385</v>
      </c>
      <c r="B11" s="12">
        <f t="shared" ref="B11:M11" si="9">C917/1000</f>
        <v>0</v>
      </c>
      <c r="C11" s="12">
        <f t="shared" si="9"/>
        <v>0</v>
      </c>
      <c r="D11" s="12">
        <f t="shared" si="9"/>
        <v>0</v>
      </c>
      <c r="E11" s="12">
        <f t="shared" si="9"/>
        <v>0</v>
      </c>
      <c r="F11" s="12">
        <f t="shared" si="9"/>
        <v>0</v>
      </c>
      <c r="G11" s="12">
        <f t="shared" si="9"/>
        <v>0</v>
      </c>
      <c r="H11" s="12">
        <f t="shared" si="9"/>
        <v>0</v>
      </c>
      <c r="I11" s="12">
        <f t="shared" si="9"/>
        <v>0</v>
      </c>
      <c r="J11" s="12">
        <f t="shared" si="9"/>
        <v>0</v>
      </c>
      <c r="K11" s="12">
        <f t="shared" si="9"/>
        <v>0</v>
      </c>
      <c r="L11" s="12">
        <f t="shared" si="9"/>
        <v>0</v>
      </c>
      <c r="M11" s="12">
        <f t="shared" si="9"/>
        <v>0</v>
      </c>
      <c r="N11" s="12">
        <f t="shared" si="3"/>
        <v>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.25" hidden="1" customHeight="1" outlineLevel="1">
      <c r="A12" s="11" t="s">
        <v>386</v>
      </c>
      <c r="B12" s="12">
        <f t="shared" ref="B12:M12" si="10">C920/1000</f>
        <v>0</v>
      </c>
      <c r="C12" s="12">
        <f t="shared" si="10"/>
        <v>0</v>
      </c>
      <c r="D12" s="12">
        <f t="shared" si="10"/>
        <v>0</v>
      </c>
      <c r="E12" s="12">
        <f t="shared" si="10"/>
        <v>0</v>
      </c>
      <c r="F12" s="12">
        <f t="shared" si="10"/>
        <v>0</v>
      </c>
      <c r="G12" s="12">
        <f t="shared" si="10"/>
        <v>0</v>
      </c>
      <c r="H12" s="12">
        <f t="shared" si="10"/>
        <v>0</v>
      </c>
      <c r="I12" s="12">
        <f t="shared" si="10"/>
        <v>0</v>
      </c>
      <c r="J12" s="12">
        <f t="shared" si="10"/>
        <v>0</v>
      </c>
      <c r="K12" s="12">
        <f t="shared" si="10"/>
        <v>0</v>
      </c>
      <c r="L12" s="12">
        <f t="shared" si="10"/>
        <v>0</v>
      </c>
      <c r="M12" s="12">
        <f t="shared" si="10"/>
        <v>0</v>
      </c>
      <c r="N12" s="12">
        <f t="shared" si="3"/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.25" hidden="1" customHeight="1" outlineLevel="1">
      <c r="A13" s="11" t="s">
        <v>387</v>
      </c>
      <c r="B13" s="12">
        <f t="shared" ref="B13:M13" si="11">C923/1000</f>
        <v>0</v>
      </c>
      <c r="C13" s="12">
        <f t="shared" si="11"/>
        <v>0</v>
      </c>
      <c r="D13" s="12">
        <f t="shared" si="11"/>
        <v>0</v>
      </c>
      <c r="E13" s="12">
        <f t="shared" si="11"/>
        <v>0</v>
      </c>
      <c r="F13" s="12">
        <f t="shared" si="11"/>
        <v>0</v>
      </c>
      <c r="G13" s="12">
        <f t="shared" si="11"/>
        <v>0</v>
      </c>
      <c r="H13" s="12">
        <f t="shared" si="11"/>
        <v>0</v>
      </c>
      <c r="I13" s="12">
        <f t="shared" si="11"/>
        <v>0</v>
      </c>
      <c r="J13" s="12">
        <f t="shared" si="11"/>
        <v>0</v>
      </c>
      <c r="K13" s="12">
        <f t="shared" si="11"/>
        <v>0</v>
      </c>
      <c r="L13" s="12">
        <f t="shared" si="11"/>
        <v>0</v>
      </c>
      <c r="M13" s="12">
        <f t="shared" si="11"/>
        <v>0</v>
      </c>
      <c r="N13" s="12">
        <f t="shared" si="3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.25" hidden="1" customHeight="1" outlineLevel="1">
      <c r="A14" s="11" t="s">
        <v>388</v>
      </c>
      <c r="B14" s="12">
        <f t="shared" ref="B14:M14" si="12">C926/1000</f>
        <v>0</v>
      </c>
      <c r="C14" s="12">
        <f t="shared" si="12"/>
        <v>0</v>
      </c>
      <c r="D14" s="12">
        <f t="shared" si="12"/>
        <v>0</v>
      </c>
      <c r="E14" s="12">
        <f t="shared" si="12"/>
        <v>0</v>
      </c>
      <c r="F14" s="12">
        <f t="shared" si="12"/>
        <v>0</v>
      </c>
      <c r="G14" s="12">
        <f t="shared" si="12"/>
        <v>0</v>
      </c>
      <c r="H14" s="12">
        <f t="shared" si="12"/>
        <v>0</v>
      </c>
      <c r="I14" s="12">
        <f t="shared" si="12"/>
        <v>0</v>
      </c>
      <c r="J14" s="12">
        <f t="shared" si="12"/>
        <v>0</v>
      </c>
      <c r="K14" s="12">
        <f t="shared" si="12"/>
        <v>0</v>
      </c>
      <c r="L14" s="12">
        <f t="shared" si="12"/>
        <v>0</v>
      </c>
      <c r="M14" s="12">
        <f t="shared" si="12"/>
        <v>0</v>
      </c>
      <c r="N14" s="12">
        <f t="shared" si="3"/>
        <v>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.25" hidden="1" customHeight="1" outlineLevel="1">
      <c r="A15" s="11" t="s">
        <v>389</v>
      </c>
      <c r="B15" s="12">
        <f t="shared" ref="B15:M15" si="13">C929/1000</f>
        <v>0</v>
      </c>
      <c r="C15" s="12">
        <f t="shared" si="13"/>
        <v>0</v>
      </c>
      <c r="D15" s="12">
        <f t="shared" si="13"/>
        <v>0</v>
      </c>
      <c r="E15" s="12">
        <f t="shared" si="13"/>
        <v>0</v>
      </c>
      <c r="F15" s="12">
        <f t="shared" si="13"/>
        <v>0</v>
      </c>
      <c r="G15" s="12">
        <f t="shared" si="13"/>
        <v>0</v>
      </c>
      <c r="H15" s="12">
        <f t="shared" si="13"/>
        <v>0</v>
      </c>
      <c r="I15" s="12">
        <f t="shared" si="13"/>
        <v>0</v>
      </c>
      <c r="J15" s="12">
        <f t="shared" si="13"/>
        <v>0</v>
      </c>
      <c r="K15" s="12">
        <f t="shared" si="13"/>
        <v>0</v>
      </c>
      <c r="L15" s="12">
        <f t="shared" si="13"/>
        <v>0</v>
      </c>
      <c r="M15" s="12">
        <f t="shared" si="13"/>
        <v>0</v>
      </c>
      <c r="N15" s="12">
        <f t="shared" si="3"/>
        <v>0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.25" hidden="1" customHeight="1" outlineLevel="1">
      <c r="A16" s="11" t="s">
        <v>390</v>
      </c>
      <c r="B16" s="12">
        <f t="shared" ref="B16:M16" si="14">C932/1000</f>
        <v>0</v>
      </c>
      <c r="C16" s="12">
        <f t="shared" si="14"/>
        <v>0</v>
      </c>
      <c r="D16" s="12">
        <f t="shared" si="14"/>
        <v>0</v>
      </c>
      <c r="E16" s="12">
        <f t="shared" si="14"/>
        <v>0</v>
      </c>
      <c r="F16" s="12">
        <f t="shared" si="14"/>
        <v>0</v>
      </c>
      <c r="G16" s="12">
        <f t="shared" si="14"/>
        <v>0</v>
      </c>
      <c r="H16" s="12">
        <f t="shared" si="14"/>
        <v>0</v>
      </c>
      <c r="I16" s="12">
        <f t="shared" si="14"/>
        <v>0</v>
      </c>
      <c r="J16" s="12">
        <f t="shared" si="14"/>
        <v>0</v>
      </c>
      <c r="K16" s="12">
        <f t="shared" si="14"/>
        <v>0</v>
      </c>
      <c r="L16" s="12">
        <f t="shared" si="14"/>
        <v>0</v>
      </c>
      <c r="M16" s="12">
        <f t="shared" si="14"/>
        <v>0</v>
      </c>
      <c r="N16" s="12">
        <f t="shared" si="3"/>
        <v>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.25" hidden="1" customHeight="1" outlineLevel="1">
      <c r="A17" s="11" t="s">
        <v>391</v>
      </c>
      <c r="B17" s="12">
        <f t="shared" ref="B17:M17" si="15">C935/1000</f>
        <v>0</v>
      </c>
      <c r="C17" s="12">
        <f t="shared" si="15"/>
        <v>0</v>
      </c>
      <c r="D17" s="12">
        <f t="shared" si="15"/>
        <v>0</v>
      </c>
      <c r="E17" s="12">
        <f t="shared" si="15"/>
        <v>0</v>
      </c>
      <c r="F17" s="12">
        <f t="shared" si="15"/>
        <v>0</v>
      </c>
      <c r="G17" s="12">
        <f t="shared" si="15"/>
        <v>0</v>
      </c>
      <c r="H17" s="12">
        <f t="shared" si="15"/>
        <v>0</v>
      </c>
      <c r="I17" s="12">
        <f t="shared" si="15"/>
        <v>0</v>
      </c>
      <c r="J17" s="12">
        <f t="shared" si="15"/>
        <v>0</v>
      </c>
      <c r="K17" s="12">
        <f t="shared" si="15"/>
        <v>0</v>
      </c>
      <c r="L17" s="12">
        <f t="shared" si="15"/>
        <v>0</v>
      </c>
      <c r="M17" s="12">
        <f t="shared" si="15"/>
        <v>0</v>
      </c>
      <c r="N17" s="12">
        <f t="shared" si="3"/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.25" hidden="1" customHeight="1" outlineLevel="1">
      <c r="A18" s="11" t="s">
        <v>392</v>
      </c>
      <c r="B18" s="12">
        <f t="shared" ref="B18:M18" si="16">C938/1000</f>
        <v>0</v>
      </c>
      <c r="C18" s="12">
        <f t="shared" si="16"/>
        <v>0</v>
      </c>
      <c r="D18" s="12">
        <f t="shared" si="16"/>
        <v>0</v>
      </c>
      <c r="E18" s="12">
        <f t="shared" si="16"/>
        <v>0</v>
      </c>
      <c r="F18" s="12">
        <f t="shared" si="16"/>
        <v>0</v>
      </c>
      <c r="G18" s="12">
        <f t="shared" si="16"/>
        <v>0</v>
      </c>
      <c r="H18" s="12">
        <f t="shared" si="16"/>
        <v>0</v>
      </c>
      <c r="I18" s="12">
        <f t="shared" si="16"/>
        <v>0</v>
      </c>
      <c r="J18" s="12">
        <f t="shared" si="16"/>
        <v>0</v>
      </c>
      <c r="K18" s="12">
        <f t="shared" si="16"/>
        <v>0</v>
      </c>
      <c r="L18" s="12">
        <f t="shared" si="16"/>
        <v>0</v>
      </c>
      <c r="M18" s="12">
        <f t="shared" si="16"/>
        <v>0</v>
      </c>
      <c r="N18" s="12">
        <f t="shared" si="3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.25" hidden="1" customHeight="1" outlineLevel="1">
      <c r="A19" s="11" t="s">
        <v>393</v>
      </c>
      <c r="B19" s="12">
        <f t="shared" ref="B19:M19" si="17">C941/1000</f>
        <v>0</v>
      </c>
      <c r="C19" s="12">
        <f t="shared" si="17"/>
        <v>0</v>
      </c>
      <c r="D19" s="12">
        <f t="shared" si="17"/>
        <v>0</v>
      </c>
      <c r="E19" s="12">
        <f t="shared" si="17"/>
        <v>0</v>
      </c>
      <c r="F19" s="12">
        <f t="shared" si="17"/>
        <v>0</v>
      </c>
      <c r="G19" s="12">
        <f t="shared" si="17"/>
        <v>0</v>
      </c>
      <c r="H19" s="12">
        <f t="shared" si="17"/>
        <v>0</v>
      </c>
      <c r="I19" s="12">
        <f t="shared" si="17"/>
        <v>0</v>
      </c>
      <c r="J19" s="12">
        <f t="shared" si="17"/>
        <v>0</v>
      </c>
      <c r="K19" s="12">
        <f t="shared" si="17"/>
        <v>0</v>
      </c>
      <c r="L19" s="12">
        <f t="shared" si="17"/>
        <v>0</v>
      </c>
      <c r="M19" s="12">
        <f t="shared" si="17"/>
        <v>0</v>
      </c>
      <c r="N19" s="12">
        <f t="shared" si="3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.25" hidden="1" customHeight="1" outlineLevel="1">
      <c r="A20" s="11" t="s">
        <v>394</v>
      </c>
      <c r="B20" s="12">
        <f t="shared" ref="B20:M20" si="18">C944/1000</f>
        <v>0</v>
      </c>
      <c r="C20" s="12">
        <f t="shared" si="18"/>
        <v>0</v>
      </c>
      <c r="D20" s="12">
        <f t="shared" si="18"/>
        <v>0</v>
      </c>
      <c r="E20" s="12">
        <f t="shared" si="18"/>
        <v>0</v>
      </c>
      <c r="F20" s="12">
        <f t="shared" si="18"/>
        <v>0</v>
      </c>
      <c r="G20" s="12">
        <f t="shared" si="18"/>
        <v>0</v>
      </c>
      <c r="H20" s="12">
        <f t="shared" si="18"/>
        <v>0</v>
      </c>
      <c r="I20" s="12">
        <f t="shared" si="18"/>
        <v>0</v>
      </c>
      <c r="J20" s="12">
        <f t="shared" si="18"/>
        <v>0</v>
      </c>
      <c r="K20" s="12">
        <f t="shared" si="18"/>
        <v>0</v>
      </c>
      <c r="L20" s="12">
        <f t="shared" si="18"/>
        <v>0</v>
      </c>
      <c r="M20" s="12">
        <f t="shared" si="18"/>
        <v>0</v>
      </c>
      <c r="N20" s="12">
        <f t="shared" si="3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.25" hidden="1" customHeight="1" outlineLevel="1">
      <c r="A21" s="11" t="s">
        <v>395</v>
      </c>
      <c r="B21" s="12">
        <f t="shared" ref="B21:M21" si="19">C947/1000</f>
        <v>0</v>
      </c>
      <c r="C21" s="12">
        <f t="shared" si="19"/>
        <v>0</v>
      </c>
      <c r="D21" s="12">
        <f t="shared" si="19"/>
        <v>0</v>
      </c>
      <c r="E21" s="12">
        <f t="shared" si="19"/>
        <v>0</v>
      </c>
      <c r="F21" s="12">
        <f t="shared" si="19"/>
        <v>0</v>
      </c>
      <c r="G21" s="12">
        <f t="shared" si="19"/>
        <v>0</v>
      </c>
      <c r="H21" s="12">
        <f t="shared" si="19"/>
        <v>0</v>
      </c>
      <c r="I21" s="12">
        <f t="shared" si="19"/>
        <v>0</v>
      </c>
      <c r="J21" s="12">
        <f t="shared" si="19"/>
        <v>0</v>
      </c>
      <c r="K21" s="12">
        <f t="shared" si="19"/>
        <v>0</v>
      </c>
      <c r="L21" s="12">
        <f t="shared" si="19"/>
        <v>0</v>
      </c>
      <c r="M21" s="12">
        <f t="shared" si="19"/>
        <v>0</v>
      </c>
      <c r="N21" s="12">
        <f t="shared" si="3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.25" hidden="1" customHeight="1" outlineLevel="1">
      <c r="A22" s="11" t="s">
        <v>396</v>
      </c>
      <c r="B22" s="12">
        <f t="shared" ref="B22:M22" si="20">C950/1000</f>
        <v>0</v>
      </c>
      <c r="C22" s="12">
        <f t="shared" si="20"/>
        <v>0</v>
      </c>
      <c r="D22" s="12">
        <f t="shared" si="20"/>
        <v>0</v>
      </c>
      <c r="E22" s="12">
        <f t="shared" si="20"/>
        <v>0</v>
      </c>
      <c r="F22" s="12">
        <f t="shared" si="20"/>
        <v>0</v>
      </c>
      <c r="G22" s="12">
        <f t="shared" si="20"/>
        <v>0</v>
      </c>
      <c r="H22" s="12">
        <f t="shared" si="20"/>
        <v>0</v>
      </c>
      <c r="I22" s="12">
        <f t="shared" si="20"/>
        <v>0</v>
      </c>
      <c r="J22" s="12">
        <f t="shared" si="20"/>
        <v>0</v>
      </c>
      <c r="K22" s="12">
        <f t="shared" si="20"/>
        <v>0</v>
      </c>
      <c r="L22" s="12">
        <f t="shared" si="20"/>
        <v>0</v>
      </c>
      <c r="M22" s="12">
        <f t="shared" si="20"/>
        <v>0</v>
      </c>
      <c r="N22" s="12">
        <f t="shared" si="3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.25" customHeight="1" collapsed="1">
      <c r="A23" s="7" t="s">
        <v>397</v>
      </c>
      <c r="B23" s="10">
        <f t="shared" ref="B23:M23" si="21">SUM(B24:B41)</f>
        <v>0</v>
      </c>
      <c r="C23" s="10">
        <f t="shared" si="21"/>
        <v>0</v>
      </c>
      <c r="D23" s="10">
        <f t="shared" si="21"/>
        <v>0</v>
      </c>
      <c r="E23" s="10">
        <f t="shared" si="21"/>
        <v>0</v>
      </c>
      <c r="F23" s="10">
        <f t="shared" si="21"/>
        <v>0</v>
      </c>
      <c r="G23" s="10">
        <f t="shared" si="21"/>
        <v>0</v>
      </c>
      <c r="H23" s="10">
        <f t="shared" si="21"/>
        <v>0</v>
      </c>
      <c r="I23" s="10">
        <f t="shared" si="21"/>
        <v>0</v>
      </c>
      <c r="J23" s="10">
        <f t="shared" si="21"/>
        <v>0</v>
      </c>
      <c r="K23" s="10">
        <f t="shared" si="21"/>
        <v>0</v>
      </c>
      <c r="L23" s="10">
        <f t="shared" si="21"/>
        <v>0</v>
      </c>
      <c r="M23" s="10">
        <f t="shared" si="21"/>
        <v>0</v>
      </c>
      <c r="N23" s="10">
        <f t="shared" si="3"/>
        <v>0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1.25" customHeight="1" outlineLevel="1">
      <c r="A24" s="11" t="s">
        <v>379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>
        <f t="shared" si="3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.25" customHeight="1" outlineLevel="1">
      <c r="A25" s="11" t="s">
        <v>380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>
        <f t="shared" si="3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.25" customHeight="1" outlineLevel="1">
      <c r="A26" s="11" t="s">
        <v>381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>
        <f t="shared" si="3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.25" customHeight="1" outlineLevel="1">
      <c r="A27" s="11" t="s">
        <v>382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>
        <f t="shared" si="3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.25" customHeight="1" outlineLevel="1">
      <c r="A28" s="11" t="s">
        <v>383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>
        <f t="shared" si="3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.25" customHeight="1" outlineLevel="1">
      <c r="A29" s="11" t="s">
        <v>384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>
        <f t="shared" si="3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.25" customHeight="1" outlineLevel="1">
      <c r="A30" s="11" t="s">
        <v>385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>
        <f t="shared" si="3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.25" customHeight="1" outlineLevel="1">
      <c r="A31" s="11" t="s">
        <v>386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>
        <f t="shared" si="3"/>
        <v>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.25" customHeight="1" outlineLevel="1">
      <c r="A32" s="11" t="s">
        <v>387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>
        <f t="shared" si="3"/>
        <v>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.25" customHeight="1" outlineLevel="1">
      <c r="A33" s="11" t="s">
        <v>388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>
        <f t="shared" si="3"/>
        <v>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.25" customHeight="1" outlineLevel="1">
      <c r="A34" s="11" t="s">
        <v>389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>
        <f t="shared" si="3"/>
        <v>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.25" customHeight="1" outlineLevel="1">
      <c r="A35" s="11" t="s">
        <v>390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>
        <f t="shared" si="3"/>
        <v>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.25" customHeight="1" outlineLevel="1">
      <c r="A36" s="11" t="s">
        <v>391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>
        <f t="shared" si="3"/>
        <v>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.25" customHeight="1" outlineLevel="1">
      <c r="A37" s="11" t="s">
        <v>392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>
        <f t="shared" si="3"/>
        <v>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.25" customHeight="1" outlineLevel="1">
      <c r="A38" s="11" t="s">
        <v>393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>
        <f t="shared" si="3"/>
        <v>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.25" customHeight="1" outlineLevel="1">
      <c r="A39" s="11" t="s">
        <v>394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>
        <f t="shared" si="3"/>
        <v>0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.25" customHeight="1" outlineLevel="1">
      <c r="A40" s="11" t="s">
        <v>395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>
        <f t="shared" si="3"/>
        <v>0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.25" customHeight="1" outlineLevel="1">
      <c r="A41" s="11" t="s">
        <v>396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>
        <f t="shared" si="3"/>
        <v>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.25" customHeight="1">
      <c r="A42" s="7" t="s">
        <v>70</v>
      </c>
      <c r="B42" s="10">
        <f t="shared" ref="B42:M42" si="22">SUM(B43:B45)</f>
        <v>0</v>
      </c>
      <c r="C42" s="10">
        <f t="shared" si="22"/>
        <v>0</v>
      </c>
      <c r="D42" s="10">
        <f t="shared" si="22"/>
        <v>0</v>
      </c>
      <c r="E42" s="10">
        <f t="shared" si="22"/>
        <v>0</v>
      </c>
      <c r="F42" s="10">
        <f t="shared" si="22"/>
        <v>0</v>
      </c>
      <c r="G42" s="10">
        <f t="shared" si="22"/>
        <v>0</v>
      </c>
      <c r="H42" s="10">
        <f t="shared" si="22"/>
        <v>0</v>
      </c>
      <c r="I42" s="10">
        <f t="shared" si="22"/>
        <v>0</v>
      </c>
      <c r="J42" s="10">
        <f t="shared" si="22"/>
        <v>0</v>
      </c>
      <c r="K42" s="10">
        <f t="shared" si="22"/>
        <v>0</v>
      </c>
      <c r="L42" s="10">
        <f t="shared" si="22"/>
        <v>0</v>
      </c>
      <c r="M42" s="10">
        <f t="shared" si="22"/>
        <v>0</v>
      </c>
      <c r="N42" s="10">
        <f t="shared" si="3"/>
        <v>0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1.25" customHeight="1" outlineLevel="1">
      <c r="A43" s="11" t="s">
        <v>379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>
        <f t="shared" si="3"/>
        <v>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.25" customHeight="1" outlineLevel="1">
      <c r="A44" s="11" t="s">
        <v>380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>
        <f t="shared" si="3"/>
        <v>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.25" customHeight="1" outlineLevel="1">
      <c r="A45" s="11" t="s">
        <v>381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>
        <f t="shared" si="3"/>
        <v>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.25" customHeight="1">
      <c r="A46" s="7" t="s">
        <v>65</v>
      </c>
      <c r="B46" s="10">
        <f t="shared" ref="B46:M46" si="23">SUM(B47:B63)</f>
        <v>0</v>
      </c>
      <c r="C46" s="10">
        <f t="shared" si="23"/>
        <v>0</v>
      </c>
      <c r="D46" s="10">
        <f t="shared" si="23"/>
        <v>0</v>
      </c>
      <c r="E46" s="10">
        <f t="shared" si="23"/>
        <v>0</v>
      </c>
      <c r="F46" s="10">
        <f t="shared" si="23"/>
        <v>0</v>
      </c>
      <c r="G46" s="10">
        <f t="shared" si="23"/>
        <v>0</v>
      </c>
      <c r="H46" s="10">
        <f t="shared" si="23"/>
        <v>0</v>
      </c>
      <c r="I46" s="10">
        <f t="shared" si="23"/>
        <v>0</v>
      </c>
      <c r="J46" s="10">
        <f t="shared" si="23"/>
        <v>0</v>
      </c>
      <c r="K46" s="10">
        <f t="shared" si="23"/>
        <v>0</v>
      </c>
      <c r="L46" s="10">
        <f t="shared" si="23"/>
        <v>0</v>
      </c>
      <c r="M46" s="10">
        <f t="shared" si="23"/>
        <v>0</v>
      </c>
      <c r="N46" s="10">
        <f t="shared" si="3"/>
        <v>0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1.25" customHeight="1" outlineLevel="1">
      <c r="A47" s="11" t="s">
        <v>379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>
        <f t="shared" si="3"/>
        <v>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.25" customHeight="1" outlineLevel="1">
      <c r="A48" s="11" t="s">
        <v>380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>
        <f t="shared" si="3"/>
        <v>0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.25" customHeight="1" outlineLevel="1">
      <c r="A49" s="11" t="s">
        <v>381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>
        <f t="shared" si="3"/>
        <v>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.25" customHeight="1" outlineLevel="1">
      <c r="A50" s="11" t="s">
        <v>382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>
        <f t="shared" si="3"/>
        <v>0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 outlineLevel="1">
      <c r="A51" s="11" t="s">
        <v>383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>
        <f t="shared" si="3"/>
        <v>0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.25" customHeight="1" outlineLevel="1">
      <c r="A52" s="11" t="s">
        <v>384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>
        <f t="shared" si="3"/>
        <v>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.25" customHeight="1" outlineLevel="1">
      <c r="A53" s="11" t="s">
        <v>385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>
        <f t="shared" si="3"/>
        <v>0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.25" customHeight="1" outlineLevel="1">
      <c r="A54" s="11" t="s">
        <v>386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>
        <f t="shared" si="3"/>
        <v>0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.25" customHeight="1" outlineLevel="1">
      <c r="A55" s="11" t="s">
        <v>387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>
        <f t="shared" si="3"/>
        <v>0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.25" customHeight="1" outlineLevel="1">
      <c r="A56" s="11" t="s">
        <v>388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>
        <f t="shared" si="3"/>
        <v>0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.25" customHeight="1" outlineLevel="1">
      <c r="A57" s="11" t="s">
        <v>389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>
        <f t="shared" si="3"/>
        <v>0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.25" customHeight="1" outlineLevel="1">
      <c r="A58" s="11" t="s">
        <v>390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>
        <f t="shared" si="3"/>
        <v>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.25" customHeight="1" outlineLevel="1">
      <c r="A59" s="11" t="s">
        <v>391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>
        <f t="shared" si="3"/>
        <v>0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.25" customHeight="1" outlineLevel="1">
      <c r="A60" s="11" t="s">
        <v>392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>
        <f t="shared" si="3"/>
        <v>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.25" customHeight="1" outlineLevel="1">
      <c r="A61" s="11" t="s">
        <v>393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>
        <f t="shared" si="3"/>
        <v>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.25" customHeight="1" outlineLevel="1">
      <c r="A62" s="11" t="s">
        <v>394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>
        <f t="shared" si="3"/>
        <v>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.25" customHeight="1" outlineLevel="1">
      <c r="A63" s="11" t="s">
        <v>395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>
        <f t="shared" si="3"/>
        <v>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.25" customHeight="1">
      <c r="A64" s="7" t="s">
        <v>66</v>
      </c>
      <c r="B64" s="10" t="str">
        <f t="shared" ref="B64:M64" si="24">B65</f>
        <v/>
      </c>
      <c r="C64" s="10" t="str">
        <f t="shared" si="24"/>
        <v/>
      </c>
      <c r="D64" s="10" t="str">
        <f t="shared" si="24"/>
        <v/>
      </c>
      <c r="E64" s="10" t="str">
        <f t="shared" si="24"/>
        <v/>
      </c>
      <c r="F64" s="10" t="str">
        <f t="shared" si="24"/>
        <v/>
      </c>
      <c r="G64" s="10" t="str">
        <f t="shared" si="24"/>
        <v/>
      </c>
      <c r="H64" s="10" t="str">
        <f t="shared" si="24"/>
        <v/>
      </c>
      <c r="I64" s="10" t="str">
        <f t="shared" si="24"/>
        <v/>
      </c>
      <c r="J64" s="10" t="str">
        <f t="shared" si="24"/>
        <v/>
      </c>
      <c r="K64" s="10" t="str">
        <f t="shared" si="24"/>
        <v/>
      </c>
      <c r="L64" s="10" t="str">
        <f t="shared" si="24"/>
        <v/>
      </c>
      <c r="M64" s="10" t="str">
        <f t="shared" si="24"/>
        <v/>
      </c>
      <c r="N64" s="10">
        <f t="shared" si="3"/>
        <v>0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1.25" customHeight="1" outlineLevel="1">
      <c r="A65" s="11" t="s">
        <v>396</v>
      </c>
      <c r="B65" s="12" t="str">
        <f t="shared" ref="B65:M65" si="25">B1131</f>
        <v/>
      </c>
      <c r="C65" s="12" t="str">
        <f t="shared" si="25"/>
        <v/>
      </c>
      <c r="D65" s="12" t="str">
        <f t="shared" si="25"/>
        <v/>
      </c>
      <c r="E65" s="12" t="str">
        <f t="shared" si="25"/>
        <v/>
      </c>
      <c r="F65" s="12" t="str">
        <f t="shared" si="25"/>
        <v/>
      </c>
      <c r="G65" s="12" t="str">
        <f t="shared" si="25"/>
        <v/>
      </c>
      <c r="H65" s="12" t="str">
        <f t="shared" si="25"/>
        <v/>
      </c>
      <c r="I65" s="12" t="str">
        <f t="shared" si="25"/>
        <v/>
      </c>
      <c r="J65" s="12" t="str">
        <f t="shared" si="25"/>
        <v/>
      </c>
      <c r="K65" s="12" t="str">
        <f t="shared" si="25"/>
        <v/>
      </c>
      <c r="L65" s="12" t="str">
        <f t="shared" si="25"/>
        <v/>
      </c>
      <c r="M65" s="12" t="str">
        <f t="shared" si="25"/>
        <v/>
      </c>
      <c r="N65" s="12">
        <f t="shared" si="3"/>
        <v>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.25" customHeight="1">
      <c r="A66" s="7" t="s">
        <v>67</v>
      </c>
      <c r="B66" s="10" t="str">
        <f t="shared" ref="B66:M66" si="26">B67</f>
        <v/>
      </c>
      <c r="C66" s="10" t="str">
        <f t="shared" si="26"/>
        <v/>
      </c>
      <c r="D66" s="10" t="str">
        <f t="shared" si="26"/>
        <v/>
      </c>
      <c r="E66" s="10" t="str">
        <f t="shared" si="26"/>
        <v/>
      </c>
      <c r="F66" s="10" t="str">
        <f t="shared" si="26"/>
        <v/>
      </c>
      <c r="G66" s="10" t="str">
        <f t="shared" si="26"/>
        <v/>
      </c>
      <c r="H66" s="10" t="str">
        <f t="shared" si="26"/>
        <v/>
      </c>
      <c r="I66" s="10" t="str">
        <f t="shared" si="26"/>
        <v/>
      </c>
      <c r="J66" s="10" t="str">
        <f t="shared" si="26"/>
        <v/>
      </c>
      <c r="K66" s="10" t="str">
        <f t="shared" si="26"/>
        <v/>
      </c>
      <c r="L66" s="10" t="str">
        <f t="shared" si="26"/>
        <v/>
      </c>
      <c r="M66" s="10" t="str">
        <f t="shared" si="26"/>
        <v/>
      </c>
      <c r="N66" s="10">
        <f t="shared" si="3"/>
        <v>0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1.25" customHeight="1" outlineLevel="1">
      <c r="A67" s="11" t="s">
        <v>396</v>
      </c>
      <c r="B67" s="12" t="str">
        <f t="shared" ref="B67:M67" si="27">B1130</f>
        <v/>
      </c>
      <c r="C67" s="12" t="str">
        <f t="shared" si="27"/>
        <v/>
      </c>
      <c r="D67" s="12" t="str">
        <f t="shared" si="27"/>
        <v/>
      </c>
      <c r="E67" s="12" t="str">
        <f t="shared" si="27"/>
        <v/>
      </c>
      <c r="F67" s="12" t="str">
        <f t="shared" si="27"/>
        <v/>
      </c>
      <c r="G67" s="12" t="str">
        <f t="shared" si="27"/>
        <v/>
      </c>
      <c r="H67" s="12" t="str">
        <f t="shared" si="27"/>
        <v/>
      </c>
      <c r="I67" s="12" t="str">
        <f t="shared" si="27"/>
        <v/>
      </c>
      <c r="J67" s="12" t="str">
        <f t="shared" si="27"/>
        <v/>
      </c>
      <c r="K67" s="12" t="str">
        <f t="shared" si="27"/>
        <v/>
      </c>
      <c r="L67" s="12" t="str">
        <f t="shared" si="27"/>
        <v/>
      </c>
      <c r="M67" s="12" t="str">
        <f t="shared" si="27"/>
        <v/>
      </c>
      <c r="N67" s="12">
        <f t="shared" si="3"/>
        <v>0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.25" customHeight="1">
      <c r="A68" s="7" t="s">
        <v>68</v>
      </c>
      <c r="B68" s="10" t="str">
        <f t="shared" ref="B68:M68" si="28">B69</f>
        <v/>
      </c>
      <c r="C68" s="10" t="str">
        <f t="shared" si="28"/>
        <v/>
      </c>
      <c r="D68" s="10" t="str">
        <f t="shared" si="28"/>
        <v/>
      </c>
      <c r="E68" s="10" t="str">
        <f t="shared" si="28"/>
        <v/>
      </c>
      <c r="F68" s="10" t="str">
        <f t="shared" si="28"/>
        <v/>
      </c>
      <c r="G68" s="10" t="str">
        <f t="shared" si="28"/>
        <v/>
      </c>
      <c r="H68" s="10" t="str">
        <f t="shared" si="28"/>
        <v/>
      </c>
      <c r="I68" s="10" t="str">
        <f t="shared" si="28"/>
        <v/>
      </c>
      <c r="J68" s="10" t="str">
        <f t="shared" si="28"/>
        <v/>
      </c>
      <c r="K68" s="10" t="str">
        <f t="shared" si="28"/>
        <v/>
      </c>
      <c r="L68" s="10" t="str">
        <f t="shared" si="28"/>
        <v/>
      </c>
      <c r="M68" s="10" t="str">
        <f t="shared" si="28"/>
        <v/>
      </c>
      <c r="N68" s="10">
        <f t="shared" si="3"/>
        <v>0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1.25" customHeight="1" outlineLevel="1">
      <c r="A69" s="11" t="s">
        <v>396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>
        <f t="shared" si="3"/>
        <v>0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.25" customHeight="1">
      <c r="A70" s="7" t="s">
        <v>69</v>
      </c>
      <c r="B70" s="10">
        <f t="shared" ref="B70:M70" si="29">SUM(B71:B85)</f>
        <v>0</v>
      </c>
      <c r="C70" s="10">
        <f t="shared" si="29"/>
        <v>0</v>
      </c>
      <c r="D70" s="10">
        <f t="shared" si="29"/>
        <v>0</v>
      </c>
      <c r="E70" s="10">
        <f t="shared" si="29"/>
        <v>0</v>
      </c>
      <c r="F70" s="10">
        <f t="shared" si="29"/>
        <v>0</v>
      </c>
      <c r="G70" s="10">
        <f t="shared" si="29"/>
        <v>0</v>
      </c>
      <c r="H70" s="10">
        <f t="shared" si="29"/>
        <v>0</v>
      </c>
      <c r="I70" s="10">
        <f t="shared" si="29"/>
        <v>0</v>
      </c>
      <c r="J70" s="10">
        <f t="shared" si="29"/>
        <v>0</v>
      </c>
      <c r="K70" s="10">
        <f t="shared" si="29"/>
        <v>0</v>
      </c>
      <c r="L70" s="10">
        <f t="shared" si="29"/>
        <v>0</v>
      </c>
      <c r="M70" s="10">
        <f t="shared" si="29"/>
        <v>0</v>
      </c>
      <c r="N70" s="10">
        <f t="shared" si="3"/>
        <v>0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1.25" customHeight="1" outlineLevel="1">
      <c r="A71" s="11" t="s">
        <v>379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>
        <f t="shared" si="3"/>
        <v>0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.25" customHeight="1" outlineLevel="1">
      <c r="A72" s="11" t="s">
        <v>380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>
        <f t="shared" si="3"/>
        <v>0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.25" customHeight="1" outlineLevel="1">
      <c r="A73" s="11" t="s">
        <v>381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>
        <f t="shared" si="3"/>
        <v>0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.25" customHeight="1" outlineLevel="1">
      <c r="A74" s="11" t="s">
        <v>382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>
        <f t="shared" si="3"/>
        <v>0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.25" customHeight="1" outlineLevel="1">
      <c r="A75" s="11" t="s">
        <v>383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>
        <f t="shared" si="3"/>
        <v>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.25" customHeight="1" outlineLevel="1">
      <c r="A76" s="11" t="s">
        <v>384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>
        <f t="shared" si="3"/>
        <v>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.25" customHeight="1" outlineLevel="1">
      <c r="A77" s="11" t="s">
        <v>385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>
        <f t="shared" si="3"/>
        <v>0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.25" customHeight="1" outlineLevel="1">
      <c r="A78" s="11" t="s">
        <v>386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>
        <f t="shared" si="3"/>
        <v>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.25" customHeight="1" outlineLevel="1">
      <c r="A79" s="11" t="s">
        <v>387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>
        <f t="shared" si="3"/>
        <v>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.25" customHeight="1" outlineLevel="1">
      <c r="A80" s="11" t="s">
        <v>388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>
        <f t="shared" si="3"/>
        <v>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.25" customHeight="1" outlineLevel="1">
      <c r="A81" s="11" t="s">
        <v>389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>
        <f t="shared" si="3"/>
        <v>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.25" customHeight="1" outlineLevel="1">
      <c r="A82" s="11" t="s">
        <v>390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>
        <f t="shared" si="3"/>
        <v>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.25" customHeight="1" outlineLevel="1">
      <c r="A83" s="11" t="s">
        <v>391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>
        <f t="shared" si="3"/>
        <v>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.25" customHeight="1" outlineLevel="1">
      <c r="A84" s="11" t="s">
        <v>392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>
        <f t="shared" si="3"/>
        <v>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.25" customHeight="1" outlineLevel="1">
      <c r="A85" s="11" t="s">
        <v>393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>
        <f t="shared" si="3"/>
        <v>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.25" customHeight="1">
      <c r="A86" s="7" t="s">
        <v>398</v>
      </c>
      <c r="B86" s="10">
        <f t="shared" ref="B86:M86" si="30">SUM(B87:B101)</f>
        <v>0</v>
      </c>
      <c r="C86" s="10">
        <f t="shared" si="30"/>
        <v>0</v>
      </c>
      <c r="D86" s="10">
        <f t="shared" si="30"/>
        <v>0</v>
      </c>
      <c r="E86" s="10">
        <f t="shared" si="30"/>
        <v>0</v>
      </c>
      <c r="F86" s="10">
        <f t="shared" si="30"/>
        <v>0</v>
      </c>
      <c r="G86" s="10">
        <f t="shared" si="30"/>
        <v>0</v>
      </c>
      <c r="H86" s="10">
        <f t="shared" si="30"/>
        <v>0</v>
      </c>
      <c r="I86" s="10">
        <f t="shared" si="30"/>
        <v>0</v>
      </c>
      <c r="J86" s="10">
        <f t="shared" si="30"/>
        <v>0</v>
      </c>
      <c r="K86" s="10">
        <f t="shared" si="30"/>
        <v>0</v>
      </c>
      <c r="L86" s="10">
        <f t="shared" si="30"/>
        <v>0</v>
      </c>
      <c r="M86" s="10">
        <f t="shared" si="30"/>
        <v>0</v>
      </c>
      <c r="N86" s="10">
        <f t="shared" si="3"/>
        <v>0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1.25" customHeight="1" outlineLevel="1">
      <c r="A87" s="11" t="s">
        <v>379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>
        <f t="shared" si="3"/>
        <v>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.25" customHeight="1" outlineLevel="1">
      <c r="A88" s="11" t="s">
        <v>380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>
        <f t="shared" si="3"/>
        <v>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.25" customHeight="1" outlineLevel="1">
      <c r="A89" s="11" t="s">
        <v>381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>
        <f t="shared" si="3"/>
        <v>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.25" customHeight="1" outlineLevel="1">
      <c r="A90" s="11" t="s">
        <v>382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>
        <f t="shared" si="3"/>
        <v>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.25" customHeight="1" outlineLevel="1">
      <c r="A91" s="11" t="s">
        <v>383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>
        <f t="shared" si="3"/>
        <v>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.25" customHeight="1" outlineLevel="1">
      <c r="A92" s="11" t="s">
        <v>384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>
        <f t="shared" si="3"/>
        <v>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.25" customHeight="1" outlineLevel="1">
      <c r="A93" s="11" t="s">
        <v>385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>
        <f t="shared" si="3"/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.25" customHeight="1" outlineLevel="1">
      <c r="A94" s="11" t="s">
        <v>386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>
        <f t="shared" si="3"/>
        <v>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.25" customHeight="1" outlineLevel="1">
      <c r="A95" s="11" t="s">
        <v>387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>
        <f t="shared" si="3"/>
        <v>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.25" customHeight="1" outlineLevel="1">
      <c r="A96" s="11" t="s">
        <v>388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>
        <f t="shared" si="3"/>
        <v>0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.25" customHeight="1" outlineLevel="1">
      <c r="A97" s="11" t="s">
        <v>389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>
        <f t="shared" si="3"/>
        <v>0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.25" customHeight="1" outlineLevel="1">
      <c r="A98" s="11" t="s">
        <v>390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>
        <f t="shared" si="3"/>
        <v>0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.25" customHeight="1" outlineLevel="1">
      <c r="A99" s="11" t="s">
        <v>391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>
        <f t="shared" si="3"/>
        <v>0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.25" customHeight="1" outlineLevel="1">
      <c r="A100" s="11" t="s">
        <v>392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>
        <f t="shared" si="3"/>
        <v>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.25" customHeight="1" outlineLevel="1">
      <c r="A101" s="11" t="s">
        <v>393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>
        <f t="shared" si="3"/>
        <v>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.25" customHeight="1">
      <c r="A102" s="7" t="s">
        <v>182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>
        <f t="shared" si="3"/>
        <v>0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1.25" customHeight="1">
      <c r="A103" s="251" t="s">
        <v>399</v>
      </c>
      <c r="B103" s="159">
        <f t="shared" ref="B103:N103" si="31">B4+B23+B42+B46+B64+B66+B68+B70+B86+B102</f>
        <v>0</v>
      </c>
      <c r="C103" s="159">
        <f t="shared" si="31"/>
        <v>0</v>
      </c>
      <c r="D103" s="159">
        <f t="shared" si="31"/>
        <v>0</v>
      </c>
      <c r="E103" s="159">
        <f t="shared" si="31"/>
        <v>0</v>
      </c>
      <c r="F103" s="159">
        <f t="shared" si="31"/>
        <v>0</v>
      </c>
      <c r="G103" s="159">
        <f t="shared" si="31"/>
        <v>0</v>
      </c>
      <c r="H103" s="159">
        <f t="shared" si="31"/>
        <v>0</v>
      </c>
      <c r="I103" s="159">
        <f t="shared" si="31"/>
        <v>0</v>
      </c>
      <c r="J103" s="159">
        <f t="shared" si="31"/>
        <v>0</v>
      </c>
      <c r="K103" s="159">
        <f t="shared" si="31"/>
        <v>0</v>
      </c>
      <c r="L103" s="159">
        <f t="shared" si="31"/>
        <v>0</v>
      </c>
      <c r="M103" s="159">
        <f t="shared" si="31"/>
        <v>0</v>
      </c>
      <c r="N103" s="159">
        <f t="shared" si="31"/>
        <v>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.25" customHeight="1">
      <c r="A105" s="252" t="s">
        <v>400</v>
      </c>
      <c r="B105" s="253" t="str">
        <f>'ОПиУ'!B3</f>
        <v/>
      </c>
      <c r="C105" s="253" t="str">
        <f>'ОПиУ'!C3</f>
        <v/>
      </c>
      <c r="D105" s="253" t="str">
        <f>'ОПиУ'!D3</f>
        <v/>
      </c>
      <c r="E105" s="253" t="str">
        <f>'ОПиУ'!E3</f>
        <v/>
      </c>
      <c r="F105" s="253" t="str">
        <f>'ОПиУ'!F3</f>
        <v/>
      </c>
      <c r="G105" s="253" t="str">
        <f>'ОПиУ'!G3</f>
        <v/>
      </c>
      <c r="H105" s="253" t="str">
        <f>'ОПиУ'!H3</f>
        <v/>
      </c>
      <c r="I105" s="253" t="str">
        <f>'ОПиУ'!I3</f>
        <v/>
      </c>
      <c r="J105" s="253" t="str">
        <f>'ОПиУ'!J3</f>
        <v/>
      </c>
      <c r="K105" s="253" t="str">
        <f>'ОПиУ'!K3</f>
        <v/>
      </c>
      <c r="L105" s="253" t="str">
        <f>'ОПиУ'!L3</f>
        <v/>
      </c>
      <c r="M105" s="253" t="str">
        <f>'ОПиУ'!M3</f>
        <v/>
      </c>
      <c r="N105" s="253">
        <f>'ОПиУ'!N3</f>
        <v>0</v>
      </c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</row>
    <row r="106" ht="11.25" customHeight="1">
      <c r="A106" s="252" t="s">
        <v>401</v>
      </c>
      <c r="B106" s="254" t="str">
        <f t="shared" ref="B106:N106" si="32">B103/B105</f>
        <v>#DIV/0!</v>
      </c>
      <c r="C106" s="254" t="str">
        <f t="shared" si="32"/>
        <v>#DIV/0!</v>
      </c>
      <c r="D106" s="254" t="str">
        <f t="shared" si="32"/>
        <v>#DIV/0!</v>
      </c>
      <c r="E106" s="254" t="str">
        <f t="shared" si="32"/>
        <v>#DIV/0!</v>
      </c>
      <c r="F106" s="254" t="str">
        <f t="shared" si="32"/>
        <v>#DIV/0!</v>
      </c>
      <c r="G106" s="254" t="str">
        <f t="shared" si="32"/>
        <v>#DIV/0!</v>
      </c>
      <c r="H106" s="254" t="str">
        <f t="shared" si="32"/>
        <v>#DIV/0!</v>
      </c>
      <c r="I106" s="254" t="str">
        <f t="shared" si="32"/>
        <v>#DIV/0!</v>
      </c>
      <c r="J106" s="254" t="str">
        <f t="shared" si="32"/>
        <v>#DIV/0!</v>
      </c>
      <c r="K106" s="254" t="str">
        <f t="shared" si="32"/>
        <v>#DIV/0!</v>
      </c>
      <c r="L106" s="254" t="str">
        <f t="shared" si="32"/>
        <v>#DIV/0!</v>
      </c>
      <c r="M106" s="254" t="str">
        <f t="shared" si="32"/>
        <v>#DIV/0!</v>
      </c>
      <c r="N106" s="254" t="str">
        <f t="shared" si="32"/>
        <v>#DIV/0!</v>
      </c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</row>
    <row r="107" ht="11.25" customHeight="1">
      <c r="A107" s="252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</row>
    <row r="108" ht="11.25" customHeight="1">
      <c r="A108" s="252"/>
      <c r="B108" s="256">
        <f t="shared" ref="B108:N108" si="33">B103-B4-B23</f>
        <v>0</v>
      </c>
      <c r="C108" s="256">
        <f t="shared" si="33"/>
        <v>0</v>
      </c>
      <c r="D108" s="256">
        <f t="shared" si="33"/>
        <v>0</v>
      </c>
      <c r="E108" s="256">
        <f t="shared" si="33"/>
        <v>0</v>
      </c>
      <c r="F108" s="256">
        <f t="shared" si="33"/>
        <v>0</v>
      </c>
      <c r="G108" s="256">
        <f t="shared" si="33"/>
        <v>0</v>
      </c>
      <c r="H108" s="256">
        <f t="shared" si="33"/>
        <v>0</v>
      </c>
      <c r="I108" s="256">
        <f t="shared" si="33"/>
        <v>0</v>
      </c>
      <c r="J108" s="256">
        <f t="shared" si="33"/>
        <v>0</v>
      </c>
      <c r="K108" s="256">
        <f t="shared" si="33"/>
        <v>0</v>
      </c>
      <c r="L108" s="256">
        <f t="shared" si="33"/>
        <v>0</v>
      </c>
      <c r="M108" s="256">
        <f t="shared" si="33"/>
        <v>0</v>
      </c>
      <c r="N108" s="256">
        <f t="shared" si="33"/>
        <v>0</v>
      </c>
      <c r="O108" s="252"/>
      <c r="P108" s="252"/>
      <c r="Q108" s="252"/>
      <c r="R108" s="252"/>
      <c r="S108" s="252"/>
      <c r="T108" s="252"/>
      <c r="U108" s="252"/>
      <c r="V108" s="252"/>
      <c r="W108" s="252"/>
      <c r="X108" s="252"/>
      <c r="Y108" s="252"/>
      <c r="Z108" s="252"/>
    </row>
    <row r="109" ht="11.25" customHeight="1">
      <c r="A109" s="252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2"/>
      <c r="P109" s="252"/>
      <c r="Q109" s="252"/>
      <c r="R109" s="252"/>
      <c r="S109" s="252"/>
      <c r="T109" s="252"/>
      <c r="U109" s="252"/>
      <c r="V109" s="252"/>
      <c r="W109" s="252"/>
      <c r="X109" s="252"/>
      <c r="Y109" s="252"/>
      <c r="Z109" s="252"/>
    </row>
    <row r="110" ht="1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.25" customHeight="1">
      <c r="A111" s="89" t="s">
        <v>402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.25" customHeight="1">
      <c r="A112" s="3" t="s">
        <v>1</v>
      </c>
      <c r="B112" s="3" t="s">
        <v>2</v>
      </c>
      <c r="C112" s="3" t="s">
        <v>3</v>
      </c>
      <c r="D112" s="3" t="s">
        <v>4</v>
      </c>
      <c r="E112" s="3" t="s">
        <v>5</v>
      </c>
      <c r="F112" s="3" t="s">
        <v>6</v>
      </c>
      <c r="G112" s="3" t="s">
        <v>7</v>
      </c>
      <c r="H112" s="3" t="s">
        <v>8</v>
      </c>
      <c r="I112" s="3" t="s">
        <v>9</v>
      </c>
      <c r="J112" s="3" t="s">
        <v>10</v>
      </c>
      <c r="K112" s="3" t="s">
        <v>11</v>
      </c>
      <c r="L112" s="3" t="s">
        <v>12</v>
      </c>
      <c r="M112" s="3" t="s">
        <v>13</v>
      </c>
      <c r="N112" s="3" t="s">
        <v>14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.25" customHeight="1">
      <c r="A113" s="166" t="s">
        <v>62</v>
      </c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.25" customHeight="1">
      <c r="A114" s="7" t="s">
        <v>64</v>
      </c>
      <c r="B114" s="10">
        <f t="shared" ref="B114:M114" si="34">SUM(B115:B132)</f>
        <v>0</v>
      </c>
      <c r="C114" s="10">
        <f t="shared" si="34"/>
        <v>0</v>
      </c>
      <c r="D114" s="10">
        <f t="shared" si="34"/>
        <v>0</v>
      </c>
      <c r="E114" s="10">
        <f t="shared" si="34"/>
        <v>0</v>
      </c>
      <c r="F114" s="10">
        <f t="shared" si="34"/>
        <v>0</v>
      </c>
      <c r="G114" s="10">
        <f t="shared" si="34"/>
        <v>0</v>
      </c>
      <c r="H114" s="10">
        <f t="shared" si="34"/>
        <v>0</v>
      </c>
      <c r="I114" s="10">
        <f t="shared" si="34"/>
        <v>0</v>
      </c>
      <c r="J114" s="10">
        <f t="shared" si="34"/>
        <v>0</v>
      </c>
      <c r="K114" s="10">
        <f t="shared" si="34"/>
        <v>0</v>
      </c>
      <c r="L114" s="10">
        <f t="shared" si="34"/>
        <v>0</v>
      </c>
      <c r="M114" s="10">
        <f t="shared" si="34"/>
        <v>0</v>
      </c>
      <c r="N114" s="10">
        <f t="shared" ref="N114:N181" si="36">B114+C114+D114+E114+F114+G114+H114+I114+J114+K114+L114+M114</f>
        <v>0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.25" customHeight="1" outlineLevel="1">
      <c r="A115" s="11"/>
      <c r="B115" s="12">
        <f t="shared" ref="B115:B132" si="37">C115</f>
        <v>0</v>
      </c>
      <c r="C115" s="12">
        <f t="shared" ref="C115:M115" si="35">B5</f>
        <v>0</v>
      </c>
      <c r="D115" s="12">
        <f t="shared" si="35"/>
        <v>0</v>
      </c>
      <c r="E115" s="12">
        <f t="shared" si="35"/>
        <v>0</v>
      </c>
      <c r="F115" s="12">
        <f t="shared" si="35"/>
        <v>0</v>
      </c>
      <c r="G115" s="12">
        <f t="shared" si="35"/>
        <v>0</v>
      </c>
      <c r="H115" s="12">
        <f t="shared" si="35"/>
        <v>0</v>
      </c>
      <c r="I115" s="12">
        <f t="shared" si="35"/>
        <v>0</v>
      </c>
      <c r="J115" s="12">
        <f t="shared" si="35"/>
        <v>0</v>
      </c>
      <c r="K115" s="12">
        <f t="shared" si="35"/>
        <v>0</v>
      </c>
      <c r="L115" s="12">
        <f t="shared" si="35"/>
        <v>0</v>
      </c>
      <c r="M115" s="12">
        <f t="shared" si="35"/>
        <v>0</v>
      </c>
      <c r="N115" s="12">
        <f t="shared" si="36"/>
        <v>0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.25" customHeight="1" outlineLevel="1">
      <c r="A116" s="11"/>
      <c r="B116" s="12">
        <f t="shared" si="37"/>
        <v>0</v>
      </c>
      <c r="C116" s="12">
        <f t="shared" ref="C116:M116" si="38">B6</f>
        <v>0</v>
      </c>
      <c r="D116" s="12">
        <f t="shared" si="38"/>
        <v>0</v>
      </c>
      <c r="E116" s="12">
        <f t="shared" si="38"/>
        <v>0</v>
      </c>
      <c r="F116" s="12">
        <f t="shared" si="38"/>
        <v>0</v>
      </c>
      <c r="G116" s="12">
        <f t="shared" si="38"/>
        <v>0</v>
      </c>
      <c r="H116" s="12">
        <f t="shared" si="38"/>
        <v>0</v>
      </c>
      <c r="I116" s="12">
        <f t="shared" si="38"/>
        <v>0</v>
      </c>
      <c r="J116" s="12">
        <f t="shared" si="38"/>
        <v>0</v>
      </c>
      <c r="K116" s="12">
        <f t="shared" si="38"/>
        <v>0</v>
      </c>
      <c r="L116" s="12">
        <f t="shared" si="38"/>
        <v>0</v>
      </c>
      <c r="M116" s="12">
        <f t="shared" si="38"/>
        <v>0</v>
      </c>
      <c r="N116" s="12">
        <f t="shared" si="36"/>
        <v>0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.25" customHeight="1" outlineLevel="1">
      <c r="A117" s="11"/>
      <c r="B117" s="12">
        <f t="shared" si="37"/>
        <v>0</v>
      </c>
      <c r="C117" s="12">
        <f t="shared" ref="C117:M117" si="39">B7</f>
        <v>0</v>
      </c>
      <c r="D117" s="12">
        <f t="shared" si="39"/>
        <v>0</v>
      </c>
      <c r="E117" s="12">
        <f t="shared" si="39"/>
        <v>0</v>
      </c>
      <c r="F117" s="12">
        <f t="shared" si="39"/>
        <v>0</v>
      </c>
      <c r="G117" s="12">
        <f t="shared" si="39"/>
        <v>0</v>
      </c>
      <c r="H117" s="12">
        <f t="shared" si="39"/>
        <v>0</v>
      </c>
      <c r="I117" s="12">
        <f t="shared" si="39"/>
        <v>0</v>
      </c>
      <c r="J117" s="12">
        <f t="shared" si="39"/>
        <v>0</v>
      </c>
      <c r="K117" s="12">
        <f t="shared" si="39"/>
        <v>0</v>
      </c>
      <c r="L117" s="12">
        <f t="shared" si="39"/>
        <v>0</v>
      </c>
      <c r="M117" s="12">
        <f t="shared" si="39"/>
        <v>0</v>
      </c>
      <c r="N117" s="12">
        <f t="shared" si="36"/>
        <v>0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.25" customHeight="1" outlineLevel="1">
      <c r="A118" s="11"/>
      <c r="B118" s="12">
        <f t="shared" si="37"/>
        <v>0</v>
      </c>
      <c r="C118" s="12">
        <f t="shared" ref="C118:M118" si="40">B8</f>
        <v>0</v>
      </c>
      <c r="D118" s="12">
        <f t="shared" si="40"/>
        <v>0</v>
      </c>
      <c r="E118" s="12">
        <f t="shared" si="40"/>
        <v>0</v>
      </c>
      <c r="F118" s="12">
        <f t="shared" si="40"/>
        <v>0</v>
      </c>
      <c r="G118" s="12">
        <f t="shared" si="40"/>
        <v>0</v>
      </c>
      <c r="H118" s="12">
        <f t="shared" si="40"/>
        <v>0</v>
      </c>
      <c r="I118" s="12">
        <f t="shared" si="40"/>
        <v>0</v>
      </c>
      <c r="J118" s="12">
        <f t="shared" si="40"/>
        <v>0</v>
      </c>
      <c r="K118" s="12">
        <f t="shared" si="40"/>
        <v>0</v>
      </c>
      <c r="L118" s="12">
        <f t="shared" si="40"/>
        <v>0</v>
      </c>
      <c r="M118" s="12">
        <f t="shared" si="40"/>
        <v>0</v>
      </c>
      <c r="N118" s="12">
        <f t="shared" si="36"/>
        <v>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.25" customHeight="1" outlineLevel="1">
      <c r="A119" s="11"/>
      <c r="B119" s="12">
        <f t="shared" si="37"/>
        <v>0</v>
      </c>
      <c r="C119" s="12">
        <f t="shared" ref="C119:M119" si="41">B9</f>
        <v>0</v>
      </c>
      <c r="D119" s="12">
        <f t="shared" si="41"/>
        <v>0</v>
      </c>
      <c r="E119" s="12">
        <f t="shared" si="41"/>
        <v>0</v>
      </c>
      <c r="F119" s="12">
        <f t="shared" si="41"/>
        <v>0</v>
      </c>
      <c r="G119" s="12">
        <f t="shared" si="41"/>
        <v>0</v>
      </c>
      <c r="H119" s="12">
        <f t="shared" si="41"/>
        <v>0</v>
      </c>
      <c r="I119" s="12">
        <f t="shared" si="41"/>
        <v>0</v>
      </c>
      <c r="J119" s="12">
        <f t="shared" si="41"/>
        <v>0</v>
      </c>
      <c r="K119" s="12">
        <f t="shared" si="41"/>
        <v>0</v>
      </c>
      <c r="L119" s="12">
        <f t="shared" si="41"/>
        <v>0</v>
      </c>
      <c r="M119" s="12">
        <f t="shared" si="41"/>
        <v>0</v>
      </c>
      <c r="N119" s="12">
        <f t="shared" si="36"/>
        <v>0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.25" customHeight="1" outlineLevel="1">
      <c r="A120" s="11"/>
      <c r="B120" s="12">
        <f t="shared" si="37"/>
        <v>0</v>
      </c>
      <c r="C120" s="12">
        <f t="shared" ref="C120:M120" si="42">B10</f>
        <v>0</v>
      </c>
      <c r="D120" s="12">
        <f t="shared" si="42"/>
        <v>0</v>
      </c>
      <c r="E120" s="12">
        <f t="shared" si="42"/>
        <v>0</v>
      </c>
      <c r="F120" s="12">
        <f t="shared" si="42"/>
        <v>0</v>
      </c>
      <c r="G120" s="12">
        <f t="shared" si="42"/>
        <v>0</v>
      </c>
      <c r="H120" s="12">
        <f t="shared" si="42"/>
        <v>0</v>
      </c>
      <c r="I120" s="12">
        <f t="shared" si="42"/>
        <v>0</v>
      </c>
      <c r="J120" s="12">
        <f t="shared" si="42"/>
        <v>0</v>
      </c>
      <c r="K120" s="12">
        <f t="shared" si="42"/>
        <v>0</v>
      </c>
      <c r="L120" s="12">
        <f t="shared" si="42"/>
        <v>0</v>
      </c>
      <c r="M120" s="12">
        <f t="shared" si="42"/>
        <v>0</v>
      </c>
      <c r="N120" s="12">
        <f t="shared" si="36"/>
        <v>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.25" customHeight="1" outlineLevel="1">
      <c r="A121" s="11"/>
      <c r="B121" s="12">
        <f t="shared" si="37"/>
        <v>0</v>
      </c>
      <c r="C121" s="12">
        <f t="shared" ref="C121:M121" si="43">B11</f>
        <v>0</v>
      </c>
      <c r="D121" s="12">
        <f t="shared" si="43"/>
        <v>0</v>
      </c>
      <c r="E121" s="12">
        <f t="shared" si="43"/>
        <v>0</v>
      </c>
      <c r="F121" s="12">
        <f t="shared" si="43"/>
        <v>0</v>
      </c>
      <c r="G121" s="12">
        <f t="shared" si="43"/>
        <v>0</v>
      </c>
      <c r="H121" s="12">
        <f t="shared" si="43"/>
        <v>0</v>
      </c>
      <c r="I121" s="12">
        <f t="shared" si="43"/>
        <v>0</v>
      </c>
      <c r="J121" s="12">
        <f t="shared" si="43"/>
        <v>0</v>
      </c>
      <c r="K121" s="12">
        <f t="shared" si="43"/>
        <v>0</v>
      </c>
      <c r="L121" s="12">
        <f t="shared" si="43"/>
        <v>0</v>
      </c>
      <c r="M121" s="12">
        <f t="shared" si="43"/>
        <v>0</v>
      </c>
      <c r="N121" s="12">
        <f t="shared" si="36"/>
        <v>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.25" customHeight="1" outlineLevel="1">
      <c r="A122" s="11"/>
      <c r="B122" s="12">
        <f t="shared" si="37"/>
        <v>0</v>
      </c>
      <c r="C122" s="12">
        <f t="shared" ref="C122:M122" si="44">B12</f>
        <v>0</v>
      </c>
      <c r="D122" s="12">
        <f t="shared" si="44"/>
        <v>0</v>
      </c>
      <c r="E122" s="12">
        <f t="shared" si="44"/>
        <v>0</v>
      </c>
      <c r="F122" s="12">
        <f t="shared" si="44"/>
        <v>0</v>
      </c>
      <c r="G122" s="12">
        <f t="shared" si="44"/>
        <v>0</v>
      </c>
      <c r="H122" s="12">
        <f t="shared" si="44"/>
        <v>0</v>
      </c>
      <c r="I122" s="12">
        <f t="shared" si="44"/>
        <v>0</v>
      </c>
      <c r="J122" s="12">
        <f t="shared" si="44"/>
        <v>0</v>
      </c>
      <c r="K122" s="12">
        <f t="shared" si="44"/>
        <v>0</v>
      </c>
      <c r="L122" s="12">
        <f t="shared" si="44"/>
        <v>0</v>
      </c>
      <c r="M122" s="12">
        <f t="shared" si="44"/>
        <v>0</v>
      </c>
      <c r="N122" s="12">
        <f t="shared" si="36"/>
        <v>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.25" customHeight="1" outlineLevel="1">
      <c r="A123" s="11"/>
      <c r="B123" s="12">
        <f t="shared" si="37"/>
        <v>0</v>
      </c>
      <c r="C123" s="12">
        <f t="shared" ref="C123:M123" si="45">B13</f>
        <v>0</v>
      </c>
      <c r="D123" s="12">
        <f t="shared" si="45"/>
        <v>0</v>
      </c>
      <c r="E123" s="12">
        <f t="shared" si="45"/>
        <v>0</v>
      </c>
      <c r="F123" s="12">
        <f t="shared" si="45"/>
        <v>0</v>
      </c>
      <c r="G123" s="12">
        <f t="shared" si="45"/>
        <v>0</v>
      </c>
      <c r="H123" s="12">
        <f t="shared" si="45"/>
        <v>0</v>
      </c>
      <c r="I123" s="12">
        <f t="shared" si="45"/>
        <v>0</v>
      </c>
      <c r="J123" s="12">
        <f t="shared" si="45"/>
        <v>0</v>
      </c>
      <c r="K123" s="12">
        <f t="shared" si="45"/>
        <v>0</v>
      </c>
      <c r="L123" s="12">
        <f t="shared" si="45"/>
        <v>0</v>
      </c>
      <c r="M123" s="12">
        <f t="shared" si="45"/>
        <v>0</v>
      </c>
      <c r="N123" s="12">
        <f t="shared" si="36"/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.25" customHeight="1" outlineLevel="1">
      <c r="A124" s="11"/>
      <c r="B124" s="12">
        <f t="shared" si="37"/>
        <v>0</v>
      </c>
      <c r="C124" s="12">
        <f t="shared" ref="C124:M124" si="46">B14</f>
        <v>0</v>
      </c>
      <c r="D124" s="12">
        <f t="shared" si="46"/>
        <v>0</v>
      </c>
      <c r="E124" s="12">
        <f t="shared" si="46"/>
        <v>0</v>
      </c>
      <c r="F124" s="12">
        <f t="shared" si="46"/>
        <v>0</v>
      </c>
      <c r="G124" s="12">
        <f t="shared" si="46"/>
        <v>0</v>
      </c>
      <c r="H124" s="12">
        <f t="shared" si="46"/>
        <v>0</v>
      </c>
      <c r="I124" s="12">
        <f t="shared" si="46"/>
        <v>0</v>
      </c>
      <c r="J124" s="12">
        <f t="shared" si="46"/>
        <v>0</v>
      </c>
      <c r="K124" s="12">
        <f t="shared" si="46"/>
        <v>0</v>
      </c>
      <c r="L124" s="12">
        <f t="shared" si="46"/>
        <v>0</v>
      </c>
      <c r="M124" s="12">
        <f t="shared" si="46"/>
        <v>0</v>
      </c>
      <c r="N124" s="12">
        <f t="shared" si="36"/>
        <v>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.25" customHeight="1" outlineLevel="1">
      <c r="A125" s="11"/>
      <c r="B125" s="12">
        <f t="shared" si="37"/>
        <v>0</v>
      </c>
      <c r="C125" s="12">
        <f t="shared" ref="C125:M125" si="47">B15</f>
        <v>0</v>
      </c>
      <c r="D125" s="12">
        <f t="shared" si="47"/>
        <v>0</v>
      </c>
      <c r="E125" s="12">
        <f t="shared" si="47"/>
        <v>0</v>
      </c>
      <c r="F125" s="12">
        <f t="shared" si="47"/>
        <v>0</v>
      </c>
      <c r="G125" s="12">
        <f t="shared" si="47"/>
        <v>0</v>
      </c>
      <c r="H125" s="12">
        <f t="shared" si="47"/>
        <v>0</v>
      </c>
      <c r="I125" s="12">
        <f t="shared" si="47"/>
        <v>0</v>
      </c>
      <c r="J125" s="12">
        <f t="shared" si="47"/>
        <v>0</v>
      </c>
      <c r="K125" s="12">
        <f t="shared" si="47"/>
        <v>0</v>
      </c>
      <c r="L125" s="12">
        <f t="shared" si="47"/>
        <v>0</v>
      </c>
      <c r="M125" s="12">
        <f t="shared" si="47"/>
        <v>0</v>
      </c>
      <c r="N125" s="12">
        <f t="shared" si="36"/>
        <v>0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.25" customHeight="1" outlineLevel="1">
      <c r="A126" s="11"/>
      <c r="B126" s="12">
        <f t="shared" si="37"/>
        <v>0</v>
      </c>
      <c r="C126" s="12">
        <f t="shared" ref="C126:M126" si="48">B16</f>
        <v>0</v>
      </c>
      <c r="D126" s="12">
        <f t="shared" si="48"/>
        <v>0</v>
      </c>
      <c r="E126" s="12">
        <f t="shared" si="48"/>
        <v>0</v>
      </c>
      <c r="F126" s="12">
        <f t="shared" si="48"/>
        <v>0</v>
      </c>
      <c r="G126" s="12">
        <f t="shared" si="48"/>
        <v>0</v>
      </c>
      <c r="H126" s="12">
        <f t="shared" si="48"/>
        <v>0</v>
      </c>
      <c r="I126" s="12">
        <f t="shared" si="48"/>
        <v>0</v>
      </c>
      <c r="J126" s="12">
        <f t="shared" si="48"/>
        <v>0</v>
      </c>
      <c r="K126" s="12">
        <f t="shared" si="48"/>
        <v>0</v>
      </c>
      <c r="L126" s="12">
        <f t="shared" si="48"/>
        <v>0</v>
      </c>
      <c r="M126" s="12">
        <f t="shared" si="48"/>
        <v>0</v>
      </c>
      <c r="N126" s="12">
        <f t="shared" si="36"/>
        <v>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.25" customHeight="1" outlineLevel="1">
      <c r="A127" s="11"/>
      <c r="B127" s="12">
        <f t="shared" si="37"/>
        <v>0</v>
      </c>
      <c r="C127" s="12">
        <f t="shared" ref="C127:M127" si="49">B17</f>
        <v>0</v>
      </c>
      <c r="D127" s="12">
        <f t="shared" si="49"/>
        <v>0</v>
      </c>
      <c r="E127" s="12">
        <f t="shared" si="49"/>
        <v>0</v>
      </c>
      <c r="F127" s="12">
        <f t="shared" si="49"/>
        <v>0</v>
      </c>
      <c r="G127" s="12">
        <f t="shared" si="49"/>
        <v>0</v>
      </c>
      <c r="H127" s="12">
        <f t="shared" si="49"/>
        <v>0</v>
      </c>
      <c r="I127" s="12">
        <f t="shared" si="49"/>
        <v>0</v>
      </c>
      <c r="J127" s="12">
        <f t="shared" si="49"/>
        <v>0</v>
      </c>
      <c r="K127" s="12">
        <f t="shared" si="49"/>
        <v>0</v>
      </c>
      <c r="L127" s="12">
        <f t="shared" si="49"/>
        <v>0</v>
      </c>
      <c r="M127" s="12">
        <f t="shared" si="49"/>
        <v>0</v>
      </c>
      <c r="N127" s="12">
        <f t="shared" si="36"/>
        <v>0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.25" customHeight="1" outlineLevel="1">
      <c r="A128" s="11"/>
      <c r="B128" s="12">
        <f t="shared" si="37"/>
        <v>0</v>
      </c>
      <c r="C128" s="12">
        <f t="shared" ref="C128:M128" si="50">B18</f>
        <v>0</v>
      </c>
      <c r="D128" s="12">
        <f t="shared" si="50"/>
        <v>0</v>
      </c>
      <c r="E128" s="12">
        <f t="shared" si="50"/>
        <v>0</v>
      </c>
      <c r="F128" s="12">
        <f t="shared" si="50"/>
        <v>0</v>
      </c>
      <c r="G128" s="12">
        <f t="shared" si="50"/>
        <v>0</v>
      </c>
      <c r="H128" s="12">
        <f t="shared" si="50"/>
        <v>0</v>
      </c>
      <c r="I128" s="12">
        <f t="shared" si="50"/>
        <v>0</v>
      </c>
      <c r="J128" s="12">
        <f t="shared" si="50"/>
        <v>0</v>
      </c>
      <c r="K128" s="12">
        <f t="shared" si="50"/>
        <v>0</v>
      </c>
      <c r="L128" s="12">
        <f t="shared" si="50"/>
        <v>0</v>
      </c>
      <c r="M128" s="12">
        <f t="shared" si="50"/>
        <v>0</v>
      </c>
      <c r="N128" s="12">
        <f t="shared" si="36"/>
        <v>0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.25" customHeight="1" outlineLevel="1">
      <c r="A129" s="11"/>
      <c r="B129" s="12">
        <f t="shared" si="37"/>
        <v>0</v>
      </c>
      <c r="C129" s="12">
        <f t="shared" ref="C129:M129" si="51">B19</f>
        <v>0</v>
      </c>
      <c r="D129" s="12">
        <f t="shared" si="51"/>
        <v>0</v>
      </c>
      <c r="E129" s="12">
        <f t="shared" si="51"/>
        <v>0</v>
      </c>
      <c r="F129" s="12">
        <f t="shared" si="51"/>
        <v>0</v>
      </c>
      <c r="G129" s="12">
        <f t="shared" si="51"/>
        <v>0</v>
      </c>
      <c r="H129" s="12">
        <f t="shared" si="51"/>
        <v>0</v>
      </c>
      <c r="I129" s="12">
        <f t="shared" si="51"/>
        <v>0</v>
      </c>
      <c r="J129" s="12">
        <f t="shared" si="51"/>
        <v>0</v>
      </c>
      <c r="K129" s="12">
        <f t="shared" si="51"/>
        <v>0</v>
      </c>
      <c r="L129" s="12">
        <f t="shared" si="51"/>
        <v>0</v>
      </c>
      <c r="M129" s="12">
        <f t="shared" si="51"/>
        <v>0</v>
      </c>
      <c r="N129" s="12">
        <f t="shared" si="36"/>
        <v>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.25" customHeight="1" outlineLevel="1">
      <c r="A130" s="11"/>
      <c r="B130" s="12">
        <f t="shared" si="37"/>
        <v>0</v>
      </c>
      <c r="C130" s="12">
        <f t="shared" ref="C130:M130" si="52">B20</f>
        <v>0</v>
      </c>
      <c r="D130" s="12">
        <f t="shared" si="52"/>
        <v>0</v>
      </c>
      <c r="E130" s="12">
        <f t="shared" si="52"/>
        <v>0</v>
      </c>
      <c r="F130" s="12">
        <f t="shared" si="52"/>
        <v>0</v>
      </c>
      <c r="G130" s="12">
        <f t="shared" si="52"/>
        <v>0</v>
      </c>
      <c r="H130" s="12">
        <f t="shared" si="52"/>
        <v>0</v>
      </c>
      <c r="I130" s="12">
        <f t="shared" si="52"/>
        <v>0</v>
      </c>
      <c r="J130" s="12">
        <f t="shared" si="52"/>
        <v>0</v>
      </c>
      <c r="K130" s="12">
        <f t="shared" si="52"/>
        <v>0</v>
      </c>
      <c r="L130" s="12">
        <f t="shared" si="52"/>
        <v>0</v>
      </c>
      <c r="M130" s="12">
        <f t="shared" si="52"/>
        <v>0</v>
      </c>
      <c r="N130" s="12">
        <f t="shared" si="36"/>
        <v>0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.25" customHeight="1" outlineLevel="1">
      <c r="A131" s="11"/>
      <c r="B131" s="12">
        <f t="shared" si="37"/>
        <v>0</v>
      </c>
      <c r="C131" s="12">
        <f t="shared" ref="C131:M131" si="53">B21</f>
        <v>0</v>
      </c>
      <c r="D131" s="12">
        <f t="shared" si="53"/>
        <v>0</v>
      </c>
      <c r="E131" s="12">
        <f t="shared" si="53"/>
        <v>0</v>
      </c>
      <c r="F131" s="12">
        <f t="shared" si="53"/>
        <v>0</v>
      </c>
      <c r="G131" s="12">
        <f t="shared" si="53"/>
        <v>0</v>
      </c>
      <c r="H131" s="12">
        <f t="shared" si="53"/>
        <v>0</v>
      </c>
      <c r="I131" s="12">
        <f t="shared" si="53"/>
        <v>0</v>
      </c>
      <c r="J131" s="12">
        <f t="shared" si="53"/>
        <v>0</v>
      </c>
      <c r="K131" s="12">
        <f t="shared" si="53"/>
        <v>0</v>
      </c>
      <c r="L131" s="12">
        <f t="shared" si="53"/>
        <v>0</v>
      </c>
      <c r="M131" s="12">
        <f t="shared" si="53"/>
        <v>0</v>
      </c>
      <c r="N131" s="12">
        <f t="shared" si="36"/>
        <v>0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.25" customHeight="1" outlineLevel="1">
      <c r="A132" s="11"/>
      <c r="B132" s="12">
        <f t="shared" si="37"/>
        <v>0</v>
      </c>
      <c r="C132" s="12">
        <f t="shared" ref="C132:M132" si="54">B22</f>
        <v>0</v>
      </c>
      <c r="D132" s="12">
        <f t="shared" si="54"/>
        <v>0</v>
      </c>
      <c r="E132" s="12">
        <f t="shared" si="54"/>
        <v>0</v>
      </c>
      <c r="F132" s="12">
        <f t="shared" si="54"/>
        <v>0</v>
      </c>
      <c r="G132" s="12">
        <f t="shared" si="54"/>
        <v>0</v>
      </c>
      <c r="H132" s="12">
        <f t="shared" si="54"/>
        <v>0</v>
      </c>
      <c r="I132" s="12">
        <f t="shared" si="54"/>
        <v>0</v>
      </c>
      <c r="J132" s="12">
        <f t="shared" si="54"/>
        <v>0</v>
      </c>
      <c r="K132" s="12">
        <f t="shared" si="54"/>
        <v>0</v>
      </c>
      <c r="L132" s="12">
        <f t="shared" si="54"/>
        <v>0</v>
      </c>
      <c r="M132" s="12">
        <f t="shared" si="54"/>
        <v>0</v>
      </c>
      <c r="N132" s="12">
        <f t="shared" si="36"/>
        <v>0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.25" customHeight="1">
      <c r="A133" s="7" t="s">
        <v>397</v>
      </c>
      <c r="B133" s="10">
        <f t="shared" ref="B133:M133" si="55">SUM(B134:B151)</f>
        <v>0</v>
      </c>
      <c r="C133" s="10">
        <f t="shared" si="55"/>
        <v>0</v>
      </c>
      <c r="D133" s="10">
        <f t="shared" si="55"/>
        <v>0</v>
      </c>
      <c r="E133" s="10">
        <f t="shared" si="55"/>
        <v>0</v>
      </c>
      <c r="F133" s="10">
        <f t="shared" si="55"/>
        <v>0</v>
      </c>
      <c r="G133" s="10">
        <f t="shared" si="55"/>
        <v>0</v>
      </c>
      <c r="H133" s="10">
        <f t="shared" si="55"/>
        <v>0</v>
      </c>
      <c r="I133" s="10">
        <f t="shared" si="55"/>
        <v>0</v>
      </c>
      <c r="J133" s="10">
        <f t="shared" si="55"/>
        <v>0</v>
      </c>
      <c r="K133" s="10">
        <f t="shared" si="55"/>
        <v>0</v>
      </c>
      <c r="L133" s="10">
        <f t="shared" si="55"/>
        <v>0</v>
      </c>
      <c r="M133" s="10">
        <f t="shared" si="55"/>
        <v>0</v>
      </c>
      <c r="N133" s="10">
        <f t="shared" si="36"/>
        <v>0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.25" customHeight="1" outlineLevel="1">
      <c r="A134" s="11"/>
      <c r="B134" s="12" t="str">
        <f t="shared" ref="B134:B151" si="57">C134</f>
        <v/>
      </c>
      <c r="C134" s="12" t="str">
        <f t="shared" ref="C134:M134" si="56">B24</f>
        <v/>
      </c>
      <c r="D134" s="12" t="str">
        <f t="shared" si="56"/>
        <v/>
      </c>
      <c r="E134" s="12" t="str">
        <f t="shared" si="56"/>
        <v/>
      </c>
      <c r="F134" s="12" t="str">
        <f t="shared" si="56"/>
        <v/>
      </c>
      <c r="G134" s="12" t="str">
        <f t="shared" si="56"/>
        <v/>
      </c>
      <c r="H134" s="12" t="str">
        <f t="shared" si="56"/>
        <v/>
      </c>
      <c r="I134" s="12" t="str">
        <f t="shared" si="56"/>
        <v/>
      </c>
      <c r="J134" s="12" t="str">
        <f t="shared" si="56"/>
        <v/>
      </c>
      <c r="K134" s="12" t="str">
        <f t="shared" si="56"/>
        <v/>
      </c>
      <c r="L134" s="12" t="str">
        <f t="shared" si="56"/>
        <v/>
      </c>
      <c r="M134" s="12" t="str">
        <f t="shared" si="56"/>
        <v/>
      </c>
      <c r="N134" s="12">
        <f t="shared" si="36"/>
        <v>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.25" customHeight="1" outlineLevel="1">
      <c r="A135" s="11"/>
      <c r="B135" s="12" t="str">
        <f t="shared" si="57"/>
        <v/>
      </c>
      <c r="C135" s="12" t="str">
        <f t="shared" ref="C135:M135" si="58">B25</f>
        <v/>
      </c>
      <c r="D135" s="12" t="str">
        <f t="shared" si="58"/>
        <v/>
      </c>
      <c r="E135" s="12" t="str">
        <f t="shared" si="58"/>
        <v/>
      </c>
      <c r="F135" s="12" t="str">
        <f t="shared" si="58"/>
        <v/>
      </c>
      <c r="G135" s="12" t="str">
        <f t="shared" si="58"/>
        <v/>
      </c>
      <c r="H135" s="12" t="str">
        <f t="shared" si="58"/>
        <v/>
      </c>
      <c r="I135" s="12" t="str">
        <f t="shared" si="58"/>
        <v/>
      </c>
      <c r="J135" s="12" t="str">
        <f t="shared" si="58"/>
        <v/>
      </c>
      <c r="K135" s="12" t="str">
        <f t="shared" si="58"/>
        <v/>
      </c>
      <c r="L135" s="12" t="str">
        <f t="shared" si="58"/>
        <v/>
      </c>
      <c r="M135" s="12" t="str">
        <f t="shared" si="58"/>
        <v/>
      </c>
      <c r="N135" s="12">
        <f t="shared" si="36"/>
        <v>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.25" customHeight="1" outlineLevel="1">
      <c r="A136" s="11"/>
      <c r="B136" s="12" t="str">
        <f t="shared" si="57"/>
        <v/>
      </c>
      <c r="C136" s="12" t="str">
        <f t="shared" ref="C136:M136" si="59">B26</f>
        <v/>
      </c>
      <c r="D136" s="12" t="str">
        <f t="shared" si="59"/>
        <v/>
      </c>
      <c r="E136" s="12" t="str">
        <f t="shared" si="59"/>
        <v/>
      </c>
      <c r="F136" s="12" t="str">
        <f t="shared" si="59"/>
        <v/>
      </c>
      <c r="G136" s="12" t="str">
        <f t="shared" si="59"/>
        <v/>
      </c>
      <c r="H136" s="12" t="str">
        <f t="shared" si="59"/>
        <v/>
      </c>
      <c r="I136" s="12" t="str">
        <f t="shared" si="59"/>
        <v/>
      </c>
      <c r="J136" s="12" t="str">
        <f t="shared" si="59"/>
        <v/>
      </c>
      <c r="K136" s="12" t="str">
        <f t="shared" si="59"/>
        <v/>
      </c>
      <c r="L136" s="12" t="str">
        <f t="shared" si="59"/>
        <v/>
      </c>
      <c r="M136" s="12" t="str">
        <f t="shared" si="59"/>
        <v/>
      </c>
      <c r="N136" s="12">
        <f t="shared" si="36"/>
        <v>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.25" customHeight="1" outlineLevel="1">
      <c r="A137" s="11"/>
      <c r="B137" s="12" t="str">
        <f t="shared" si="57"/>
        <v/>
      </c>
      <c r="C137" s="12" t="str">
        <f t="shared" ref="C137:M137" si="60">B27</f>
        <v/>
      </c>
      <c r="D137" s="12" t="str">
        <f t="shared" si="60"/>
        <v/>
      </c>
      <c r="E137" s="12" t="str">
        <f t="shared" si="60"/>
        <v/>
      </c>
      <c r="F137" s="12" t="str">
        <f t="shared" si="60"/>
        <v/>
      </c>
      <c r="G137" s="12" t="str">
        <f t="shared" si="60"/>
        <v/>
      </c>
      <c r="H137" s="12" t="str">
        <f t="shared" si="60"/>
        <v/>
      </c>
      <c r="I137" s="12" t="str">
        <f t="shared" si="60"/>
        <v/>
      </c>
      <c r="J137" s="12" t="str">
        <f t="shared" si="60"/>
        <v/>
      </c>
      <c r="K137" s="12" t="str">
        <f t="shared" si="60"/>
        <v/>
      </c>
      <c r="L137" s="12" t="str">
        <f t="shared" si="60"/>
        <v/>
      </c>
      <c r="M137" s="12" t="str">
        <f t="shared" si="60"/>
        <v/>
      </c>
      <c r="N137" s="12">
        <f t="shared" si="36"/>
        <v>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.25" customHeight="1" outlineLevel="1">
      <c r="A138" s="11"/>
      <c r="B138" s="12" t="str">
        <f t="shared" si="57"/>
        <v/>
      </c>
      <c r="C138" s="12" t="str">
        <f t="shared" ref="C138:M138" si="61">B28</f>
        <v/>
      </c>
      <c r="D138" s="12" t="str">
        <f t="shared" si="61"/>
        <v/>
      </c>
      <c r="E138" s="12" t="str">
        <f t="shared" si="61"/>
        <v/>
      </c>
      <c r="F138" s="12" t="str">
        <f t="shared" si="61"/>
        <v/>
      </c>
      <c r="G138" s="12" t="str">
        <f t="shared" si="61"/>
        <v/>
      </c>
      <c r="H138" s="12" t="str">
        <f t="shared" si="61"/>
        <v/>
      </c>
      <c r="I138" s="12" t="str">
        <f t="shared" si="61"/>
        <v/>
      </c>
      <c r="J138" s="12" t="str">
        <f t="shared" si="61"/>
        <v/>
      </c>
      <c r="K138" s="12" t="str">
        <f t="shared" si="61"/>
        <v/>
      </c>
      <c r="L138" s="12" t="str">
        <f t="shared" si="61"/>
        <v/>
      </c>
      <c r="M138" s="12" t="str">
        <f t="shared" si="61"/>
        <v/>
      </c>
      <c r="N138" s="12">
        <f t="shared" si="36"/>
        <v>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.25" customHeight="1" outlineLevel="1">
      <c r="A139" s="11"/>
      <c r="B139" s="12" t="str">
        <f t="shared" si="57"/>
        <v/>
      </c>
      <c r="C139" s="12" t="str">
        <f t="shared" ref="C139:M139" si="62">B29</f>
        <v/>
      </c>
      <c r="D139" s="12" t="str">
        <f t="shared" si="62"/>
        <v/>
      </c>
      <c r="E139" s="12" t="str">
        <f t="shared" si="62"/>
        <v/>
      </c>
      <c r="F139" s="12" t="str">
        <f t="shared" si="62"/>
        <v/>
      </c>
      <c r="G139" s="12" t="str">
        <f t="shared" si="62"/>
        <v/>
      </c>
      <c r="H139" s="12" t="str">
        <f t="shared" si="62"/>
        <v/>
      </c>
      <c r="I139" s="12" t="str">
        <f t="shared" si="62"/>
        <v/>
      </c>
      <c r="J139" s="12" t="str">
        <f t="shared" si="62"/>
        <v/>
      </c>
      <c r="K139" s="12" t="str">
        <f t="shared" si="62"/>
        <v/>
      </c>
      <c r="L139" s="12" t="str">
        <f t="shared" si="62"/>
        <v/>
      </c>
      <c r="M139" s="12" t="str">
        <f t="shared" si="62"/>
        <v/>
      </c>
      <c r="N139" s="12">
        <f t="shared" si="36"/>
        <v>0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.25" customHeight="1" outlineLevel="1">
      <c r="A140" s="11"/>
      <c r="B140" s="12" t="str">
        <f t="shared" si="57"/>
        <v/>
      </c>
      <c r="C140" s="12" t="str">
        <f t="shared" ref="C140:M140" si="63">B30</f>
        <v/>
      </c>
      <c r="D140" s="12" t="str">
        <f t="shared" si="63"/>
        <v/>
      </c>
      <c r="E140" s="12" t="str">
        <f t="shared" si="63"/>
        <v/>
      </c>
      <c r="F140" s="12" t="str">
        <f t="shared" si="63"/>
        <v/>
      </c>
      <c r="G140" s="12" t="str">
        <f t="shared" si="63"/>
        <v/>
      </c>
      <c r="H140" s="12" t="str">
        <f t="shared" si="63"/>
        <v/>
      </c>
      <c r="I140" s="12" t="str">
        <f t="shared" si="63"/>
        <v/>
      </c>
      <c r="J140" s="12" t="str">
        <f t="shared" si="63"/>
        <v/>
      </c>
      <c r="K140" s="12" t="str">
        <f t="shared" si="63"/>
        <v/>
      </c>
      <c r="L140" s="12" t="str">
        <f t="shared" si="63"/>
        <v/>
      </c>
      <c r="M140" s="12" t="str">
        <f t="shared" si="63"/>
        <v/>
      </c>
      <c r="N140" s="12">
        <f t="shared" si="36"/>
        <v>0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.25" customHeight="1" outlineLevel="1">
      <c r="A141" s="11"/>
      <c r="B141" s="12" t="str">
        <f t="shared" si="57"/>
        <v/>
      </c>
      <c r="C141" s="12" t="str">
        <f t="shared" ref="C141:M141" si="64">B31</f>
        <v/>
      </c>
      <c r="D141" s="12" t="str">
        <f t="shared" si="64"/>
        <v/>
      </c>
      <c r="E141" s="12" t="str">
        <f t="shared" si="64"/>
        <v/>
      </c>
      <c r="F141" s="12" t="str">
        <f t="shared" si="64"/>
        <v/>
      </c>
      <c r="G141" s="12" t="str">
        <f t="shared" si="64"/>
        <v/>
      </c>
      <c r="H141" s="12" t="str">
        <f t="shared" si="64"/>
        <v/>
      </c>
      <c r="I141" s="12" t="str">
        <f t="shared" si="64"/>
        <v/>
      </c>
      <c r="J141" s="12" t="str">
        <f t="shared" si="64"/>
        <v/>
      </c>
      <c r="K141" s="12" t="str">
        <f t="shared" si="64"/>
        <v/>
      </c>
      <c r="L141" s="12" t="str">
        <f t="shared" si="64"/>
        <v/>
      </c>
      <c r="M141" s="12" t="str">
        <f t="shared" si="64"/>
        <v/>
      </c>
      <c r="N141" s="12">
        <f t="shared" si="36"/>
        <v>0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.25" customHeight="1" outlineLevel="1">
      <c r="A142" s="11"/>
      <c r="B142" s="12" t="str">
        <f t="shared" si="57"/>
        <v/>
      </c>
      <c r="C142" s="12" t="str">
        <f t="shared" ref="C142:M142" si="65">B32</f>
        <v/>
      </c>
      <c r="D142" s="12" t="str">
        <f t="shared" si="65"/>
        <v/>
      </c>
      <c r="E142" s="12" t="str">
        <f t="shared" si="65"/>
        <v/>
      </c>
      <c r="F142" s="12" t="str">
        <f t="shared" si="65"/>
        <v/>
      </c>
      <c r="G142" s="12" t="str">
        <f t="shared" si="65"/>
        <v/>
      </c>
      <c r="H142" s="12" t="str">
        <f t="shared" si="65"/>
        <v/>
      </c>
      <c r="I142" s="12" t="str">
        <f t="shared" si="65"/>
        <v/>
      </c>
      <c r="J142" s="12" t="str">
        <f t="shared" si="65"/>
        <v/>
      </c>
      <c r="K142" s="12" t="str">
        <f t="shared" si="65"/>
        <v/>
      </c>
      <c r="L142" s="12" t="str">
        <f t="shared" si="65"/>
        <v/>
      </c>
      <c r="M142" s="12" t="str">
        <f t="shared" si="65"/>
        <v/>
      </c>
      <c r="N142" s="12">
        <f t="shared" si="36"/>
        <v>0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.25" customHeight="1" outlineLevel="1">
      <c r="A143" s="11"/>
      <c r="B143" s="12" t="str">
        <f t="shared" si="57"/>
        <v/>
      </c>
      <c r="C143" s="12" t="str">
        <f t="shared" ref="C143:M143" si="66">B33</f>
        <v/>
      </c>
      <c r="D143" s="12" t="str">
        <f t="shared" si="66"/>
        <v/>
      </c>
      <c r="E143" s="12" t="str">
        <f t="shared" si="66"/>
        <v/>
      </c>
      <c r="F143" s="12" t="str">
        <f t="shared" si="66"/>
        <v/>
      </c>
      <c r="G143" s="12" t="str">
        <f t="shared" si="66"/>
        <v/>
      </c>
      <c r="H143" s="12" t="str">
        <f t="shared" si="66"/>
        <v/>
      </c>
      <c r="I143" s="12" t="str">
        <f t="shared" si="66"/>
        <v/>
      </c>
      <c r="J143" s="12" t="str">
        <f t="shared" si="66"/>
        <v/>
      </c>
      <c r="K143" s="12" t="str">
        <f t="shared" si="66"/>
        <v/>
      </c>
      <c r="L143" s="12" t="str">
        <f t="shared" si="66"/>
        <v/>
      </c>
      <c r="M143" s="12" t="str">
        <f t="shared" si="66"/>
        <v/>
      </c>
      <c r="N143" s="12">
        <f t="shared" si="36"/>
        <v>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.25" customHeight="1" outlineLevel="1">
      <c r="A144" s="11"/>
      <c r="B144" s="12" t="str">
        <f t="shared" si="57"/>
        <v/>
      </c>
      <c r="C144" s="12" t="str">
        <f t="shared" ref="C144:M144" si="67">B34</f>
        <v/>
      </c>
      <c r="D144" s="12" t="str">
        <f t="shared" si="67"/>
        <v/>
      </c>
      <c r="E144" s="12" t="str">
        <f t="shared" si="67"/>
        <v/>
      </c>
      <c r="F144" s="12" t="str">
        <f t="shared" si="67"/>
        <v/>
      </c>
      <c r="G144" s="12" t="str">
        <f t="shared" si="67"/>
        <v/>
      </c>
      <c r="H144" s="12" t="str">
        <f t="shared" si="67"/>
        <v/>
      </c>
      <c r="I144" s="12" t="str">
        <f t="shared" si="67"/>
        <v/>
      </c>
      <c r="J144" s="12" t="str">
        <f t="shared" si="67"/>
        <v/>
      </c>
      <c r="K144" s="12" t="str">
        <f t="shared" si="67"/>
        <v/>
      </c>
      <c r="L144" s="12" t="str">
        <f t="shared" si="67"/>
        <v/>
      </c>
      <c r="M144" s="12" t="str">
        <f t="shared" si="67"/>
        <v/>
      </c>
      <c r="N144" s="12">
        <f t="shared" si="36"/>
        <v>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.25" customHeight="1" outlineLevel="1">
      <c r="A145" s="11"/>
      <c r="B145" s="12" t="str">
        <f t="shared" si="57"/>
        <v/>
      </c>
      <c r="C145" s="12" t="str">
        <f t="shared" ref="C145:M145" si="68">B35</f>
        <v/>
      </c>
      <c r="D145" s="12" t="str">
        <f t="shared" si="68"/>
        <v/>
      </c>
      <c r="E145" s="12" t="str">
        <f t="shared" si="68"/>
        <v/>
      </c>
      <c r="F145" s="12" t="str">
        <f t="shared" si="68"/>
        <v/>
      </c>
      <c r="G145" s="12" t="str">
        <f t="shared" si="68"/>
        <v/>
      </c>
      <c r="H145" s="12" t="str">
        <f t="shared" si="68"/>
        <v/>
      </c>
      <c r="I145" s="12" t="str">
        <f t="shared" si="68"/>
        <v/>
      </c>
      <c r="J145" s="12" t="str">
        <f t="shared" si="68"/>
        <v/>
      </c>
      <c r="K145" s="12" t="str">
        <f t="shared" si="68"/>
        <v/>
      </c>
      <c r="L145" s="12" t="str">
        <f t="shared" si="68"/>
        <v/>
      </c>
      <c r="M145" s="12" t="str">
        <f t="shared" si="68"/>
        <v/>
      </c>
      <c r="N145" s="12">
        <f t="shared" si="36"/>
        <v>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.25" customHeight="1" outlineLevel="1">
      <c r="A146" s="11"/>
      <c r="B146" s="12" t="str">
        <f t="shared" si="57"/>
        <v/>
      </c>
      <c r="C146" s="12" t="str">
        <f t="shared" ref="C146:M146" si="69">B36</f>
        <v/>
      </c>
      <c r="D146" s="12" t="str">
        <f t="shared" si="69"/>
        <v/>
      </c>
      <c r="E146" s="12" t="str">
        <f t="shared" si="69"/>
        <v/>
      </c>
      <c r="F146" s="12" t="str">
        <f t="shared" si="69"/>
        <v/>
      </c>
      <c r="G146" s="12" t="str">
        <f t="shared" si="69"/>
        <v/>
      </c>
      <c r="H146" s="12" t="str">
        <f t="shared" si="69"/>
        <v/>
      </c>
      <c r="I146" s="12" t="str">
        <f t="shared" si="69"/>
        <v/>
      </c>
      <c r="J146" s="12" t="str">
        <f t="shared" si="69"/>
        <v/>
      </c>
      <c r="K146" s="12" t="str">
        <f t="shared" si="69"/>
        <v/>
      </c>
      <c r="L146" s="12" t="str">
        <f t="shared" si="69"/>
        <v/>
      </c>
      <c r="M146" s="12" t="str">
        <f t="shared" si="69"/>
        <v/>
      </c>
      <c r="N146" s="12">
        <f t="shared" si="36"/>
        <v>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.25" customHeight="1" outlineLevel="1">
      <c r="A147" s="11"/>
      <c r="B147" s="12" t="str">
        <f t="shared" si="57"/>
        <v/>
      </c>
      <c r="C147" s="12" t="str">
        <f t="shared" ref="C147:M147" si="70">B37</f>
        <v/>
      </c>
      <c r="D147" s="12" t="str">
        <f t="shared" si="70"/>
        <v/>
      </c>
      <c r="E147" s="12" t="str">
        <f t="shared" si="70"/>
        <v/>
      </c>
      <c r="F147" s="12" t="str">
        <f t="shared" si="70"/>
        <v/>
      </c>
      <c r="G147" s="12" t="str">
        <f t="shared" si="70"/>
        <v/>
      </c>
      <c r="H147" s="12" t="str">
        <f t="shared" si="70"/>
        <v/>
      </c>
      <c r="I147" s="12" t="str">
        <f t="shared" si="70"/>
        <v/>
      </c>
      <c r="J147" s="12" t="str">
        <f t="shared" si="70"/>
        <v/>
      </c>
      <c r="K147" s="12" t="str">
        <f t="shared" si="70"/>
        <v/>
      </c>
      <c r="L147" s="12" t="str">
        <f t="shared" si="70"/>
        <v/>
      </c>
      <c r="M147" s="12" t="str">
        <f t="shared" si="70"/>
        <v/>
      </c>
      <c r="N147" s="12">
        <f t="shared" si="36"/>
        <v>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.25" customHeight="1" outlineLevel="1">
      <c r="A148" s="11"/>
      <c r="B148" s="12" t="str">
        <f t="shared" si="57"/>
        <v/>
      </c>
      <c r="C148" s="12" t="str">
        <f t="shared" ref="C148:M148" si="71">B38</f>
        <v/>
      </c>
      <c r="D148" s="12" t="str">
        <f t="shared" si="71"/>
        <v/>
      </c>
      <c r="E148" s="12" t="str">
        <f t="shared" si="71"/>
        <v/>
      </c>
      <c r="F148" s="12" t="str">
        <f t="shared" si="71"/>
        <v/>
      </c>
      <c r="G148" s="12" t="str">
        <f t="shared" si="71"/>
        <v/>
      </c>
      <c r="H148" s="12" t="str">
        <f t="shared" si="71"/>
        <v/>
      </c>
      <c r="I148" s="12" t="str">
        <f t="shared" si="71"/>
        <v/>
      </c>
      <c r="J148" s="12" t="str">
        <f t="shared" si="71"/>
        <v/>
      </c>
      <c r="K148" s="12" t="str">
        <f t="shared" si="71"/>
        <v/>
      </c>
      <c r="L148" s="12" t="str">
        <f t="shared" si="71"/>
        <v/>
      </c>
      <c r="M148" s="12" t="str">
        <f t="shared" si="71"/>
        <v/>
      </c>
      <c r="N148" s="12">
        <f t="shared" si="36"/>
        <v>0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.25" customHeight="1" outlineLevel="1">
      <c r="A149" s="11"/>
      <c r="B149" s="12" t="str">
        <f t="shared" si="57"/>
        <v/>
      </c>
      <c r="C149" s="12" t="str">
        <f t="shared" ref="C149:M149" si="72">B39</f>
        <v/>
      </c>
      <c r="D149" s="12" t="str">
        <f t="shared" si="72"/>
        <v/>
      </c>
      <c r="E149" s="12" t="str">
        <f t="shared" si="72"/>
        <v/>
      </c>
      <c r="F149" s="12" t="str">
        <f t="shared" si="72"/>
        <v/>
      </c>
      <c r="G149" s="12" t="str">
        <f t="shared" si="72"/>
        <v/>
      </c>
      <c r="H149" s="12" t="str">
        <f t="shared" si="72"/>
        <v/>
      </c>
      <c r="I149" s="12" t="str">
        <f t="shared" si="72"/>
        <v/>
      </c>
      <c r="J149" s="12" t="str">
        <f t="shared" si="72"/>
        <v/>
      </c>
      <c r="K149" s="12" t="str">
        <f t="shared" si="72"/>
        <v/>
      </c>
      <c r="L149" s="12" t="str">
        <f t="shared" si="72"/>
        <v/>
      </c>
      <c r="M149" s="12" t="str">
        <f t="shared" si="72"/>
        <v/>
      </c>
      <c r="N149" s="12">
        <f t="shared" si="36"/>
        <v>0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.25" customHeight="1" outlineLevel="1">
      <c r="A150" s="11"/>
      <c r="B150" s="12" t="str">
        <f t="shared" si="57"/>
        <v/>
      </c>
      <c r="C150" s="12" t="str">
        <f t="shared" ref="C150:M150" si="73">B40</f>
        <v/>
      </c>
      <c r="D150" s="12" t="str">
        <f t="shared" si="73"/>
        <v/>
      </c>
      <c r="E150" s="12" t="str">
        <f t="shared" si="73"/>
        <v/>
      </c>
      <c r="F150" s="12" t="str">
        <f t="shared" si="73"/>
        <v/>
      </c>
      <c r="G150" s="12" t="str">
        <f t="shared" si="73"/>
        <v/>
      </c>
      <c r="H150" s="12" t="str">
        <f t="shared" si="73"/>
        <v/>
      </c>
      <c r="I150" s="12" t="str">
        <f t="shared" si="73"/>
        <v/>
      </c>
      <c r="J150" s="12" t="str">
        <f t="shared" si="73"/>
        <v/>
      </c>
      <c r="K150" s="12" t="str">
        <f t="shared" si="73"/>
        <v/>
      </c>
      <c r="L150" s="12" t="str">
        <f t="shared" si="73"/>
        <v/>
      </c>
      <c r="M150" s="12" t="str">
        <f t="shared" si="73"/>
        <v/>
      </c>
      <c r="N150" s="12">
        <f t="shared" si="36"/>
        <v>0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.25" customHeight="1" outlineLevel="1">
      <c r="A151" s="11"/>
      <c r="B151" s="12" t="str">
        <f t="shared" si="57"/>
        <v/>
      </c>
      <c r="C151" s="12" t="str">
        <f t="shared" ref="C151:M151" si="74">B41</f>
        <v/>
      </c>
      <c r="D151" s="12" t="str">
        <f t="shared" si="74"/>
        <v/>
      </c>
      <c r="E151" s="12" t="str">
        <f t="shared" si="74"/>
        <v/>
      </c>
      <c r="F151" s="12" t="str">
        <f t="shared" si="74"/>
        <v/>
      </c>
      <c r="G151" s="12" t="str">
        <f t="shared" si="74"/>
        <v/>
      </c>
      <c r="H151" s="12" t="str">
        <f t="shared" si="74"/>
        <v/>
      </c>
      <c r="I151" s="12" t="str">
        <f t="shared" si="74"/>
        <v/>
      </c>
      <c r="J151" s="12" t="str">
        <f t="shared" si="74"/>
        <v/>
      </c>
      <c r="K151" s="12" t="str">
        <f t="shared" si="74"/>
        <v/>
      </c>
      <c r="L151" s="12" t="str">
        <f t="shared" si="74"/>
        <v/>
      </c>
      <c r="M151" s="12" t="str">
        <f t="shared" si="74"/>
        <v/>
      </c>
      <c r="N151" s="12">
        <f t="shared" si="36"/>
        <v>0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.25" customHeight="1">
      <c r="A152" s="7" t="s">
        <v>70</v>
      </c>
      <c r="B152" s="10" t="str">
        <f t="shared" ref="B152:M152" si="75">B153</f>
        <v/>
      </c>
      <c r="C152" s="10" t="str">
        <f t="shared" si="75"/>
        <v/>
      </c>
      <c r="D152" s="10" t="str">
        <f t="shared" si="75"/>
        <v/>
      </c>
      <c r="E152" s="10">
        <f t="shared" si="75"/>
        <v>0</v>
      </c>
      <c r="F152" s="10" t="str">
        <f t="shared" si="75"/>
        <v/>
      </c>
      <c r="G152" s="10" t="str">
        <f t="shared" si="75"/>
        <v/>
      </c>
      <c r="H152" s="10">
        <f t="shared" si="75"/>
        <v>0</v>
      </c>
      <c r="I152" s="10" t="str">
        <f t="shared" si="75"/>
        <v/>
      </c>
      <c r="J152" s="10" t="str">
        <f t="shared" si="75"/>
        <v/>
      </c>
      <c r="K152" s="10">
        <f t="shared" si="75"/>
        <v>0</v>
      </c>
      <c r="L152" s="10" t="str">
        <f t="shared" si="75"/>
        <v/>
      </c>
      <c r="M152" s="10" t="str">
        <f t="shared" si="75"/>
        <v/>
      </c>
      <c r="N152" s="10">
        <f t="shared" si="36"/>
        <v>0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.25" customHeight="1" outlineLevel="1">
      <c r="A153" s="11"/>
      <c r="B153" s="12"/>
      <c r="C153" s="12"/>
      <c r="D153" s="12"/>
      <c r="E153" s="12">
        <f t="shared" ref="E153:E155" si="76">SUM(B43:D43)</f>
        <v>0</v>
      </c>
      <c r="F153" s="12"/>
      <c r="G153" s="12"/>
      <c r="H153" s="12">
        <f t="shared" ref="H153:H155" si="77">SUM(E43:G43)</f>
        <v>0</v>
      </c>
      <c r="I153" s="12"/>
      <c r="J153" s="12"/>
      <c r="K153" s="12">
        <f t="shared" ref="K153:K155" si="78">SUM(H43:J43)</f>
        <v>0</v>
      </c>
      <c r="L153" s="12"/>
      <c r="M153" s="12"/>
      <c r="N153" s="12">
        <f t="shared" si="36"/>
        <v>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.25" customHeight="1" outlineLevel="1">
      <c r="A154" s="11"/>
      <c r="B154" s="12"/>
      <c r="C154" s="12"/>
      <c r="D154" s="12"/>
      <c r="E154" s="12">
        <f t="shared" si="76"/>
        <v>0</v>
      </c>
      <c r="F154" s="12"/>
      <c r="G154" s="12"/>
      <c r="H154" s="12">
        <f t="shared" si="77"/>
        <v>0</v>
      </c>
      <c r="I154" s="12"/>
      <c r="J154" s="12"/>
      <c r="K154" s="12">
        <f t="shared" si="78"/>
        <v>0</v>
      </c>
      <c r="L154" s="12"/>
      <c r="M154" s="12"/>
      <c r="N154" s="12">
        <f t="shared" si="36"/>
        <v>0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.25" customHeight="1" outlineLevel="1">
      <c r="A155" s="11"/>
      <c r="B155" s="12"/>
      <c r="C155" s="12"/>
      <c r="D155" s="12"/>
      <c r="E155" s="12">
        <f t="shared" si="76"/>
        <v>0</v>
      </c>
      <c r="F155" s="12"/>
      <c r="G155" s="12"/>
      <c r="H155" s="12">
        <f t="shared" si="77"/>
        <v>0</v>
      </c>
      <c r="I155" s="12"/>
      <c r="J155" s="12"/>
      <c r="K155" s="12">
        <f t="shared" si="78"/>
        <v>0</v>
      </c>
      <c r="L155" s="12"/>
      <c r="M155" s="12"/>
      <c r="N155" s="12">
        <f t="shared" si="36"/>
        <v>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.25" customHeight="1">
      <c r="A156" s="7" t="s">
        <v>65</v>
      </c>
      <c r="B156" s="10">
        <f t="shared" ref="B156:M156" si="79">SUM(B157:B173)</f>
        <v>0</v>
      </c>
      <c r="C156" s="10">
        <f t="shared" si="79"/>
        <v>0</v>
      </c>
      <c r="D156" s="10">
        <f t="shared" si="79"/>
        <v>0</v>
      </c>
      <c r="E156" s="10">
        <f t="shared" si="79"/>
        <v>0</v>
      </c>
      <c r="F156" s="10">
        <f t="shared" si="79"/>
        <v>0</v>
      </c>
      <c r="G156" s="10">
        <f t="shared" si="79"/>
        <v>0</v>
      </c>
      <c r="H156" s="10">
        <f t="shared" si="79"/>
        <v>0</v>
      </c>
      <c r="I156" s="10">
        <f t="shared" si="79"/>
        <v>0</v>
      </c>
      <c r="J156" s="10">
        <f t="shared" si="79"/>
        <v>0</v>
      </c>
      <c r="K156" s="10">
        <f t="shared" si="79"/>
        <v>0</v>
      </c>
      <c r="L156" s="10">
        <f t="shared" si="79"/>
        <v>0</v>
      </c>
      <c r="M156" s="10">
        <f t="shared" si="79"/>
        <v>0</v>
      </c>
      <c r="N156" s="10">
        <f t="shared" si="36"/>
        <v>0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.25" customHeight="1" outlineLevel="1">
      <c r="A157" s="11"/>
      <c r="B157" s="12"/>
      <c r="C157" s="12"/>
      <c r="D157" s="12"/>
      <c r="E157" s="12"/>
      <c r="F157" s="12"/>
      <c r="G157" s="12"/>
      <c r="H157" s="12">
        <f t="shared" ref="H157:H173" si="80">SUM(E47:G47)</f>
        <v>0</v>
      </c>
      <c r="I157" s="12"/>
      <c r="J157" s="12"/>
      <c r="K157" s="12">
        <f t="shared" ref="K157:K173" si="81">SUM(H47:J47)</f>
        <v>0</v>
      </c>
      <c r="L157" s="12"/>
      <c r="M157" s="12"/>
      <c r="N157" s="12">
        <f t="shared" si="36"/>
        <v>0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.25" customHeight="1" outlineLevel="1">
      <c r="A158" s="11"/>
      <c r="B158" s="12"/>
      <c r="C158" s="12"/>
      <c r="D158" s="12"/>
      <c r="E158" s="12"/>
      <c r="F158" s="12"/>
      <c r="G158" s="12"/>
      <c r="H158" s="12">
        <f t="shared" si="80"/>
        <v>0</v>
      </c>
      <c r="I158" s="12"/>
      <c r="J158" s="12"/>
      <c r="K158" s="12">
        <f t="shared" si="81"/>
        <v>0</v>
      </c>
      <c r="L158" s="12"/>
      <c r="M158" s="12"/>
      <c r="N158" s="12">
        <f t="shared" si="36"/>
        <v>0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.25" customHeight="1" outlineLevel="1">
      <c r="A159" s="11"/>
      <c r="B159" s="12"/>
      <c r="C159" s="12"/>
      <c r="D159" s="12"/>
      <c r="E159" s="12"/>
      <c r="F159" s="12"/>
      <c r="G159" s="12"/>
      <c r="H159" s="12">
        <f t="shared" si="80"/>
        <v>0</v>
      </c>
      <c r="I159" s="12"/>
      <c r="J159" s="12"/>
      <c r="K159" s="12">
        <f t="shared" si="81"/>
        <v>0</v>
      </c>
      <c r="L159" s="12"/>
      <c r="M159" s="12"/>
      <c r="N159" s="12">
        <f t="shared" si="36"/>
        <v>0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.25" customHeight="1" outlineLevel="1">
      <c r="A160" s="11"/>
      <c r="B160" s="12"/>
      <c r="C160" s="12"/>
      <c r="D160" s="12"/>
      <c r="E160" s="12"/>
      <c r="F160" s="12"/>
      <c r="G160" s="12"/>
      <c r="H160" s="12">
        <f t="shared" si="80"/>
        <v>0</v>
      </c>
      <c r="I160" s="12"/>
      <c r="J160" s="12"/>
      <c r="K160" s="12">
        <f t="shared" si="81"/>
        <v>0</v>
      </c>
      <c r="L160" s="12"/>
      <c r="M160" s="12"/>
      <c r="N160" s="12">
        <f t="shared" si="36"/>
        <v>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.25" customHeight="1" outlineLevel="1">
      <c r="A161" s="11"/>
      <c r="B161" s="12"/>
      <c r="C161" s="12"/>
      <c r="D161" s="12"/>
      <c r="E161" s="12"/>
      <c r="F161" s="12"/>
      <c r="G161" s="12"/>
      <c r="H161" s="12">
        <f t="shared" si="80"/>
        <v>0</v>
      </c>
      <c r="I161" s="12"/>
      <c r="J161" s="12"/>
      <c r="K161" s="12">
        <f t="shared" si="81"/>
        <v>0</v>
      </c>
      <c r="L161" s="12"/>
      <c r="M161" s="12"/>
      <c r="N161" s="12">
        <f t="shared" si="36"/>
        <v>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.25" customHeight="1" outlineLevel="1">
      <c r="A162" s="11"/>
      <c r="B162" s="12"/>
      <c r="C162" s="12"/>
      <c r="D162" s="12"/>
      <c r="E162" s="12"/>
      <c r="F162" s="12"/>
      <c r="G162" s="12"/>
      <c r="H162" s="12">
        <f t="shared" si="80"/>
        <v>0</v>
      </c>
      <c r="I162" s="12"/>
      <c r="J162" s="12"/>
      <c r="K162" s="12">
        <f t="shared" si="81"/>
        <v>0</v>
      </c>
      <c r="L162" s="12"/>
      <c r="M162" s="12"/>
      <c r="N162" s="12">
        <f t="shared" si="36"/>
        <v>0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.25" customHeight="1" outlineLevel="1">
      <c r="A163" s="11"/>
      <c r="B163" s="12"/>
      <c r="C163" s="12"/>
      <c r="D163" s="12"/>
      <c r="E163" s="12"/>
      <c r="F163" s="12"/>
      <c r="G163" s="12"/>
      <c r="H163" s="12">
        <f t="shared" si="80"/>
        <v>0</v>
      </c>
      <c r="I163" s="12"/>
      <c r="J163" s="12"/>
      <c r="K163" s="12">
        <f t="shared" si="81"/>
        <v>0</v>
      </c>
      <c r="L163" s="12"/>
      <c r="M163" s="12"/>
      <c r="N163" s="12">
        <f t="shared" si="36"/>
        <v>0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.25" customHeight="1" outlineLevel="1">
      <c r="A164" s="11"/>
      <c r="B164" s="12"/>
      <c r="C164" s="12"/>
      <c r="D164" s="12"/>
      <c r="E164" s="12"/>
      <c r="F164" s="12"/>
      <c r="G164" s="12"/>
      <c r="H164" s="12">
        <f t="shared" si="80"/>
        <v>0</v>
      </c>
      <c r="I164" s="12"/>
      <c r="J164" s="12"/>
      <c r="K164" s="12">
        <f t="shared" si="81"/>
        <v>0</v>
      </c>
      <c r="L164" s="12"/>
      <c r="M164" s="12"/>
      <c r="N164" s="12">
        <f t="shared" si="36"/>
        <v>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.25" customHeight="1" outlineLevel="1">
      <c r="A165" s="11"/>
      <c r="B165" s="12"/>
      <c r="C165" s="12"/>
      <c r="D165" s="12"/>
      <c r="E165" s="12"/>
      <c r="F165" s="12"/>
      <c r="G165" s="12"/>
      <c r="H165" s="12">
        <f t="shared" si="80"/>
        <v>0</v>
      </c>
      <c r="I165" s="12"/>
      <c r="J165" s="12"/>
      <c r="K165" s="12">
        <f t="shared" si="81"/>
        <v>0</v>
      </c>
      <c r="L165" s="12"/>
      <c r="M165" s="12"/>
      <c r="N165" s="12">
        <f t="shared" si="36"/>
        <v>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.25" customHeight="1" outlineLevel="1">
      <c r="A166" s="11"/>
      <c r="B166" s="12"/>
      <c r="C166" s="12"/>
      <c r="D166" s="12"/>
      <c r="E166" s="12"/>
      <c r="F166" s="12"/>
      <c r="G166" s="12"/>
      <c r="H166" s="12">
        <f t="shared" si="80"/>
        <v>0</v>
      </c>
      <c r="I166" s="12"/>
      <c r="J166" s="12"/>
      <c r="K166" s="12">
        <f t="shared" si="81"/>
        <v>0</v>
      </c>
      <c r="L166" s="12"/>
      <c r="M166" s="12"/>
      <c r="N166" s="12">
        <f t="shared" si="36"/>
        <v>0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.25" customHeight="1" outlineLevel="1">
      <c r="A167" s="11"/>
      <c r="B167" s="12"/>
      <c r="C167" s="12"/>
      <c r="D167" s="12"/>
      <c r="E167" s="12"/>
      <c r="F167" s="12"/>
      <c r="G167" s="12"/>
      <c r="H167" s="12">
        <f t="shared" si="80"/>
        <v>0</v>
      </c>
      <c r="I167" s="12"/>
      <c r="J167" s="12"/>
      <c r="K167" s="12">
        <f t="shared" si="81"/>
        <v>0</v>
      </c>
      <c r="L167" s="12"/>
      <c r="M167" s="12"/>
      <c r="N167" s="12">
        <f t="shared" si="36"/>
        <v>0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.25" customHeight="1" outlineLevel="1">
      <c r="A168" s="11"/>
      <c r="B168" s="12"/>
      <c r="C168" s="12"/>
      <c r="D168" s="12"/>
      <c r="E168" s="12"/>
      <c r="F168" s="12"/>
      <c r="G168" s="12"/>
      <c r="H168" s="12">
        <f t="shared" si="80"/>
        <v>0</v>
      </c>
      <c r="I168" s="12"/>
      <c r="J168" s="12"/>
      <c r="K168" s="12">
        <f t="shared" si="81"/>
        <v>0</v>
      </c>
      <c r="L168" s="12"/>
      <c r="M168" s="12"/>
      <c r="N168" s="12">
        <f t="shared" si="36"/>
        <v>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.25" customHeight="1" outlineLevel="1">
      <c r="A169" s="11"/>
      <c r="B169" s="12"/>
      <c r="C169" s="12"/>
      <c r="D169" s="12"/>
      <c r="E169" s="12"/>
      <c r="F169" s="12"/>
      <c r="G169" s="12"/>
      <c r="H169" s="12">
        <f t="shared" si="80"/>
        <v>0</v>
      </c>
      <c r="I169" s="12"/>
      <c r="J169" s="12"/>
      <c r="K169" s="12">
        <f t="shared" si="81"/>
        <v>0</v>
      </c>
      <c r="L169" s="12"/>
      <c r="M169" s="12"/>
      <c r="N169" s="12">
        <f t="shared" si="36"/>
        <v>0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.25" customHeight="1" outlineLevel="1">
      <c r="A170" s="11"/>
      <c r="B170" s="12"/>
      <c r="C170" s="12"/>
      <c r="D170" s="12"/>
      <c r="E170" s="12"/>
      <c r="F170" s="12"/>
      <c r="G170" s="12"/>
      <c r="H170" s="12">
        <f t="shared" si="80"/>
        <v>0</v>
      </c>
      <c r="I170" s="12"/>
      <c r="J170" s="12"/>
      <c r="K170" s="12">
        <f t="shared" si="81"/>
        <v>0</v>
      </c>
      <c r="L170" s="12"/>
      <c r="M170" s="12"/>
      <c r="N170" s="12">
        <f t="shared" si="36"/>
        <v>0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.25" customHeight="1" outlineLevel="1">
      <c r="A171" s="11"/>
      <c r="B171" s="12"/>
      <c r="C171" s="12"/>
      <c r="D171" s="12"/>
      <c r="E171" s="12"/>
      <c r="F171" s="12"/>
      <c r="G171" s="12"/>
      <c r="H171" s="12">
        <f t="shared" si="80"/>
        <v>0</v>
      </c>
      <c r="I171" s="12"/>
      <c r="J171" s="12"/>
      <c r="K171" s="12">
        <f t="shared" si="81"/>
        <v>0</v>
      </c>
      <c r="L171" s="12"/>
      <c r="M171" s="12"/>
      <c r="N171" s="12">
        <f t="shared" si="36"/>
        <v>0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.25" customHeight="1" outlineLevel="1">
      <c r="A172" s="11"/>
      <c r="B172" s="12"/>
      <c r="C172" s="12"/>
      <c r="D172" s="12"/>
      <c r="E172" s="12"/>
      <c r="F172" s="12"/>
      <c r="G172" s="12"/>
      <c r="H172" s="12">
        <f t="shared" si="80"/>
        <v>0</v>
      </c>
      <c r="I172" s="12"/>
      <c r="J172" s="12"/>
      <c r="K172" s="12">
        <f t="shared" si="81"/>
        <v>0</v>
      </c>
      <c r="L172" s="12"/>
      <c r="M172" s="12"/>
      <c r="N172" s="12">
        <f t="shared" si="36"/>
        <v>0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.25" customHeight="1" outlineLevel="1">
      <c r="A173" s="11"/>
      <c r="B173" s="12"/>
      <c r="C173" s="12"/>
      <c r="D173" s="12"/>
      <c r="E173" s="12"/>
      <c r="F173" s="12"/>
      <c r="G173" s="12"/>
      <c r="H173" s="12">
        <f t="shared" si="80"/>
        <v>0</v>
      </c>
      <c r="I173" s="12"/>
      <c r="J173" s="12"/>
      <c r="K173" s="12">
        <f t="shared" si="81"/>
        <v>0</v>
      </c>
      <c r="L173" s="12"/>
      <c r="M173" s="12"/>
      <c r="N173" s="12">
        <f t="shared" si="36"/>
        <v>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.25" customHeight="1">
      <c r="A174" s="7" t="s">
        <v>66</v>
      </c>
      <c r="B174" s="10" t="str">
        <f t="shared" ref="B174:M174" si="82">B175</f>
        <v/>
      </c>
      <c r="C174" s="10" t="str">
        <f t="shared" si="82"/>
        <v/>
      </c>
      <c r="D174" s="10" t="str">
        <f t="shared" si="82"/>
        <v/>
      </c>
      <c r="E174" s="10" t="str">
        <f t="shared" si="82"/>
        <v/>
      </c>
      <c r="F174" s="10" t="str">
        <f t="shared" si="82"/>
        <v/>
      </c>
      <c r="G174" s="10" t="str">
        <f t="shared" si="82"/>
        <v/>
      </c>
      <c r="H174" s="10" t="str">
        <f t="shared" si="82"/>
        <v/>
      </c>
      <c r="I174" s="10" t="str">
        <f t="shared" si="82"/>
        <v/>
      </c>
      <c r="J174" s="10" t="str">
        <f t="shared" si="82"/>
        <v/>
      </c>
      <c r="K174" s="10" t="str">
        <f t="shared" si="82"/>
        <v/>
      </c>
      <c r="L174" s="10" t="str">
        <f t="shared" si="82"/>
        <v/>
      </c>
      <c r="M174" s="10" t="str">
        <f t="shared" si="82"/>
        <v/>
      </c>
      <c r="N174" s="10">
        <f t="shared" si="36"/>
        <v>0</v>
      </c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1.25" customHeight="1" outlineLevel="1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>
        <f t="shared" si="36"/>
        <v>0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.25" customHeight="1">
      <c r="A176" s="7" t="s">
        <v>67</v>
      </c>
      <c r="B176" s="10" t="str">
        <f t="shared" ref="B176:M176" si="83">B177</f>
        <v/>
      </c>
      <c r="C176" s="10" t="str">
        <f t="shared" si="83"/>
        <v/>
      </c>
      <c r="D176" s="10" t="str">
        <f t="shared" si="83"/>
        <v/>
      </c>
      <c r="E176" s="10" t="str">
        <f t="shared" si="83"/>
        <v/>
      </c>
      <c r="F176" s="10" t="str">
        <f t="shared" si="83"/>
        <v/>
      </c>
      <c r="G176" s="10" t="str">
        <f t="shared" si="83"/>
        <v/>
      </c>
      <c r="H176" s="10" t="str">
        <f t="shared" si="83"/>
        <v/>
      </c>
      <c r="I176" s="10" t="str">
        <f t="shared" si="83"/>
        <v/>
      </c>
      <c r="J176" s="10" t="str">
        <f t="shared" si="83"/>
        <v/>
      </c>
      <c r="K176" s="10" t="str">
        <f t="shared" si="83"/>
        <v/>
      </c>
      <c r="L176" s="10" t="str">
        <f t="shared" si="83"/>
        <v/>
      </c>
      <c r="M176" s="10" t="str">
        <f t="shared" si="83"/>
        <v/>
      </c>
      <c r="N176" s="10">
        <f t="shared" si="36"/>
        <v>0</v>
      </c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1.25" customHeight="1" outlineLevel="1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>
        <f t="shared" si="36"/>
        <v>0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.25" customHeight="1">
      <c r="A178" s="7" t="s">
        <v>68</v>
      </c>
      <c r="B178" s="10" t="str">
        <f t="shared" ref="B178:M178" si="84">B179</f>
        <v/>
      </c>
      <c r="C178" s="10" t="str">
        <f t="shared" si="84"/>
        <v/>
      </c>
      <c r="D178" s="10" t="str">
        <f t="shared" si="84"/>
        <v/>
      </c>
      <c r="E178" s="10" t="str">
        <f t="shared" si="84"/>
        <v/>
      </c>
      <c r="F178" s="10" t="str">
        <f t="shared" si="84"/>
        <v/>
      </c>
      <c r="G178" s="10" t="str">
        <f t="shared" si="84"/>
        <v/>
      </c>
      <c r="H178" s="10" t="str">
        <f t="shared" si="84"/>
        <v/>
      </c>
      <c r="I178" s="10" t="str">
        <f t="shared" si="84"/>
        <v/>
      </c>
      <c r="J178" s="10" t="str">
        <f t="shared" si="84"/>
        <v/>
      </c>
      <c r="K178" s="10" t="str">
        <f t="shared" si="84"/>
        <v/>
      </c>
      <c r="L178" s="10" t="str">
        <f t="shared" si="84"/>
        <v/>
      </c>
      <c r="M178" s="10" t="str">
        <f t="shared" si="84"/>
        <v/>
      </c>
      <c r="N178" s="10">
        <f t="shared" si="36"/>
        <v>0</v>
      </c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1.25" customHeight="1" outlineLevel="1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>
        <f t="shared" si="36"/>
        <v>0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.25" customHeight="1">
      <c r="A180" s="7" t="s">
        <v>69</v>
      </c>
      <c r="B180" s="10">
        <f t="shared" ref="B180:M180" si="85">SUM(B181:B195)</f>
        <v>0</v>
      </c>
      <c r="C180" s="10">
        <f t="shared" si="85"/>
        <v>0</v>
      </c>
      <c r="D180" s="10">
        <f t="shared" si="85"/>
        <v>0</v>
      </c>
      <c r="E180" s="10">
        <f t="shared" si="85"/>
        <v>0</v>
      </c>
      <c r="F180" s="10">
        <f t="shared" si="85"/>
        <v>0</v>
      </c>
      <c r="G180" s="10">
        <f t="shared" si="85"/>
        <v>0</v>
      </c>
      <c r="H180" s="10">
        <f t="shared" si="85"/>
        <v>0</v>
      </c>
      <c r="I180" s="10">
        <f t="shared" si="85"/>
        <v>0</v>
      </c>
      <c r="J180" s="10">
        <f t="shared" si="85"/>
        <v>0</v>
      </c>
      <c r="K180" s="10">
        <f t="shared" si="85"/>
        <v>0</v>
      </c>
      <c r="L180" s="10">
        <f t="shared" si="85"/>
        <v>0</v>
      </c>
      <c r="M180" s="10">
        <f t="shared" si="85"/>
        <v>0</v>
      </c>
      <c r="N180" s="10">
        <f t="shared" si="36"/>
        <v>0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.25" customHeight="1" outlineLevel="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>
        <f t="shared" si="36"/>
        <v>0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.25" customHeight="1" outlineLevel="1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.25" customHeight="1" outlineLevel="1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.25" customHeight="1" outlineLevel="1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.25" customHeight="1" outlineLevel="1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.25" customHeight="1" outlineLevel="1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.25" customHeight="1" outlineLevel="1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.25" customHeight="1" outlineLevel="1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.25" customHeight="1" outlineLevel="1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>
        <f t="shared" ref="N189:N212" si="86">B189+C189+D189+E189+F189+G189+H189+I189+J189+K189+L189+M189</f>
        <v>0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.25" customHeight="1" outlineLevel="1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>
        <f t="shared" si="86"/>
        <v>0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.25" customHeight="1" outlineLevel="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>
        <f t="shared" si="86"/>
        <v>0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.25" customHeight="1" outlineLevel="1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>
        <f t="shared" si="86"/>
        <v>0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.25" customHeight="1" outlineLevel="1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>
        <f t="shared" si="86"/>
        <v>0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.25" customHeight="1" outlineLevel="1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>
        <f t="shared" si="86"/>
        <v>0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.25" customHeight="1" outlineLevel="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>
        <f t="shared" si="86"/>
        <v>0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.25" customHeight="1">
      <c r="A196" s="7" t="s">
        <v>398</v>
      </c>
      <c r="B196" s="10">
        <f t="shared" ref="B196:M196" si="87">SUM(B197:B211)</f>
        <v>0</v>
      </c>
      <c r="C196" s="10">
        <f t="shared" si="87"/>
        <v>0</v>
      </c>
      <c r="D196" s="10">
        <f t="shared" si="87"/>
        <v>0</v>
      </c>
      <c r="E196" s="10">
        <f t="shared" si="87"/>
        <v>0</v>
      </c>
      <c r="F196" s="10">
        <f t="shared" si="87"/>
        <v>0</v>
      </c>
      <c r="G196" s="10">
        <f t="shared" si="87"/>
        <v>0</v>
      </c>
      <c r="H196" s="10">
        <f t="shared" si="87"/>
        <v>0</v>
      </c>
      <c r="I196" s="10">
        <f t="shared" si="87"/>
        <v>0</v>
      </c>
      <c r="J196" s="10">
        <f t="shared" si="87"/>
        <v>0</v>
      </c>
      <c r="K196" s="10">
        <f t="shared" si="87"/>
        <v>0</v>
      </c>
      <c r="L196" s="10">
        <f t="shared" si="87"/>
        <v>0</v>
      </c>
      <c r="M196" s="10">
        <f t="shared" si="87"/>
        <v>0</v>
      </c>
      <c r="N196" s="10">
        <f t="shared" si="86"/>
        <v>0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.25" customHeight="1" outlineLevel="1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>
        <f t="shared" ref="M197:M211" si="88">SUM(B87:M87)</f>
        <v>0</v>
      </c>
      <c r="N197" s="12">
        <f t="shared" si="86"/>
        <v>0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.25" customHeight="1" outlineLevel="1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>
        <f t="shared" si="88"/>
        <v>0</v>
      </c>
      <c r="N198" s="12">
        <f t="shared" si="86"/>
        <v>0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.25" customHeight="1" outlineLevel="1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>
        <f t="shared" si="88"/>
        <v>0</v>
      </c>
      <c r="N199" s="12">
        <f t="shared" si="86"/>
        <v>0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.25" customHeight="1" outlineLevel="1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f t="shared" si="88"/>
        <v>0</v>
      </c>
      <c r="N200" s="12">
        <f t="shared" si="86"/>
        <v>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.25" customHeight="1" outlineLevel="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>
        <f t="shared" si="88"/>
        <v>0</v>
      </c>
      <c r="N201" s="12">
        <f t="shared" si="86"/>
        <v>0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.25" customHeight="1" outlineLevel="1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>
        <f t="shared" si="88"/>
        <v>0</v>
      </c>
      <c r="N202" s="12">
        <f t="shared" si="86"/>
        <v>0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.25" customHeight="1" outlineLevel="1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>
        <f t="shared" si="88"/>
        <v>0</v>
      </c>
      <c r="N203" s="12">
        <f t="shared" si="86"/>
        <v>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.25" customHeight="1" outlineLevel="1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>
        <f t="shared" si="88"/>
        <v>0</v>
      </c>
      <c r="N204" s="12">
        <f t="shared" si="86"/>
        <v>0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.25" customHeight="1" outlineLevel="1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>
        <f t="shared" si="88"/>
        <v>0</v>
      </c>
      <c r="N205" s="12">
        <f t="shared" si="86"/>
        <v>0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.25" customHeight="1" outlineLevel="1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>
        <f t="shared" si="88"/>
        <v>0</v>
      </c>
      <c r="N206" s="12">
        <f t="shared" si="86"/>
        <v>0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.25" customHeight="1" outlineLevel="1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>
        <f t="shared" si="88"/>
        <v>0</v>
      </c>
      <c r="N207" s="12">
        <f t="shared" si="86"/>
        <v>0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.25" customHeight="1" outlineLevel="1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>
        <f t="shared" si="88"/>
        <v>0</v>
      </c>
      <c r="N208" s="12">
        <f t="shared" si="86"/>
        <v>0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.25" customHeight="1" outlineLevel="1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>
        <f t="shared" si="88"/>
        <v>0</v>
      </c>
      <c r="N209" s="12">
        <f t="shared" si="86"/>
        <v>0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.25" customHeight="1" outlineLevel="1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>
        <f t="shared" si="88"/>
        <v>0</v>
      </c>
      <c r="N210" s="12">
        <f t="shared" si="86"/>
        <v>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.25" customHeight="1" outlineLevel="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>
        <f t="shared" si="88"/>
        <v>0</v>
      </c>
      <c r="N211" s="12">
        <f t="shared" si="86"/>
        <v>0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.25" customHeight="1">
      <c r="A212" s="7" t="s">
        <v>182</v>
      </c>
      <c r="B212" s="10" t="str">
        <f t="shared" ref="B212:M212" si="89">B102</f>
        <v/>
      </c>
      <c r="C212" s="10" t="str">
        <f t="shared" si="89"/>
        <v/>
      </c>
      <c r="D212" s="10" t="str">
        <f t="shared" si="89"/>
        <v/>
      </c>
      <c r="E212" s="10" t="str">
        <f t="shared" si="89"/>
        <v/>
      </c>
      <c r="F212" s="10" t="str">
        <f t="shared" si="89"/>
        <v/>
      </c>
      <c r="G212" s="10" t="str">
        <f t="shared" si="89"/>
        <v/>
      </c>
      <c r="H212" s="10" t="str">
        <f t="shared" si="89"/>
        <v/>
      </c>
      <c r="I212" s="10" t="str">
        <f t="shared" si="89"/>
        <v/>
      </c>
      <c r="J212" s="10" t="str">
        <f t="shared" si="89"/>
        <v/>
      </c>
      <c r="K212" s="10" t="str">
        <f t="shared" si="89"/>
        <v/>
      </c>
      <c r="L212" s="10" t="str">
        <f t="shared" si="89"/>
        <v/>
      </c>
      <c r="M212" s="10" t="str">
        <f t="shared" si="89"/>
        <v/>
      </c>
      <c r="N212" s="10">
        <f t="shared" si="86"/>
        <v>0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.25" customHeight="1">
      <c r="A213" s="166" t="s">
        <v>403</v>
      </c>
      <c r="B213" s="159">
        <f t="shared" ref="B213:N213" si="90">B114+B133+B152+B156+B180+B196+B212</f>
        <v>0</v>
      </c>
      <c r="C213" s="159">
        <f t="shared" si="90"/>
        <v>0</v>
      </c>
      <c r="D213" s="159">
        <f t="shared" si="90"/>
        <v>0</v>
      </c>
      <c r="E213" s="159">
        <f t="shared" si="90"/>
        <v>0</v>
      </c>
      <c r="F213" s="159">
        <f t="shared" si="90"/>
        <v>0</v>
      </c>
      <c r="G213" s="159">
        <f t="shared" si="90"/>
        <v>0</v>
      </c>
      <c r="H213" s="159">
        <f t="shared" si="90"/>
        <v>0</v>
      </c>
      <c r="I213" s="159">
        <f t="shared" si="90"/>
        <v>0</v>
      </c>
      <c r="J213" s="159">
        <f t="shared" si="90"/>
        <v>0</v>
      </c>
      <c r="K213" s="159">
        <f t="shared" si="90"/>
        <v>0</v>
      </c>
      <c r="L213" s="159">
        <f t="shared" si="90"/>
        <v>0</v>
      </c>
      <c r="M213" s="159">
        <f t="shared" si="90"/>
        <v>0</v>
      </c>
      <c r="N213" s="159">
        <f t="shared" si="90"/>
        <v>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N1"/>
    <mergeCell ref="A111:N111"/>
  </mergeCells>
  <printOptions/>
  <pageMargins bottom="0.35433070866141736" footer="0.0" header="0.0" left="0.31496062992125984" right="0.31496062992125984" top="0.35433070866141736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4125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4" width="30.57"/>
  </cols>
  <sheetData>
    <row r="1" ht="15.0" customHeight="1">
      <c r="A1" s="257"/>
      <c r="B1" s="258"/>
      <c r="C1" s="258"/>
      <c r="D1" s="258"/>
    </row>
    <row r="2" ht="63.75" customHeight="1">
      <c r="A2" s="257"/>
      <c r="B2" s="258"/>
    </row>
    <row r="3" ht="11.25" customHeight="1">
      <c r="A3" s="259"/>
      <c r="B3" s="259"/>
    </row>
    <row r="4" ht="39.75" customHeight="1">
      <c r="A4" s="260"/>
      <c r="B4" s="261" t="s">
        <v>404</v>
      </c>
    </row>
    <row r="5" ht="15.0" customHeight="1">
      <c r="A5" s="262"/>
      <c r="B5" s="262"/>
    </row>
    <row r="6" ht="45.75" customHeight="1">
      <c r="A6" s="263"/>
      <c r="B6" s="264" t="s">
        <v>405</v>
      </c>
    </row>
    <row r="7" ht="18.0" customHeight="1">
      <c r="A7" s="265"/>
      <c r="B7" s="265"/>
    </row>
    <row r="8" ht="42.0" customHeight="1">
      <c r="A8" s="266"/>
      <c r="B8" s="267" t="s">
        <v>406</v>
      </c>
      <c r="C8" s="268"/>
      <c r="D8" s="269"/>
    </row>
    <row r="9" ht="48.75" customHeight="1">
      <c r="A9" s="257"/>
      <c r="B9" s="270" t="s">
        <v>407</v>
      </c>
      <c r="D9" s="271"/>
    </row>
    <row r="10" ht="31.5" customHeight="1">
      <c r="A10" s="272"/>
      <c r="B10" s="270" t="s">
        <v>408</v>
      </c>
      <c r="D10" s="271"/>
    </row>
    <row r="11" ht="31.5" customHeight="1">
      <c r="A11" s="272"/>
      <c r="B11" s="270" t="s">
        <v>409</v>
      </c>
      <c r="D11" s="271"/>
    </row>
    <row r="12" ht="31.5" customHeight="1">
      <c r="A12" s="272"/>
      <c r="B12" s="273" t="s">
        <v>410</v>
      </c>
      <c r="C12" s="274"/>
      <c r="D12" s="275"/>
    </row>
    <row r="13" ht="18.0" customHeight="1">
      <c r="A13" s="265"/>
      <c r="B13" s="265"/>
    </row>
    <row r="14" ht="48.0" customHeight="1">
      <c r="A14" s="276"/>
      <c r="B14" s="277" t="s">
        <v>411</v>
      </c>
      <c r="C14" s="268"/>
      <c r="D14" s="269"/>
    </row>
    <row r="15" ht="26.25" customHeight="1">
      <c r="A15" s="278"/>
      <c r="B15" s="279"/>
      <c r="C15" s="280"/>
      <c r="D15" s="281"/>
    </row>
    <row r="16" ht="5.25" customHeight="1">
      <c r="A16" s="282"/>
      <c r="B16" s="283"/>
      <c r="C16" s="282"/>
      <c r="D16" s="284"/>
    </row>
    <row r="17" ht="22.5" customHeight="1">
      <c r="A17" s="285"/>
      <c r="B17" s="286" t="s">
        <v>412</v>
      </c>
      <c r="C17" s="287" t="s">
        <v>413</v>
      </c>
      <c r="D17" s="288" t="s">
        <v>414</v>
      </c>
    </row>
    <row r="18" ht="22.5" customHeight="1">
      <c r="A18" s="282"/>
      <c r="B18" s="289"/>
      <c r="C18" s="290"/>
      <c r="D18" s="291"/>
    </row>
    <row r="19" ht="18.0" customHeight="1">
      <c r="A19" s="282"/>
      <c r="B19" s="282"/>
      <c r="C19" s="282"/>
      <c r="D19" s="282"/>
    </row>
    <row r="20" ht="42.0" customHeight="1">
      <c r="A20" s="276"/>
      <c r="B20" s="292" t="s">
        <v>415</v>
      </c>
      <c r="C20" s="293"/>
      <c r="D20" s="294"/>
    </row>
    <row r="21" ht="57.75" customHeight="1">
      <c r="A21" s="265"/>
      <c r="B21" s="295"/>
      <c r="C21" s="296"/>
      <c r="D21" s="297" t="s">
        <v>416</v>
      </c>
    </row>
    <row r="22" ht="18.0" customHeight="1">
      <c r="A22" s="265"/>
      <c r="B22" s="298"/>
      <c r="C22" s="298"/>
      <c r="D22" s="299"/>
    </row>
    <row r="23" ht="42.0" customHeight="1">
      <c r="A23" s="300"/>
      <c r="B23" s="301" t="s">
        <v>417</v>
      </c>
      <c r="C23" s="268"/>
      <c r="D23" s="269"/>
    </row>
    <row r="24" ht="36.0" customHeight="1">
      <c r="A24" s="265"/>
      <c r="B24" s="302" t="str">
        <f>HYPERLINK("mailto:hello@noboring-finance.ru","hello@noboring-finance.ru")</f>
        <v>hello@noboring-finance.ru</v>
      </c>
      <c r="C24" s="274"/>
      <c r="D24" s="303" t="s">
        <v>418</v>
      </c>
    </row>
    <row r="25" ht="18.0" customHeight="1">
      <c r="A25" s="265"/>
      <c r="B25" s="265"/>
      <c r="C25" s="265"/>
      <c r="D25" s="304"/>
    </row>
  </sheetData>
  <mergeCells count="17">
    <mergeCell ref="B2:D2"/>
    <mergeCell ref="B3:D3"/>
    <mergeCell ref="B4:D4"/>
    <mergeCell ref="B5:D5"/>
    <mergeCell ref="B6:D6"/>
    <mergeCell ref="B7:D7"/>
    <mergeCell ref="B8:D8"/>
    <mergeCell ref="B21:C21"/>
    <mergeCell ref="B23:D23"/>
    <mergeCell ref="B24:C24"/>
    <mergeCell ref="B9:D9"/>
    <mergeCell ref="B10:D10"/>
    <mergeCell ref="B11:D11"/>
    <mergeCell ref="B12:D12"/>
    <mergeCell ref="B13:D13"/>
    <mergeCell ref="B14:D14"/>
    <mergeCell ref="B20:D20"/>
  </mergeCells>
  <hyperlinks>
    <hyperlink r:id="rId1" ref="B6"/>
    <hyperlink r:id="rId2" ref="B9"/>
    <hyperlink r:id="rId3" ref="B10"/>
    <hyperlink r:id="rId4" ref="B11"/>
    <hyperlink r:id="rId5" ref="B12"/>
    <hyperlink r:id="rId6" ref="B17"/>
    <hyperlink r:id="rId7" ref="C17"/>
    <hyperlink r:id="rId8" ref="D17"/>
    <hyperlink r:id="rId9" ref="D21"/>
  </hyperlinks>
  <drawing r:id="rId10"/>
</worksheet>
</file>
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ламент" sheetId="1" r:id="rId4"/>
    <sheet state="visible" name="Статьи" sheetId="2" r:id="rId5"/>
    <sheet state="visible" name="1" sheetId="3" r:id="rId6"/>
    <sheet state="visible" name="2" sheetId="4" r:id="rId7"/>
    <sheet state="visible" name="3" sheetId="5" r:id="rId8"/>
    <sheet state="hidden" name="4" sheetId="6" r:id="rId9"/>
    <sheet state="hidden" name="5" sheetId="7" r:id="rId10"/>
    <sheet state="hidden" name="6" sheetId="8" r:id="rId11"/>
    <sheet state="hidden" name="7" sheetId="9" r:id="rId12"/>
    <sheet state="hidden" name="8" sheetId="10" r:id="rId13"/>
    <sheet state="hidden" name="9" sheetId="11" r:id="rId14"/>
    <sheet state="hidden" name="10" sheetId="12" r:id="rId15"/>
    <sheet state="hidden" name="11" sheetId="13" r:id="rId16"/>
    <sheet state="hidden" name="12" sheetId="14" r:id="rId17"/>
    <sheet state="visible" name="Факт" sheetId="15" r:id="rId18"/>
    <sheet state="visible" name="План" sheetId="16" r:id="rId19"/>
    <sheet state="visible" name="ФактПлан" sheetId="17" r:id="rId20"/>
    <sheet state="visible" name="Графики" sheetId="18" r:id="rId21"/>
    <sheet state="visible" name="Факт Анализ" sheetId="19" r:id="rId22"/>
    <sheet state="visible" name="Справочник" sheetId="20" r:id="rId23"/>
    <sheet state="visible" name="Направления" sheetId="21" r:id="rId24"/>
    <sheet state="visible" name="НФ" sheetId="22" r:id="rId25"/>
  </sheets>
  <definedNames>
    <definedName hidden="1" localSheetId="1" name="_xlnm._FilterDatabase">'Статьи'!$A$1:$N$45</definedName>
  </definedNames>
  <calcPr/>
</workbook>
</file>

<file path=xl/sharedStrings.xml><?xml version="1.0" encoding="utf-8"?>
<sst xmlns="http://schemas.openxmlformats.org/spreadsheetml/2006/main" count="839" uniqueCount="259">
  <si>
    <t>Название документа:</t>
  </si>
  <si>
    <t>План доходов и расходов</t>
  </si>
  <si>
    <t>Дата формирования регламента</t>
  </si>
  <si>
    <t>Цель документа:</t>
  </si>
  <si>
    <t>Запланировать цели компании по доходам и расходам на определенный период. Оценить точность планирования и выявить причины отклонений.</t>
  </si>
  <si>
    <t>Дата изменения</t>
  </si>
  <si>
    <t>Результат отчета:</t>
  </si>
  <si>
    <t>Точность планирования чистой прибыли 80%-120%</t>
  </si>
  <si>
    <t>Платформа ведения:</t>
  </si>
  <si>
    <t>Гугл-таблицы</t>
  </si>
  <si>
    <t>Ответственный за ведение и проверку документа:</t>
  </si>
  <si>
    <t>ФИО/ Перенести в чек-лист</t>
  </si>
  <si>
    <t>Должность</t>
  </si>
  <si>
    <t>Какую часть информации заполняют/ Перенести  в чек-лист</t>
  </si>
  <si>
    <t>Источник информации</t>
  </si>
  <si>
    <t>До какого срока должен быть заполнен документ за месяц/ Перенести дату в чек-лист</t>
  </si>
  <si>
    <t>За какой срок заполняется документ</t>
  </si>
  <si>
    <t>Комментарий</t>
  </si>
  <si>
    <t>1. Своевременный сбор отчета
2. Проверка актуальности внесенной информации
3. Проверка правильности формирования документа 
4. Резервное копирование документа</t>
  </si>
  <si>
    <t>Ответственные за заполнение документа:</t>
  </si>
  <si>
    <t>ФИО/При необходимости перенести в чек-лист</t>
  </si>
  <si>
    <t>Какую часть информации заполняют/При необходимости перенести в чек-лист</t>
  </si>
  <si>
    <t>До какого срока должен быть заполнен документ за месяц /При необходимости перенести в чек-лист</t>
  </si>
  <si>
    <t>Риски, которые могут сорвать сроки отчетности, и способы их решения</t>
  </si>
  <si>
    <t>Риск</t>
  </si>
  <si>
    <t>Выход из этого риска</t>
  </si>
  <si>
    <t>Ответственный за заполнение/ Ответственный за ведение документа уходит в отпуск</t>
  </si>
  <si>
    <t>Передача полномочий другому ответственному лицу (ФИО лица) на срок отпуска. / Срок сдачи отчетности переносится.</t>
  </si>
  <si>
    <t>Ответственный за заполнение/ Ответственный за ведение документа заболел</t>
  </si>
  <si>
    <t>Передача полномочий другому ответственному лицу (ФИО лица). / Срок сдачи отчетности переносится.</t>
  </si>
  <si>
    <t>Технический сбой</t>
  </si>
  <si>
    <t>Раз в месяц после презентации отчета создается резервное копирование отчетности в рабочее пространство клиента.</t>
  </si>
  <si>
    <t>Увольнение ответственного сотрудника</t>
  </si>
  <si>
    <t>Сотрудник должен передать документ в рабочем состоянии с актуальными данными, зафиксировать дату передачи.</t>
  </si>
  <si>
    <t>Нарушен срок заполнения отчета</t>
  </si>
  <si>
    <t>Информировать ответственных сотрудников о сроках заполнения отчета. Добиваться согласия ответственных лиц по срокам заполнения отчета.</t>
  </si>
  <si>
    <t>Правила работы  с документом</t>
  </si>
  <si>
    <t>Название листа</t>
  </si>
  <si>
    <t>Описание</t>
  </si>
  <si>
    <t>Вкладка: Справочник</t>
  </si>
  <si>
    <t xml:space="preserve">Заполняется в самом начале работы с документом. </t>
  </si>
  <si>
    <t>Столбец  А - Внести вид расходов</t>
  </si>
  <si>
    <t>Столбец  С - Внести блоки ОПиУ</t>
  </si>
  <si>
    <t>Столбец D  - Внести информацию по направлениям бизнеса</t>
  </si>
  <si>
    <t>Вкладка: Статьи</t>
  </si>
  <si>
    <t>Заполняется  в самом начале работы с документом</t>
  </si>
  <si>
    <t>Заполняется только при необходимости добавить статью по согласованию с ответственным за ведение документа</t>
  </si>
  <si>
    <t>Столбец А - Внести наименование статьи</t>
  </si>
  <si>
    <t>Столбец В - Внести тип/категорию  статьи</t>
  </si>
  <si>
    <t xml:space="preserve">Столбец С - Внести информацию об источниках информации </t>
  </si>
  <si>
    <t>Столбец D - Внести полное описание статьи</t>
  </si>
  <si>
    <t>Столбец F  и далее -  Внести отметку если статья относится к данному направлению</t>
  </si>
  <si>
    <t>ВАЖНО! При добавление статьи подробно расписывать структуру расходов или доходов, а также указать источник откуда берем информацию</t>
  </si>
  <si>
    <t>Вкладка:1,2,3,4,5,6,7,8,9,1,12</t>
  </si>
  <si>
    <t xml:space="preserve">Рабочий документ. 
Данные заносятся ежемесячно </t>
  </si>
  <si>
    <t>Столбец  B     -  Автоматически заполняются  блоки ОПиУ из вкладки Статьи</t>
  </si>
  <si>
    <t>Столбец  А     - Автоматически отображаются источники информации  статей</t>
  </si>
  <si>
    <t>Столбцы С-H - Внести информацию по фактическим расходам по направлениям</t>
  </si>
  <si>
    <t>Столбец  I      - Автоматически рассчитывается сумма по всем направлениям</t>
  </si>
  <si>
    <t>Столбцы J-O   - Внести информацию по плановым расходам по направлениям</t>
  </si>
  <si>
    <t>Столбец  P     - Автоматически рассчитывается сумма по всем направлениям</t>
  </si>
  <si>
    <t xml:space="preserve">Столбцы Q-S - Автоматически рассчитывается  отклонение от плана </t>
  </si>
  <si>
    <r>
      <rPr>
        <rFont val="&quot;Open Sans&quot;, Arial"/>
        <b/>
        <color rgb="FF980000"/>
      </rPr>
      <t>Важно! До 5 числа месяца следующего за отчетным:</t>
    </r>
    <r>
      <rPr>
        <rFont val="&quot;Open Sans&quot;, Arial"/>
        <b/>
        <color rgb="FF000000"/>
      </rPr>
      <t xml:space="preserve"> в столбцах "C", "D" (Факт) заносятся фактические данные за отчетный месяц  (например: до 5 февраля заполняем Факт за январь)</t>
    </r>
  </si>
  <si>
    <r>
      <rPr>
        <rFont val="&quot;Open Sans&quot;, Arial"/>
        <b/>
        <color rgb="FF980000"/>
      </rPr>
      <t>Важно! До 30 числа текущего месяца:</t>
    </r>
    <r>
      <rPr>
        <rFont val="&quot;Open Sans&quot;, Arial"/>
        <b/>
        <color rgb="FF000000"/>
      </rPr>
      <t xml:space="preserve"> в столбцах "N", "O" (План) заносятся плановые данные на следующий за отчетным месяц (например до 30 января заполняем план на февраль)</t>
    </r>
  </si>
  <si>
    <t>Вкладка: Факт</t>
  </si>
  <si>
    <t xml:space="preserve">Собирается автоматически! </t>
  </si>
  <si>
    <t>Вкладка: Факт Анализ</t>
  </si>
  <si>
    <t>Собирается автоматически!</t>
  </si>
  <si>
    <t>Вкладка: План</t>
  </si>
  <si>
    <t>Вкладка: Факт/План</t>
  </si>
  <si>
    <t>Вкладка: Графики</t>
  </si>
  <si>
    <t>Необходимые дополнительные инструменты:</t>
  </si>
  <si>
    <t>Наименование</t>
  </si>
  <si>
    <t>Внедрен/нет</t>
  </si>
  <si>
    <t>Ответственный за ведение и проверку</t>
  </si>
  <si>
    <t>Срок заполнения</t>
  </si>
  <si>
    <t>ОПиУ</t>
  </si>
  <si>
    <t>Реестр ознакомления</t>
  </si>
  <si>
    <t>ФИО</t>
  </si>
  <si>
    <t>Дата</t>
  </si>
  <si>
    <t>Наименование статьи</t>
  </si>
  <si>
    <t>Тип</t>
  </si>
  <si>
    <t>Описание статьи</t>
  </si>
  <si>
    <t>Проверка на распределение по направлениям только прямых расходов</t>
  </si>
  <si>
    <t>ООО "Некогда грустить"</t>
  </si>
  <si>
    <t>Выручка от аренды машиноместа</t>
  </si>
  <si>
    <t>Выручка</t>
  </si>
  <si>
    <t>1С сч 90.01 убрать НДС!</t>
  </si>
  <si>
    <t>Выручка за грузоперевозки</t>
  </si>
  <si>
    <t>Аренда, коммунальные услуги</t>
  </si>
  <si>
    <t>Административные</t>
  </si>
  <si>
    <t>1С</t>
  </si>
  <si>
    <t>Аутсорсинг и прочие услуги</t>
  </si>
  <si>
    <t>Зарплата производственного персонала</t>
  </si>
  <si>
    <t>Общепроизводственные</t>
  </si>
  <si>
    <t>Командировочные расходы</t>
  </si>
  <si>
    <t>Комиссии банка</t>
  </si>
  <si>
    <t>ДДС отчетного месяца. Без НДС!</t>
  </si>
  <si>
    <t>Комиссия топливных компаний</t>
  </si>
  <si>
    <t>Переменные</t>
  </si>
  <si>
    <t>Курсовые разницы</t>
  </si>
  <si>
    <t>Расходы ниже EBITDA</t>
  </si>
  <si>
    <t>Налог  на прибыль УСН 6%</t>
  </si>
  <si>
    <t>Налог на прибыль 20%</t>
  </si>
  <si>
    <t>Обучение сотрудников</t>
  </si>
  <si>
    <t>Подбор персонала</t>
  </si>
  <si>
    <t>Подписка на сайты по поиску клиентов</t>
  </si>
  <si>
    <t>Коммерческие</t>
  </si>
  <si>
    <t>Амортизация ОС</t>
  </si>
  <si>
    <t>отчет Учет ОС</t>
  </si>
  <si>
    <t>Поступления прочие</t>
  </si>
  <si>
    <t>Доходы ниже EBITDA</t>
  </si>
  <si>
    <t>Поступления страховые выплаты</t>
  </si>
  <si>
    <t>Почтовые расходы</t>
  </si>
  <si>
    <t>Представительские расходы</t>
  </si>
  <si>
    <t>Продажа ОС</t>
  </si>
  <si>
    <t>отчет Учета ОС Вкладка Свод строка 37</t>
  </si>
  <si>
    <t>Прочие поступления от фин. операций</t>
  </si>
  <si>
    <t>Прочие расходы</t>
  </si>
  <si>
    <t>Ремонт ОС</t>
  </si>
  <si>
    <t>Содержание офиса</t>
  </si>
  <si>
    <t>Таможенные расходы</t>
  </si>
  <si>
    <t xml:space="preserve">Топливо для грузовых авто </t>
  </si>
  <si>
    <t>Услуги связи + Интернет</t>
  </si>
  <si>
    <t>Штрафы</t>
  </si>
  <si>
    <t>Оплаты %  кредиты</t>
  </si>
  <si>
    <t>отчет Учет ФД</t>
  </si>
  <si>
    <t>ФАКТ</t>
  </si>
  <si>
    <t>План</t>
  </si>
  <si>
    <t>Отклонения</t>
  </si>
  <si>
    <t>Источники</t>
  </si>
  <si>
    <t>Итого</t>
  </si>
  <si>
    <t>факт-план, руб</t>
  </si>
  <si>
    <t>факт/план,   %</t>
  </si>
  <si>
    <t>Результат</t>
  </si>
  <si>
    <t>Производственные расходы</t>
  </si>
  <si>
    <t>Маржинальный доход</t>
  </si>
  <si>
    <t>Рентабельность по марже</t>
  </si>
  <si>
    <t>Валовая прибыль</t>
  </si>
  <si>
    <t>Рентабельность по валовой прибыли, %</t>
  </si>
  <si>
    <t>Косвенные расходы</t>
  </si>
  <si>
    <t>Косвенные производственные</t>
  </si>
  <si>
    <t>Операционная прибыль (EBITDA)</t>
  </si>
  <si>
    <t>Рентабельность по EBITDA</t>
  </si>
  <si>
    <t>Чистая прибыль</t>
  </si>
  <si>
    <t>Рентабельность по чистой прибыли, %</t>
  </si>
  <si>
    <t>"красавчик" когда выполнение плана по Выручке и ЧП 80-120%</t>
  </si>
  <si>
    <t>Точность планирования</t>
  </si>
  <si>
    <t>Отклонение, руб</t>
  </si>
  <si>
    <t>% выполнения</t>
  </si>
  <si>
    <t>по выручке</t>
  </si>
  <si>
    <t>по производственным расходам</t>
  </si>
  <si>
    <t>по косвенным расходам</t>
  </si>
  <si>
    <t>по чистой прибыли</t>
  </si>
  <si>
    <t>факт-план, EUR</t>
  </si>
  <si>
    <t>ВАЖНО! Проверять букву столбца "ИТОГО"</t>
  </si>
  <si>
    <t>Столбец "Итого"</t>
  </si>
  <si>
    <t>I</t>
  </si>
  <si>
    <t>2021 год</t>
  </si>
  <si>
    <t>Точка безубыточности</t>
  </si>
  <si>
    <t>за год</t>
  </si>
  <si>
    <t>Рентабельность по маржинальному доходу, %</t>
  </si>
  <si>
    <t>Рентабельность по валовому доходу, %</t>
  </si>
  <si>
    <t>Операционная прибыль</t>
  </si>
  <si>
    <t>Рентабельность по операционной прибыли, %</t>
  </si>
  <si>
    <t>ПЛАН</t>
  </si>
  <si>
    <t>P</t>
  </si>
  <si>
    <t xml:space="preserve"> %</t>
  </si>
  <si>
    <t>Динамика и соотношение расходов</t>
  </si>
  <si>
    <t>Динамика расходов</t>
  </si>
  <si>
    <t>Как менялись расходы от периода к периоду</t>
  </si>
  <si>
    <t>Динамика административных расходов по отношению к выручке</t>
  </si>
  <si>
    <t>Административные расходы по отношению 
к выручке</t>
  </si>
  <si>
    <t>Показывает какая доля расходов содержалась в выручке</t>
  </si>
  <si>
    <t>Зелёной и красной линиями отмечен целевой коридор</t>
  </si>
  <si>
    <t>Динамика коммерческих расходов по отношению к выручке</t>
  </si>
  <si>
    <t>Коммерческие расходы по отношению 
к выручке</t>
  </si>
  <si>
    <t>Динамика производственных расходов по отношению к выручке</t>
  </si>
  <si>
    <t>Производственные расходы по отношению 
к выручке</t>
  </si>
  <si>
    <t>Динамика выручки и чистой прибыли</t>
  </si>
  <si>
    <t>Показывает динамику выручки и чистой прибыли</t>
  </si>
  <si>
    <t>Позволяет оценить на сколько ровно управляется выручка и чистая прибыль</t>
  </si>
  <si>
    <t>Динамика маржинальности</t>
  </si>
  <si>
    <t>Показывает динамику изменения маржинальности</t>
  </si>
  <si>
    <t>Позволяет оценить насколько мы попадаем в наш целевой коридор или отстаём от него</t>
  </si>
  <si>
    <t>Также позволяет оценить в какие месяца были изменения в переменных расходах или наценке (смотрим на скачки графика)</t>
  </si>
  <si>
    <t>Динамика рентабельности по Валовой прибыли</t>
  </si>
  <si>
    <t>Показывает динамику изменения рентабельности по валовой прибыли</t>
  </si>
  <si>
    <t>Позволяет понять степень влияния общепроизводственных расходов и маржинального дохода на валовую прибыль</t>
  </si>
  <si>
    <t>Динамика рентабельности по Операционной прибыли</t>
  </si>
  <si>
    <t>Показывает динамику изменения рентабельности по Операционной прибыли</t>
  </si>
  <si>
    <t>Позволяет понять степень влияния валовой прибыли и косвенных расходов на уровень рентабельности</t>
  </si>
  <si>
    <t>Расходы</t>
  </si>
  <si>
    <t>Месяц</t>
  </si>
  <si>
    <t>Административные расходы</t>
  </si>
  <si>
    <t>Коммерческие расходы</t>
  </si>
  <si>
    <t>Прзв. расходы %</t>
  </si>
  <si>
    <t>Адм. расходы %</t>
  </si>
  <si>
    <t>Комм. расходы %</t>
  </si>
  <si>
    <t>Ниже EBITDA %</t>
  </si>
  <si>
    <t>Минимум адм. расходов</t>
  </si>
  <si>
    <t>Максимум адм. расходов</t>
  </si>
  <si>
    <t>Минимум комм. расходов</t>
  </si>
  <si>
    <t>Максимум комм. расходов</t>
  </si>
  <si>
    <t>Произв. расходы %</t>
  </si>
  <si>
    <t>Минимум Произв. расходов</t>
  </si>
  <si>
    <t>Максимум Произв. расходов</t>
  </si>
  <si>
    <t>Доходы</t>
  </si>
  <si>
    <t>Рентабельности</t>
  </si>
  <si>
    <t>Маржинальность</t>
  </si>
  <si>
    <t>Рентабельность по ВП</t>
  </si>
  <si>
    <t>Рентабельность по ОП</t>
  </si>
  <si>
    <t>Рентабельность по ЧП</t>
  </si>
  <si>
    <t>Маржинальность макс</t>
  </si>
  <si>
    <t>Маржинальность минимум</t>
  </si>
  <si>
    <t>Рентабельность по ВП MIN</t>
  </si>
  <si>
    <t>Рентабельность по ВП MAX</t>
  </si>
  <si>
    <t>Рентабельность по ОП (EBITDA)</t>
  </si>
  <si>
    <t>Рентабельность по ОП MIN</t>
  </si>
  <si>
    <t>Рентабельность по ОП MAX</t>
  </si>
  <si>
    <t>Рентабельность по ЧП MIN</t>
  </si>
  <si>
    <t>Рентабельность по ЧП MAX</t>
  </si>
  <si>
    <t>Виды расходов</t>
  </si>
  <si>
    <t>Блоки ОПиУ</t>
  </si>
  <si>
    <t>Направления бизнеса</t>
  </si>
  <si>
    <t>Переменные/общепроизводственные/косвенные</t>
  </si>
  <si>
    <t>ООО "Весело живем"</t>
  </si>
  <si>
    <t xml:space="preserve">Полный диапазон внутри месячного ОПИУ </t>
  </si>
  <si>
    <t>A:L</t>
  </si>
  <si>
    <t>Диапазон внутри месячного ОПИУ со списком статей</t>
  </si>
  <si>
    <t>B:B</t>
  </si>
  <si>
    <t>Диапазон внутри месячного ОПИУ где указаны направления</t>
  </si>
  <si>
    <t>A1:L1</t>
  </si>
  <si>
    <t>A1:L2</t>
  </si>
  <si>
    <t>A1:L3</t>
  </si>
  <si>
    <t>A1:L4</t>
  </si>
  <si>
    <t>A1:L5</t>
  </si>
  <si>
    <t>A1:L6</t>
  </si>
  <si>
    <t>A1:L7</t>
  </si>
  <si>
    <t>A1:L8</t>
  </si>
  <si>
    <t>A1:L9</t>
  </si>
  <si>
    <t>A1:L10</t>
  </si>
  <si>
    <t>A1:L11</t>
  </si>
  <si>
    <t>A1:L12</t>
  </si>
  <si>
    <t>Предоставляем финансового директора, который выстроит 
управленческий учет и возьмет процессы под контроль</t>
  </si>
  <si>
    <t>Инструкция по этому шаблону</t>
  </si>
  <si>
    <t>Наши продукты</t>
  </si>
  <si>
    <t>Бесплатная онлайн-встреча с финансовым директором для предпринимателей</t>
  </si>
  <si>
    <t>Финансовая модель</t>
  </si>
  <si>
    <t>Онлайн-практикум Финучет на маркетплейсах</t>
  </si>
  <si>
    <t>Финучет за 10 часов для предпринимателей</t>
  </si>
  <si>
    <t>Мы в соцсетях</t>
  </si>
  <si>
    <t>YouTube</t>
  </si>
  <si>
    <t>Телеграм</t>
  </si>
  <si>
    <t>Вконтакте</t>
  </si>
  <si>
    <t>Наша полезная Газета</t>
  </si>
  <si>
    <t>Газета</t>
  </si>
  <si>
    <t>На связи</t>
  </si>
  <si>
    <t>8 800 551-85-81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</si>
</sst>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0.0%"/>
  </numFmts>
  <fonts count="80">
    <font>
      <sz val="10.0"/>
      <color rgb="FF000000"/>
      <name val="Arial"/>
    </font>
    <font>
      <sz val="10.0"/>
      <name val="Open Sans"/>
    </font>
    <font>
      <b/>
      <sz val="10.0"/>
      <name val="Open Sans"/>
    </font>
    <font>
      <b/>
      <sz val="14.0"/>
      <name val="Open Sans"/>
    </font>
    <font/>
    <font>
      <sz val="10.0"/>
      <color rgb="FF000000"/>
      <name val="Open Sans"/>
    </font>
    <font>
      <name val="&quot;Open Sans&quot;"/>
    </font>
    <font>
      <b/>
      <u/>
      <sz val="10.0"/>
      <color rgb="FF1155CC"/>
      <name val="Open Sans"/>
    </font>
    <font>
      <b/>
      <name val="&quot;Open Sans&quot;"/>
    </font>
    <font>
      <color rgb="FF980000"/>
      <name val="&quot;Open Sans&quot;"/>
    </font>
    <font>
      <b/>
      <color rgb="FF980000"/>
      <name val="&quot;Open Sans&quot;"/>
    </font>
    <font>
      <b/>
      <color rgb="FF000000"/>
      <name val="&quot;Open Sans&quot;"/>
    </font>
    <font>
      <color rgb="FF000000"/>
      <name val="&quot;Open Sans&quot;"/>
    </font>
    <font>
      <b/>
      <color rgb="FF990000"/>
      <name val="&quot;Open Sans&quot;"/>
    </font>
    <font>
      <b/>
      <sz val="10.0"/>
      <color rgb="FF990000"/>
      <name val="Open Sans"/>
    </font>
    <font>
      <b/>
      <sz val="12.0"/>
      <name val="Rubik"/>
    </font>
    <font>
      <b/>
      <sz val="10.0"/>
      <name val="Rubik"/>
    </font>
    <font>
      <color rgb="FF000000"/>
      <name val="Open Sans"/>
    </font>
    <font>
      <name val="Open Sans"/>
    </font>
    <font>
      <b/>
      <name val="Open Sans"/>
    </font>
    <font>
      <b/>
      <sz val="11.0"/>
      <color rgb="FF000000"/>
      <name val="Arial"/>
    </font>
    <font>
      <b/>
      <sz val="11.0"/>
      <color rgb="FF000000"/>
      <name val="Open Sans"/>
    </font>
    <font>
      <b/>
      <sz val="11.0"/>
      <color rgb="FFFFE599"/>
      <name val="Open Sans"/>
    </font>
    <font>
      <b/>
      <color rgb="FFFFE599"/>
      <name val="Open Sans"/>
    </font>
    <font>
      <color rgb="FFFFE599"/>
      <name val="Open Sans"/>
    </font>
    <font>
      <b/>
      <color rgb="FF000000"/>
      <name val="Arial"/>
    </font>
    <font>
      <color rgb="FF000000"/>
      <name val="Arial"/>
    </font>
    <font>
      <b/>
      <sz val="11.0"/>
      <color rgb="FF434343"/>
      <name val="Open Sans"/>
    </font>
    <font>
      <sz val="11.0"/>
      <color rgb="FF434343"/>
      <name val="Open Sans"/>
    </font>
    <font>
      <b/>
      <color rgb="FF000000"/>
      <name val="Open Sans"/>
    </font>
    <font>
      <color rgb="FFFF0000"/>
      <name val="Open Sans"/>
    </font>
    <font>
      <sz val="11.0"/>
      <color rgb="FF000000"/>
      <name val="Open Sans"/>
    </font>
    <font>
      <sz val="11.0"/>
      <color rgb="FFFFFFFF"/>
      <name val="Open Sans"/>
    </font>
    <font>
      <color rgb="FFFFFFFF"/>
      <name val="Open Sans"/>
    </font>
    <font>
      <i/>
      <color rgb="FF000000"/>
      <name val="Open Sans"/>
    </font>
    <font>
      <i/>
      <name val="Open Sans"/>
    </font>
    <font>
      <sz val="9.0"/>
      <color rgb="FF000000"/>
      <name val="Open Sans"/>
    </font>
    <font>
      <sz val="9.0"/>
      <name val="Open Sans"/>
    </font>
    <font>
      <sz val="11.0"/>
      <color rgb="FF1155CC"/>
      <name val="Inconsolata"/>
    </font>
    <font>
      <name val="Arial"/>
    </font>
    <font>
      <b/>
      <sz val="11.0"/>
      <color rgb="FFCC0000"/>
      <name val="Arial"/>
    </font>
    <font>
      <b/>
      <i/>
      <name val="&quot;Open Sans&quot;"/>
    </font>
    <font>
      <i/>
      <name val="&quot;Open Sans&quot;"/>
    </font>
    <font>
      <b/>
      <color rgb="FFFF0000"/>
      <name val="Arial"/>
    </font>
    <font>
      <b/>
      <sz val="18.0"/>
      <color rgb="FFFF0000"/>
      <name val="Open Sans"/>
    </font>
    <font>
      <b/>
    </font>
    <font>
      <b/>
      <sz val="12.0"/>
      <name val="Open Sans"/>
    </font>
    <font>
      <b/>
      <sz val="11.0"/>
      <color rgb="FFFFE599"/>
      <name val="Rubik"/>
    </font>
    <font>
      <sz val="10.0"/>
      <color rgb="FF434343"/>
      <name val="Open Sans"/>
    </font>
    <font>
      <b/>
      <sz val="11.0"/>
      <color rgb="FF434343"/>
      <name val="Rubik"/>
    </font>
    <font>
      <b/>
      <name val="Rubik"/>
    </font>
    <font>
      <b/>
      <sz val="11.0"/>
      <color rgb="FFFFFFFF"/>
      <name val="Rubik"/>
    </font>
    <font>
      <sz val="11.0"/>
      <color rgb="FFFFFFFF"/>
      <name val="Rubik"/>
    </font>
    <font>
      <b/>
      <sz val="12.0"/>
      <color rgb="FFFF0000"/>
      <name val="Open Sans"/>
    </font>
    <font>
      <b/>
      <sz val="10.0"/>
      <color rgb="FF000000"/>
    </font>
    <font>
      <b/>
      <sz val="18.0"/>
      <name val="Rubik"/>
    </font>
    <font>
      <b/>
      <sz val="14.0"/>
      <name val="Rubik"/>
    </font>
    <font>
      <color rgb="FFD9D9D9"/>
    </font>
    <font>
      <color rgb="FFCCCCCC"/>
    </font>
    <font>
      <b/>
      <i/>
    </font>
    <font>
      <sz val="14.0"/>
      <color rgb="FF434343"/>
    </font>
    <font>
      <sz val="14.0"/>
      <name val="Source Sans Pro"/>
    </font>
    <font>
      <u/>
      <sz val="18.0"/>
      <color rgb="FF1155CC"/>
      <name val="Source Sans Pro"/>
    </font>
    <font>
      <u/>
      <sz val="18.0"/>
      <color rgb="FF0000FF"/>
      <name val="Source Sans Pro"/>
    </font>
    <font>
      <u/>
      <sz val="14.0"/>
      <color rgb="FF1155CC"/>
      <name val="Source Sans Pro"/>
    </font>
    <font>
      <sz val="14.0"/>
      <color rgb="FF000000"/>
      <name val="&quot;Source Sans Pro&quot;"/>
    </font>
    <font>
      <b/>
      <sz val="18.0"/>
      <color rgb="FF000000"/>
      <name val="Source Sans Pro"/>
    </font>
    <font>
      <u/>
      <sz val="14.0"/>
      <color rgb="FF1155CC"/>
      <name val="Source Sans Pro"/>
    </font>
    <font>
      <u/>
      <sz val="14.0"/>
      <color rgb="FF1155CC"/>
      <name val="Source Sans Pro"/>
    </font>
    <font>
      <u/>
      <sz val="14.0"/>
      <color rgb="FF1155CC"/>
      <name val="Source Sans Pro"/>
    </font>
    <font>
      <b/>
      <sz val="10.0"/>
      <name val="Source Sans Pro"/>
    </font>
    <font>
      <sz val="15.0"/>
      <color rgb="FF000000"/>
      <name val="Source Sans Pro"/>
    </font>
    <font>
      <u/>
      <sz val="15.0"/>
      <color rgb="FF0000FF"/>
      <name val="Source Sans Pro"/>
    </font>
    <font>
      <u/>
      <sz val="15.0"/>
      <color rgb="FF0000FF"/>
      <name val="Source Sans Pro"/>
    </font>
    <font>
      <u/>
      <sz val="15.0"/>
      <color rgb="FF0000FF"/>
      <name val="Source Sans Pro"/>
    </font>
    <font>
      <u/>
      <sz val="14.0"/>
      <color rgb="FF1155CC"/>
      <name val="Source Sans Pro"/>
    </font>
    <font>
      <u/>
      <sz val="14.0"/>
      <color rgb="FF0000FF"/>
      <name val="Source Sans Pro"/>
    </font>
    <font>
      <u/>
      <sz val="14.0"/>
      <color rgb="FF1155CC"/>
      <name val="Source Sans Pro"/>
    </font>
    <font>
      <u/>
      <sz val="14.0"/>
      <color rgb="FF1155CC"/>
      <name val="Source Sans Pro"/>
    </font>
    <font>
      <sz val="14.0"/>
      <color rgb="FF000000"/>
      <name val="Source Sans Pro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</fills>
  <borders count="5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999999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CC4125"/>
      </left>
      <right style="thin">
        <color rgb="FFFFE599"/>
      </right>
      <top style="thin">
        <color rgb="FFCC4125"/>
      </top>
      <bottom style="thin">
        <color rgb="FFFFE599"/>
      </bottom>
    </border>
    <border>
      <left style="thin">
        <color rgb="FFFFE599"/>
      </left>
      <right style="thin">
        <color rgb="FFFFE599"/>
      </right>
      <top style="thin">
        <color rgb="FFCC4125"/>
      </top>
      <bottom style="thin">
        <color rgb="FFFFE599"/>
      </bottom>
    </border>
    <border>
      <left style="thin">
        <color rgb="FFFFE599"/>
      </left>
      <right style="thin">
        <color rgb="FFCC4125"/>
      </right>
      <top style="thin">
        <color rgb="FFCC4125"/>
      </top>
      <bottom style="thin">
        <color rgb="FFFFE599"/>
      </bottom>
    </border>
    <border>
      <left style="thin">
        <color rgb="FFCC4125"/>
      </left>
      <right style="thin">
        <color rgb="FFFFE599"/>
      </right>
      <top style="thin">
        <color rgb="FFFFE599"/>
      </top>
      <bottom style="thin">
        <color rgb="FFFFE599"/>
      </bottom>
    </border>
    <border>
      <left style="thin">
        <color rgb="FFFFE599"/>
      </left>
      <right style="thin">
        <color rgb="FFFFE599"/>
      </right>
      <top style="thin">
        <color rgb="FFFFE599"/>
      </top>
      <bottom style="thin">
        <color rgb="FFFFE599"/>
      </bottom>
    </border>
    <border>
      <left style="thin">
        <color rgb="FFFFE599"/>
      </left>
      <right style="thin">
        <color rgb="FFCC4125"/>
      </right>
      <top style="thin">
        <color rgb="FFFFE599"/>
      </top>
      <bottom style="thin">
        <color rgb="FFFFE599"/>
      </bottom>
    </border>
    <border>
      <left style="thin">
        <color rgb="FFCC4125"/>
      </left>
      <right style="thin">
        <color rgb="FFFFE599"/>
      </right>
      <top style="thin">
        <color rgb="FFFFE599"/>
      </top>
      <bottom style="thin">
        <color rgb="FFCC4125"/>
      </bottom>
    </border>
    <border>
      <left style="thin">
        <color rgb="FFFFE599"/>
      </left>
      <right style="thin">
        <color rgb="FFFFE599"/>
      </right>
      <top style="thin">
        <color rgb="FFFFE599"/>
      </top>
      <bottom style="thin">
        <color rgb="FFCC4125"/>
      </bottom>
    </border>
    <border>
      <left style="thin">
        <color rgb="FFFFE599"/>
      </left>
      <right style="thin">
        <color rgb="FFCC4125"/>
      </right>
      <top style="thin">
        <color rgb="FFFFE599"/>
      </top>
      <bottom style="thin">
        <color rgb="FFCC4125"/>
      </bottom>
    </border>
    <border>
      <left style="thin">
        <color rgb="FFFFE599"/>
      </left>
      <top style="thin">
        <color rgb="FFFFE599"/>
      </top>
      <bottom style="thin">
        <color rgb="FFFFE599"/>
      </bottom>
    </border>
    <border>
      <top style="thin">
        <color rgb="FFFFE599"/>
      </top>
      <bottom style="thin">
        <color rgb="FFFFE599"/>
      </bottom>
    </border>
    <border>
      <right style="thin">
        <color rgb="FFFFE599"/>
      </right>
      <top style="thin">
        <color rgb="FFFFE599"/>
      </top>
      <bottom style="thin">
        <color rgb="FFFFE599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F3F3F3"/>
      </left>
      <top style="thin">
        <color rgb="FFF3F3F3"/>
      </top>
    </border>
    <border>
      <top style="thin">
        <color rgb="FFF3F3F3"/>
      </top>
    </border>
    <border>
      <right style="thin">
        <color rgb="FFF3F3F3"/>
      </right>
      <top style="thin">
        <color rgb="FFF3F3F3"/>
      </top>
    </border>
    <border>
      <left style="thin">
        <color rgb="FFF3F3F3"/>
      </left>
      <bottom style="thin">
        <color rgb="FFF3F3F3"/>
      </bottom>
    </border>
    <border>
      <bottom style="thin">
        <color rgb="FFF3F3F3"/>
      </bottom>
    </border>
    <border>
      <right style="thin">
        <color rgb="FFF3F3F3"/>
      </right>
      <bottom style="thin">
        <color rgb="FFF3F3F3"/>
      </bottom>
    </border>
  </borders>
  <cellStyleXfs count="1">
    <xf borderId="0" fillId="0" fontId="0" numFmtId="0" applyAlignment="1" applyFont="1"/>
  </cellStyleXfs>
  <cellXfs count="4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2" fillId="0" fontId="2" numFmtId="0" xfId="0" applyAlignment="1" applyBorder="1" applyFont="1">
      <alignment shrinkToFit="0" vertical="top" wrapText="1"/>
    </xf>
    <xf borderId="1" fillId="2" fontId="3" numFmtId="0" xfId="0" applyAlignment="1" applyBorder="1" applyFill="1" applyFont="1">
      <alignment readingOrder="0" vertical="top"/>
    </xf>
    <xf borderId="1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shrinkToFit="0" vertical="top" wrapText="1"/>
    </xf>
    <xf borderId="4" fillId="3" fontId="1" numFmtId="164" xfId="0" applyAlignment="1" applyBorder="1" applyFill="1" applyFont="1" applyNumberFormat="1">
      <alignment vertical="top"/>
    </xf>
    <xf borderId="1" fillId="2" fontId="5" numFmtId="0" xfId="0" applyAlignment="1" applyBorder="1" applyFont="1">
      <alignment readingOrder="0" shrinkToFit="0" vertical="top" wrapText="1"/>
    </xf>
    <xf borderId="0" fillId="2" fontId="1" numFmtId="0" xfId="0" applyAlignment="1" applyFont="1">
      <alignment vertical="top"/>
    </xf>
    <xf borderId="4" fillId="2" fontId="1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readingOrder="0" vertical="top"/>
    </xf>
    <xf borderId="1" fillId="2" fontId="1" numFmtId="0" xfId="0" applyAlignment="1" applyBorder="1" applyFont="1">
      <alignment readingOrder="0" vertical="top"/>
    </xf>
    <xf borderId="5" fillId="0" fontId="2" numFmtId="0" xfId="0" applyAlignment="1" applyBorder="1" applyFont="1">
      <alignment readingOrder="0" vertical="top"/>
    </xf>
    <xf borderId="5" fillId="0" fontId="4" numFmtId="0" xfId="0" applyBorder="1" applyFont="1"/>
    <xf borderId="2" fillId="4" fontId="1" numFmtId="0" xfId="0" applyAlignment="1" applyBorder="1" applyFill="1" applyFont="1">
      <alignment horizontal="center" readingOrder="0" shrinkToFit="0" vertical="top" wrapText="1"/>
    </xf>
    <xf borderId="3" fillId="4" fontId="1" numFmtId="0" xfId="0" applyAlignment="1" applyBorder="1" applyFont="1">
      <alignment horizontal="center" shrinkToFit="0" vertical="top" wrapText="1"/>
    </xf>
    <xf borderId="3" fillId="4" fontId="1" numFmtId="0" xfId="0" applyAlignment="1" applyBorder="1" applyFont="1">
      <alignment horizontal="center" readingOrder="0" shrinkToFit="0" vertical="top" wrapText="1"/>
    </xf>
    <xf borderId="2" fillId="3" fontId="1" numFmtId="0" xfId="0" applyAlignment="1" applyBorder="1" applyFont="1">
      <alignment shrinkToFit="0" vertical="top" wrapText="1"/>
    </xf>
    <xf borderId="3" fillId="3" fontId="1" numFmtId="0" xfId="0" applyAlignment="1" applyBorder="1" applyFont="1">
      <alignment shrinkToFit="0" vertical="top" wrapText="1"/>
    </xf>
    <xf borderId="3" fillId="2" fontId="1" numFmtId="0" xfId="0" applyAlignment="1" applyBorder="1" applyFont="1">
      <alignment readingOrder="0" shrinkToFit="0" vertical="top" wrapText="1"/>
    </xf>
    <xf borderId="3" fillId="0" fontId="1" numFmtId="0" xfId="0" applyAlignment="1" applyBorder="1" applyFont="1">
      <alignment shrinkToFit="0" vertical="top" wrapText="1"/>
    </xf>
    <xf borderId="4" fillId="3" fontId="1" numFmtId="0" xfId="0" applyAlignment="1" applyBorder="1" applyFont="1">
      <alignment shrinkToFit="0" vertical="top" wrapText="1"/>
    </xf>
    <xf borderId="4" fillId="3" fontId="1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top"/>
    </xf>
    <xf borderId="4" fillId="4" fontId="1" numFmtId="0" xfId="0" applyAlignment="1" applyBorder="1" applyFont="1">
      <alignment horizontal="center" readingOrder="0" shrinkToFit="0" vertical="top" wrapText="1"/>
    </xf>
    <xf borderId="4" fillId="4" fontId="1" numFmtId="0" xfId="0" applyAlignment="1" applyBorder="1" applyFont="1">
      <alignment horizontal="center" shrinkToFit="0" vertical="top" wrapText="1"/>
    </xf>
    <xf borderId="6" fillId="4" fontId="1" numFmtId="0" xfId="0" applyAlignment="1" applyBorder="1" applyFont="1">
      <alignment horizontal="center" shrinkToFit="0" vertical="top" wrapText="1"/>
    </xf>
    <xf borderId="4" fillId="3" fontId="1" numFmtId="0" xfId="0" applyAlignment="1" applyBorder="1" applyFont="1">
      <alignment vertical="top"/>
    </xf>
    <xf borderId="4" fillId="0" fontId="1" numFmtId="0" xfId="0" applyAlignment="1" applyBorder="1" applyFont="1">
      <alignment vertical="top"/>
    </xf>
    <xf borderId="7" fillId="0" fontId="2" numFmtId="0" xfId="0" applyAlignment="1" applyBorder="1" applyFont="1">
      <alignment shrinkToFit="0" vertical="top" wrapText="0"/>
    </xf>
    <xf borderId="7" fillId="0" fontId="1" numFmtId="0" xfId="0" applyAlignment="1" applyBorder="1" applyFont="1">
      <alignment vertical="top"/>
    </xf>
    <xf borderId="8" fillId="4" fontId="1" numFmtId="0" xfId="0" applyAlignment="1" applyBorder="1" applyFont="1">
      <alignment horizontal="center" shrinkToFit="0" vertical="top" wrapText="1"/>
    </xf>
    <xf borderId="6" fillId="0" fontId="4" numFmtId="0" xfId="0" applyBorder="1" applyFont="1"/>
    <xf borderId="9" fillId="0" fontId="4" numFmtId="0" xfId="0" applyBorder="1" applyFont="1"/>
    <xf borderId="8" fillId="0" fontId="5" numFmtId="0" xfId="0" applyAlignment="1" applyBorder="1" applyFont="1">
      <alignment readingOrder="0" shrinkToFit="0" vertical="top" wrapText="1"/>
    </xf>
    <xf borderId="8" fillId="0" fontId="1" numFmtId="0" xfId="0" applyAlignment="1" applyBorder="1" applyFont="1">
      <alignment readingOrder="0" vertical="top"/>
    </xf>
    <xf borderId="8" fillId="0" fontId="6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0"/>
    </xf>
    <xf borderId="0" fillId="0" fontId="7" numFmtId="0" xfId="0" applyAlignment="1" applyFont="1">
      <alignment readingOrder="0" shrinkToFit="0" vertical="top" wrapText="0"/>
    </xf>
    <xf borderId="7" fillId="0" fontId="4" numFmtId="0" xfId="0" applyBorder="1" applyFont="1"/>
    <xf borderId="10" fillId="4" fontId="1" numFmtId="0" xfId="0" applyAlignment="1" applyBorder="1" applyFont="1">
      <alignment horizontal="center" readingOrder="0" shrinkToFit="0" vertical="top" wrapText="1"/>
    </xf>
    <xf borderId="10" fillId="0" fontId="4" numFmtId="0" xfId="0" applyBorder="1" applyFont="1"/>
    <xf borderId="11" fillId="0" fontId="4" numFmtId="0" xfId="0" applyBorder="1" applyFont="1"/>
    <xf borderId="12" fillId="0" fontId="8" numFmtId="0" xfId="0" applyAlignment="1" applyBorder="1" applyFont="1">
      <alignment shrinkToFit="0" vertical="top" wrapText="1"/>
    </xf>
    <xf borderId="12" fillId="2" fontId="6" numFmtId="0" xfId="0" applyAlignment="1" applyBorder="1" applyFont="1">
      <alignment readingOrder="0" vertical="top"/>
    </xf>
    <xf borderId="13" fillId="0" fontId="4" numFmtId="0" xfId="0" applyBorder="1" applyFont="1"/>
    <xf borderId="13" fillId="2" fontId="6" numFmtId="0" xfId="0" applyAlignment="1" applyBorder="1" applyFont="1">
      <alignment readingOrder="0" vertical="top"/>
    </xf>
    <xf borderId="14" fillId="0" fontId="4" numFmtId="0" xfId="0" applyBorder="1" applyFont="1"/>
    <xf borderId="15" fillId="0" fontId="4" numFmtId="0" xfId="0" applyBorder="1" applyFont="1"/>
    <xf borderId="13" fillId="2" fontId="9" numFmtId="0" xfId="0" applyAlignment="1" applyBorder="1" applyFont="1">
      <alignment vertical="top"/>
    </xf>
    <xf borderId="0" fillId="2" fontId="8" numFmtId="0" xfId="0" applyAlignment="1" applyFont="1">
      <alignment readingOrder="0" shrinkToFit="0" vertical="top" wrapText="1"/>
    </xf>
    <xf borderId="15" fillId="2" fontId="10" numFmtId="0" xfId="0" applyAlignment="1" applyBorder="1" applyFont="1">
      <alignment readingOrder="0" vertical="top"/>
    </xf>
    <xf borderId="0" fillId="2" fontId="11" numFmtId="0" xfId="0" applyAlignment="1" applyFont="1">
      <alignment shrinkToFit="0" vertical="top" wrapText="1"/>
    </xf>
    <xf borderId="13" fillId="2" fontId="12" numFmtId="0" xfId="0" applyAlignment="1" applyBorder="1" applyFont="1">
      <alignment readingOrder="0" shrinkToFit="0" vertical="top" wrapText="1"/>
    </xf>
    <xf borderId="13" fillId="2" fontId="10" numFmtId="0" xfId="0" applyAlignment="1" applyBorder="1" applyFont="1">
      <alignment shrinkToFit="0" vertical="top" wrapText="1"/>
    </xf>
    <xf borderId="13" fillId="2" fontId="1" numFmtId="0" xfId="0" applyAlignment="1" applyBorder="1" applyFont="1">
      <alignment readingOrder="0" shrinkToFit="0" vertical="top" wrapText="1"/>
    </xf>
    <xf borderId="10" fillId="0" fontId="8" numFmtId="0" xfId="0" applyAlignment="1" applyBorder="1" applyFont="1">
      <alignment shrinkToFit="0" vertical="top" wrapText="1"/>
    </xf>
    <xf borderId="12" fillId="0" fontId="13" numFmtId="0" xfId="0" applyAlignment="1" applyBorder="1" applyFont="1">
      <alignment shrinkToFit="0" vertical="top" wrapText="1"/>
    </xf>
    <xf borderId="15" fillId="2" fontId="14" numFmtId="0" xfId="0" applyAlignment="1" applyBorder="1" applyFont="1">
      <alignment readingOrder="0" shrinkToFit="0" vertical="top" wrapText="1"/>
    </xf>
    <xf borderId="13" fillId="0" fontId="13" numFmtId="0" xfId="0" applyAlignment="1" applyBorder="1" applyFont="1">
      <alignment shrinkToFit="0" vertical="top" wrapText="1"/>
    </xf>
    <xf borderId="13" fillId="0" fontId="14" numFmtId="0" xfId="0" applyAlignment="1" applyBorder="1" applyFont="1">
      <alignment vertical="top"/>
    </xf>
    <xf borderId="15" fillId="2" fontId="14" numFmtId="0" xfId="0" applyAlignment="1" applyBorder="1" applyFont="1">
      <alignment shrinkToFit="0" vertical="top" wrapText="1"/>
    </xf>
    <xf borderId="13" fillId="0" fontId="13" numFmtId="0" xfId="0" applyAlignment="1" applyBorder="1" applyFont="1">
      <alignment shrinkToFit="0" vertical="top" wrapText="1"/>
    </xf>
    <xf borderId="13" fillId="2" fontId="14" numFmtId="0" xfId="0" applyAlignment="1" applyBorder="1" applyFont="1">
      <alignment shrinkToFit="0" vertical="top" wrapText="1"/>
    </xf>
    <xf borderId="15" fillId="2" fontId="1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vertical="top"/>
    </xf>
    <xf borderId="8" fillId="2" fontId="1" numFmtId="0" xfId="0" applyAlignment="1" applyBorder="1" applyFont="1">
      <alignment readingOrder="0" vertical="top"/>
    </xf>
    <xf borderId="8" fillId="2" fontId="1" numFmtId="0" xfId="0" applyAlignment="1" applyBorder="1" applyFont="1">
      <alignment vertical="top"/>
    </xf>
    <xf borderId="4" fillId="2" fontId="1" numFmtId="0" xfId="0" applyAlignment="1" applyBorder="1" applyFont="1">
      <alignment vertical="top"/>
    </xf>
    <xf borderId="8" fillId="3" fontId="1" numFmtId="0" xfId="0" applyAlignment="1" applyBorder="1" applyFont="1">
      <alignment vertical="top"/>
    </xf>
    <xf borderId="0" fillId="5" fontId="15" numFmtId="0" xfId="0" applyAlignment="1" applyFill="1" applyFont="1">
      <alignment readingOrder="0" shrinkToFit="0" vertical="center" wrapText="1"/>
    </xf>
    <xf borderId="13" fillId="5" fontId="16" numFmtId="0" xfId="0" applyAlignment="1" applyBorder="1" applyFont="1">
      <alignment horizontal="center" readingOrder="0" shrinkToFit="0" vertical="center" wrapText="1"/>
    </xf>
    <xf borderId="12" fillId="5" fontId="15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0" fillId="2" fontId="4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2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13" fillId="0" fontId="4" numFmtId="0" xfId="0" applyAlignment="1" applyBorder="1" applyFont="1">
      <alignment vertical="center"/>
    </xf>
    <xf borderId="0" fillId="5" fontId="17" numFmtId="0" xfId="0" applyAlignment="1" applyFont="1">
      <alignment horizontal="left" readingOrder="0" shrinkToFit="0" vertical="center" wrapText="1"/>
    </xf>
    <xf borderId="0" fillId="5" fontId="18" numFmtId="0" xfId="0" applyAlignment="1" applyFont="1">
      <alignment horizontal="left" readingOrder="0" shrinkToFit="0" vertical="center" wrapText="1"/>
    </xf>
    <xf borderId="16" fillId="4" fontId="19" numFmtId="4" xfId="0" applyAlignment="1" applyBorder="1" applyFont="1" applyNumberFormat="1">
      <alignment horizontal="center" readingOrder="0" shrinkToFit="0" vertical="center" wrapText="1"/>
    </xf>
    <xf borderId="17" fillId="0" fontId="4" numFmtId="0" xfId="0" applyBorder="1" applyFont="1"/>
    <xf borderId="18" fillId="0" fontId="4" numFmtId="0" xfId="0" applyBorder="1" applyFont="1"/>
    <xf borderId="16" fillId="6" fontId="19" numFmtId="4" xfId="0" applyAlignment="1" applyBorder="1" applyFill="1" applyFont="1" applyNumberFormat="1">
      <alignment horizontal="center" readingOrder="0" shrinkToFit="0" vertical="center" wrapText="1"/>
    </xf>
    <xf borderId="0" fillId="7" fontId="20" numFmtId="4" xfId="0" applyAlignment="1" applyFill="1" applyFont="1" applyNumberFormat="1">
      <alignment horizontal="center" vertical="center"/>
    </xf>
    <xf borderId="19" fillId="5" fontId="18" numFmtId="4" xfId="0" applyAlignment="1" applyBorder="1" applyFont="1" applyNumberFormat="1">
      <alignment horizontal="right" readingOrder="0" shrinkToFit="0" vertical="center" wrapText="1"/>
    </xf>
    <xf borderId="0" fillId="5" fontId="18" numFmtId="4" xfId="0" applyAlignment="1" applyFont="1" applyNumberFormat="1">
      <alignment horizontal="right" readingOrder="0" shrinkToFit="0" vertical="center" wrapText="1"/>
    </xf>
    <xf borderId="0" fillId="5" fontId="18" numFmtId="3" xfId="0" applyAlignment="1" applyFont="1" applyNumberFormat="1">
      <alignment horizontal="right" readingOrder="0" shrinkToFit="0" vertical="center" wrapText="1"/>
    </xf>
    <xf borderId="20" fillId="5" fontId="18" numFmtId="4" xfId="0" applyAlignment="1" applyBorder="1" applyFont="1" applyNumberFormat="1">
      <alignment horizontal="right" readingOrder="0" shrinkToFit="0" vertical="center" wrapText="1"/>
    </xf>
    <xf borderId="0" fillId="7" fontId="20" numFmtId="4" xfId="0" applyAlignment="1" applyFont="1" applyNumberFormat="1">
      <alignment readingOrder="0" shrinkToFit="0" vertical="center" wrapText="1"/>
    </xf>
    <xf borderId="0" fillId="7" fontId="20" numFmtId="10" xfId="0" applyAlignment="1" applyFont="1" applyNumberFormat="1">
      <alignment shrinkToFit="0" vertical="center" wrapText="1"/>
    </xf>
    <xf borderId="0" fillId="7" fontId="20" numFmtId="0" xfId="0" applyAlignment="1" applyFont="1">
      <alignment readingOrder="0" shrinkToFit="0" vertical="center" wrapText="1"/>
    </xf>
    <xf borderId="0" fillId="8" fontId="21" numFmtId="0" xfId="0" applyAlignment="1" applyFill="1" applyFont="1">
      <alignment horizontal="left" readingOrder="0" shrinkToFit="0" vertical="center" wrapText="1"/>
    </xf>
    <xf borderId="0" fillId="8" fontId="22" numFmtId="0" xfId="0" applyAlignment="1" applyFont="1">
      <alignment horizontal="left" readingOrder="0" shrinkToFit="0" vertical="center" wrapText="1"/>
    </xf>
    <xf borderId="19" fillId="8" fontId="23" numFmtId="4" xfId="0" applyAlignment="1" applyBorder="1" applyFont="1" applyNumberFormat="1">
      <alignment horizontal="right" shrinkToFit="0" vertical="center" wrapText="1"/>
    </xf>
    <xf borderId="0" fillId="8" fontId="23" numFmtId="4" xfId="0" applyAlignment="1" applyFont="1" applyNumberFormat="1">
      <alignment horizontal="right" shrinkToFit="0" vertical="center" wrapText="1"/>
    </xf>
    <xf borderId="20" fillId="8" fontId="24" numFmtId="4" xfId="0" applyAlignment="1" applyBorder="1" applyFont="1" applyNumberFormat="1">
      <alignment horizontal="right" shrinkToFit="0" vertical="center" wrapText="1"/>
    </xf>
    <xf borderId="20" fillId="8" fontId="23" numFmtId="4" xfId="0" applyAlignment="1" applyBorder="1" applyFont="1" applyNumberFormat="1">
      <alignment horizontal="right" shrinkToFit="0" vertical="center" wrapText="1"/>
    </xf>
    <xf borderId="0" fillId="8" fontId="23" numFmtId="10" xfId="0" applyAlignment="1" applyFont="1" applyNumberFormat="1">
      <alignment horizontal="right" shrinkToFit="0" vertical="center" wrapText="1"/>
    </xf>
    <xf borderId="0" fillId="8" fontId="25" numFmtId="10" xfId="0" applyAlignment="1" applyFont="1" applyNumberFormat="1">
      <alignment horizontal="right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1"/>
    </xf>
    <xf borderId="19" fillId="2" fontId="18" numFmtId="4" xfId="0" applyAlignment="1" applyBorder="1" applyFont="1" applyNumberFormat="1">
      <alignment horizontal="right" readingOrder="0" shrinkToFit="0" vertical="center" wrapText="1"/>
    </xf>
    <xf borderId="0" fillId="2" fontId="18" numFmtId="4" xfId="0" applyAlignment="1" applyFont="1" applyNumberFormat="1">
      <alignment horizontal="right" readingOrder="0" shrinkToFit="0" vertical="center" wrapText="1"/>
    </xf>
    <xf borderId="0" fillId="0" fontId="18" numFmtId="4" xfId="0" applyAlignment="1" applyFont="1" applyNumberFormat="1">
      <alignment horizontal="right" readingOrder="0" shrinkToFit="0" vertical="center" wrapText="1"/>
    </xf>
    <xf borderId="0" fillId="0" fontId="18" numFmtId="4" xfId="0" applyAlignment="1" applyFont="1" applyNumberFormat="1">
      <alignment horizontal="right" shrinkToFit="0" vertical="center" wrapText="1"/>
    </xf>
    <xf borderId="20" fillId="0" fontId="18" numFmtId="4" xfId="0" applyAlignment="1" applyBorder="1" applyFont="1" applyNumberFormat="1">
      <alignment horizontal="right" vertical="center"/>
    </xf>
    <xf borderId="19" fillId="0" fontId="18" numFmtId="4" xfId="0" applyAlignment="1" applyBorder="1" applyFont="1" applyNumberFormat="1">
      <alignment horizontal="right" readingOrder="0" vertical="center"/>
    </xf>
    <xf borderId="0" fillId="0" fontId="18" numFmtId="4" xfId="0" applyAlignment="1" applyFont="1" applyNumberFormat="1">
      <alignment horizontal="right" vertical="center"/>
    </xf>
    <xf borderId="0" fillId="7" fontId="26" numFmtId="4" xfId="0" applyAlignment="1" applyFont="1" applyNumberFormat="1">
      <alignment horizontal="right" shrinkToFit="0" vertical="center" wrapText="1"/>
    </xf>
    <xf borderId="0" fillId="7" fontId="26" numFmtId="10" xfId="0" applyAlignment="1" applyFont="1" applyNumberFormat="1">
      <alignment horizontal="right" shrinkToFit="0" vertical="center" wrapText="1"/>
    </xf>
    <xf borderId="0" fillId="2" fontId="26" numFmtId="10" xfId="0" applyAlignment="1" applyFont="1" applyNumberFormat="1">
      <alignment horizontal="right" shrinkToFit="0" vertical="center" wrapText="1"/>
    </xf>
    <xf borderId="19" fillId="0" fontId="18" numFmtId="4" xfId="0" applyAlignment="1" applyBorder="1" applyFont="1" applyNumberFormat="1">
      <alignment horizontal="right" readingOrder="0" shrinkToFit="0" vertical="center" wrapText="1"/>
    </xf>
    <xf borderId="19" fillId="0" fontId="18" numFmtId="4" xfId="0" applyAlignment="1" applyBorder="1" applyFont="1" applyNumberFormat="1">
      <alignment horizontal="right" vertical="center"/>
    </xf>
    <xf borderId="19" fillId="0" fontId="18" numFmtId="4" xfId="0" applyAlignment="1" applyBorder="1" applyFont="1" applyNumberFormat="1">
      <alignment horizontal="right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3" fontId="21" numFmtId="0" xfId="0" applyAlignment="1" applyFont="1">
      <alignment horizontal="left" shrinkToFit="0" vertical="center" wrapText="1"/>
    </xf>
    <xf borderId="0" fillId="3" fontId="27" numFmtId="0" xfId="0" applyAlignment="1" applyFont="1">
      <alignment horizontal="left" readingOrder="0" shrinkToFit="0" vertical="center" wrapText="1"/>
    </xf>
    <xf borderId="19" fillId="3" fontId="27" numFmtId="4" xfId="0" applyAlignment="1" applyBorder="1" applyFont="1" applyNumberFormat="1">
      <alignment horizontal="right" shrinkToFit="0" vertical="center" wrapText="1"/>
    </xf>
    <xf borderId="0" fillId="3" fontId="27" numFmtId="4" xfId="0" applyAlignment="1" applyFont="1" applyNumberFormat="1">
      <alignment horizontal="right" shrinkToFit="0" vertical="center" wrapText="1"/>
    </xf>
    <xf borderId="20" fillId="3" fontId="28" numFmtId="4" xfId="0" applyAlignment="1" applyBorder="1" applyFont="1" applyNumberFormat="1">
      <alignment horizontal="right" shrinkToFit="0" vertical="center" wrapText="1"/>
    </xf>
    <xf borderId="20" fillId="3" fontId="27" numFmtId="4" xfId="0" applyAlignment="1" applyBorder="1" applyFont="1" applyNumberFormat="1">
      <alignment horizontal="right" shrinkToFit="0" vertical="center" wrapText="1"/>
    </xf>
    <xf borderId="0" fillId="3" fontId="26" numFmtId="4" xfId="0" applyAlignment="1" applyFont="1" applyNumberFormat="1">
      <alignment horizontal="right" shrinkToFit="0" vertical="center" wrapText="1"/>
    </xf>
    <xf borderId="0" fillId="3" fontId="26" numFmtId="10" xfId="0" applyAlignment="1" applyFont="1" applyNumberFormat="1">
      <alignment horizontal="right" shrinkToFit="0" vertical="center" wrapText="1"/>
    </xf>
    <xf borderId="0" fillId="3" fontId="25" numFmtId="10" xfId="0" applyAlignment="1" applyFont="1" applyNumberFormat="1">
      <alignment horizontal="right" shrinkToFit="0" vertical="center" wrapText="1"/>
    </xf>
    <xf borderId="0" fillId="9" fontId="29" numFmtId="0" xfId="0" applyAlignment="1" applyFill="1" applyFont="1">
      <alignment horizontal="left" readingOrder="0" shrinkToFit="0" vertical="center" wrapText="1"/>
    </xf>
    <xf borderId="0" fillId="9" fontId="19" numFmtId="0" xfId="0" applyAlignment="1" applyFont="1">
      <alignment horizontal="left" readingOrder="0" shrinkToFit="0" vertical="center" wrapText="1"/>
    </xf>
    <xf borderId="19" fillId="9" fontId="19" numFmtId="4" xfId="0" applyAlignment="1" applyBorder="1" applyFont="1" applyNumberFormat="1">
      <alignment horizontal="right" shrinkToFit="0" vertical="center" wrapText="1"/>
    </xf>
    <xf borderId="0" fillId="9" fontId="19" numFmtId="4" xfId="0" applyAlignment="1" applyFont="1" applyNumberFormat="1">
      <alignment horizontal="right" shrinkToFit="0" vertical="center" wrapText="1"/>
    </xf>
    <xf borderId="20" fillId="9" fontId="18" numFmtId="4" xfId="0" applyAlignment="1" applyBorder="1" applyFont="1" applyNumberFormat="1">
      <alignment horizontal="right" shrinkToFit="0" vertical="center" wrapText="1"/>
    </xf>
    <xf borderId="20" fillId="9" fontId="19" numFmtId="4" xfId="0" applyAlignment="1" applyBorder="1" applyFont="1" applyNumberFormat="1">
      <alignment horizontal="right" shrinkToFit="0" vertical="center" wrapText="1"/>
    </xf>
    <xf borderId="0" fillId="9" fontId="25" numFmtId="10" xfId="0" applyAlignment="1" applyFont="1" applyNumberFormat="1">
      <alignment horizontal="right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30" numFmtId="4" xfId="0" applyAlignment="1" applyFont="1" applyNumberFormat="1">
      <alignment horizontal="right" readingOrder="0" shrinkToFit="0" vertical="center" wrapText="1"/>
    </xf>
    <xf borderId="0" fillId="0" fontId="18" numFmtId="0" xfId="0" applyAlignment="1" applyFont="1">
      <alignment horizontal="left" shrinkToFit="0" vertical="center" wrapText="1"/>
    </xf>
    <xf borderId="19" fillId="2" fontId="31" numFmtId="4" xfId="0" applyAlignment="1" applyBorder="1" applyFont="1" applyNumberFormat="1">
      <alignment horizontal="right" readingOrder="0" vertical="center"/>
    </xf>
    <xf borderId="0" fillId="2" fontId="31" numFmtId="4" xfId="0" applyAlignment="1" applyFont="1" applyNumberFormat="1">
      <alignment horizontal="right" vertical="center"/>
    </xf>
    <xf borderId="0" fillId="0" fontId="17" numFmtId="0" xfId="0" applyAlignment="1" applyFont="1">
      <alignment horizontal="left" shrinkToFit="0" vertical="center" wrapText="1"/>
    </xf>
    <xf borderId="19" fillId="2" fontId="31" numFmtId="4" xfId="0" applyAlignment="1" applyBorder="1" applyFont="1" applyNumberFormat="1">
      <alignment horizontal="right" vertical="center"/>
    </xf>
    <xf borderId="0" fillId="0" fontId="17" numFmtId="4" xfId="0" applyAlignment="1" applyFont="1" applyNumberFormat="1">
      <alignment horizontal="right" readingOrder="0" shrinkToFit="0" vertical="center" wrapText="1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10" fontId="31" numFmtId="0" xfId="0" applyAlignment="1" applyFill="1" applyFont="1">
      <alignment horizontal="left" readingOrder="0" shrinkToFit="0" vertical="center" wrapText="1"/>
    </xf>
    <xf borderId="0" fillId="10" fontId="32" numFmtId="0" xfId="0" applyAlignment="1" applyFont="1">
      <alignment horizontal="left" readingOrder="0" shrinkToFit="0" vertical="center" wrapText="1"/>
    </xf>
    <xf borderId="19" fillId="10" fontId="33" numFmtId="4" xfId="0" applyAlignment="1" applyBorder="1" applyFont="1" applyNumberFormat="1">
      <alignment horizontal="right" shrinkToFit="0" vertical="center" wrapText="1"/>
    </xf>
    <xf borderId="0" fillId="10" fontId="33" numFmtId="4" xfId="0" applyAlignment="1" applyFont="1" applyNumberFormat="1">
      <alignment horizontal="right" shrinkToFit="0" vertical="center" wrapText="1"/>
    </xf>
    <xf borderId="0" fillId="10" fontId="33" numFmtId="4" xfId="0" applyAlignment="1" applyFont="1" applyNumberFormat="1">
      <alignment horizontal="right" readingOrder="0" shrinkToFit="0" vertical="center" wrapText="1"/>
    </xf>
    <xf borderId="20" fillId="10" fontId="33" numFmtId="4" xfId="0" applyAlignment="1" applyBorder="1" applyFont="1" applyNumberFormat="1">
      <alignment horizontal="right" shrinkToFit="0" vertical="center" wrapText="1"/>
    </xf>
    <xf borderId="0" fillId="10" fontId="33" numFmtId="10" xfId="0" applyAlignment="1" applyFont="1" applyNumberFormat="1">
      <alignment horizontal="right" shrinkToFit="0" vertical="center" wrapText="1"/>
    </xf>
    <xf borderId="0" fillId="10" fontId="25" numFmtId="10" xfId="0" applyAlignment="1" applyFont="1" applyNumberFormat="1">
      <alignment horizontal="right" shrinkToFit="0" vertical="center" wrapText="1"/>
    </xf>
    <xf borderId="0" fillId="0" fontId="34" numFmtId="10" xfId="0" applyAlignment="1" applyFont="1" applyNumberFormat="1">
      <alignment horizontal="left" readingOrder="0" shrinkToFit="0" vertical="center" wrapText="1"/>
    </xf>
    <xf borderId="0" fillId="0" fontId="35" numFmtId="10" xfId="0" applyAlignment="1" applyFont="1" applyNumberFormat="1">
      <alignment horizontal="left" readingOrder="0" shrinkToFit="0" vertical="center" wrapText="1"/>
    </xf>
    <xf borderId="19" fillId="0" fontId="35" numFmtId="10" xfId="0" applyAlignment="1" applyBorder="1" applyFont="1" applyNumberFormat="1">
      <alignment horizontal="right" readingOrder="0" shrinkToFit="0" vertical="center" wrapText="1"/>
    </xf>
    <xf borderId="0" fillId="0" fontId="35" numFmtId="10" xfId="0" applyAlignment="1" applyFont="1" applyNumberFormat="1">
      <alignment horizontal="right" readingOrder="0" shrinkToFit="0" vertical="center" wrapText="1"/>
    </xf>
    <xf borderId="20" fillId="0" fontId="35" numFmtId="10" xfId="0" applyAlignment="1" applyBorder="1" applyFont="1" applyNumberFormat="1">
      <alignment horizontal="right" readingOrder="0" shrinkToFit="0" vertical="center" wrapText="1"/>
    </xf>
    <xf borderId="19" fillId="9" fontId="19" numFmtId="4" xfId="0" applyAlignment="1" applyBorder="1" applyFont="1" applyNumberFormat="1">
      <alignment horizontal="right" readingOrder="0" shrinkToFit="0" vertical="center" wrapText="1"/>
    </xf>
    <xf borderId="0" fillId="9" fontId="19" numFmtId="4" xfId="0" applyAlignment="1" applyFont="1" applyNumberFormat="1">
      <alignment horizontal="right" readingOrder="0" shrinkToFit="0" vertical="center" wrapText="1"/>
    </xf>
    <xf borderId="20" fillId="9" fontId="18" numFmtId="4" xfId="0" applyAlignment="1" applyBorder="1" applyFont="1" applyNumberFormat="1">
      <alignment horizontal="right" readingOrder="0" shrinkToFit="0" vertical="center" wrapText="1"/>
    </xf>
    <xf borderId="20" fillId="9" fontId="19" numFmtId="4" xfId="0" applyAlignment="1" applyBorder="1" applyFont="1" applyNumberFormat="1">
      <alignment horizontal="right" readingOrder="0" shrinkToFit="0" vertical="center" wrapText="1"/>
    </xf>
    <xf borderId="0" fillId="9" fontId="19" numFmtId="10" xfId="0" applyAlignment="1" applyFont="1" applyNumberFormat="1">
      <alignment horizontal="right" readingOrder="0" shrinkToFit="0" vertical="center" wrapText="1"/>
    </xf>
    <xf borderId="19" fillId="0" fontId="17" numFmtId="4" xfId="0" applyAlignment="1" applyBorder="1" applyFont="1" applyNumberFormat="1">
      <alignment horizontal="right" readingOrder="0" shrinkToFit="0" vertical="center" wrapText="1"/>
    </xf>
    <xf borderId="19" fillId="2" fontId="17" numFmtId="4" xfId="0" applyAlignment="1" applyBorder="1" applyFont="1" applyNumberFormat="1">
      <alignment horizontal="right" readingOrder="0" shrinkToFit="0" vertical="center" wrapText="1"/>
    </xf>
    <xf borderId="0" fillId="2" fontId="17" numFmtId="4" xfId="0" applyAlignment="1" applyFont="1" applyNumberFormat="1">
      <alignment horizontal="right" readingOrder="0" shrinkToFit="0" vertical="center" wrapText="1"/>
    </xf>
    <xf borderId="19" fillId="0" fontId="30" numFmtId="4" xfId="0" applyAlignment="1" applyBorder="1" applyFont="1" applyNumberFormat="1">
      <alignment horizontal="right" readingOrder="0" shrinkToFit="0" vertical="center" wrapText="1"/>
    </xf>
    <xf borderId="0" fillId="0" fontId="30" numFmtId="4" xfId="0" applyAlignment="1" applyFont="1" applyNumberFormat="1">
      <alignment horizontal="right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11" fontId="25" numFmtId="10" xfId="0" applyAlignment="1" applyFill="1" applyFont="1" applyNumberFormat="1">
      <alignment horizontal="right" shrinkToFit="0" vertical="center" wrapText="1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2" fontId="26" numFmtId="4" xfId="0" applyAlignment="1" applyFont="1" applyNumberFormat="1">
      <alignment horizontal="right" shrinkToFit="0" vertical="center" wrapText="1"/>
    </xf>
    <xf borderId="0" fillId="3" fontId="21" numFmtId="0" xfId="0" applyAlignment="1" applyFont="1">
      <alignment horizontal="left" readingOrder="0" shrinkToFit="0" vertical="center" wrapText="1"/>
    </xf>
    <xf borderId="19" fillId="3" fontId="27" numFmtId="4" xfId="0" applyAlignment="1" applyBorder="1" applyFont="1" applyNumberFormat="1">
      <alignment horizontal="right" readingOrder="0" shrinkToFit="0" vertical="center" wrapText="1"/>
    </xf>
    <xf borderId="0" fillId="3" fontId="27" numFmtId="4" xfId="0" applyAlignment="1" applyFont="1" applyNumberFormat="1">
      <alignment horizontal="right" readingOrder="0" shrinkToFit="0" vertical="center" wrapText="1"/>
    </xf>
    <xf borderId="20" fillId="3" fontId="28" numFmtId="4" xfId="0" applyAlignment="1" applyBorder="1" applyFont="1" applyNumberFormat="1">
      <alignment horizontal="right" readingOrder="0" shrinkToFit="0" vertical="center" wrapText="1"/>
    </xf>
    <xf borderId="20" fillId="3" fontId="27" numFmtId="4" xfId="0" applyAlignment="1" applyBorder="1" applyFont="1" applyNumberFormat="1">
      <alignment horizontal="right" readingOrder="0" shrinkToFit="0" vertical="center" wrapText="1"/>
    </xf>
    <xf borderId="0" fillId="3" fontId="27" numFmtId="10" xfId="0" applyAlignment="1" applyFont="1" applyNumberFormat="1">
      <alignment horizontal="right" readingOrder="0" shrinkToFit="0" vertical="center" wrapText="1"/>
    </xf>
    <xf borderId="0" fillId="9" fontId="19" numFmtId="10" xfId="0" applyAlignment="1" applyFont="1" applyNumberFormat="1">
      <alignment horizontal="right" shrinkToFit="0" vertical="center" wrapText="1"/>
    </xf>
    <xf borderId="20" fillId="0" fontId="17" numFmtId="4" xfId="0" applyAlignment="1" applyBorder="1" applyFont="1" applyNumberFormat="1">
      <alignment horizontal="right" readingOrder="0" shrinkToFit="0" vertical="center" wrapText="1"/>
    </xf>
    <xf borderId="19" fillId="0" fontId="17" numFmtId="4" xfId="0" applyAlignment="1" applyBorder="1" applyFont="1" applyNumberFormat="1">
      <alignment horizontal="right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0" fillId="0" fontId="36" numFmtId="0" xfId="0" applyAlignment="1" applyFont="1">
      <alignment readingOrder="0" vertical="center"/>
    </xf>
    <xf borderId="0" fillId="0" fontId="37" numFmtId="0" xfId="0" applyAlignment="1" applyFont="1">
      <alignment readingOrder="0" vertical="center"/>
    </xf>
    <xf borderId="0" fillId="0" fontId="36" numFmtId="0" xfId="0" applyAlignment="1" applyFont="1">
      <alignment vertical="center"/>
    </xf>
    <xf borderId="0" fillId="0" fontId="37" numFmtId="0" xfId="0" applyAlignment="1" applyFont="1">
      <alignment vertical="center"/>
    </xf>
    <xf borderId="0" fillId="0" fontId="36" numFmtId="4" xfId="0" applyAlignment="1" applyFont="1" applyNumberFormat="1">
      <alignment readingOrder="0" shrinkToFit="0" vertical="center" wrapText="1"/>
    </xf>
    <xf borderId="0" fillId="0" fontId="37" numFmtId="4" xfId="0" applyAlignment="1" applyFont="1" applyNumberFormat="1">
      <alignment readingOrder="0" shrinkToFit="0" vertical="center" wrapText="1"/>
    </xf>
    <xf borderId="19" fillId="0" fontId="38" numFmtId="4" xfId="0" applyAlignment="1" applyBorder="1" applyFont="1" applyNumberFormat="1">
      <alignment vertical="center"/>
    </xf>
    <xf borderId="0" fillId="12" fontId="17" numFmtId="4" xfId="0" applyAlignment="1" applyFill="1" applyFont="1" applyNumberFormat="1">
      <alignment horizontal="right" readingOrder="0" shrinkToFit="0" vertical="center" wrapText="1"/>
    </xf>
    <xf borderId="19" fillId="0" fontId="17" numFmtId="4" xfId="0" applyAlignment="1" applyBorder="1" applyFont="1" applyNumberFormat="1">
      <alignment horizontal="right" readingOrder="0" vertical="center"/>
    </xf>
    <xf borderId="0" fillId="0" fontId="17" numFmtId="4" xfId="0" applyAlignment="1" applyFont="1" applyNumberFormat="1">
      <alignment horizontal="right" readingOrder="0" vertical="center"/>
    </xf>
    <xf borderId="0" fillId="6" fontId="26" numFmtId="0" xfId="0" applyAlignment="1" applyFont="1">
      <alignment vertical="center"/>
    </xf>
    <xf borderId="0" fillId="6" fontId="39" numFmtId="0" xfId="0" applyAlignment="1" applyFont="1">
      <alignment readingOrder="0" vertical="center"/>
    </xf>
    <xf borderId="19" fillId="6" fontId="18" numFmtId="4" xfId="0" applyAlignment="1" applyBorder="1" applyFont="1" applyNumberFormat="1">
      <alignment horizontal="right" shrinkToFit="0" vertical="center" wrapText="1"/>
    </xf>
    <xf borderId="0" fillId="6" fontId="18" numFmtId="4" xfId="0" applyAlignment="1" applyFont="1" applyNumberFormat="1">
      <alignment horizontal="right" shrinkToFit="0" vertical="center" wrapText="1"/>
    </xf>
    <xf borderId="20" fillId="6" fontId="18" numFmtId="4" xfId="0" applyAlignment="1" applyBorder="1" applyFont="1" applyNumberFormat="1">
      <alignment horizontal="right" shrinkToFit="0" vertical="center" wrapText="1"/>
    </xf>
    <xf borderId="19" fillId="6" fontId="18" numFmtId="4" xfId="0" applyAlignment="1" applyBorder="1" applyFont="1" applyNumberFormat="1">
      <alignment horizontal="right" readingOrder="0" shrinkToFit="0" vertical="center" wrapText="1"/>
    </xf>
    <xf borderId="0" fillId="6" fontId="18" numFmtId="4" xfId="0" applyAlignment="1" applyFont="1" applyNumberFormat="1">
      <alignment horizontal="right" readingOrder="0" shrinkToFit="0" vertical="center" wrapText="1"/>
    </xf>
    <xf borderId="20" fillId="6" fontId="18" numFmtId="4" xfId="0" applyAlignment="1" applyBorder="1" applyFont="1" applyNumberFormat="1">
      <alignment horizontal="right" readingOrder="0" shrinkToFit="0" vertical="center" wrapText="1"/>
    </xf>
    <xf borderId="0" fillId="6" fontId="18" numFmtId="10" xfId="0" applyAlignment="1" applyFont="1" applyNumberFormat="1">
      <alignment horizontal="right" shrinkToFit="0" vertical="center" wrapText="1"/>
    </xf>
    <xf borderId="0" fillId="6" fontId="25" numFmtId="10" xfId="0" applyAlignment="1" applyFont="1" applyNumberFormat="1">
      <alignment horizontal="right" shrinkToFit="0" vertical="center" wrapText="1"/>
    </xf>
    <xf borderId="20" fillId="0" fontId="18" numFmtId="4" xfId="0" applyAlignment="1" applyBorder="1" applyFont="1" applyNumberFormat="1">
      <alignment horizontal="right" readingOrder="0" shrinkToFit="0" vertical="center" wrapText="1"/>
    </xf>
    <xf borderId="0" fillId="6" fontId="17" numFmtId="0" xfId="0" applyAlignment="1" applyFont="1">
      <alignment horizontal="left" readingOrder="0" shrinkToFit="0" vertical="center" wrapText="1"/>
    </xf>
    <xf borderId="0" fillId="6" fontId="18" numFmtId="0" xfId="0" applyAlignment="1" applyFont="1">
      <alignment horizontal="left" readingOrder="0" shrinkToFit="0" vertical="center" wrapText="1"/>
    </xf>
    <xf borderId="0" fillId="6" fontId="18" numFmtId="10" xfId="0" applyAlignment="1" applyFont="1" applyNumberFormat="1">
      <alignment horizontal="right" readingOrder="0" shrinkToFit="0" vertical="center" wrapText="1"/>
    </xf>
    <xf borderId="19" fillId="2" fontId="17" numFmtId="3" xfId="0" applyAlignment="1" applyBorder="1" applyFont="1" applyNumberFormat="1">
      <alignment horizontal="right" readingOrder="0" shrinkToFit="0" vertical="top" wrapText="1"/>
    </xf>
    <xf borderId="21" fillId="0" fontId="35" numFmtId="10" xfId="0" applyAlignment="1" applyBorder="1" applyFont="1" applyNumberFormat="1">
      <alignment horizontal="right" shrinkToFit="0" vertical="center" wrapText="1"/>
    </xf>
    <xf borderId="22" fillId="0" fontId="35" numFmtId="10" xfId="0" applyAlignment="1" applyBorder="1" applyFont="1" applyNumberFormat="1">
      <alignment horizontal="right" shrinkToFit="0" vertical="center" wrapText="1"/>
    </xf>
    <xf borderId="23" fillId="0" fontId="35" numFmtId="10" xfId="0" applyAlignment="1" applyBorder="1" applyFont="1" applyNumberFormat="1">
      <alignment horizontal="right" shrinkToFit="0" vertical="center" wrapText="1"/>
    </xf>
    <xf borderId="0" fillId="0" fontId="35" numFmtId="10" xfId="0" applyAlignment="1" applyFont="1" applyNumberFormat="1">
      <alignment horizontal="right" shrinkToFit="0" vertical="center" wrapText="1"/>
    </xf>
    <xf borderId="0" fillId="0" fontId="18" numFmtId="10" xfId="0" applyAlignment="1" applyFont="1" applyNumberFormat="1">
      <alignment horizontal="right" vertical="center"/>
    </xf>
    <xf borderId="0" fillId="13" fontId="40" numFmtId="4" xfId="0" applyAlignment="1" applyFill="1" applyFont="1" applyNumberFormat="1">
      <alignment readingOrder="0" shrinkToFit="0" vertical="bottom" wrapText="1"/>
    </xf>
    <xf borderId="0" fillId="7" fontId="41" numFmtId="10" xfId="0" applyAlignment="1" applyFont="1" applyNumberFormat="1">
      <alignment shrinkToFit="0" vertical="top" wrapText="1"/>
    </xf>
    <xf borderId="0" fillId="7" fontId="41" numFmtId="3" xfId="0" applyAlignment="1" applyFont="1" applyNumberFormat="1">
      <alignment shrinkToFit="0" vertical="top" wrapText="1"/>
    </xf>
    <xf borderId="0" fillId="7" fontId="41" numFmtId="3" xfId="0" applyAlignment="1" applyFont="1" applyNumberFormat="1">
      <alignment readingOrder="0" shrinkToFit="0" vertical="top" wrapText="1"/>
    </xf>
    <xf borderId="0" fillId="0" fontId="42" numFmtId="10" xfId="0" applyAlignment="1" applyFont="1" applyNumberFormat="1">
      <alignment shrinkToFit="0" wrapText="1"/>
    </xf>
    <xf borderId="0" fillId="2" fontId="12" numFmtId="3" xfId="0" applyFont="1" applyNumberFormat="1"/>
    <xf borderId="0" fillId="2" fontId="12" numFmtId="10" xfId="0" applyFont="1" applyNumberFormat="1"/>
    <xf borderId="0" fillId="0" fontId="42" numFmtId="0" xfId="0" applyAlignment="1" applyFont="1">
      <alignment readingOrder="0" shrinkToFit="0" wrapText="1"/>
    </xf>
    <xf borderId="0" fillId="9" fontId="26" numFmtId="10" xfId="0" applyAlignment="1" applyFont="1" applyNumberFormat="1">
      <alignment horizontal="right" shrinkToFit="0" vertical="center" wrapText="1"/>
    </xf>
    <xf borderId="0" fillId="0" fontId="43" numFmtId="0" xfId="0" applyAlignment="1" applyFont="1">
      <alignment horizontal="left" readingOrder="0" shrinkToFit="0" vertical="center" wrapText="1"/>
    </xf>
    <xf borderId="0" fillId="4" fontId="19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left"/>
    </xf>
    <xf borderId="0" fillId="0" fontId="18" numFmtId="0" xfId="0" applyAlignment="1" applyFont="1">
      <alignment horizontal="left" shrinkToFit="0" vertical="top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44" numFmtId="3" xfId="0" applyAlignment="1" applyFont="1" applyNumberFormat="1">
      <alignment horizontal="left" readingOrder="0"/>
    </xf>
    <xf borderId="0" fillId="0" fontId="18" numFmtId="0" xfId="0" applyAlignment="1" applyFont="1">
      <alignment horizontal="center" readingOrder="0" shrinkToFit="0" vertical="top" wrapText="1"/>
    </xf>
    <xf borderId="0" fillId="14" fontId="18" numFmtId="0" xfId="0" applyAlignment="1" applyFill="1" applyFont="1">
      <alignment horizontal="center" readingOrder="0" shrinkToFit="0" vertical="top" wrapText="1"/>
    </xf>
    <xf borderId="0" fillId="14" fontId="18" numFmtId="3" xfId="0" applyAlignment="1" applyFont="1" applyNumberFormat="1">
      <alignment horizontal="left" readingOrder="0" shrinkToFit="0" vertical="top" wrapText="1"/>
    </xf>
    <xf borderId="0" fillId="14" fontId="18" numFmtId="0" xfId="0" applyAlignment="1" applyFont="1">
      <alignment horizontal="left" readingOrder="0" shrinkToFit="0" vertical="top" wrapText="1"/>
    </xf>
    <xf borderId="0" fillId="15" fontId="45" numFmtId="0" xfId="0" applyAlignment="1" applyFill="1" applyFont="1">
      <alignment horizontal="left" readingOrder="0" vertical="center"/>
    </xf>
    <xf borderId="0" fillId="12" fontId="18" numFmtId="0" xfId="0" applyAlignment="1" applyFont="1">
      <alignment readingOrder="0" shrinkToFit="0" vertical="top" wrapText="1"/>
    </xf>
    <xf borderId="0" fillId="12" fontId="31" numFmtId="3" xfId="0" applyAlignment="1" applyFont="1" applyNumberFormat="1">
      <alignment horizontal="left" vertical="bottom"/>
    </xf>
    <xf borderId="0" fillId="15" fontId="46" numFmtId="0" xfId="0" applyAlignment="1" applyFont="1">
      <alignment horizontal="left" readingOrder="0" shrinkToFit="0" vertical="center" wrapText="1"/>
    </xf>
    <xf borderId="0" fillId="8" fontId="47" numFmtId="0" xfId="0" applyAlignment="1" applyFont="1">
      <alignment horizontal="left" readingOrder="0" shrinkToFit="0" vertical="center" wrapText="1"/>
    </xf>
    <xf borderId="0" fillId="8" fontId="22" numFmtId="3" xfId="0" applyAlignment="1" applyFont="1" applyNumberFormat="1">
      <alignment horizontal="left" readingOrder="0" shrinkToFit="0" vertical="center" wrapText="1"/>
    </xf>
    <xf borderId="0" fillId="0" fontId="48" numFmtId="3" xfId="0" applyAlignment="1" applyFont="1" applyNumberFormat="1">
      <alignment readingOrder="0" shrinkToFit="0" vertical="bottom" wrapText="1"/>
    </xf>
    <xf borderId="0" fillId="2" fontId="31" numFmtId="3" xfId="0" applyAlignment="1" applyFont="1" applyNumberFormat="1">
      <alignment horizontal="left" vertical="bottom"/>
    </xf>
    <xf borderId="0" fillId="3" fontId="49" numFmtId="0" xfId="0" applyAlignment="1" applyFont="1">
      <alignment horizontal="left" readingOrder="0" shrinkToFit="0" vertical="top" wrapText="1"/>
    </xf>
    <xf borderId="0" fillId="3" fontId="27" numFmtId="3" xfId="0" applyAlignment="1" applyFont="1" applyNumberFormat="1">
      <alignment horizontal="left" readingOrder="0" shrinkToFit="0" vertical="top" wrapText="1"/>
    </xf>
    <xf borderId="0" fillId="9" fontId="50" numFmtId="0" xfId="0" applyAlignment="1" applyFont="1">
      <alignment horizontal="left" readingOrder="0" shrinkToFit="0" vertical="top" wrapText="1"/>
    </xf>
    <xf borderId="0" fillId="9" fontId="19" numFmtId="3" xfId="0" applyAlignment="1" applyFont="1" applyNumberFormat="1">
      <alignment horizontal="left" readingOrder="0" shrinkToFit="0" vertical="top" wrapText="1"/>
    </xf>
    <xf borderId="0" fillId="0" fontId="18" numFmtId="0" xfId="0" applyAlignment="1" applyFont="1">
      <alignment shrinkToFit="0" vertical="top" wrapText="1"/>
    </xf>
    <xf borderId="0" fillId="2" fontId="28" numFmtId="3" xfId="0" applyAlignment="1" applyFont="1" applyNumberFormat="1">
      <alignment horizontal="left" vertical="bottom"/>
    </xf>
    <xf borderId="0" fillId="0" fontId="18" numFmtId="0" xfId="0" applyAlignment="1" applyFont="1">
      <alignment horizontal="left" readingOrder="0" shrinkToFit="0" vertical="top" wrapText="1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shrinkToFit="0" wrapText="1"/>
    </xf>
    <xf borderId="0" fillId="10" fontId="51" numFmtId="0" xfId="0" applyAlignment="1" applyFont="1">
      <alignment readingOrder="0" shrinkToFit="0" vertical="bottom" wrapText="1"/>
    </xf>
    <xf borderId="0" fillId="10" fontId="32" numFmtId="3" xfId="0" applyAlignment="1" applyFont="1" applyNumberFormat="1">
      <alignment horizontal="left" shrinkToFit="0" vertical="bottom" wrapText="1"/>
    </xf>
    <xf borderId="0" fillId="0" fontId="35" numFmtId="10" xfId="0" applyAlignment="1" applyFont="1" applyNumberFormat="1">
      <alignment shrinkToFit="0" vertical="top" wrapText="1"/>
    </xf>
    <xf borderId="0" fillId="0" fontId="18" numFmtId="10" xfId="0" applyAlignment="1" applyFont="1" applyNumberFormat="1">
      <alignment horizontal="left" vertical="top"/>
    </xf>
    <xf borderId="0" fillId="0" fontId="18" numFmtId="3" xfId="0" applyAlignment="1" applyFont="1" applyNumberFormat="1">
      <alignment horizontal="left" vertical="top"/>
    </xf>
    <xf borderId="0" fillId="9" fontId="19" numFmtId="0" xfId="0" applyAlignment="1" applyFont="1">
      <alignment horizontal="left" readingOrder="0" shrinkToFit="0" vertical="top" wrapText="1"/>
    </xf>
    <xf borderId="0" fillId="0" fontId="31" numFmtId="3" xfId="0" applyAlignment="1" applyFont="1" applyNumberFormat="1">
      <alignment horizontal="left" vertical="bottom"/>
    </xf>
    <xf borderId="0" fillId="10" fontId="52" numFmtId="3" xfId="0" applyAlignment="1" applyFont="1" applyNumberFormat="1">
      <alignment horizontal="left" readingOrder="0" shrinkToFit="0" vertical="bottom" wrapText="1"/>
    </xf>
    <xf borderId="0" fillId="0" fontId="35" numFmtId="10" xfId="0" applyAlignment="1" applyFont="1" applyNumberFormat="1">
      <alignment readingOrder="0" shrinkToFit="0" vertical="top" wrapText="1"/>
    </xf>
    <xf borderId="0" fillId="2" fontId="18" numFmtId="3" xfId="0" applyAlignment="1" applyFont="1" applyNumberFormat="1">
      <alignment horizontal="left" vertical="bottom"/>
    </xf>
    <xf borderId="0" fillId="3" fontId="49" numFmtId="3" xfId="0" applyAlignment="1" applyFont="1" applyNumberFormat="1">
      <alignment horizontal="left" readingOrder="0" shrinkToFit="0" vertical="top" wrapText="1"/>
    </xf>
    <xf borderId="0" fillId="0" fontId="18" numFmtId="0" xfId="0" applyAlignment="1" applyFont="1">
      <alignment readingOrder="0" shrinkToFit="0" vertical="top" wrapText="1"/>
    </xf>
    <xf borderId="0" fillId="0" fontId="37" numFmtId="0" xfId="0" applyAlignment="1" applyFont="1">
      <alignment shrinkToFit="0" vertical="bottom" wrapText="1"/>
    </xf>
    <xf borderId="0" fillId="0" fontId="37" numFmtId="4" xfId="0" applyAlignment="1" applyFont="1" applyNumberFormat="1">
      <alignment readingOrder="0" shrinkToFit="0" vertical="bottom" wrapText="1"/>
    </xf>
    <xf borderId="0" fillId="0" fontId="37" numFmtId="0" xfId="0" applyAlignment="1" applyFont="1">
      <alignment readingOrder="0" shrinkToFit="0" vertical="bottom" wrapText="1"/>
    </xf>
    <xf borderId="0" fillId="0" fontId="35" numFmtId="0" xfId="0" applyAlignment="1" applyFont="1">
      <alignment shrinkToFit="0" vertical="top" wrapText="1"/>
    </xf>
    <xf borderId="0" fillId="2" fontId="51" numFmtId="0" xfId="0" applyAlignment="1" applyFont="1">
      <alignment readingOrder="0" shrinkToFit="0" vertical="bottom" wrapText="1"/>
    </xf>
    <xf borderId="0" fillId="2" fontId="32" numFmtId="3" xfId="0" applyAlignment="1" applyFont="1" applyNumberFormat="1">
      <alignment horizontal="left" shrinkToFit="0" vertical="bottom" wrapText="1"/>
    </xf>
    <xf borderId="0" fillId="0" fontId="18" numFmtId="3" xfId="0" applyAlignment="1" applyFont="1" applyNumberFormat="1">
      <alignment horizontal="left" shrinkToFit="0" vertical="top" wrapText="1"/>
    </xf>
    <xf borderId="0" fillId="0" fontId="18" numFmtId="3" xfId="0" applyAlignment="1" applyFont="1" applyNumberFormat="1">
      <alignment horizontal="left"/>
    </xf>
    <xf borderId="0" fillId="6" fontId="19" numFmtId="0" xfId="0" applyAlignment="1" applyFont="1">
      <alignment horizontal="left" readingOrder="0" shrinkToFit="0" vertical="center" wrapText="1"/>
    </xf>
    <xf borderId="0" fillId="0" fontId="1" numFmtId="9" xfId="0" applyAlignment="1" applyFont="1" applyNumberFormat="1">
      <alignment horizontal="left" shrinkToFit="0" vertical="center" wrapText="1"/>
    </xf>
    <xf borderId="0" fillId="0" fontId="53" numFmtId="3" xfId="0" applyAlignment="1" applyFont="1" applyNumberFormat="1">
      <alignment horizontal="left" readingOrder="0" vertical="center"/>
    </xf>
    <xf borderId="0" fillId="0" fontId="53" numFmtId="0" xfId="0" applyAlignment="1" applyFont="1">
      <alignment horizontal="left" readingOrder="0" vertical="center"/>
    </xf>
    <xf borderId="8" fillId="14" fontId="18" numFmtId="0" xfId="0" applyAlignment="1" applyBorder="1" applyFont="1">
      <alignment horizontal="center" readingOrder="0" shrinkToFit="0" vertical="center" wrapText="1"/>
    </xf>
    <xf borderId="8" fillId="2" fontId="45" numFmtId="0" xfId="0" applyAlignment="1" applyBorder="1" applyFont="1">
      <alignment horizontal="left" readingOrder="0" vertical="center"/>
    </xf>
    <xf borderId="9" fillId="2" fontId="45" numFmtId="0" xfId="0" applyAlignment="1" applyBorder="1" applyFont="1">
      <alignment horizontal="left" readingOrder="0" vertical="center"/>
    </xf>
    <xf borderId="6" fillId="7" fontId="54" numFmtId="9" xfId="0" applyAlignment="1" applyBorder="1" applyFont="1" applyNumberFormat="1">
      <alignment horizontal="left" readingOrder="0" vertical="center"/>
    </xf>
    <xf borderId="8" fillId="0" fontId="19" numFmtId="0" xfId="0" applyAlignment="1" applyBorder="1" applyFont="1">
      <alignment horizontal="left" readingOrder="0" shrinkToFit="0" vertical="center" wrapText="1"/>
    </xf>
    <xf borderId="9" fillId="0" fontId="19" numFmtId="0" xfId="0" applyAlignment="1" applyBorder="1" applyFont="1">
      <alignment horizontal="left" readingOrder="0" shrinkToFit="0" vertical="center" wrapText="1"/>
    </xf>
    <xf borderId="8" fillId="15" fontId="45" numFmtId="0" xfId="0" applyAlignment="1" applyBorder="1" applyFont="1">
      <alignment horizontal="left" readingOrder="0" vertical="center"/>
    </xf>
    <xf borderId="9" fillId="15" fontId="45" numFmtId="0" xfId="0" applyAlignment="1" applyBorder="1" applyFont="1">
      <alignment horizontal="left" readingOrder="0" vertical="center"/>
    </xf>
    <xf borderId="6" fillId="15" fontId="54" numFmtId="9" xfId="0" applyAlignment="1" applyBorder="1" applyFont="1" applyNumberFormat="1">
      <alignment horizontal="left" readingOrder="0" vertical="center"/>
    </xf>
    <xf borderId="6" fillId="15" fontId="46" numFmtId="0" xfId="0" applyAlignment="1" applyBorder="1" applyFont="1">
      <alignment horizontal="left" readingOrder="0" shrinkToFit="0" vertical="center" wrapText="1"/>
    </xf>
    <xf borderId="8" fillId="13" fontId="46" numFmtId="0" xfId="0" applyAlignment="1" applyBorder="1" applyFont="1">
      <alignment horizontal="center" readingOrder="0" shrinkToFit="0" vertical="center" wrapText="1"/>
    </xf>
    <xf borderId="8" fillId="13" fontId="46" numFmtId="3" xfId="0" applyAlignment="1" applyBorder="1" applyFont="1" applyNumberFormat="1">
      <alignment horizontal="left" readingOrder="0" shrinkToFit="0" vertical="center" wrapText="1"/>
    </xf>
    <xf borderId="9" fillId="13" fontId="46" numFmtId="0" xfId="0" applyAlignment="1" applyBorder="1" applyFont="1">
      <alignment horizontal="left" readingOrder="0" shrinkToFit="0" vertical="center" wrapText="1"/>
    </xf>
    <xf borderId="6" fillId="13" fontId="46" numFmtId="0" xfId="0" applyAlignment="1" applyBorder="1" applyFont="1">
      <alignment horizontal="left" readingOrder="0" shrinkToFit="0" vertical="center" wrapText="1"/>
    </xf>
    <xf borderId="8" fillId="13" fontId="46" numFmtId="0" xfId="0" applyAlignment="1" applyBorder="1" applyFont="1">
      <alignment horizontal="left" readingOrder="0" shrinkToFit="0" vertical="center" wrapText="1"/>
    </xf>
    <xf borderId="6" fillId="13" fontId="46" numFmtId="9" xfId="0" applyAlignment="1" applyBorder="1" applyFont="1" applyNumberFormat="1">
      <alignment horizontal="left" readingOrder="0" shrinkToFit="0" vertical="center" wrapText="1"/>
    </xf>
    <xf borderId="8" fillId="15" fontId="46" numFmtId="0" xfId="0" applyAlignment="1" applyBorder="1" applyFont="1">
      <alignment horizontal="left" readingOrder="0" shrinkToFit="0" vertical="center" wrapText="1"/>
    </xf>
    <xf borderId="9" fillId="15" fontId="46" numFmtId="0" xfId="0" applyAlignment="1" applyBorder="1" applyFont="1">
      <alignment horizontal="left" readingOrder="0" shrinkToFit="0" vertical="center" wrapText="1"/>
    </xf>
    <xf borderId="0" fillId="12" fontId="18" numFmtId="0" xfId="0" applyAlignment="1" applyFont="1">
      <alignment readingOrder="0" shrinkToFit="0" vertical="center" wrapText="1"/>
    </xf>
    <xf borderId="13" fillId="12" fontId="31" numFmtId="3" xfId="0" applyAlignment="1" applyBorder="1" applyFont="1" applyNumberFormat="1">
      <alignment horizontal="left" vertical="center"/>
    </xf>
    <xf borderId="0" fillId="12" fontId="31" numFmtId="3" xfId="0" applyAlignment="1" applyFont="1" applyNumberFormat="1">
      <alignment horizontal="left" vertical="center"/>
    </xf>
    <xf borderId="14" fillId="7" fontId="5" numFmtId="9" xfId="0" applyAlignment="1" applyBorder="1" applyFont="1" applyNumberFormat="1">
      <alignment horizontal="left" vertical="center"/>
    </xf>
    <xf borderId="14" fillId="15" fontId="5" numFmtId="9" xfId="0" applyAlignment="1" applyBorder="1" applyFont="1" applyNumberFormat="1">
      <alignment horizontal="left" vertical="center"/>
    </xf>
    <xf borderId="0" fillId="12" fontId="25" numFmtId="10" xfId="0" applyAlignment="1" applyFont="1" applyNumberFormat="1">
      <alignment horizontal="right" shrinkToFit="0" vertical="center" wrapText="1"/>
    </xf>
    <xf borderId="13" fillId="8" fontId="22" numFmtId="3" xfId="0" applyAlignment="1" applyBorder="1" applyFont="1" applyNumberFormat="1">
      <alignment horizontal="left" readingOrder="0" shrinkToFit="0" vertical="center" wrapText="1"/>
    </xf>
    <xf borderId="0" fillId="0" fontId="48" numFmtId="3" xfId="0" applyAlignment="1" applyFont="1" applyNumberFormat="1">
      <alignment readingOrder="0" shrinkToFit="0" vertical="center" wrapText="1"/>
    </xf>
    <xf borderId="13" fillId="2" fontId="31" numFmtId="3" xfId="0" applyAlignment="1" applyBorder="1" applyFont="1" applyNumberFormat="1">
      <alignment horizontal="left" vertical="center"/>
    </xf>
    <xf borderId="0" fillId="2" fontId="31" numFmtId="3" xfId="0" applyAlignment="1" applyFont="1" applyNumberFormat="1">
      <alignment horizontal="left" vertical="center"/>
    </xf>
    <xf borderId="0" fillId="3" fontId="49" numFmtId="0" xfId="0" applyAlignment="1" applyFont="1">
      <alignment horizontal="left" readingOrder="0" shrinkToFit="0" vertical="center" wrapText="1"/>
    </xf>
    <xf borderId="13" fillId="3" fontId="27" numFmtId="3" xfId="0" applyAlignment="1" applyBorder="1" applyFont="1" applyNumberFormat="1">
      <alignment horizontal="left" readingOrder="0" shrinkToFit="0" vertical="center" wrapText="1"/>
    </xf>
    <xf borderId="0" fillId="3" fontId="27" numFmtId="3" xfId="0" applyAlignment="1" applyFont="1" applyNumberFormat="1">
      <alignment horizontal="left" readingOrder="0" shrinkToFit="0" vertical="center" wrapText="1"/>
    </xf>
    <xf borderId="0" fillId="2" fontId="25" numFmtId="10" xfId="0" applyAlignment="1" applyFont="1" applyNumberFormat="1">
      <alignment horizontal="right" shrinkToFit="0" vertical="center" wrapText="1"/>
    </xf>
    <xf borderId="0" fillId="9" fontId="50" numFmtId="0" xfId="0" applyAlignment="1" applyFont="1">
      <alignment horizontal="left" readingOrder="0" shrinkToFit="0" vertical="center" wrapText="1"/>
    </xf>
    <xf borderId="13" fillId="9" fontId="19" numFmtId="3" xfId="0" applyAlignment="1" applyBorder="1" applyFont="1" applyNumberFormat="1">
      <alignment horizontal="left" readingOrder="0" shrinkToFit="0" vertical="center" wrapText="1"/>
    </xf>
    <xf borderId="0" fillId="9" fontId="19" numFmtId="3" xfId="0" applyAlignment="1" applyFont="1" applyNumberFormat="1">
      <alignment horizontal="left" readingOrder="0" shrinkToFit="0" vertical="center" wrapText="1"/>
    </xf>
    <xf borderId="0" fillId="0" fontId="18" numFmtId="0" xfId="0" applyAlignment="1" applyFont="1">
      <alignment shrinkToFit="0" vertical="center" wrapText="1"/>
    </xf>
    <xf borderId="13" fillId="2" fontId="28" numFmtId="3" xfId="0" applyAlignment="1" applyBorder="1" applyFont="1" applyNumberFormat="1">
      <alignment horizontal="left" vertical="center"/>
    </xf>
    <xf borderId="0" fillId="2" fontId="28" numFmtId="3" xfId="0" applyAlignment="1" applyFont="1" applyNumberFormat="1">
      <alignment horizontal="left" vertical="center"/>
    </xf>
    <xf borderId="0" fillId="10" fontId="51" numFmtId="0" xfId="0" applyAlignment="1" applyFont="1">
      <alignment readingOrder="0" shrinkToFit="0" vertical="center" wrapText="1"/>
    </xf>
    <xf borderId="13" fillId="10" fontId="32" numFmtId="3" xfId="0" applyAlignment="1" applyBorder="1" applyFont="1" applyNumberFormat="1">
      <alignment horizontal="left" shrinkToFit="0" vertical="center" wrapText="1"/>
    </xf>
    <xf borderId="0" fillId="10" fontId="32" numFmtId="3" xfId="0" applyAlignment="1" applyFont="1" applyNumberFormat="1">
      <alignment horizontal="left" shrinkToFit="0" vertical="center" wrapText="1"/>
    </xf>
    <xf borderId="0" fillId="0" fontId="35" numFmtId="10" xfId="0" applyAlignment="1" applyFont="1" applyNumberFormat="1">
      <alignment shrinkToFit="0" vertical="center" wrapText="1"/>
    </xf>
    <xf borderId="13" fillId="0" fontId="18" numFmtId="10" xfId="0" applyAlignment="1" applyBorder="1" applyFont="1" applyNumberFormat="1">
      <alignment horizontal="left" vertical="center"/>
    </xf>
    <xf borderId="0" fillId="0" fontId="18" numFmtId="10" xfId="0" applyAlignment="1" applyFont="1" applyNumberFormat="1">
      <alignment horizontal="left" vertical="center"/>
    </xf>
    <xf borderId="13" fillId="0" fontId="18" numFmtId="3" xfId="0" applyAlignment="1" applyBorder="1" applyFont="1" applyNumberFormat="1">
      <alignment horizontal="left" vertical="center"/>
    </xf>
    <xf borderId="0" fillId="0" fontId="18" numFmtId="3" xfId="0" applyAlignment="1" applyFont="1" applyNumberFormat="1">
      <alignment horizontal="left" vertical="center"/>
    </xf>
    <xf borderId="13" fillId="0" fontId="31" numFmtId="3" xfId="0" applyAlignment="1" applyBorder="1" applyFont="1" applyNumberFormat="1">
      <alignment horizontal="left" vertical="center"/>
    </xf>
    <xf borderId="0" fillId="0" fontId="31" numFmtId="3" xfId="0" applyAlignment="1" applyFont="1" applyNumberFormat="1">
      <alignment horizontal="left" vertical="center"/>
    </xf>
    <xf borderId="13" fillId="10" fontId="52" numFmtId="3" xfId="0" applyAlignment="1" applyBorder="1" applyFont="1" applyNumberFormat="1">
      <alignment horizontal="left" readingOrder="0" shrinkToFit="0" vertical="center" wrapText="1"/>
    </xf>
    <xf borderId="0" fillId="10" fontId="52" numFmtId="3" xfId="0" applyAlignment="1" applyFont="1" applyNumberFormat="1">
      <alignment horizontal="left" readingOrder="0" shrinkToFit="0" vertical="center" wrapText="1"/>
    </xf>
    <xf borderId="0" fillId="0" fontId="35" numFmtId="10" xfId="0" applyAlignment="1" applyFont="1" applyNumberFormat="1">
      <alignment readingOrder="0" shrinkToFit="0" vertical="center" wrapText="1"/>
    </xf>
    <xf borderId="13" fillId="2" fontId="18" numFmtId="3" xfId="0" applyAlignment="1" applyBorder="1" applyFont="1" applyNumberFormat="1">
      <alignment horizontal="left" vertical="center"/>
    </xf>
    <xf borderId="0" fillId="2" fontId="18" numFmtId="3" xfId="0" applyAlignment="1" applyFont="1" applyNumberFormat="1">
      <alignment horizontal="left" vertical="center"/>
    </xf>
    <xf borderId="13" fillId="3" fontId="49" numFmtId="3" xfId="0" applyAlignment="1" applyBorder="1" applyFont="1" applyNumberFormat="1">
      <alignment horizontal="left" readingOrder="0" shrinkToFit="0" vertical="center" wrapText="1"/>
    </xf>
    <xf borderId="0" fillId="3" fontId="49" numFmtId="3" xfId="0" applyAlignment="1" applyFont="1" applyNumberFormat="1">
      <alignment horizontal="left" readingOrder="0" shrinkToFit="0" vertical="center" wrapText="1"/>
    </xf>
    <xf borderId="0" fillId="0" fontId="37" numFmtId="0" xfId="0" applyAlignment="1" applyFont="1">
      <alignment shrinkToFit="0" vertical="center" wrapText="1"/>
    </xf>
    <xf borderId="0" fillId="0" fontId="37" numFmtId="0" xfId="0" applyAlignment="1" applyFont="1">
      <alignment readingOrder="0" shrinkToFit="0" vertical="center" wrapText="1"/>
    </xf>
    <xf borderId="0" fillId="0" fontId="35" numFmtId="0" xfId="0" applyAlignment="1" applyFont="1">
      <alignment shrinkToFit="0" vertical="center" wrapText="1"/>
    </xf>
    <xf borderId="0" fillId="2" fontId="51" numFmtId="0" xfId="0" applyAlignment="1" applyFont="1">
      <alignment readingOrder="0" shrinkToFit="0" vertical="center" wrapText="1"/>
    </xf>
    <xf borderId="13" fillId="2" fontId="32" numFmtId="3" xfId="0" applyAlignment="1" applyBorder="1" applyFont="1" applyNumberFormat="1">
      <alignment horizontal="left" shrinkToFit="0" vertical="center" wrapText="1"/>
    </xf>
    <xf borderId="0" fillId="2" fontId="32" numFmtId="3" xfId="0" applyAlignment="1" applyFont="1" applyNumberFormat="1">
      <alignment horizontal="left" shrinkToFit="0" vertical="center" wrapText="1"/>
    </xf>
    <xf borderId="1" fillId="0" fontId="18" numFmtId="0" xfId="0" applyAlignment="1" applyBorder="1" applyFont="1">
      <alignment shrinkToFit="0" vertical="center" wrapText="1"/>
    </xf>
    <xf borderId="15" fillId="0" fontId="18" numFmtId="10" xfId="0" applyAlignment="1" applyBorder="1" applyFont="1" applyNumberFormat="1">
      <alignment horizontal="left" vertical="center"/>
    </xf>
    <xf borderId="1" fillId="0" fontId="18" numFmtId="10" xfId="0" applyAlignment="1" applyBorder="1" applyFont="1" applyNumberFormat="1">
      <alignment horizontal="left" vertical="center"/>
    </xf>
    <xf borderId="3" fillId="7" fontId="5" numFmtId="9" xfId="0" applyAlignment="1" applyBorder="1" applyFont="1" applyNumberFormat="1">
      <alignment horizontal="left" vertical="center"/>
    </xf>
    <xf borderId="3" fillId="15" fontId="5" numFmtId="9" xfId="0" applyAlignment="1" applyBorder="1" applyFont="1" applyNumberFormat="1">
      <alignment horizontal="left" vertical="center"/>
    </xf>
    <xf borderId="1" fillId="2" fontId="26" numFmtId="10" xfId="0" applyAlignment="1" applyBorder="1" applyFont="1" applyNumberFormat="1">
      <alignment horizontal="right" shrinkToFit="0" vertical="center" wrapText="1"/>
    </xf>
    <xf borderId="0" fillId="0" fontId="18" numFmtId="3" xfId="0" applyAlignment="1" applyFont="1" applyNumberFormat="1">
      <alignment horizontal="left" shrinkToFit="0" vertical="center" wrapText="1"/>
    </xf>
    <xf borderId="0" fillId="0" fontId="1" numFmtId="9" xfId="0" applyAlignment="1" applyFont="1" applyNumberFormat="1">
      <alignment horizontal="left" vertical="center"/>
    </xf>
    <xf borderId="0" fillId="0" fontId="18" numFmtId="0" xfId="0" applyAlignment="1" applyFont="1">
      <alignment horizontal="left" vertical="center"/>
    </xf>
    <xf borderId="0" fillId="0" fontId="55" numFmtId="0" xfId="0" applyAlignment="1" applyFont="1">
      <alignment readingOrder="0"/>
    </xf>
    <xf borderId="24" fillId="7" fontId="4" numFmtId="0" xfId="0" applyBorder="1" applyFont="1"/>
    <xf borderId="25" fillId="7" fontId="4" numFmtId="0" xfId="0" applyBorder="1" applyFont="1"/>
    <xf borderId="26" fillId="7" fontId="4" numFmtId="0" xfId="0" applyBorder="1" applyFont="1"/>
    <xf borderId="27" fillId="7" fontId="4" numFmtId="0" xfId="0" applyBorder="1" applyFont="1"/>
    <xf borderId="28" fillId="7" fontId="45" numFmtId="0" xfId="0" applyAlignment="1" applyBorder="1" applyFont="1">
      <alignment readingOrder="0"/>
    </xf>
    <xf borderId="28" fillId="7" fontId="4" numFmtId="0" xfId="0" applyBorder="1" applyFont="1"/>
    <xf borderId="29" fillId="7" fontId="4" numFmtId="0" xfId="0" applyBorder="1" applyFont="1"/>
    <xf borderId="28" fillId="7" fontId="4" numFmtId="0" xfId="0" applyAlignment="1" applyBorder="1" applyFont="1">
      <alignment readingOrder="0"/>
    </xf>
    <xf borderId="30" fillId="7" fontId="4" numFmtId="0" xfId="0" applyBorder="1" applyFont="1"/>
    <xf borderId="31" fillId="7" fontId="4" numFmtId="0" xfId="0" applyBorder="1" applyFont="1"/>
    <xf borderId="32" fillId="7" fontId="4" numFmtId="0" xfId="0" applyBorder="1" applyFont="1"/>
    <xf borderId="33" fillId="7" fontId="45" numFmtId="0" xfId="0" applyAlignment="1" applyBorder="1" applyFont="1">
      <alignment readingOrder="0" shrinkToFit="0" wrapText="1"/>
    </xf>
    <xf borderId="34" fillId="0" fontId="4" numFmtId="0" xfId="0" applyBorder="1" applyFont="1"/>
    <xf borderId="35" fillId="0" fontId="4" numFmtId="0" xfId="0" applyBorder="1" applyFont="1"/>
    <xf borderId="33" fillId="7" fontId="4" numFmtId="0" xfId="0" applyAlignment="1" applyBorder="1" applyFont="1">
      <alignment readingOrder="0" shrinkToFit="0" wrapText="1"/>
    </xf>
    <xf borderId="0" fillId="3" fontId="56" numFmtId="0" xfId="0" applyAlignment="1" applyFont="1">
      <alignment readingOrder="0"/>
    </xf>
    <xf borderId="0" fillId="3" fontId="45" numFmtId="0" xfId="0" applyAlignment="1" applyFont="1">
      <alignment readingOrder="0"/>
    </xf>
    <xf borderId="0" fillId="3" fontId="45" numFmtId="0" xfId="0" applyFont="1"/>
    <xf borderId="0" fillId="0" fontId="45" numFmtId="0" xfId="0" applyAlignment="1" applyFont="1">
      <alignment readingOrder="0"/>
    </xf>
    <xf borderId="0" fillId="0" fontId="45" numFmtId="0" xfId="0" applyFont="1"/>
    <xf borderId="0" fillId="0" fontId="4" numFmtId="0" xfId="0" applyAlignment="1" applyFont="1">
      <alignment readingOrder="0"/>
    </xf>
    <xf borderId="0" fillId="0" fontId="4" numFmtId="3" xfId="0" applyFont="1" applyNumberFormat="1"/>
    <xf borderId="0" fillId="0" fontId="4" numFmtId="10" xfId="0" applyFont="1" applyNumberFormat="1"/>
    <xf borderId="0" fillId="16" fontId="4" numFmtId="165" xfId="0" applyAlignment="1" applyFill="1" applyFont="1" applyNumberFormat="1">
      <alignment readingOrder="0"/>
    </xf>
    <xf borderId="0" fillId="16" fontId="4" numFmtId="9" xfId="0" applyAlignment="1" applyFont="1" applyNumberFormat="1">
      <alignment readingOrder="0"/>
    </xf>
    <xf borderId="0" fillId="13" fontId="4" numFmtId="9" xfId="0" applyAlignment="1" applyFont="1" applyNumberFormat="1">
      <alignment readingOrder="0"/>
    </xf>
    <xf borderId="0" fillId="5" fontId="15" numFmtId="0" xfId="0" applyAlignment="1" applyFont="1">
      <alignment readingOrder="0" shrinkToFit="0" wrapText="1"/>
    </xf>
    <xf borderId="0" fillId="5" fontId="15" numFmtId="0" xfId="0" applyAlignment="1" applyFont="1">
      <alignment readingOrder="0"/>
    </xf>
    <xf borderId="0" fillId="0" fontId="57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2" fontId="58" numFmtId="0" xfId="0" applyAlignment="1" applyFont="1">
      <alignment readingOrder="0"/>
    </xf>
    <xf borderId="0" fillId="13" fontId="4" numFmtId="0" xfId="0" applyAlignment="1" applyFont="1">
      <alignment readingOrder="0"/>
    </xf>
    <xf borderId="0" fillId="0" fontId="57" numFmtId="0" xfId="0" applyFont="1"/>
    <xf borderId="0" fillId="2" fontId="58" numFmtId="0" xfId="0" applyAlignment="1" applyFont="1">
      <alignment readingOrder="0" shrinkToFit="0" wrapText="1"/>
    </xf>
    <xf borderId="0" fillId="2" fontId="58" numFmtId="0" xfId="0" applyAlignment="1" applyFont="1">
      <alignment readingOrder="0"/>
    </xf>
    <xf borderId="0" fillId="0" fontId="45" numFmtId="0" xfId="0" applyAlignment="1" applyFont="1">
      <alignment readingOrder="0" shrinkToFit="0" wrapText="1"/>
    </xf>
    <xf borderId="0" fillId="5" fontId="4" numFmtId="0" xfId="0" applyAlignment="1" applyFont="1">
      <alignment horizontal="center" readingOrder="0"/>
    </xf>
    <xf borderId="0" fillId="0" fontId="59" numFmtId="0" xfId="0" applyAlignment="1" applyFont="1">
      <alignment horizontal="left" readingOrder="0" shrinkToFit="0" vertical="top" wrapText="1"/>
    </xf>
    <xf borderId="0" fillId="0" fontId="4" numFmtId="9" xfId="0" applyFont="1" applyNumberFormat="1"/>
    <xf borderId="0" fillId="0" fontId="39" numFmtId="0" xfId="0" applyAlignment="1" applyFont="1">
      <alignment vertical="top"/>
    </xf>
    <xf borderId="0" fillId="0" fontId="39" numFmtId="0" xfId="0" applyAlignment="1" applyFont="1">
      <alignment horizontal="center" vertical="top"/>
    </xf>
    <xf borderId="0" fillId="0" fontId="60" numFmtId="0" xfId="0" applyAlignment="1" applyFont="1">
      <alignment horizontal="left" readingOrder="0" shrinkToFit="0" vertical="center" wrapText="1"/>
    </xf>
    <xf borderId="0" fillId="0" fontId="61" numFmtId="0" xfId="0" applyAlignment="1" applyFont="1">
      <alignment horizontal="left" readingOrder="0" shrinkToFit="0" vertical="top" wrapText="1"/>
    </xf>
    <xf borderId="0" fillId="0" fontId="61" numFmtId="0" xfId="0" applyAlignment="1" applyFont="1">
      <alignment horizontal="center" readingOrder="0" shrinkToFit="0" vertical="center" wrapText="1"/>
    </xf>
    <xf borderId="0" fillId="0" fontId="61" numFmtId="0" xfId="0" applyAlignment="1" applyFont="1">
      <alignment horizontal="left" readingOrder="0" shrinkToFit="0" vertical="top" wrapText="1"/>
    </xf>
    <xf borderId="0" fillId="0" fontId="62" numFmtId="0" xfId="0" applyAlignment="1" applyFont="1">
      <alignment horizontal="center" readingOrder="0" shrinkToFit="0" vertical="center" wrapText="1"/>
    </xf>
    <xf borderId="0" fillId="9" fontId="63" numFmtId="0" xfId="0" applyAlignment="1" applyFont="1">
      <alignment horizontal="center" readingOrder="0" shrinkToFit="0" vertical="center" wrapText="1"/>
    </xf>
    <xf borderId="0" fillId="0" fontId="64" numFmtId="0" xfId="0" applyAlignment="1" applyFont="1">
      <alignment shrinkToFit="0" vertical="top" wrapText="1"/>
    </xf>
    <xf borderId="36" fillId="3" fontId="65" numFmtId="0" xfId="0" applyAlignment="1" applyBorder="1" applyFont="1">
      <alignment readingOrder="0" shrinkToFit="0" vertical="center" wrapText="1"/>
    </xf>
    <xf borderId="36" fillId="0" fontId="4" numFmtId="0" xfId="0" applyBorder="1" applyFont="1"/>
    <xf borderId="37" fillId="0" fontId="4" numFmtId="0" xfId="0" applyBorder="1" applyFont="1"/>
    <xf borderId="0" fillId="0" fontId="39" numFmtId="0" xfId="0" applyFont="1"/>
    <xf borderId="38" fillId="0" fontId="66" numFmtId="0" xfId="0" applyAlignment="1" applyBorder="1" applyFont="1">
      <alignment horizontal="center" shrinkToFit="0" wrapText="1"/>
    </xf>
    <xf borderId="39" fillId="0" fontId="4" numFmtId="0" xfId="0" applyBorder="1" applyFont="1"/>
    <xf borderId="40" fillId="0" fontId="4" numFmtId="0" xfId="0" applyBorder="1" applyFont="1"/>
    <xf borderId="41" fillId="0" fontId="67" numFmtId="0" xfId="0" applyAlignment="1" applyBorder="1" applyFont="1">
      <alignment horizontal="center" shrinkToFit="0" vertical="top" wrapText="1"/>
    </xf>
    <xf borderId="42" fillId="0" fontId="4" numFmtId="0" xfId="0" applyBorder="1" applyFont="1"/>
    <xf borderId="0" fillId="0" fontId="39" numFmtId="0" xfId="0" applyAlignment="1" applyFont="1">
      <alignment vertical="bottom"/>
    </xf>
    <xf borderId="43" fillId="0" fontId="68" numFmtId="0" xfId="0" applyAlignment="1" applyBorder="1" applyFont="1">
      <alignment horizontal="center" shrinkToFit="0" vertical="top" wrapText="1"/>
    </xf>
    <xf borderId="44" fillId="0" fontId="4" numFmtId="0" xfId="0" applyBorder="1" applyFont="1"/>
    <xf borderId="45" fillId="0" fontId="4" numFmtId="0" xfId="0" applyBorder="1" applyFont="1"/>
    <xf borderId="0" fillId="0" fontId="66" numFmtId="0" xfId="0" applyAlignment="1" applyFont="1">
      <alignment horizontal="center" readingOrder="0" shrinkToFit="0" vertical="center" wrapText="1"/>
    </xf>
    <xf borderId="38" fillId="0" fontId="66" numFmtId="0" xfId="0" applyAlignment="1" applyBorder="1" applyFont="1">
      <alignment horizontal="center" readingOrder="0" shrinkToFit="0" vertical="center" wrapText="1"/>
    </xf>
    <xf borderId="0" fillId="0" fontId="61" numFmtId="0" xfId="0" applyAlignment="1" applyFont="1">
      <alignment horizontal="center" readingOrder="0" shrinkToFit="0" vertical="top" wrapText="1"/>
    </xf>
    <xf borderId="41" fillId="0" fontId="61" numFmtId="0" xfId="0" applyAlignment="1" applyBorder="1" applyFont="1">
      <alignment horizontal="center" readingOrder="0" shrinkToFit="0" vertical="top" wrapText="1"/>
    </xf>
    <xf borderId="0" fillId="0" fontId="69" numFmtId="0" xfId="0" applyAlignment="1" applyFont="1">
      <alignment horizontal="center" readingOrder="0" shrinkToFit="0" vertical="top" wrapText="1"/>
    </xf>
    <xf borderId="42" fillId="0" fontId="61" numFmtId="0" xfId="0" applyAlignment="1" applyBorder="1" applyFont="1">
      <alignment horizontal="center" readingOrder="0" shrinkToFit="0" vertical="top" wrapText="1"/>
    </xf>
    <xf borderId="0" fillId="0" fontId="66" numFmtId="0" xfId="0" applyAlignment="1" applyFont="1">
      <alignment horizontal="center" readingOrder="0" shrinkToFit="0" vertical="top" wrapText="1"/>
    </xf>
    <xf borderId="41" fillId="0" fontId="70" numFmtId="0" xfId="0" applyAlignment="1" applyBorder="1" applyFont="1">
      <alignment horizontal="center" readingOrder="0" shrinkToFit="0" vertical="top" wrapText="1"/>
    </xf>
    <xf borderId="42" fillId="0" fontId="66" numFmtId="0" xfId="0" applyAlignment="1" applyBorder="1" applyFont="1">
      <alignment horizontal="center" readingOrder="0" shrinkToFit="0" vertical="top" wrapText="1"/>
    </xf>
    <xf borderId="0" fillId="0" fontId="71" numFmtId="0" xfId="0" applyAlignment="1" applyFont="1">
      <alignment horizontal="center" readingOrder="0" shrinkToFit="0" vertical="top" wrapText="1"/>
    </xf>
    <xf borderId="41" fillId="0" fontId="72" numFmtId="0" xfId="0" applyAlignment="1" applyBorder="1" applyFont="1">
      <alignment horizontal="center" readingOrder="0" shrinkToFit="0" vertical="top" wrapText="1"/>
    </xf>
    <xf borderId="0" fillId="0" fontId="73" numFmtId="0" xfId="0" applyAlignment="1" applyFont="1">
      <alignment horizontal="center" readingOrder="0" shrinkToFit="0" vertical="top" wrapText="1"/>
    </xf>
    <xf borderId="42" fillId="0" fontId="74" numFmtId="0" xfId="0" applyAlignment="1" applyBorder="1" applyFont="1">
      <alignment horizontal="center" readingOrder="0" shrinkToFit="0" vertical="top" wrapText="1"/>
    </xf>
    <xf borderId="43" fillId="0" fontId="66" numFmtId="0" xfId="0" applyAlignment="1" applyBorder="1" applyFont="1">
      <alignment horizontal="center" readingOrder="0" shrinkToFit="0" vertical="top" wrapText="1"/>
    </xf>
    <xf borderId="44" fillId="0" fontId="66" numFmtId="0" xfId="0" applyAlignment="1" applyBorder="1" applyFont="1">
      <alignment horizontal="center" readingOrder="0" shrinkToFit="0" vertical="top" wrapText="1"/>
    </xf>
    <xf borderId="45" fillId="0" fontId="66" numFmtId="0" xfId="0" applyAlignment="1" applyBorder="1" applyFont="1">
      <alignment horizontal="center" readingOrder="0" shrinkToFit="0" vertical="top" wrapText="1"/>
    </xf>
    <xf borderId="46" fillId="0" fontId="66" numFmtId="0" xfId="0" applyAlignment="1" applyBorder="1" applyFont="1">
      <alignment horizontal="center" readingOrder="0" shrinkToFit="0" vertical="center" wrapText="1"/>
    </xf>
    <xf borderId="47" fillId="0" fontId="4" numFmtId="0" xfId="0" applyBorder="1" applyFont="1"/>
    <xf borderId="48" fillId="0" fontId="4" numFmtId="0" xfId="0" applyBorder="1" applyFont="1"/>
    <xf borderId="49" fillId="0" fontId="75" numFmtId="0" xfId="0" applyAlignment="1" applyBorder="1" applyFont="1">
      <alignment horizontal="center" shrinkToFit="0" vertical="top" wrapText="1"/>
    </xf>
    <xf borderId="50" fillId="0" fontId="4" numFmtId="0" xfId="0" applyBorder="1" applyFont="1"/>
    <xf borderId="51" fillId="0" fontId="76" numFmtId="0" xfId="0" applyAlignment="1" applyBorder="1" applyFont="1">
      <alignment horizontal="left" readingOrder="0" shrinkToFit="0" vertical="center" wrapText="1"/>
    </xf>
    <xf borderId="0" fillId="0" fontId="77" numFmtId="0" xfId="0" applyAlignment="1" applyFont="1">
      <alignment horizontal="center" shrinkToFit="0" vertical="top" wrapText="1"/>
    </xf>
    <xf borderId="0" fillId="0" fontId="61" numFmtId="0" xfId="0" applyAlignment="1" applyFont="1">
      <alignment horizontal="left" readingOrder="0" shrinkToFit="0" vertical="center" wrapText="1"/>
    </xf>
    <xf borderId="0" fillId="0" fontId="66" numFmtId="0" xfId="0" applyAlignment="1" applyFont="1">
      <alignment horizontal="center" shrinkToFit="0" vertical="center" wrapText="1"/>
    </xf>
    <xf borderId="38" fillId="0" fontId="66" numFmtId="0" xfId="0" applyAlignment="1" applyBorder="1" applyFont="1">
      <alignment horizontal="center" shrinkToFit="0" vertical="center" wrapText="1"/>
    </xf>
    <xf borderId="43" fillId="0" fontId="78" numFmtId="0" xfId="0" applyAlignment="1" applyBorder="1" applyFont="1">
      <alignment shrinkToFit="0" vertical="top" wrapText="1"/>
    </xf>
    <xf borderId="45" fillId="0" fontId="79" numFmtId="0" xfId="0" applyAlignment="1" applyBorder="1" applyFont="1">
      <alignment shrinkToFit="0" vertical="top" wrapText="1"/>
    </xf>
    <xf borderId="0" fillId="0" fontId="79" numFmtId="0" xfId="0" applyAlignment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'Факт Анализ'!$A$17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'Факт Анализ'!$B$10:$N$10</c:f>
            </c:strRef>
          </c:cat>
          <c:val>
            <c:numRef>
              <c:f>'Факт Анализ'!$B$17:$N$17</c:f>
              <c:numCache/>
            </c:numRef>
          </c:val>
          <c:smooth val="1"/>
        </c:ser>
        <c:ser>
          <c:idx val="1"/>
          <c:order val="1"/>
          <c:tx>
            <c:strRef>
              <c:f>'Факт Анализ'!$A$18</c:f>
            </c:strRef>
          </c:tx>
          <c:spPr>
            <a:ln cmpd="sng">
              <a:solidFill>
                <a:srgbClr val="93C47D"/>
              </a:solidFill>
            </a:ln>
          </c:spPr>
          <c:marker>
            <c:symbol val="circle"/>
            <c:size val="7"/>
            <c:spPr>
              <a:solidFill>
                <a:srgbClr val="93C47D"/>
              </a:solidFill>
              <a:ln cmpd="sng">
                <a:solidFill>
                  <a:srgbClr val="93C47D"/>
                </a:solidFill>
              </a:ln>
            </c:spPr>
          </c:marker>
          <c:cat>
            <c:strRef>
              <c:f>'Факт Анализ'!$B$10:$N$10</c:f>
            </c:strRef>
          </c:cat>
          <c:val>
            <c:numRef>
              <c:f>'Факт Анализ'!$B$18:$N$18</c:f>
              <c:numCache/>
            </c:numRef>
          </c:val>
          <c:smooth val="1"/>
        </c:ser>
        <c:ser>
          <c:idx val="2"/>
          <c:order val="2"/>
          <c:tx>
            <c:strRef>
              <c:f>'Факт Анализ'!$A$19</c:f>
            </c:strRef>
          </c:tx>
          <c:spPr>
            <a:ln cmpd="sng">
              <a:solidFill>
                <a:srgbClr val="CC4125"/>
              </a:solidFill>
            </a:ln>
          </c:spPr>
          <c:marker>
            <c:symbol val="circle"/>
            <c:size val="7"/>
            <c:spPr>
              <a:solidFill>
                <a:srgbClr val="CC4125"/>
              </a:solidFill>
              <a:ln cmpd="sng">
                <a:solidFill>
                  <a:srgbClr val="CC4125"/>
                </a:solidFill>
              </a:ln>
            </c:spPr>
          </c:marker>
          <c:cat>
            <c:strRef>
              <c:f>'Факт Анализ'!$B$10:$N$10</c:f>
            </c:strRef>
          </c:cat>
          <c:val>
            <c:numRef>
              <c:f>'Факт Анализ'!$B$19:$N$19</c:f>
              <c:numCache/>
            </c:numRef>
          </c:val>
          <c:smooth val="1"/>
        </c:ser>
        <c:axId val="2109263963"/>
        <c:axId val="1214444556"/>
      </c:lineChart>
      <c:catAx>
        <c:axId val="2109263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4444556"/>
      </c:catAx>
      <c:valAx>
        <c:axId val="12144445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9263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'Факт Анализ'!$A$27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'Факт Анализ'!$B$2:$N$2</c:f>
            </c:strRef>
          </c:cat>
          <c:val>
            <c:numRef>
              <c:f>'Факт Анализ'!$B$27:$N$27</c:f>
              <c:numCache/>
            </c:numRef>
          </c:val>
          <c:smooth val="1"/>
        </c:ser>
        <c:ser>
          <c:idx val="1"/>
          <c:order val="1"/>
          <c:tx>
            <c:strRef>
              <c:f>'Факт Анализ'!$A$28</c:f>
            </c:strRef>
          </c:tx>
          <c:spPr>
            <a:ln cmpd="sng">
              <a:solidFill>
                <a:srgbClr val="CC4125"/>
              </a:solidFill>
            </a:ln>
          </c:spPr>
          <c:marker>
            <c:symbol val="circle"/>
            <c:size val="7"/>
            <c:spPr>
              <a:solidFill>
                <a:srgbClr val="CC4125"/>
              </a:solidFill>
              <a:ln cmpd="sng">
                <a:solidFill>
                  <a:srgbClr val="CC4125"/>
                </a:solidFill>
              </a:ln>
            </c:spPr>
          </c:marker>
          <c:cat>
            <c:strRef>
              <c:f>'Факт Анализ'!$B$2:$N$2</c:f>
            </c:strRef>
          </c:cat>
          <c:val>
            <c:numRef>
              <c:f>'Факт Анализ'!$B$28:$N$28</c:f>
              <c:numCache/>
            </c:numRef>
          </c:val>
          <c:smooth val="1"/>
        </c:ser>
        <c:ser>
          <c:idx val="2"/>
          <c:order val="2"/>
          <c:tx>
            <c:strRef>
              <c:f>'Факт Анализ'!$A$29</c:f>
            </c:strRef>
          </c:tx>
          <c:spPr>
            <a:ln cmpd="sng">
              <a:solidFill>
                <a:srgbClr val="B6D7A8"/>
              </a:solidFill>
            </a:ln>
          </c:spPr>
          <c:marker>
            <c:symbol val="circle"/>
            <c:size val="7"/>
            <c:spPr>
              <a:solidFill>
                <a:srgbClr val="B6D7A8"/>
              </a:solidFill>
              <a:ln cmpd="sng">
                <a:solidFill>
                  <a:srgbClr val="B6D7A8"/>
                </a:solidFill>
              </a:ln>
            </c:spPr>
          </c:marker>
          <c:cat>
            <c:strRef>
              <c:f>'Факт Анализ'!$B$2:$N$2</c:f>
            </c:strRef>
          </c:cat>
          <c:val>
            <c:numRef>
              <c:f>'Факт Анализ'!$B$29:$N$29</c:f>
              <c:numCache/>
            </c:numRef>
          </c:val>
          <c:smooth val="1"/>
        </c:ser>
        <c:axId val="537804447"/>
        <c:axId val="1309045072"/>
      </c:lineChart>
      <c:catAx>
        <c:axId val="537804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9045072"/>
      </c:catAx>
      <c:valAx>
        <c:axId val="1309045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37804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'Факт Анализ'!$A$34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'Факт Анализ'!$B$2:$N$2</c:f>
            </c:strRef>
          </c:cat>
          <c:val>
            <c:numRef>
              <c:f>'Факт Анализ'!$B$34:$N$34</c:f>
              <c:numCache/>
            </c:numRef>
          </c:val>
          <c:smooth val="1"/>
        </c:ser>
        <c:ser>
          <c:idx val="1"/>
          <c:order val="1"/>
          <c:tx>
            <c:strRef>
              <c:f>'Факт Анализ'!$A$35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'Факт Анализ'!$B$2:$N$2</c:f>
            </c:strRef>
          </c:cat>
          <c:val>
            <c:numRef>
              <c:f>'Факт Анализ'!$B$35:$N$35</c:f>
              <c:numCache/>
            </c:numRef>
          </c:val>
          <c:smooth val="1"/>
        </c:ser>
        <c:ser>
          <c:idx val="2"/>
          <c:order val="2"/>
          <c:tx>
            <c:strRef>
              <c:f>'Факт Анализ'!$A$36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'Факт Анализ'!$B$2:$N$2</c:f>
            </c:strRef>
          </c:cat>
          <c:val>
            <c:numRef>
              <c:f>'Факт Анализ'!$B$36:$N$36</c:f>
              <c:numCache/>
            </c:numRef>
          </c:val>
          <c:smooth val="1"/>
        </c:ser>
        <c:ser>
          <c:idx val="3"/>
          <c:order val="3"/>
          <c:tx>
            <c:strRef>
              <c:f>'Факт Анализ'!$A$37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'Факт Анализ'!$B$2:$N$2</c:f>
            </c:strRef>
          </c:cat>
          <c:val>
            <c:numRef>
              <c:f>'Факт Анализ'!$B$37:$N$37</c:f>
              <c:numCache/>
            </c:numRef>
          </c:val>
          <c:smooth val="1"/>
        </c:ser>
        <c:ser>
          <c:idx val="4"/>
          <c:order val="4"/>
          <c:tx>
            <c:strRef>
              <c:f>'Факт Анализ'!$A$38</c:f>
            </c:strRef>
          </c:tx>
          <c:spPr>
            <a:ln cmpd="sng">
              <a:solidFill>
                <a:srgbClr val="FF6D00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'Факт Анализ'!$B$2:$N$2</c:f>
            </c:strRef>
          </c:cat>
          <c:val>
            <c:numRef>
              <c:f>'Факт Анализ'!$B$38:$N$38</c:f>
              <c:numCache/>
            </c:numRef>
          </c:val>
          <c:smooth val="1"/>
        </c:ser>
        <c:axId val="787285902"/>
        <c:axId val="46942517"/>
      </c:lineChart>
      <c:catAx>
        <c:axId val="787285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942517"/>
      </c:catAx>
      <c:valAx>
        <c:axId val="46942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7285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'Факт Анализ'!$A$47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'Факт Анализ'!$B$46:$N$46</c:f>
            </c:strRef>
          </c:cat>
          <c:val>
            <c:numRef>
              <c:f>'Факт Анализ'!$B$47:$N$47</c:f>
              <c:numCache/>
            </c:numRef>
          </c:val>
          <c:smooth val="0"/>
        </c:ser>
        <c:ser>
          <c:idx val="1"/>
          <c:order val="1"/>
          <c:tx>
            <c:strRef>
              <c:f>'Факт Анализ'!$A$48</c:f>
            </c:strRef>
          </c:tx>
          <c:spPr>
            <a:ln cmpd="sng">
              <a:solidFill>
                <a:srgbClr val="6AA84F"/>
              </a:solidFill>
            </a:ln>
          </c:spPr>
          <c:marker>
            <c:symbol val="circle"/>
            <c:size val="2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cat>
            <c:strRef>
              <c:f>'Факт Анализ'!$B$46:$N$46</c:f>
            </c:strRef>
          </c:cat>
          <c:val>
            <c:numRef>
              <c:f>'Факт Анализ'!$B$48:$N$48</c:f>
              <c:numCache/>
            </c:numRef>
          </c:val>
          <c:smooth val="0"/>
        </c:ser>
        <c:ser>
          <c:idx val="2"/>
          <c:order val="2"/>
          <c:tx>
            <c:strRef>
              <c:f>'Факт Анализ'!$A$49</c:f>
            </c:strRef>
          </c:tx>
          <c:spPr>
            <a:ln cmpd="sng">
              <a:solidFill>
                <a:srgbClr val="CC4125"/>
              </a:solidFill>
            </a:ln>
          </c:spPr>
          <c:marker>
            <c:symbol val="circle"/>
            <c:size val="2"/>
            <c:spPr>
              <a:solidFill>
                <a:srgbClr val="CC4125"/>
              </a:solidFill>
              <a:ln cmpd="sng">
                <a:solidFill>
                  <a:srgbClr val="CC4125"/>
                </a:solidFill>
              </a:ln>
            </c:spPr>
          </c:marker>
          <c:cat>
            <c:strRef>
              <c:f>'Факт Анализ'!$B$46:$N$46</c:f>
            </c:strRef>
          </c:cat>
          <c:val>
            <c:numRef>
              <c:f>'Факт Анализ'!$B$49:$N$49</c:f>
              <c:numCache/>
            </c:numRef>
          </c:val>
          <c:smooth val="0"/>
        </c:ser>
        <c:axId val="318411417"/>
        <c:axId val="72157992"/>
      </c:lineChart>
      <c:catAx>
        <c:axId val="318411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157992"/>
      </c:catAx>
      <c:valAx>
        <c:axId val="72157992"/>
        <c:scaling>
          <c:orientation val="minMax"/>
          <c:max val="0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8411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'Факт Анализ'!$A$51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'Факт Анализ'!$B$2:$N$2</c:f>
            </c:strRef>
          </c:cat>
          <c:val>
            <c:numRef>
              <c:f>'Факт Анализ'!$B$51:$N$51</c:f>
              <c:numCache/>
            </c:numRef>
          </c:val>
          <c:smooth val="1"/>
        </c:ser>
        <c:ser>
          <c:idx val="1"/>
          <c:order val="1"/>
          <c:tx>
            <c:strRef>
              <c:f>'Факт Анализ'!$A$52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circle"/>
            <c:size val="7"/>
            <c:spPr>
              <a:solidFill>
                <a:srgbClr val="DB4437"/>
              </a:solidFill>
              <a:ln cmpd="sng">
                <a:solidFill>
                  <a:srgbClr val="DB4437"/>
                </a:solidFill>
              </a:ln>
            </c:spPr>
          </c:marker>
          <c:cat>
            <c:strRef>
              <c:f>'Факт Анализ'!$B$2:$N$2</c:f>
            </c:strRef>
          </c:cat>
          <c:val>
            <c:numRef>
              <c:f>'Факт Анализ'!$B$52:$N$52</c:f>
              <c:numCache/>
            </c:numRef>
          </c:val>
          <c:smooth val="1"/>
        </c:ser>
        <c:ser>
          <c:idx val="2"/>
          <c:order val="2"/>
          <c:tx>
            <c:strRef>
              <c:f>'Факт Анализ'!$A$53</c:f>
            </c:strRef>
          </c:tx>
          <c:spPr>
            <a:ln cmpd="sng">
              <a:solidFill>
                <a:srgbClr val="6AA84F"/>
              </a:solidFill>
            </a:ln>
          </c:spPr>
          <c:marker>
            <c:symbol val="circle"/>
            <c:size val="5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cat>
            <c:strRef>
              <c:f>'Факт Анализ'!$B$2:$N$2</c:f>
            </c:strRef>
          </c:cat>
          <c:val>
            <c:numRef>
              <c:f>'Факт Анализ'!$B$53:$N$53</c:f>
              <c:numCache/>
            </c:numRef>
          </c:val>
          <c:smooth val="1"/>
        </c:ser>
        <c:axId val="2087715650"/>
        <c:axId val="1362092533"/>
      </c:lineChart>
      <c:catAx>
        <c:axId val="2087715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2092533"/>
      </c:catAx>
      <c:valAx>
        <c:axId val="1362092533"/>
        <c:scaling>
          <c:orientation val="minMax"/>
          <c:max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87715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'Факт Анализ'!$A$55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'Факт Анализ'!$B$46:$N$46</c:f>
            </c:strRef>
          </c:cat>
          <c:val>
            <c:numRef>
              <c:f>'Факт Анализ'!$B$55:$N$55</c:f>
              <c:numCache/>
            </c:numRef>
          </c:val>
          <c:smooth val="1"/>
        </c:ser>
        <c:ser>
          <c:idx val="1"/>
          <c:order val="1"/>
          <c:tx>
            <c:strRef>
              <c:f>'Факт Анализ'!$A$56</c:f>
            </c:strRef>
          </c:tx>
          <c:spPr>
            <a:ln cmpd="sng">
              <a:solidFill>
                <a:srgbClr val="CC4125"/>
              </a:solidFill>
            </a:ln>
          </c:spPr>
          <c:marker>
            <c:symbol val="circle"/>
            <c:size val="4"/>
            <c:spPr>
              <a:solidFill>
                <a:srgbClr val="CC4125"/>
              </a:solidFill>
              <a:ln cmpd="sng">
                <a:solidFill>
                  <a:srgbClr val="CC4125"/>
                </a:solidFill>
              </a:ln>
            </c:spPr>
          </c:marker>
          <c:cat>
            <c:strRef>
              <c:f>'Факт Анализ'!$B$46:$N$46</c:f>
            </c:strRef>
          </c:cat>
          <c:val>
            <c:numRef>
              <c:f>'Факт Анализ'!$B$56:$N$56</c:f>
              <c:numCache/>
            </c:numRef>
          </c:val>
          <c:smooth val="1"/>
        </c:ser>
        <c:ser>
          <c:idx val="2"/>
          <c:order val="2"/>
          <c:tx>
            <c:strRef>
              <c:f>'Факт Анализ'!$A$57</c:f>
            </c:strRef>
          </c:tx>
          <c:spPr>
            <a:ln cmpd="sng">
              <a:solidFill>
                <a:srgbClr val="93C47D"/>
              </a:solidFill>
            </a:ln>
          </c:spPr>
          <c:marker>
            <c:symbol val="circle"/>
            <c:size val="5"/>
            <c:spPr>
              <a:solidFill>
                <a:srgbClr val="93C47D"/>
              </a:solidFill>
              <a:ln cmpd="sng">
                <a:solidFill>
                  <a:srgbClr val="93C47D"/>
                </a:solidFill>
              </a:ln>
            </c:spPr>
          </c:marker>
          <c:cat>
            <c:strRef>
              <c:f>'Факт Анализ'!$B$46:$N$46</c:f>
            </c:strRef>
          </c:cat>
          <c:val>
            <c:numRef>
              <c:f>'Факт Анализ'!$B$57:$N$57</c:f>
              <c:numCache/>
            </c:numRef>
          </c:val>
          <c:smooth val="1"/>
        </c:ser>
        <c:axId val="587738862"/>
        <c:axId val="848003876"/>
      </c:lineChart>
      <c:catAx>
        <c:axId val="587738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8003876"/>
      </c:catAx>
      <c:valAx>
        <c:axId val="8480038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87738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Chart3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295275</xdr:rowOff>
    </xdr:from>
    <xdr:ext cx="8524875" cy="3533775"/>
    <xdr:pic>
      <xdr:nvPicPr>
        <xdr:cNvPr id="1356778484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295275</xdr:rowOff>
    </xdr:from>
    <xdr:ext cx="7667625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19050</xdr:rowOff>
    </xdr:from>
    <xdr:ext cx="7667625" cy="3533775"/>
    <xdr:pic>
      <xdr:nvPicPr>
        <xdr:cNvPr id="838324993" name="Chart3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171450</xdr:rowOff>
    </xdr:from>
    <xdr:ext cx="8105775" cy="438150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78</xdr:row>
      <xdr:rowOff>314325</xdr:rowOff>
    </xdr:from>
    <xdr:ext cx="8105775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96</xdr:row>
      <xdr:rowOff>276225</xdr:rowOff>
    </xdr:from>
    <xdr:ext cx="8105775" cy="392430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117</xdr:row>
      <xdr:rowOff>19050</xdr:rowOff>
    </xdr:from>
    <xdr:ext cx="840105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0</xdr:colOff>
      <xdr:row>134</xdr:row>
      <xdr:rowOff>180975</xdr:rowOff>
    </xdr:from>
    <xdr:ext cx="8562975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28825" cy="571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333375" cy="3333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333375" cy="3333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333375" cy="3333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1581150" cy="7334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yandex.ru/i/ItLcwGuo_E9ihA" TargetMode="External"/><Relationship Id="rId2" Type="http://schemas.openxmlformats.org/officeDocument/2006/relationships/hyperlink" Target="https://leads.noboring-finance.ru/meet_findir/?utm_source=shablon&amp;utm_medium=listnf&amp;utm_campaign=main" TargetMode="External"/><Relationship Id="rId3" Type="http://schemas.openxmlformats.org/officeDocument/2006/relationships/hyperlink" Target="https://leads.noboring-finance.ru/finmodel/?utm_source=shablon&amp;utm_medium=listnf&amp;utm_campaign=finmodel" TargetMode="External"/><Relationship Id="rId4" Type="http://schemas.openxmlformats.org/officeDocument/2006/relationships/hyperlink" Target="https://leads.noboring-finance.ru/uchet?utm_medium=.&amp;utm_campaign=%2F&amp;utm_term=barsetka" TargetMode="External"/><Relationship Id="rId10" Type="http://schemas.openxmlformats.org/officeDocument/2006/relationships/drawing" Target="../drawings/drawing22.xml"/><Relationship Id="rId9" Type="http://schemas.openxmlformats.org/officeDocument/2006/relationships/hyperlink" Target="https://noboring-finance.ru/gazeta/?utm_source=shablon&amp;utm_medium=listnf&amp;utm_campaign=gazeta" TargetMode="External"/><Relationship Id="rId5" Type="http://schemas.openxmlformats.org/officeDocument/2006/relationships/hyperlink" Target="https://leads.noboring-finance.ru/fin_uchet2?utm_medium=.&amp;utm_campaign=%2F&amp;utm_term=barsetka" TargetMode="External"/><Relationship Id="rId6" Type="http://schemas.openxmlformats.org/officeDocument/2006/relationships/hyperlink" Target="https://www.youtube.com/@noboring_finance" TargetMode="External"/><Relationship Id="rId7" Type="http://schemas.openxmlformats.org/officeDocument/2006/relationships/hyperlink" Target="https://t.me/noboring_finance" TargetMode="External"/><Relationship Id="rId8" Type="http://schemas.openxmlformats.org/officeDocument/2006/relationships/hyperlink" Target="https://vk.com/noboring_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9.88"/>
    <col customWidth="1" min="2" max="2" width="19.5"/>
    <col customWidth="1" min="3" max="3" width="30.0"/>
    <col customWidth="1" min="4" max="4" width="31.38"/>
    <col customWidth="1" min="5" max="5" width="21.38"/>
    <col customWidth="1" min="6" max="6" width="19.13"/>
    <col customWidth="1" min="7" max="7" width="12.25"/>
  </cols>
  <sheetData>
    <row r="1">
      <c r="A1" s="1"/>
      <c r="B1" s="1"/>
      <c r="C1" s="1"/>
      <c r="D1" s="1"/>
      <c r="E1" s="2"/>
      <c r="F1" s="2"/>
      <c r="G1" s="1"/>
    </row>
    <row r="2">
      <c r="A2" s="3" t="s">
        <v>0</v>
      </c>
      <c r="B2" s="4" t="s">
        <v>1</v>
      </c>
      <c r="C2" s="5"/>
      <c r="D2" s="6"/>
      <c r="E2" s="2"/>
      <c r="F2" s="7" t="s">
        <v>2</v>
      </c>
      <c r="G2" s="8"/>
    </row>
    <row r="3">
      <c r="A3" s="3" t="s">
        <v>3</v>
      </c>
      <c r="B3" s="9" t="s">
        <v>4</v>
      </c>
      <c r="C3" s="5"/>
      <c r="D3" s="6"/>
      <c r="E3" s="10"/>
      <c r="F3" s="11" t="s">
        <v>5</v>
      </c>
      <c r="G3" s="8"/>
    </row>
    <row r="4">
      <c r="A4" s="12" t="s">
        <v>6</v>
      </c>
      <c r="B4" s="9" t="s">
        <v>7</v>
      </c>
      <c r="C4" s="5"/>
      <c r="D4" s="6"/>
      <c r="E4" s="2"/>
      <c r="F4" s="13" t="s">
        <v>5</v>
      </c>
      <c r="G4" s="8"/>
    </row>
    <row r="5">
      <c r="A5" s="3" t="s">
        <v>8</v>
      </c>
      <c r="B5" s="14" t="s">
        <v>9</v>
      </c>
      <c r="C5" s="5"/>
      <c r="D5" s="6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  <row r="7">
      <c r="A7" s="2"/>
      <c r="B7" s="2"/>
      <c r="C7" s="2"/>
      <c r="D7" s="2"/>
      <c r="E7" s="2"/>
      <c r="F7" s="2"/>
      <c r="G7" s="2"/>
    </row>
    <row r="8">
      <c r="A8" s="15" t="s">
        <v>10</v>
      </c>
      <c r="B8" s="16"/>
      <c r="C8" s="16"/>
      <c r="D8" s="16"/>
      <c r="E8" s="16"/>
      <c r="F8" s="16"/>
      <c r="G8" s="16"/>
    </row>
    <row r="9">
      <c r="A9" s="17" t="s">
        <v>11</v>
      </c>
      <c r="B9" s="18" t="s">
        <v>12</v>
      </c>
      <c r="C9" s="19" t="s">
        <v>13</v>
      </c>
      <c r="D9" s="18" t="s">
        <v>14</v>
      </c>
      <c r="E9" s="19" t="s">
        <v>15</v>
      </c>
      <c r="F9" s="18" t="s">
        <v>16</v>
      </c>
      <c r="G9" s="18" t="s">
        <v>17</v>
      </c>
    </row>
    <row r="10">
      <c r="A10" s="20"/>
      <c r="B10" s="21"/>
      <c r="C10" s="22" t="s">
        <v>18</v>
      </c>
      <c r="D10" s="21"/>
      <c r="E10" s="21"/>
      <c r="F10" s="23"/>
      <c r="G10" s="23"/>
    </row>
    <row r="11">
      <c r="A11" s="24"/>
      <c r="B11" s="24"/>
      <c r="C11" s="25"/>
      <c r="D11" s="24"/>
      <c r="E11" s="24"/>
      <c r="F11" s="7"/>
      <c r="G11" s="7"/>
    </row>
    <row r="12">
      <c r="A12" s="10"/>
      <c r="B12" s="10"/>
      <c r="C12" s="10"/>
      <c r="D12" s="10"/>
      <c r="E12" s="10"/>
      <c r="F12" s="10"/>
      <c r="G12" s="10"/>
    </row>
    <row r="13">
      <c r="A13" s="26" t="s">
        <v>19</v>
      </c>
    </row>
    <row r="14">
      <c r="A14" s="27" t="s">
        <v>20</v>
      </c>
      <c r="B14" s="28" t="s">
        <v>12</v>
      </c>
      <c r="C14" s="27" t="s">
        <v>21</v>
      </c>
      <c r="D14" s="28" t="s">
        <v>14</v>
      </c>
      <c r="E14" s="27" t="s">
        <v>22</v>
      </c>
      <c r="F14" s="28" t="s">
        <v>16</v>
      </c>
      <c r="G14" s="29" t="s">
        <v>17</v>
      </c>
    </row>
    <row r="15">
      <c r="A15" s="24"/>
      <c r="B15" s="24"/>
      <c r="C15" s="24"/>
      <c r="D15" s="24"/>
      <c r="E15" s="24"/>
      <c r="F15" s="24"/>
      <c r="G15" s="7"/>
    </row>
    <row r="16">
      <c r="A16" s="24"/>
      <c r="B16" s="24"/>
      <c r="C16" s="24"/>
      <c r="D16" s="24"/>
      <c r="E16" s="24"/>
      <c r="F16" s="24"/>
      <c r="G16" s="7"/>
    </row>
    <row r="17">
      <c r="A17" s="30"/>
      <c r="B17" s="30"/>
      <c r="C17" s="30"/>
      <c r="D17" s="30"/>
      <c r="E17" s="30"/>
      <c r="F17" s="30"/>
      <c r="G17" s="31"/>
    </row>
    <row r="18">
      <c r="A18" s="2"/>
      <c r="B18" s="2"/>
      <c r="C18" s="2"/>
      <c r="D18" s="2"/>
      <c r="E18" s="2"/>
      <c r="F18" s="2"/>
      <c r="G18" s="2"/>
    </row>
    <row r="19">
      <c r="A19" s="32" t="s">
        <v>23</v>
      </c>
      <c r="B19" s="33"/>
      <c r="C19" s="2"/>
      <c r="D19" s="2"/>
      <c r="E19" s="2"/>
      <c r="F19" s="2"/>
      <c r="G19" s="2"/>
    </row>
    <row r="20">
      <c r="A20" s="34" t="s">
        <v>24</v>
      </c>
      <c r="B20" s="35"/>
      <c r="C20" s="34" t="s">
        <v>25</v>
      </c>
      <c r="D20" s="36"/>
      <c r="E20" s="36"/>
      <c r="F20" s="36"/>
      <c r="G20" s="35"/>
    </row>
    <row r="21">
      <c r="A21" s="37" t="s">
        <v>26</v>
      </c>
      <c r="B21" s="35"/>
      <c r="C21" s="38" t="s">
        <v>27</v>
      </c>
      <c r="D21" s="36"/>
      <c r="E21" s="36"/>
      <c r="F21" s="36"/>
      <c r="G21" s="35"/>
    </row>
    <row r="22">
      <c r="A22" s="37" t="s">
        <v>28</v>
      </c>
      <c r="B22" s="35"/>
      <c r="C22" s="38" t="s">
        <v>29</v>
      </c>
      <c r="D22" s="36"/>
      <c r="E22" s="36"/>
      <c r="F22" s="36"/>
      <c r="G22" s="35"/>
    </row>
    <row r="23">
      <c r="A23" s="37" t="s">
        <v>30</v>
      </c>
      <c r="B23" s="35"/>
      <c r="C23" s="38" t="s">
        <v>31</v>
      </c>
      <c r="D23" s="36"/>
      <c r="E23" s="36"/>
      <c r="F23" s="36"/>
      <c r="G23" s="35"/>
    </row>
    <row r="24">
      <c r="A24" s="37" t="s">
        <v>32</v>
      </c>
      <c r="B24" s="35"/>
      <c r="C24" s="38" t="s">
        <v>33</v>
      </c>
      <c r="D24" s="36"/>
      <c r="E24" s="36"/>
      <c r="F24" s="36"/>
      <c r="G24" s="35"/>
    </row>
    <row r="25">
      <c r="A25" s="39" t="s">
        <v>34</v>
      </c>
      <c r="B25" s="35"/>
      <c r="C25" s="39" t="s">
        <v>35</v>
      </c>
      <c r="D25" s="36"/>
      <c r="E25" s="36"/>
      <c r="F25" s="36"/>
      <c r="G25" s="35"/>
    </row>
    <row r="26">
      <c r="A26" s="2"/>
      <c r="D26" s="2"/>
      <c r="E26" s="2"/>
      <c r="F26" s="2"/>
      <c r="G26" s="2"/>
    </row>
    <row r="27">
      <c r="A27" s="40" t="s">
        <v>36</v>
      </c>
      <c r="B27" s="40"/>
      <c r="C27" s="41"/>
      <c r="G27" s="42"/>
    </row>
    <row r="28">
      <c r="A28" s="27" t="s">
        <v>37</v>
      </c>
      <c r="B28" s="43" t="s">
        <v>38</v>
      </c>
      <c r="C28" s="44"/>
      <c r="D28" s="44"/>
      <c r="E28" s="44"/>
      <c r="F28" s="44"/>
      <c r="G28" s="45"/>
    </row>
    <row r="29">
      <c r="A29" s="46" t="s">
        <v>39</v>
      </c>
      <c r="B29" s="47" t="s">
        <v>40</v>
      </c>
      <c r="C29" s="44"/>
      <c r="D29" s="44"/>
      <c r="E29" s="44"/>
      <c r="F29" s="44"/>
      <c r="G29" s="45"/>
    </row>
    <row r="30">
      <c r="A30" s="48"/>
      <c r="B30" s="49" t="s">
        <v>41</v>
      </c>
      <c r="G30" s="50"/>
    </row>
    <row r="31">
      <c r="A31" s="48"/>
      <c r="B31" s="49" t="s">
        <v>42</v>
      </c>
      <c r="G31" s="50"/>
    </row>
    <row r="32">
      <c r="A32" s="48"/>
      <c r="B32" s="49" t="s">
        <v>43</v>
      </c>
      <c r="G32" s="50"/>
    </row>
    <row r="33">
      <c r="A33" s="51"/>
      <c r="B33" s="52"/>
      <c r="G33" s="50"/>
    </row>
    <row r="34">
      <c r="A34" s="53" t="s">
        <v>44</v>
      </c>
      <c r="B34" s="47" t="s">
        <v>45</v>
      </c>
      <c r="C34" s="44"/>
      <c r="D34" s="44"/>
      <c r="E34" s="44"/>
      <c r="F34" s="44"/>
      <c r="G34" s="45"/>
    </row>
    <row r="35">
      <c r="B35" s="49" t="s">
        <v>46</v>
      </c>
      <c r="G35" s="50"/>
    </row>
    <row r="36">
      <c r="B36" s="49" t="s">
        <v>47</v>
      </c>
      <c r="G36" s="50"/>
    </row>
    <row r="37">
      <c r="B37" s="49" t="s">
        <v>48</v>
      </c>
      <c r="G37" s="50"/>
    </row>
    <row r="38">
      <c r="B38" s="49" t="s">
        <v>49</v>
      </c>
      <c r="G38" s="50"/>
    </row>
    <row r="39">
      <c r="B39" s="49" t="s">
        <v>50</v>
      </c>
      <c r="G39" s="50"/>
    </row>
    <row r="40">
      <c r="B40" s="49" t="s">
        <v>51</v>
      </c>
      <c r="G40" s="50"/>
    </row>
    <row r="41">
      <c r="A41" s="5"/>
      <c r="B41" s="54" t="s">
        <v>52</v>
      </c>
      <c r="C41" s="5"/>
      <c r="D41" s="5"/>
      <c r="E41" s="5"/>
      <c r="F41" s="5"/>
      <c r="G41" s="6"/>
    </row>
    <row r="42">
      <c r="A42" s="55" t="s">
        <v>53</v>
      </c>
      <c r="B42" s="56" t="s">
        <v>54</v>
      </c>
      <c r="G42" s="50"/>
    </row>
    <row r="43">
      <c r="B43" s="56" t="s">
        <v>55</v>
      </c>
      <c r="G43" s="50"/>
    </row>
    <row r="44">
      <c r="B44" s="56" t="s">
        <v>56</v>
      </c>
      <c r="G44" s="50"/>
    </row>
    <row r="45">
      <c r="B45" s="56" t="s">
        <v>57</v>
      </c>
      <c r="G45" s="50"/>
    </row>
    <row r="46">
      <c r="B46" s="56" t="s">
        <v>58</v>
      </c>
      <c r="G46" s="50"/>
    </row>
    <row r="47">
      <c r="B47" s="56" t="s">
        <v>59</v>
      </c>
      <c r="G47" s="50"/>
    </row>
    <row r="48">
      <c r="B48" s="56" t="s">
        <v>60</v>
      </c>
      <c r="G48" s="50"/>
    </row>
    <row r="49">
      <c r="B49" s="56" t="s">
        <v>61</v>
      </c>
      <c r="G49" s="50"/>
    </row>
    <row r="50">
      <c r="B50" s="57" t="s">
        <v>62</v>
      </c>
      <c r="G50" s="50"/>
    </row>
    <row r="51">
      <c r="B51" s="57" t="s">
        <v>63</v>
      </c>
      <c r="G51" s="50"/>
    </row>
    <row r="52">
      <c r="B52" s="58"/>
      <c r="G52" s="50"/>
    </row>
    <row r="53">
      <c r="A53" s="59" t="s">
        <v>64</v>
      </c>
      <c r="B53" s="60" t="s">
        <v>65</v>
      </c>
      <c r="C53" s="44"/>
      <c r="D53" s="44"/>
      <c r="E53" s="44"/>
      <c r="F53" s="44"/>
      <c r="G53" s="45"/>
    </row>
    <row r="54">
      <c r="B54" s="61"/>
      <c r="C54" s="5"/>
      <c r="D54" s="5"/>
      <c r="E54" s="5"/>
      <c r="F54" s="5"/>
      <c r="G54" s="6"/>
    </row>
    <row r="55">
      <c r="A55" s="46" t="s">
        <v>66</v>
      </c>
      <c r="B55" s="62" t="s">
        <v>67</v>
      </c>
      <c r="G55" s="50"/>
    </row>
    <row r="56">
      <c r="A56" s="51"/>
      <c r="B56" s="63"/>
      <c r="G56" s="50"/>
    </row>
    <row r="57">
      <c r="A57" s="46" t="s">
        <v>68</v>
      </c>
      <c r="B57" s="60" t="s">
        <v>65</v>
      </c>
      <c r="C57" s="44"/>
      <c r="D57" s="44"/>
      <c r="E57" s="44"/>
      <c r="F57" s="44"/>
      <c r="G57" s="45"/>
    </row>
    <row r="58">
      <c r="A58" s="51"/>
      <c r="B58" s="64"/>
      <c r="C58" s="5"/>
      <c r="D58" s="5"/>
      <c r="E58" s="5"/>
      <c r="F58" s="5"/>
      <c r="G58" s="6"/>
    </row>
    <row r="59">
      <c r="A59" s="46" t="s">
        <v>69</v>
      </c>
      <c r="B59" s="65" t="s">
        <v>65</v>
      </c>
      <c r="G59" s="50"/>
    </row>
    <row r="60">
      <c r="A60" s="51"/>
      <c r="B60" s="66"/>
      <c r="G60" s="50"/>
    </row>
    <row r="61">
      <c r="A61" s="46" t="s">
        <v>70</v>
      </c>
      <c r="B61" s="60" t="s">
        <v>65</v>
      </c>
      <c r="C61" s="44"/>
      <c r="D61" s="44"/>
      <c r="E61" s="44"/>
      <c r="F61" s="44"/>
      <c r="G61" s="45"/>
    </row>
    <row r="62">
      <c r="A62" s="51"/>
      <c r="B62" s="67"/>
      <c r="C62" s="5"/>
      <c r="D62" s="5"/>
      <c r="E62" s="5"/>
      <c r="F62" s="5"/>
      <c r="G62" s="6"/>
    </row>
    <row r="63">
      <c r="A63" s="2"/>
      <c r="B63" s="2"/>
      <c r="C63" s="2"/>
      <c r="D63" s="2"/>
      <c r="E63" s="2"/>
      <c r="F63" s="2"/>
      <c r="G63" s="2"/>
    </row>
    <row r="64">
      <c r="A64" s="32" t="s">
        <v>71</v>
      </c>
      <c r="B64" s="33"/>
      <c r="C64" s="2"/>
      <c r="D64" s="2"/>
      <c r="E64" s="2"/>
      <c r="F64" s="2"/>
      <c r="G64" s="2"/>
    </row>
    <row r="65">
      <c r="A65" s="34" t="s">
        <v>72</v>
      </c>
      <c r="B65" s="35"/>
      <c r="C65" s="27" t="s">
        <v>73</v>
      </c>
      <c r="D65" s="27" t="s">
        <v>74</v>
      </c>
      <c r="E65" s="27" t="s">
        <v>75</v>
      </c>
      <c r="F65" s="68"/>
      <c r="G65" s="2"/>
    </row>
    <row r="66">
      <c r="A66" s="69" t="s">
        <v>76</v>
      </c>
      <c r="B66" s="35"/>
      <c r="C66" s="11" t="b">
        <v>0</v>
      </c>
      <c r="D66" s="30"/>
      <c r="E66" s="30"/>
      <c r="F66" s="2"/>
      <c r="G66" s="2"/>
    </row>
    <row r="67">
      <c r="A67" s="69"/>
      <c r="B67" s="35"/>
      <c r="C67" s="11" t="b">
        <v>0</v>
      </c>
      <c r="D67" s="30"/>
      <c r="E67" s="30"/>
      <c r="F67" s="2"/>
      <c r="G67" s="2"/>
    </row>
    <row r="68">
      <c r="A68" s="69"/>
      <c r="B68" s="35"/>
      <c r="C68" s="11" t="b">
        <v>0</v>
      </c>
      <c r="D68" s="30"/>
      <c r="E68" s="30"/>
      <c r="F68" s="2"/>
      <c r="G68" s="2"/>
    </row>
    <row r="69">
      <c r="A69" s="69"/>
      <c r="B69" s="35"/>
      <c r="C69" s="11" t="b">
        <v>0</v>
      </c>
      <c r="D69" s="30"/>
      <c r="E69" s="30"/>
      <c r="F69" s="2"/>
      <c r="G69" s="2"/>
    </row>
    <row r="70">
      <c r="A70" s="70"/>
      <c r="B70" s="35"/>
      <c r="C70" s="71" t="b">
        <v>0</v>
      </c>
      <c r="D70" s="30"/>
      <c r="E70" s="30"/>
      <c r="F70" s="2"/>
      <c r="G70" s="2"/>
    </row>
    <row r="71">
      <c r="A71" s="70"/>
      <c r="B71" s="35"/>
      <c r="C71" s="71" t="b">
        <v>0</v>
      </c>
      <c r="D71" s="30"/>
      <c r="E71" s="30"/>
      <c r="F71" s="2"/>
      <c r="G71" s="2"/>
    </row>
    <row r="72">
      <c r="A72" s="72"/>
      <c r="B72" s="35"/>
      <c r="C72" s="71" t="b">
        <v>0</v>
      </c>
      <c r="D72" s="30"/>
      <c r="E72" s="30"/>
      <c r="F72" s="2"/>
      <c r="G72" s="2"/>
    </row>
    <row r="73">
      <c r="A73" s="72"/>
      <c r="B73" s="35"/>
      <c r="C73" s="71" t="b">
        <v>0</v>
      </c>
      <c r="D73" s="30"/>
      <c r="E73" s="30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32" t="s">
        <v>77</v>
      </c>
      <c r="B76" s="2"/>
      <c r="C76" s="2"/>
      <c r="D76" s="2"/>
      <c r="E76" s="2"/>
      <c r="F76" s="2"/>
      <c r="G76" s="2"/>
    </row>
    <row r="77">
      <c r="A77" s="27" t="s">
        <v>78</v>
      </c>
      <c r="B77" s="27" t="s">
        <v>79</v>
      </c>
      <c r="C77" s="2"/>
      <c r="D77" s="2"/>
      <c r="E77" s="2"/>
      <c r="F77" s="2"/>
      <c r="G77" s="2"/>
    </row>
    <row r="78">
      <c r="A78" s="30"/>
      <c r="B78" s="30"/>
      <c r="C78" s="2"/>
      <c r="D78" s="2"/>
      <c r="E78" s="2"/>
      <c r="F78" s="2"/>
      <c r="G78" s="2"/>
    </row>
    <row r="79">
      <c r="A79" s="30"/>
      <c r="B79" s="30"/>
      <c r="C79" s="2"/>
      <c r="D79" s="2"/>
      <c r="E79" s="2"/>
      <c r="F79" s="2"/>
      <c r="G79" s="2"/>
    </row>
    <row r="80">
      <c r="A80" s="30"/>
      <c r="B80" s="30"/>
      <c r="C80" s="2"/>
      <c r="D80" s="2"/>
      <c r="E80" s="2"/>
      <c r="F80" s="2"/>
      <c r="G80" s="2"/>
    </row>
    <row r="81">
      <c r="A81" s="30"/>
      <c r="B81" s="30"/>
      <c r="C81" s="2"/>
      <c r="D81" s="2"/>
      <c r="E81" s="2"/>
      <c r="F81" s="2"/>
      <c r="G81" s="2"/>
    </row>
    <row r="82">
      <c r="A82" s="30"/>
      <c r="B82" s="30"/>
      <c r="C82" s="2"/>
      <c r="D82" s="2"/>
      <c r="E82" s="2"/>
      <c r="F82" s="2"/>
      <c r="G82" s="2"/>
    </row>
    <row r="83">
      <c r="A83" s="30"/>
      <c r="B83" s="30"/>
      <c r="C83" s="2"/>
      <c r="D83" s="2"/>
      <c r="E83" s="2"/>
      <c r="F83" s="2"/>
      <c r="G83" s="2"/>
    </row>
    <row r="84">
      <c r="A84" s="30"/>
      <c r="B84" s="30"/>
      <c r="C84" s="2"/>
      <c r="D84" s="2"/>
      <c r="E84" s="2"/>
      <c r="F84" s="2"/>
      <c r="G84" s="2"/>
    </row>
    <row r="85">
      <c r="A85" s="30"/>
      <c r="B85" s="30"/>
      <c r="C85" s="2"/>
      <c r="D85" s="2"/>
      <c r="E85" s="2"/>
      <c r="F85" s="2"/>
      <c r="G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  <c r="C98" s="2"/>
      <c r="D98" s="2"/>
      <c r="E98" s="2"/>
      <c r="F98" s="2"/>
      <c r="G98" s="2"/>
    </row>
    <row r="99">
      <c r="A99" s="2"/>
      <c r="B99" s="2"/>
      <c r="C99" s="2"/>
      <c r="D99" s="2"/>
      <c r="E99" s="2"/>
      <c r="F99" s="2"/>
      <c r="G99" s="2"/>
    </row>
    <row r="100">
      <c r="A100" s="2"/>
      <c r="B100" s="2"/>
      <c r="C100" s="2"/>
      <c r="D100" s="2"/>
      <c r="E100" s="2"/>
      <c r="F100" s="2"/>
      <c r="G100" s="2"/>
    </row>
    <row r="101">
      <c r="A101" s="2"/>
      <c r="B101" s="2"/>
      <c r="C101" s="2"/>
      <c r="D101" s="2"/>
      <c r="E101" s="2"/>
      <c r="F101" s="2"/>
      <c r="G101" s="2"/>
    </row>
    <row r="102">
      <c r="A102" s="2"/>
      <c r="B102" s="2"/>
      <c r="C102" s="2"/>
      <c r="D102" s="2"/>
      <c r="E102" s="2"/>
      <c r="F102" s="2"/>
      <c r="G102" s="2"/>
    </row>
    <row r="103">
      <c r="A103" s="2"/>
      <c r="B103" s="2"/>
      <c r="C103" s="2"/>
      <c r="D103" s="2"/>
      <c r="E103" s="2"/>
      <c r="F103" s="2"/>
      <c r="G103" s="2"/>
    </row>
    <row r="104">
      <c r="A104" s="2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2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2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2"/>
      <c r="B116" s="2"/>
      <c r="C116" s="2"/>
      <c r="D116" s="2"/>
      <c r="E116" s="2"/>
      <c r="F116" s="2"/>
      <c r="G116" s="2"/>
    </row>
    <row r="117">
      <c r="A117" s="2"/>
      <c r="B117" s="2"/>
      <c r="C117" s="2"/>
      <c r="D117" s="2"/>
      <c r="E117" s="2"/>
      <c r="F117" s="2"/>
      <c r="G117" s="2"/>
    </row>
    <row r="118">
      <c r="A118" s="2"/>
      <c r="B118" s="2"/>
      <c r="C118" s="2"/>
      <c r="D118" s="2"/>
      <c r="E118" s="2"/>
      <c r="F118" s="2"/>
      <c r="G118" s="2"/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2"/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2"/>
      <c r="C122" s="2"/>
      <c r="D122" s="2"/>
      <c r="E122" s="2"/>
      <c r="F122" s="2"/>
      <c r="G122" s="2"/>
    </row>
    <row r="123">
      <c r="A123" s="2"/>
      <c r="B123" s="2"/>
      <c r="C123" s="2"/>
      <c r="D123" s="2"/>
      <c r="E123" s="2"/>
      <c r="F123" s="2"/>
      <c r="G123" s="2"/>
    </row>
    <row r="124">
      <c r="A124" s="2"/>
      <c r="B124" s="2"/>
      <c r="C124" s="2"/>
      <c r="D124" s="2"/>
      <c r="E124" s="2"/>
      <c r="F124" s="2"/>
      <c r="G124" s="2"/>
    </row>
    <row r="125">
      <c r="A125" s="2"/>
      <c r="B125" s="2"/>
      <c r="C125" s="2"/>
      <c r="D125" s="2"/>
      <c r="E125" s="2"/>
      <c r="F125" s="2"/>
      <c r="G125" s="2"/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2"/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2"/>
      <c r="C129" s="2"/>
      <c r="D129" s="2"/>
      <c r="E129" s="2"/>
      <c r="F129" s="2"/>
      <c r="G129" s="2"/>
    </row>
    <row r="130">
      <c r="A130" s="2"/>
      <c r="B130" s="2"/>
      <c r="C130" s="2"/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2"/>
      <c r="C132" s="2"/>
      <c r="D132" s="2"/>
      <c r="E132" s="2"/>
      <c r="F132" s="2"/>
      <c r="G132" s="2"/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2"/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2"/>
      <c r="C136" s="2"/>
      <c r="D136" s="2"/>
      <c r="E136" s="2"/>
      <c r="F136" s="2"/>
      <c r="G136" s="2"/>
    </row>
    <row r="137">
      <c r="A137" s="2"/>
      <c r="B137" s="2"/>
      <c r="C137" s="2"/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2"/>
      <c r="C139" s="2"/>
      <c r="D139" s="2"/>
      <c r="E139" s="2"/>
      <c r="F139" s="2"/>
      <c r="G139" s="2"/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2"/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2"/>
      <c r="C143" s="2"/>
      <c r="D143" s="2"/>
      <c r="E143" s="2"/>
      <c r="F143" s="2"/>
      <c r="G143" s="2"/>
    </row>
    <row r="144">
      <c r="A144" s="2"/>
      <c r="B144" s="2"/>
      <c r="C144" s="2"/>
      <c r="D144" s="2"/>
      <c r="E144" s="2"/>
      <c r="F144" s="2"/>
      <c r="G144" s="2"/>
    </row>
    <row r="145">
      <c r="A145" s="2"/>
      <c r="B145" s="2"/>
      <c r="C145" s="2"/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2"/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2"/>
      <c r="C150" s="2"/>
      <c r="D150" s="2"/>
      <c r="E150" s="2"/>
      <c r="F150" s="2"/>
      <c r="G150" s="2"/>
    </row>
    <row r="151">
      <c r="A151" s="2"/>
      <c r="B151" s="2"/>
      <c r="C151" s="2"/>
      <c r="D151" s="2"/>
      <c r="E151" s="2"/>
      <c r="F151" s="2"/>
      <c r="G151" s="2"/>
    </row>
    <row r="152">
      <c r="A152" s="2"/>
      <c r="B152" s="2"/>
      <c r="C152" s="2"/>
      <c r="D152" s="2"/>
      <c r="E152" s="2"/>
      <c r="F152" s="2"/>
      <c r="G152" s="2"/>
    </row>
    <row r="153">
      <c r="A153" s="2"/>
      <c r="B153" s="2"/>
      <c r="C153" s="2"/>
      <c r="D153" s="2"/>
      <c r="E153" s="2"/>
      <c r="F153" s="2"/>
      <c r="G153" s="2"/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2"/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2"/>
      <c r="C157" s="2"/>
      <c r="D157" s="2"/>
      <c r="E157" s="2"/>
      <c r="F157" s="2"/>
      <c r="G157" s="2"/>
    </row>
    <row r="158">
      <c r="A158" s="2"/>
      <c r="B158" s="2"/>
      <c r="C158" s="2"/>
      <c r="D158" s="2"/>
      <c r="E158" s="2"/>
      <c r="F158" s="2"/>
      <c r="G158" s="2"/>
    </row>
    <row r="159">
      <c r="A159" s="2"/>
      <c r="B159" s="2"/>
      <c r="C159" s="2"/>
      <c r="D159" s="2"/>
      <c r="E159" s="2"/>
      <c r="F159" s="2"/>
      <c r="G159" s="2"/>
    </row>
    <row r="160">
      <c r="A160" s="2"/>
      <c r="B160" s="2"/>
      <c r="C160" s="2"/>
      <c r="D160" s="2"/>
      <c r="E160" s="2"/>
      <c r="F160" s="2"/>
      <c r="G160" s="2"/>
    </row>
    <row r="161">
      <c r="A161" s="2"/>
      <c r="B161" s="2"/>
      <c r="C161" s="2"/>
      <c r="D161" s="2"/>
      <c r="E161" s="2"/>
      <c r="F161" s="2"/>
      <c r="G161" s="2"/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2"/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2"/>
      <c r="C165" s="2"/>
      <c r="D165" s="2"/>
      <c r="E165" s="2"/>
      <c r="F165" s="2"/>
      <c r="G165" s="2"/>
    </row>
    <row r="166">
      <c r="A166" s="2"/>
      <c r="B166" s="2"/>
      <c r="C166" s="2"/>
      <c r="D166" s="2"/>
      <c r="E166" s="2"/>
      <c r="F166" s="2"/>
      <c r="G166" s="2"/>
    </row>
    <row r="167">
      <c r="A167" s="2"/>
      <c r="B167" s="2"/>
      <c r="C167" s="2"/>
      <c r="D167" s="2"/>
      <c r="E167" s="2"/>
      <c r="F167" s="2"/>
      <c r="G167" s="2"/>
    </row>
    <row r="168">
      <c r="A168" s="2"/>
      <c r="B168" s="2"/>
      <c r="C168" s="2"/>
      <c r="D168" s="2"/>
      <c r="E168" s="2"/>
      <c r="F168" s="2"/>
      <c r="G168" s="2"/>
    </row>
    <row r="169">
      <c r="A169" s="2"/>
      <c r="B169" s="2"/>
      <c r="C169" s="2"/>
      <c r="D169" s="2"/>
      <c r="E169" s="2"/>
      <c r="F169" s="2"/>
      <c r="G169" s="2"/>
    </row>
    <row r="170">
      <c r="A170" s="2"/>
      <c r="B170" s="2"/>
      <c r="C170" s="2"/>
      <c r="D170" s="2"/>
      <c r="E170" s="2"/>
      <c r="F170" s="2"/>
      <c r="G170" s="2"/>
    </row>
    <row r="171">
      <c r="A171" s="2"/>
      <c r="B171" s="2"/>
      <c r="C171" s="2"/>
      <c r="D171" s="2"/>
      <c r="E171" s="2"/>
      <c r="F171" s="2"/>
      <c r="G171" s="2"/>
    </row>
    <row r="172">
      <c r="A172" s="2"/>
      <c r="B172" s="2"/>
      <c r="C172" s="2"/>
      <c r="D172" s="2"/>
      <c r="E172" s="2"/>
      <c r="F172" s="2"/>
      <c r="G172" s="2"/>
    </row>
    <row r="173">
      <c r="A173" s="2"/>
      <c r="B173" s="2"/>
      <c r="C173" s="2"/>
      <c r="D173" s="2"/>
      <c r="E173" s="2"/>
      <c r="F173" s="2"/>
      <c r="G173" s="2"/>
    </row>
    <row r="174">
      <c r="A174" s="2"/>
      <c r="B174" s="2"/>
      <c r="C174" s="2"/>
      <c r="D174" s="2"/>
      <c r="E174" s="2"/>
      <c r="F174" s="2"/>
      <c r="G174" s="2"/>
    </row>
    <row r="175">
      <c r="A175" s="2"/>
      <c r="B175" s="2"/>
      <c r="C175" s="2"/>
      <c r="D175" s="2"/>
      <c r="E175" s="2"/>
      <c r="F175" s="2"/>
      <c r="G175" s="2"/>
    </row>
    <row r="176">
      <c r="A176" s="2"/>
      <c r="B176" s="2"/>
      <c r="C176" s="2"/>
      <c r="D176" s="2"/>
      <c r="E176" s="2"/>
      <c r="F176" s="2"/>
      <c r="G176" s="2"/>
    </row>
    <row r="177">
      <c r="A177" s="2"/>
      <c r="B177" s="2"/>
      <c r="C177" s="2"/>
      <c r="D177" s="2"/>
      <c r="E177" s="2"/>
      <c r="F177" s="2"/>
      <c r="G177" s="2"/>
    </row>
    <row r="178">
      <c r="A178" s="2"/>
      <c r="B178" s="2"/>
      <c r="C178" s="2"/>
      <c r="D178" s="2"/>
      <c r="E178" s="2"/>
      <c r="F178" s="2"/>
      <c r="G178" s="2"/>
    </row>
    <row r="179">
      <c r="A179" s="2"/>
      <c r="B179" s="2"/>
      <c r="C179" s="2"/>
      <c r="D179" s="2"/>
      <c r="E179" s="2"/>
      <c r="F179" s="2"/>
      <c r="G179" s="2"/>
    </row>
    <row r="180">
      <c r="A180" s="2"/>
      <c r="B180" s="2"/>
      <c r="C180" s="2"/>
      <c r="D180" s="2"/>
      <c r="E180" s="2"/>
      <c r="F180" s="2"/>
      <c r="G180" s="2"/>
    </row>
    <row r="181">
      <c r="A181" s="2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2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2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2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2"/>
      <c r="B189" s="2"/>
      <c r="C189" s="2"/>
      <c r="D189" s="2"/>
      <c r="E189" s="2"/>
      <c r="F189" s="2"/>
      <c r="G189" s="2"/>
    </row>
    <row r="190">
      <c r="A190" s="2"/>
      <c r="B190" s="2"/>
      <c r="C190" s="2"/>
      <c r="D190" s="2"/>
      <c r="E190" s="2"/>
      <c r="F190" s="2"/>
      <c r="G190" s="2"/>
    </row>
    <row r="191">
      <c r="A191" s="2"/>
      <c r="B191" s="2"/>
      <c r="C191" s="2"/>
      <c r="D191" s="2"/>
      <c r="E191" s="2"/>
      <c r="F191" s="2"/>
      <c r="G191" s="2"/>
    </row>
    <row r="192">
      <c r="A192" s="2"/>
      <c r="B192" s="2"/>
      <c r="C192" s="2"/>
      <c r="D192" s="2"/>
      <c r="E192" s="2"/>
      <c r="F192" s="2"/>
      <c r="G192" s="2"/>
    </row>
    <row r="193">
      <c r="A193" s="2"/>
      <c r="B193" s="2"/>
      <c r="C193" s="2"/>
      <c r="D193" s="2"/>
      <c r="E193" s="2"/>
      <c r="F193" s="2"/>
      <c r="G193" s="2"/>
    </row>
    <row r="194">
      <c r="A194" s="2"/>
      <c r="B194" s="2"/>
      <c r="C194" s="2"/>
      <c r="D194" s="2"/>
      <c r="E194" s="2"/>
      <c r="F194" s="2"/>
      <c r="G194" s="2"/>
    </row>
    <row r="195">
      <c r="A195" s="2"/>
      <c r="B195" s="2"/>
      <c r="C195" s="2"/>
      <c r="D195" s="2"/>
      <c r="E195" s="2"/>
      <c r="F195" s="2"/>
      <c r="G195" s="2"/>
    </row>
    <row r="196">
      <c r="A196" s="2"/>
      <c r="B196" s="2"/>
      <c r="C196" s="2"/>
      <c r="D196" s="2"/>
      <c r="E196" s="2"/>
      <c r="F196" s="2"/>
      <c r="G196" s="2"/>
    </row>
    <row r="197">
      <c r="A197" s="2"/>
      <c r="B197" s="2"/>
      <c r="C197" s="2"/>
      <c r="D197" s="2"/>
      <c r="E197" s="2"/>
      <c r="F197" s="2"/>
      <c r="G197" s="2"/>
    </row>
    <row r="198">
      <c r="A198" s="2"/>
      <c r="B198" s="2"/>
      <c r="C198" s="2"/>
      <c r="D198" s="2"/>
      <c r="E198" s="2"/>
      <c r="F198" s="2"/>
      <c r="G198" s="2"/>
    </row>
    <row r="199">
      <c r="A199" s="2"/>
      <c r="B199" s="2"/>
      <c r="C199" s="2"/>
      <c r="D199" s="2"/>
      <c r="E199" s="2"/>
      <c r="F199" s="2"/>
      <c r="G199" s="2"/>
    </row>
    <row r="200">
      <c r="A200" s="2"/>
      <c r="B200" s="2"/>
      <c r="C200" s="2"/>
      <c r="D200" s="2"/>
      <c r="E200" s="2"/>
      <c r="F200" s="2"/>
      <c r="G200" s="2"/>
    </row>
    <row r="201">
      <c r="A201" s="2"/>
      <c r="B201" s="2"/>
      <c r="C201" s="2"/>
      <c r="D201" s="2"/>
      <c r="E201" s="2"/>
      <c r="F201" s="2"/>
      <c r="G201" s="2"/>
    </row>
    <row r="202">
      <c r="A202" s="2"/>
      <c r="B202" s="2"/>
      <c r="C202" s="2"/>
      <c r="D202" s="2"/>
      <c r="E202" s="2"/>
      <c r="F202" s="2"/>
      <c r="G202" s="2"/>
    </row>
    <row r="203">
      <c r="A203" s="2"/>
      <c r="B203" s="2"/>
      <c r="C203" s="2"/>
      <c r="D203" s="2"/>
      <c r="E203" s="2"/>
      <c r="F203" s="2"/>
      <c r="G203" s="2"/>
    </row>
    <row r="204">
      <c r="A204" s="2"/>
      <c r="B204" s="2"/>
      <c r="C204" s="2"/>
      <c r="D204" s="2"/>
      <c r="E204" s="2"/>
      <c r="F204" s="2"/>
      <c r="G204" s="2"/>
    </row>
    <row r="205">
      <c r="A205" s="2"/>
      <c r="B205" s="2"/>
      <c r="C205" s="2"/>
      <c r="D205" s="2"/>
      <c r="E205" s="2"/>
      <c r="F205" s="2"/>
      <c r="G205" s="2"/>
    </row>
    <row r="206">
      <c r="A206" s="2"/>
      <c r="B206" s="2"/>
      <c r="C206" s="2"/>
      <c r="D206" s="2"/>
      <c r="E206" s="2"/>
      <c r="F206" s="2"/>
      <c r="G206" s="2"/>
    </row>
    <row r="207">
      <c r="A207" s="2"/>
      <c r="B207" s="2"/>
      <c r="C207" s="2"/>
      <c r="D207" s="2"/>
      <c r="E207" s="2"/>
      <c r="F207" s="2"/>
      <c r="G207" s="2"/>
    </row>
    <row r="208">
      <c r="A208" s="2"/>
      <c r="B208" s="2"/>
      <c r="C208" s="2"/>
      <c r="D208" s="2"/>
      <c r="E208" s="2"/>
      <c r="F208" s="2"/>
      <c r="G208" s="2"/>
    </row>
    <row r="209">
      <c r="A209" s="2"/>
      <c r="B209" s="2"/>
      <c r="C209" s="2"/>
      <c r="D209" s="2"/>
      <c r="E209" s="2"/>
      <c r="F209" s="2"/>
      <c r="G209" s="2"/>
    </row>
    <row r="210">
      <c r="A210" s="2"/>
      <c r="B210" s="2"/>
      <c r="C210" s="2"/>
      <c r="D210" s="2"/>
      <c r="E210" s="2"/>
      <c r="F210" s="2"/>
      <c r="G210" s="2"/>
    </row>
    <row r="211">
      <c r="A211" s="2"/>
      <c r="B211" s="2"/>
      <c r="C211" s="2"/>
      <c r="D211" s="2"/>
      <c r="E211" s="2"/>
      <c r="F211" s="2"/>
      <c r="G211" s="2"/>
    </row>
    <row r="212">
      <c r="A212" s="2"/>
      <c r="B212" s="2"/>
      <c r="C212" s="2"/>
      <c r="D212" s="2"/>
      <c r="E212" s="2"/>
      <c r="F212" s="2"/>
      <c r="G212" s="2"/>
    </row>
    <row r="213">
      <c r="A213" s="2"/>
      <c r="B213" s="2"/>
      <c r="C213" s="2"/>
      <c r="D213" s="2"/>
      <c r="E213" s="2"/>
      <c r="F213" s="2"/>
      <c r="G213" s="2"/>
    </row>
    <row r="214">
      <c r="A214" s="2"/>
      <c r="B214" s="2"/>
      <c r="C214" s="2"/>
      <c r="D214" s="2"/>
      <c r="E214" s="2"/>
      <c r="F214" s="2"/>
      <c r="G214" s="2"/>
    </row>
    <row r="215">
      <c r="A215" s="2"/>
      <c r="B215" s="2"/>
      <c r="C215" s="2"/>
      <c r="D215" s="2"/>
      <c r="E215" s="2"/>
      <c r="F215" s="2"/>
      <c r="G215" s="2"/>
    </row>
    <row r="216">
      <c r="A216" s="2"/>
      <c r="B216" s="2"/>
      <c r="C216" s="2"/>
      <c r="D216" s="2"/>
      <c r="E216" s="2"/>
      <c r="F216" s="2"/>
      <c r="G216" s="2"/>
    </row>
    <row r="217">
      <c r="A217" s="2"/>
      <c r="B217" s="2"/>
      <c r="C217" s="2"/>
      <c r="D217" s="2"/>
      <c r="E217" s="2"/>
      <c r="F217" s="2"/>
      <c r="G217" s="2"/>
    </row>
    <row r="218">
      <c r="A218" s="2"/>
      <c r="B218" s="2"/>
      <c r="C218" s="2"/>
      <c r="D218" s="2"/>
      <c r="E218" s="2"/>
      <c r="F218" s="2"/>
      <c r="G218" s="2"/>
    </row>
    <row r="219">
      <c r="A219" s="2"/>
      <c r="B219" s="2"/>
      <c r="C219" s="2"/>
      <c r="D219" s="2"/>
      <c r="E219" s="2"/>
      <c r="F219" s="2"/>
      <c r="G219" s="2"/>
    </row>
    <row r="220">
      <c r="A220" s="2"/>
      <c r="B220" s="2"/>
      <c r="C220" s="2"/>
      <c r="D220" s="2"/>
      <c r="E220" s="2"/>
      <c r="F220" s="2"/>
      <c r="G220" s="2"/>
    </row>
    <row r="221">
      <c r="A221" s="2"/>
      <c r="B221" s="2"/>
      <c r="C221" s="2"/>
      <c r="D221" s="2"/>
      <c r="E221" s="2"/>
      <c r="F221" s="2"/>
      <c r="G221" s="2"/>
    </row>
    <row r="222">
      <c r="A222" s="2"/>
      <c r="B222" s="2"/>
      <c r="C222" s="2"/>
      <c r="D222" s="2"/>
      <c r="E222" s="2"/>
      <c r="F222" s="2"/>
      <c r="G222" s="2"/>
    </row>
    <row r="223">
      <c r="A223" s="2"/>
      <c r="B223" s="2"/>
      <c r="C223" s="2"/>
      <c r="D223" s="2"/>
      <c r="E223" s="2"/>
      <c r="F223" s="2"/>
      <c r="G223" s="2"/>
    </row>
    <row r="224">
      <c r="A224" s="2"/>
      <c r="B224" s="2"/>
      <c r="C224" s="2"/>
      <c r="D224" s="2"/>
      <c r="E224" s="2"/>
      <c r="F224" s="2"/>
      <c r="G224" s="2"/>
    </row>
    <row r="225">
      <c r="A225" s="2"/>
      <c r="B225" s="2"/>
      <c r="C225" s="2"/>
      <c r="D225" s="2"/>
      <c r="E225" s="2"/>
      <c r="F225" s="2"/>
      <c r="G225" s="2"/>
    </row>
    <row r="226">
      <c r="A226" s="2"/>
      <c r="B226" s="2"/>
      <c r="C226" s="2"/>
      <c r="D226" s="2"/>
      <c r="E226" s="2"/>
      <c r="F226" s="2"/>
      <c r="G226" s="2"/>
    </row>
    <row r="227">
      <c r="A227" s="2"/>
      <c r="B227" s="2"/>
      <c r="C227" s="2"/>
      <c r="D227" s="2"/>
      <c r="E227" s="2"/>
      <c r="F227" s="2"/>
      <c r="G227" s="2"/>
    </row>
    <row r="228">
      <c r="A228" s="2"/>
      <c r="B228" s="2"/>
      <c r="C228" s="2"/>
      <c r="D228" s="2"/>
      <c r="E228" s="2"/>
      <c r="F228" s="2"/>
      <c r="G228" s="2"/>
    </row>
    <row r="229">
      <c r="A229" s="2"/>
      <c r="B229" s="2"/>
      <c r="C229" s="2"/>
      <c r="D229" s="2"/>
      <c r="E229" s="2"/>
      <c r="F229" s="2"/>
      <c r="G229" s="2"/>
    </row>
    <row r="230">
      <c r="A230" s="2"/>
      <c r="B230" s="2"/>
      <c r="C230" s="2"/>
      <c r="D230" s="2"/>
      <c r="E230" s="2"/>
      <c r="F230" s="2"/>
      <c r="G230" s="2"/>
    </row>
    <row r="231">
      <c r="A231" s="2"/>
      <c r="B231" s="2"/>
      <c r="C231" s="2"/>
      <c r="D231" s="2"/>
      <c r="E231" s="2"/>
      <c r="F231" s="2"/>
      <c r="G231" s="2"/>
    </row>
    <row r="232">
      <c r="A232" s="2"/>
      <c r="B232" s="2"/>
      <c r="C232" s="2"/>
      <c r="D232" s="2"/>
      <c r="E232" s="2"/>
      <c r="F232" s="2"/>
      <c r="G232" s="2"/>
    </row>
    <row r="233">
      <c r="A233" s="2"/>
      <c r="B233" s="2"/>
      <c r="C233" s="2"/>
      <c r="D233" s="2"/>
      <c r="E233" s="2"/>
      <c r="F233" s="2"/>
      <c r="G233" s="2"/>
    </row>
    <row r="234">
      <c r="A234" s="2"/>
      <c r="B234" s="2"/>
      <c r="C234" s="2"/>
      <c r="D234" s="2"/>
      <c r="E234" s="2"/>
      <c r="F234" s="2"/>
      <c r="G234" s="2"/>
    </row>
    <row r="235">
      <c r="A235" s="2"/>
      <c r="B235" s="2"/>
      <c r="C235" s="2"/>
      <c r="D235" s="2"/>
      <c r="E235" s="2"/>
      <c r="F235" s="2"/>
      <c r="G235" s="2"/>
    </row>
    <row r="236">
      <c r="A236" s="2"/>
      <c r="B236" s="2"/>
      <c r="C236" s="2"/>
      <c r="D236" s="2"/>
      <c r="E236" s="2"/>
      <c r="F236" s="2"/>
      <c r="G236" s="2"/>
    </row>
    <row r="237">
      <c r="A237" s="2"/>
      <c r="B237" s="2"/>
      <c r="C237" s="2"/>
      <c r="D237" s="2"/>
      <c r="E237" s="2"/>
      <c r="F237" s="2"/>
      <c r="G237" s="2"/>
    </row>
    <row r="238">
      <c r="A238" s="2"/>
      <c r="B238" s="2"/>
      <c r="C238" s="2"/>
      <c r="D238" s="2"/>
      <c r="E238" s="2"/>
      <c r="F238" s="2"/>
      <c r="G238" s="2"/>
    </row>
    <row r="239">
      <c r="A239" s="2"/>
      <c r="B239" s="2"/>
      <c r="C239" s="2"/>
      <c r="D239" s="2"/>
      <c r="E239" s="2"/>
      <c r="F239" s="2"/>
      <c r="G239" s="2"/>
    </row>
    <row r="240">
      <c r="A240" s="2"/>
      <c r="B240" s="2"/>
      <c r="C240" s="2"/>
      <c r="D240" s="2"/>
      <c r="E240" s="2"/>
      <c r="F240" s="2"/>
      <c r="G240" s="2"/>
    </row>
    <row r="241">
      <c r="A241" s="2"/>
      <c r="B241" s="2"/>
      <c r="C241" s="2"/>
      <c r="D241" s="2"/>
      <c r="E241" s="2"/>
      <c r="F241" s="2"/>
      <c r="G241" s="2"/>
    </row>
    <row r="242">
      <c r="A242" s="2"/>
      <c r="B242" s="2"/>
      <c r="C242" s="2"/>
      <c r="D242" s="2"/>
      <c r="E242" s="2"/>
      <c r="F242" s="2"/>
      <c r="G242" s="2"/>
    </row>
    <row r="243">
      <c r="A243" s="2"/>
      <c r="B243" s="2"/>
      <c r="C243" s="2"/>
      <c r="D243" s="2"/>
      <c r="E243" s="2"/>
      <c r="F243" s="2"/>
      <c r="G243" s="2"/>
    </row>
    <row r="244">
      <c r="A244" s="2"/>
      <c r="B244" s="2"/>
      <c r="C244" s="2"/>
      <c r="D244" s="2"/>
      <c r="E244" s="2"/>
      <c r="F244" s="2"/>
      <c r="G244" s="2"/>
    </row>
    <row r="245">
      <c r="A245" s="2"/>
      <c r="B245" s="2"/>
      <c r="C245" s="2"/>
      <c r="D245" s="2"/>
      <c r="E245" s="2"/>
      <c r="F245" s="2"/>
      <c r="G245" s="2"/>
    </row>
    <row r="246">
      <c r="A246" s="2"/>
      <c r="B246" s="2"/>
      <c r="C246" s="2"/>
      <c r="D246" s="2"/>
      <c r="E246" s="2"/>
      <c r="F246" s="2"/>
      <c r="G246" s="2"/>
    </row>
    <row r="247">
      <c r="A247" s="2"/>
      <c r="B247" s="2"/>
      <c r="C247" s="2"/>
      <c r="D247" s="2"/>
      <c r="E247" s="2"/>
      <c r="F247" s="2"/>
      <c r="G247" s="2"/>
    </row>
    <row r="248">
      <c r="A248" s="2"/>
      <c r="B248" s="2"/>
      <c r="C248" s="2"/>
      <c r="D248" s="2"/>
      <c r="E248" s="2"/>
      <c r="F248" s="2"/>
      <c r="G248" s="2"/>
    </row>
    <row r="249">
      <c r="A249" s="2"/>
      <c r="B249" s="2"/>
      <c r="C249" s="2"/>
      <c r="D249" s="2"/>
      <c r="E249" s="2"/>
      <c r="F249" s="2"/>
      <c r="G249" s="2"/>
    </row>
    <row r="250">
      <c r="A250" s="2"/>
      <c r="B250" s="2"/>
      <c r="C250" s="2"/>
      <c r="D250" s="2"/>
      <c r="E250" s="2"/>
      <c r="F250" s="2"/>
      <c r="G250" s="2"/>
    </row>
    <row r="251">
      <c r="A251" s="2"/>
      <c r="B251" s="2"/>
      <c r="C251" s="2"/>
      <c r="D251" s="2"/>
      <c r="E251" s="2"/>
      <c r="F251" s="2"/>
      <c r="G251" s="2"/>
    </row>
    <row r="252">
      <c r="A252" s="2"/>
      <c r="B252" s="2"/>
      <c r="C252" s="2"/>
      <c r="D252" s="2"/>
      <c r="E252" s="2"/>
      <c r="F252" s="2"/>
      <c r="G252" s="2"/>
    </row>
    <row r="253">
      <c r="A253" s="2"/>
      <c r="B253" s="2"/>
      <c r="C253" s="2"/>
      <c r="D253" s="2"/>
      <c r="E253" s="2"/>
      <c r="F253" s="2"/>
      <c r="G253" s="2"/>
    </row>
    <row r="254">
      <c r="A254" s="2"/>
      <c r="B254" s="2"/>
      <c r="C254" s="2"/>
      <c r="D254" s="2"/>
      <c r="E254" s="2"/>
      <c r="F254" s="2"/>
      <c r="G254" s="2"/>
    </row>
    <row r="255">
      <c r="A255" s="2"/>
      <c r="B255" s="2"/>
      <c r="C255" s="2"/>
      <c r="D255" s="2"/>
      <c r="E255" s="2"/>
      <c r="F255" s="2"/>
      <c r="G255" s="2"/>
    </row>
    <row r="256">
      <c r="A256" s="2"/>
      <c r="B256" s="2"/>
      <c r="C256" s="2"/>
      <c r="D256" s="2"/>
      <c r="E256" s="2"/>
      <c r="F256" s="2"/>
      <c r="G256" s="2"/>
    </row>
    <row r="257">
      <c r="A257" s="2"/>
      <c r="B257" s="2"/>
      <c r="C257" s="2"/>
      <c r="D257" s="2"/>
      <c r="E257" s="2"/>
      <c r="F257" s="2"/>
      <c r="G257" s="2"/>
    </row>
    <row r="258">
      <c r="A258" s="2"/>
      <c r="B258" s="2"/>
      <c r="C258" s="2"/>
      <c r="D258" s="2"/>
      <c r="E258" s="2"/>
      <c r="F258" s="2"/>
      <c r="G258" s="2"/>
    </row>
    <row r="259">
      <c r="A259" s="2"/>
      <c r="B259" s="2"/>
      <c r="C259" s="2"/>
      <c r="D259" s="2"/>
      <c r="E259" s="2"/>
      <c r="F259" s="2"/>
      <c r="G259" s="2"/>
    </row>
    <row r="260">
      <c r="A260" s="2"/>
      <c r="B260" s="2"/>
      <c r="C260" s="2"/>
      <c r="D260" s="2"/>
      <c r="E260" s="2"/>
      <c r="F260" s="2"/>
      <c r="G260" s="2"/>
    </row>
    <row r="261">
      <c r="A261" s="2"/>
      <c r="B261" s="2"/>
      <c r="C261" s="2"/>
      <c r="D261" s="2"/>
      <c r="E261" s="2"/>
      <c r="F261" s="2"/>
      <c r="G261" s="2"/>
    </row>
    <row r="262">
      <c r="A262" s="2"/>
      <c r="B262" s="2"/>
      <c r="C262" s="2"/>
      <c r="D262" s="2"/>
      <c r="E262" s="2"/>
      <c r="F262" s="2"/>
      <c r="G262" s="2"/>
    </row>
    <row r="263">
      <c r="A263" s="2"/>
      <c r="B263" s="2"/>
      <c r="C263" s="2"/>
      <c r="D263" s="2"/>
      <c r="E263" s="2"/>
      <c r="F263" s="2"/>
      <c r="G263" s="2"/>
    </row>
    <row r="264">
      <c r="A264" s="2"/>
      <c r="B264" s="2"/>
      <c r="C264" s="2"/>
      <c r="D264" s="2"/>
      <c r="E264" s="2"/>
      <c r="F264" s="2"/>
      <c r="G264" s="2"/>
    </row>
    <row r="265">
      <c r="A265" s="2"/>
      <c r="B265" s="2"/>
      <c r="C265" s="2"/>
      <c r="D265" s="2"/>
      <c r="E265" s="2"/>
      <c r="F265" s="2"/>
      <c r="G265" s="2"/>
    </row>
    <row r="266">
      <c r="A266" s="2"/>
      <c r="B266" s="2"/>
      <c r="C266" s="2"/>
      <c r="D266" s="2"/>
      <c r="E266" s="2"/>
      <c r="F266" s="2"/>
      <c r="G266" s="2"/>
    </row>
    <row r="267">
      <c r="A267" s="2"/>
      <c r="B267" s="2"/>
      <c r="C267" s="2"/>
      <c r="D267" s="2"/>
      <c r="E267" s="2"/>
      <c r="F267" s="2"/>
      <c r="G267" s="2"/>
    </row>
    <row r="268">
      <c r="A268" s="2"/>
      <c r="B268" s="2"/>
      <c r="C268" s="2"/>
      <c r="D268" s="2"/>
      <c r="E268" s="2"/>
      <c r="F268" s="2"/>
      <c r="G268" s="2"/>
    </row>
    <row r="269">
      <c r="A269" s="2"/>
      <c r="B269" s="2"/>
      <c r="C269" s="2"/>
      <c r="D269" s="2"/>
      <c r="E269" s="2"/>
      <c r="F269" s="2"/>
      <c r="G269" s="2"/>
    </row>
    <row r="270">
      <c r="A270" s="2"/>
      <c r="B270" s="2"/>
      <c r="C270" s="2"/>
      <c r="D270" s="2"/>
      <c r="E270" s="2"/>
      <c r="F270" s="2"/>
      <c r="G270" s="2"/>
    </row>
    <row r="271">
      <c r="A271" s="2"/>
      <c r="B271" s="2"/>
      <c r="C271" s="2"/>
      <c r="D271" s="2"/>
      <c r="E271" s="2"/>
      <c r="F271" s="2"/>
      <c r="G271" s="2"/>
    </row>
    <row r="272">
      <c r="A272" s="2"/>
      <c r="B272" s="2"/>
      <c r="C272" s="2"/>
      <c r="D272" s="2"/>
      <c r="E272" s="2"/>
      <c r="F272" s="2"/>
      <c r="G272" s="2"/>
    </row>
    <row r="273">
      <c r="A273" s="2"/>
      <c r="B273" s="2"/>
      <c r="C273" s="2"/>
      <c r="D273" s="2"/>
      <c r="E273" s="2"/>
      <c r="F273" s="2"/>
      <c r="G273" s="2"/>
    </row>
    <row r="274">
      <c r="A274" s="2"/>
      <c r="B274" s="2"/>
      <c r="C274" s="2"/>
      <c r="D274" s="2"/>
      <c r="E274" s="2"/>
      <c r="F274" s="2"/>
      <c r="G274" s="2"/>
    </row>
    <row r="275">
      <c r="A275" s="2"/>
      <c r="B275" s="2"/>
      <c r="C275" s="2"/>
      <c r="D275" s="2"/>
      <c r="E275" s="2"/>
      <c r="F275" s="2"/>
      <c r="G275" s="2"/>
    </row>
    <row r="276">
      <c r="A276" s="2"/>
      <c r="B276" s="2"/>
      <c r="C276" s="2"/>
      <c r="D276" s="2"/>
      <c r="E276" s="2"/>
      <c r="F276" s="2"/>
      <c r="G276" s="2"/>
    </row>
    <row r="277">
      <c r="A277" s="2"/>
      <c r="B277" s="2"/>
      <c r="C277" s="2"/>
      <c r="D277" s="2"/>
      <c r="E277" s="2"/>
      <c r="F277" s="2"/>
      <c r="G277" s="2"/>
    </row>
    <row r="278">
      <c r="A278" s="2"/>
      <c r="B278" s="2"/>
      <c r="C278" s="2"/>
      <c r="D278" s="2"/>
      <c r="E278" s="2"/>
      <c r="F278" s="2"/>
      <c r="G278" s="2"/>
    </row>
    <row r="279">
      <c r="A279" s="2"/>
      <c r="B279" s="2"/>
      <c r="C279" s="2"/>
      <c r="D279" s="2"/>
      <c r="E279" s="2"/>
      <c r="F279" s="2"/>
      <c r="G279" s="2"/>
    </row>
    <row r="280">
      <c r="A280" s="2"/>
      <c r="B280" s="2"/>
      <c r="C280" s="2"/>
      <c r="D280" s="2"/>
      <c r="E280" s="2"/>
      <c r="F280" s="2"/>
      <c r="G280" s="2"/>
    </row>
    <row r="281">
      <c r="A281" s="2"/>
      <c r="B281" s="2"/>
      <c r="C281" s="2"/>
      <c r="D281" s="2"/>
      <c r="E281" s="2"/>
      <c r="F281" s="2"/>
      <c r="G281" s="2"/>
    </row>
    <row r="282">
      <c r="A282" s="2"/>
      <c r="B282" s="2"/>
      <c r="C282" s="2"/>
      <c r="D282" s="2"/>
      <c r="E282" s="2"/>
      <c r="F282" s="2"/>
      <c r="G282" s="2"/>
    </row>
    <row r="283">
      <c r="A283" s="2"/>
      <c r="B283" s="2"/>
      <c r="C283" s="2"/>
      <c r="D283" s="2"/>
      <c r="E283" s="2"/>
      <c r="F283" s="2"/>
      <c r="G283" s="2"/>
    </row>
    <row r="284">
      <c r="A284" s="2"/>
      <c r="B284" s="2"/>
      <c r="C284" s="2"/>
      <c r="D284" s="2"/>
      <c r="E284" s="2"/>
      <c r="F284" s="2"/>
      <c r="G284" s="2"/>
    </row>
    <row r="285">
      <c r="A285" s="2"/>
      <c r="B285" s="2"/>
      <c r="C285" s="2"/>
      <c r="D285" s="2"/>
      <c r="E285" s="2"/>
      <c r="F285" s="2"/>
      <c r="G285" s="2"/>
    </row>
    <row r="286">
      <c r="A286" s="2"/>
      <c r="B286" s="2"/>
      <c r="C286" s="2"/>
      <c r="D286" s="2"/>
      <c r="E286" s="2"/>
      <c r="F286" s="2"/>
      <c r="G286" s="2"/>
    </row>
    <row r="287">
      <c r="A287" s="2"/>
      <c r="B287" s="2"/>
      <c r="C287" s="2"/>
      <c r="D287" s="2"/>
      <c r="E287" s="2"/>
      <c r="F287" s="2"/>
      <c r="G287" s="2"/>
    </row>
    <row r="288">
      <c r="A288" s="2"/>
      <c r="B288" s="2"/>
      <c r="C288" s="2"/>
      <c r="D288" s="2"/>
      <c r="E288" s="2"/>
      <c r="F288" s="2"/>
      <c r="G288" s="2"/>
    </row>
    <row r="289">
      <c r="A289" s="2"/>
      <c r="B289" s="2"/>
      <c r="C289" s="2"/>
      <c r="D289" s="2"/>
      <c r="E289" s="2"/>
      <c r="F289" s="2"/>
      <c r="G289" s="2"/>
    </row>
    <row r="290">
      <c r="A290" s="2"/>
      <c r="B290" s="2"/>
      <c r="C290" s="2"/>
      <c r="D290" s="2"/>
      <c r="E290" s="2"/>
      <c r="F290" s="2"/>
      <c r="G290" s="2"/>
    </row>
    <row r="291">
      <c r="A291" s="2"/>
      <c r="B291" s="2"/>
      <c r="C291" s="2"/>
      <c r="D291" s="2"/>
      <c r="E291" s="2"/>
      <c r="F291" s="2"/>
      <c r="G291" s="2"/>
    </row>
    <row r="292">
      <c r="A292" s="2"/>
      <c r="B292" s="2"/>
      <c r="C292" s="2"/>
      <c r="D292" s="2"/>
      <c r="E292" s="2"/>
      <c r="F292" s="2"/>
      <c r="G292" s="2"/>
    </row>
    <row r="293">
      <c r="A293" s="2"/>
      <c r="B293" s="2"/>
      <c r="C293" s="2"/>
      <c r="D293" s="2"/>
      <c r="E293" s="2"/>
      <c r="F293" s="2"/>
      <c r="G293" s="2"/>
    </row>
    <row r="294">
      <c r="A294" s="2"/>
      <c r="B294" s="2"/>
      <c r="C294" s="2"/>
      <c r="D294" s="2"/>
      <c r="E294" s="2"/>
      <c r="F294" s="2"/>
      <c r="G294" s="2"/>
    </row>
    <row r="295">
      <c r="A295" s="2"/>
      <c r="B295" s="2"/>
      <c r="C295" s="2"/>
      <c r="D295" s="2"/>
      <c r="E295" s="2"/>
      <c r="F295" s="2"/>
      <c r="G295" s="2"/>
    </row>
    <row r="296">
      <c r="A296" s="2"/>
      <c r="B296" s="2"/>
      <c r="C296" s="2"/>
      <c r="D296" s="2"/>
      <c r="E296" s="2"/>
      <c r="F296" s="2"/>
      <c r="G296" s="2"/>
    </row>
    <row r="297">
      <c r="A297" s="2"/>
      <c r="B297" s="2"/>
      <c r="C297" s="2"/>
      <c r="D297" s="2"/>
      <c r="E297" s="2"/>
      <c r="F297" s="2"/>
      <c r="G297" s="2"/>
    </row>
    <row r="298">
      <c r="A298" s="2"/>
      <c r="B298" s="2"/>
      <c r="C298" s="2"/>
      <c r="D298" s="2"/>
      <c r="E298" s="2"/>
      <c r="F298" s="2"/>
      <c r="G298" s="2"/>
    </row>
    <row r="299">
      <c r="A299" s="2"/>
      <c r="B299" s="2"/>
      <c r="C299" s="2"/>
      <c r="D299" s="2"/>
      <c r="E299" s="2"/>
      <c r="F299" s="2"/>
      <c r="G299" s="2"/>
    </row>
    <row r="300">
      <c r="A300" s="2"/>
      <c r="B300" s="2"/>
      <c r="C300" s="2"/>
      <c r="D300" s="2"/>
      <c r="E300" s="2"/>
      <c r="F300" s="2"/>
      <c r="G300" s="2"/>
    </row>
    <row r="301">
      <c r="A301" s="2"/>
      <c r="B301" s="2"/>
      <c r="C301" s="2"/>
      <c r="D301" s="2"/>
      <c r="E301" s="2"/>
      <c r="F301" s="2"/>
      <c r="G301" s="2"/>
    </row>
    <row r="302">
      <c r="A302" s="2"/>
      <c r="B302" s="2"/>
      <c r="C302" s="2"/>
      <c r="D302" s="2"/>
      <c r="E302" s="2"/>
      <c r="F302" s="2"/>
      <c r="G302" s="2"/>
    </row>
    <row r="303">
      <c r="A303" s="2"/>
      <c r="B303" s="2"/>
      <c r="C303" s="2"/>
      <c r="D303" s="2"/>
      <c r="E303" s="2"/>
      <c r="F303" s="2"/>
      <c r="G303" s="2"/>
    </row>
    <row r="304">
      <c r="A304" s="2"/>
      <c r="B304" s="2"/>
      <c r="C304" s="2"/>
      <c r="D304" s="2"/>
      <c r="E304" s="2"/>
      <c r="F304" s="2"/>
      <c r="G304" s="2"/>
    </row>
    <row r="305">
      <c r="A305" s="2"/>
      <c r="B305" s="2"/>
      <c r="C305" s="2"/>
      <c r="D305" s="2"/>
      <c r="E305" s="2"/>
      <c r="F305" s="2"/>
      <c r="G305" s="2"/>
    </row>
    <row r="306">
      <c r="A306" s="2"/>
      <c r="B306" s="2"/>
      <c r="C306" s="2"/>
      <c r="D306" s="2"/>
      <c r="E306" s="2"/>
      <c r="F306" s="2"/>
      <c r="G306" s="2"/>
    </row>
    <row r="307">
      <c r="A307" s="2"/>
      <c r="B307" s="2"/>
      <c r="C307" s="2"/>
      <c r="D307" s="2"/>
      <c r="E307" s="2"/>
      <c r="F307" s="2"/>
      <c r="G307" s="2"/>
    </row>
    <row r="308">
      <c r="A308" s="2"/>
      <c r="B308" s="2"/>
      <c r="C308" s="2"/>
      <c r="D308" s="2"/>
      <c r="E308" s="2"/>
      <c r="F308" s="2"/>
      <c r="G308" s="2"/>
    </row>
    <row r="309">
      <c r="A309" s="2"/>
      <c r="B309" s="2"/>
      <c r="C309" s="2"/>
      <c r="D309" s="2"/>
      <c r="E309" s="2"/>
      <c r="F309" s="2"/>
      <c r="G309" s="2"/>
    </row>
    <row r="310">
      <c r="A310" s="2"/>
      <c r="B310" s="2"/>
      <c r="C310" s="2"/>
      <c r="D310" s="2"/>
      <c r="E310" s="2"/>
      <c r="F310" s="2"/>
      <c r="G310" s="2"/>
    </row>
    <row r="311">
      <c r="A311" s="2"/>
      <c r="B311" s="2"/>
      <c r="C311" s="2"/>
      <c r="D311" s="2"/>
      <c r="E311" s="2"/>
      <c r="F311" s="2"/>
      <c r="G311" s="2"/>
    </row>
    <row r="312">
      <c r="A312" s="2"/>
      <c r="B312" s="2"/>
      <c r="C312" s="2"/>
      <c r="D312" s="2"/>
      <c r="E312" s="2"/>
      <c r="F312" s="2"/>
      <c r="G312" s="2"/>
    </row>
    <row r="313">
      <c r="A313" s="2"/>
      <c r="B313" s="2"/>
      <c r="C313" s="2"/>
      <c r="D313" s="2"/>
      <c r="E313" s="2"/>
      <c r="F313" s="2"/>
      <c r="G313" s="2"/>
    </row>
    <row r="314">
      <c r="A314" s="2"/>
      <c r="B314" s="2"/>
      <c r="C314" s="2"/>
      <c r="D314" s="2"/>
      <c r="E314" s="2"/>
      <c r="F314" s="2"/>
      <c r="G314" s="2"/>
    </row>
    <row r="315">
      <c r="A315" s="2"/>
      <c r="B315" s="2"/>
      <c r="C315" s="2"/>
      <c r="D315" s="2"/>
      <c r="E315" s="2"/>
      <c r="F315" s="2"/>
      <c r="G315" s="2"/>
    </row>
    <row r="316">
      <c r="A316" s="2"/>
      <c r="B316" s="2"/>
      <c r="C316" s="2"/>
      <c r="D316" s="2"/>
      <c r="E316" s="2"/>
      <c r="F316" s="2"/>
      <c r="G316" s="2"/>
    </row>
    <row r="317">
      <c r="A317" s="2"/>
      <c r="B317" s="2"/>
      <c r="C317" s="2"/>
      <c r="D317" s="2"/>
      <c r="E317" s="2"/>
      <c r="F317" s="2"/>
      <c r="G317" s="2"/>
    </row>
    <row r="318">
      <c r="A318" s="2"/>
      <c r="B318" s="2"/>
      <c r="C318" s="2"/>
      <c r="D318" s="2"/>
      <c r="E318" s="2"/>
      <c r="F318" s="2"/>
      <c r="G318" s="2"/>
    </row>
    <row r="319">
      <c r="A319" s="2"/>
      <c r="B319" s="2"/>
      <c r="C319" s="2"/>
      <c r="D319" s="2"/>
      <c r="E319" s="2"/>
      <c r="F319" s="2"/>
      <c r="G319" s="2"/>
    </row>
    <row r="320">
      <c r="A320" s="2"/>
      <c r="B320" s="2"/>
      <c r="C320" s="2"/>
      <c r="D320" s="2"/>
      <c r="E320" s="2"/>
      <c r="F320" s="2"/>
      <c r="G320" s="2"/>
    </row>
    <row r="321">
      <c r="A321" s="2"/>
      <c r="B321" s="2"/>
      <c r="C321" s="2"/>
      <c r="D321" s="2"/>
      <c r="E321" s="2"/>
      <c r="F321" s="2"/>
      <c r="G321" s="2"/>
    </row>
    <row r="322">
      <c r="A322" s="2"/>
      <c r="B322" s="2"/>
      <c r="C322" s="2"/>
      <c r="D322" s="2"/>
      <c r="E322" s="2"/>
      <c r="F322" s="2"/>
      <c r="G322" s="2"/>
    </row>
    <row r="323">
      <c r="A323" s="2"/>
      <c r="B323" s="2"/>
      <c r="C323" s="2"/>
      <c r="D323" s="2"/>
      <c r="E323" s="2"/>
      <c r="F323" s="2"/>
      <c r="G323" s="2"/>
    </row>
    <row r="324">
      <c r="A324" s="2"/>
      <c r="B324" s="2"/>
      <c r="C324" s="2"/>
      <c r="D324" s="2"/>
      <c r="E324" s="2"/>
      <c r="F324" s="2"/>
      <c r="G324" s="2"/>
    </row>
    <row r="325">
      <c r="A325" s="2"/>
      <c r="B325" s="2"/>
      <c r="C325" s="2"/>
      <c r="D325" s="2"/>
      <c r="E325" s="2"/>
      <c r="F325" s="2"/>
      <c r="G325" s="2"/>
    </row>
    <row r="326">
      <c r="A326" s="2"/>
      <c r="B326" s="2"/>
      <c r="C326" s="2"/>
      <c r="D326" s="2"/>
      <c r="E326" s="2"/>
      <c r="F326" s="2"/>
      <c r="G326" s="2"/>
    </row>
    <row r="327">
      <c r="A327" s="2"/>
      <c r="B327" s="2"/>
      <c r="C327" s="2"/>
      <c r="D327" s="2"/>
      <c r="E327" s="2"/>
      <c r="F327" s="2"/>
      <c r="G327" s="2"/>
    </row>
    <row r="328">
      <c r="A328" s="2"/>
      <c r="B328" s="2"/>
      <c r="C328" s="2"/>
      <c r="D328" s="2"/>
      <c r="E328" s="2"/>
      <c r="F328" s="2"/>
      <c r="G328" s="2"/>
    </row>
    <row r="329">
      <c r="A329" s="2"/>
      <c r="B329" s="2"/>
      <c r="C329" s="2"/>
      <c r="D329" s="2"/>
      <c r="E329" s="2"/>
      <c r="F329" s="2"/>
      <c r="G329" s="2"/>
    </row>
    <row r="330">
      <c r="A330" s="2"/>
      <c r="B330" s="2"/>
      <c r="C330" s="2"/>
      <c r="D330" s="2"/>
      <c r="E330" s="2"/>
      <c r="F330" s="2"/>
      <c r="G330" s="2"/>
    </row>
    <row r="331">
      <c r="A331" s="2"/>
      <c r="B331" s="2"/>
      <c r="C331" s="2"/>
      <c r="D331" s="2"/>
      <c r="E331" s="2"/>
      <c r="F331" s="2"/>
      <c r="G331" s="2"/>
    </row>
    <row r="332">
      <c r="A332" s="2"/>
      <c r="B332" s="2"/>
      <c r="C332" s="2"/>
      <c r="D332" s="2"/>
      <c r="E332" s="2"/>
      <c r="F332" s="2"/>
      <c r="G332" s="2"/>
    </row>
    <row r="333">
      <c r="A333" s="2"/>
      <c r="B333" s="2"/>
      <c r="C333" s="2"/>
      <c r="D333" s="2"/>
      <c r="E333" s="2"/>
      <c r="F333" s="2"/>
      <c r="G333" s="2"/>
    </row>
    <row r="334">
      <c r="A334" s="2"/>
      <c r="B334" s="2"/>
      <c r="C334" s="2"/>
      <c r="D334" s="2"/>
      <c r="E334" s="2"/>
      <c r="F334" s="2"/>
      <c r="G334" s="2"/>
    </row>
    <row r="335">
      <c r="A335" s="2"/>
      <c r="B335" s="2"/>
      <c r="C335" s="2"/>
      <c r="D335" s="2"/>
      <c r="E335" s="2"/>
      <c r="F335" s="2"/>
      <c r="G335" s="2"/>
    </row>
    <row r="336">
      <c r="A336" s="2"/>
      <c r="B336" s="2"/>
      <c r="C336" s="2"/>
      <c r="D336" s="2"/>
      <c r="E336" s="2"/>
      <c r="F336" s="2"/>
      <c r="G336" s="2"/>
    </row>
    <row r="337">
      <c r="A337" s="2"/>
      <c r="B337" s="2"/>
      <c r="C337" s="2"/>
      <c r="D337" s="2"/>
      <c r="E337" s="2"/>
      <c r="F337" s="2"/>
      <c r="G337" s="2"/>
    </row>
    <row r="338">
      <c r="A338" s="2"/>
      <c r="B338" s="2"/>
      <c r="C338" s="2"/>
      <c r="D338" s="2"/>
      <c r="E338" s="2"/>
      <c r="F338" s="2"/>
      <c r="G338" s="2"/>
    </row>
    <row r="339">
      <c r="A339" s="2"/>
      <c r="B339" s="2"/>
      <c r="C339" s="2"/>
      <c r="D339" s="2"/>
      <c r="E339" s="2"/>
      <c r="F339" s="2"/>
      <c r="G339" s="2"/>
    </row>
    <row r="340">
      <c r="A340" s="2"/>
      <c r="B340" s="2"/>
      <c r="C340" s="2"/>
      <c r="D340" s="2"/>
      <c r="E340" s="2"/>
      <c r="F340" s="2"/>
      <c r="G340" s="2"/>
    </row>
    <row r="341">
      <c r="A341" s="2"/>
      <c r="B341" s="2"/>
      <c r="C341" s="2"/>
      <c r="D341" s="2"/>
      <c r="E341" s="2"/>
      <c r="F341" s="2"/>
      <c r="G341" s="2"/>
    </row>
    <row r="342">
      <c r="A342" s="2"/>
      <c r="B342" s="2"/>
      <c r="C342" s="2"/>
      <c r="D342" s="2"/>
      <c r="E342" s="2"/>
      <c r="F342" s="2"/>
      <c r="G342" s="2"/>
    </row>
    <row r="343">
      <c r="A343" s="2"/>
      <c r="B343" s="2"/>
      <c r="C343" s="2"/>
      <c r="D343" s="2"/>
      <c r="E343" s="2"/>
      <c r="F343" s="2"/>
      <c r="G343" s="2"/>
    </row>
    <row r="344">
      <c r="A344" s="2"/>
      <c r="B344" s="2"/>
      <c r="C344" s="2"/>
      <c r="D344" s="2"/>
      <c r="E344" s="2"/>
      <c r="F344" s="2"/>
      <c r="G344" s="2"/>
    </row>
    <row r="345">
      <c r="A345" s="2"/>
      <c r="B345" s="2"/>
      <c r="C345" s="2"/>
      <c r="D345" s="2"/>
      <c r="E345" s="2"/>
      <c r="F345" s="2"/>
      <c r="G345" s="2"/>
    </row>
    <row r="346">
      <c r="A346" s="2"/>
      <c r="B346" s="2"/>
      <c r="C346" s="2"/>
      <c r="D346" s="2"/>
      <c r="E346" s="2"/>
      <c r="F346" s="2"/>
      <c r="G346" s="2"/>
    </row>
    <row r="347">
      <c r="A347" s="2"/>
      <c r="B347" s="2"/>
      <c r="C347" s="2"/>
      <c r="D347" s="2"/>
      <c r="E347" s="2"/>
      <c r="F347" s="2"/>
      <c r="G347" s="2"/>
    </row>
    <row r="348">
      <c r="A348" s="2"/>
      <c r="B348" s="2"/>
      <c r="C348" s="2"/>
      <c r="D348" s="2"/>
      <c r="E348" s="2"/>
      <c r="F348" s="2"/>
      <c r="G348" s="2"/>
    </row>
    <row r="349">
      <c r="A349" s="2"/>
      <c r="B349" s="2"/>
      <c r="C349" s="2"/>
      <c r="D349" s="2"/>
      <c r="E349" s="2"/>
      <c r="F349" s="2"/>
      <c r="G349" s="2"/>
    </row>
    <row r="350">
      <c r="A350" s="2"/>
      <c r="B350" s="2"/>
      <c r="C350" s="2"/>
      <c r="D350" s="2"/>
      <c r="E350" s="2"/>
      <c r="F350" s="2"/>
      <c r="G350" s="2"/>
    </row>
    <row r="351">
      <c r="A351" s="2"/>
      <c r="B351" s="2"/>
      <c r="C351" s="2"/>
      <c r="D351" s="2"/>
      <c r="E351" s="2"/>
      <c r="F351" s="2"/>
      <c r="G351" s="2"/>
    </row>
    <row r="352">
      <c r="A352" s="2"/>
      <c r="B352" s="2"/>
      <c r="C352" s="2"/>
      <c r="D352" s="2"/>
      <c r="E352" s="2"/>
      <c r="F352" s="2"/>
      <c r="G352" s="2"/>
    </row>
    <row r="353">
      <c r="A353" s="2"/>
      <c r="B353" s="2"/>
      <c r="C353" s="2"/>
      <c r="D353" s="2"/>
      <c r="E353" s="2"/>
      <c r="F353" s="2"/>
      <c r="G353" s="2"/>
    </row>
    <row r="354">
      <c r="A354" s="2"/>
      <c r="B354" s="2"/>
      <c r="C354" s="2"/>
      <c r="D354" s="2"/>
      <c r="E354" s="2"/>
      <c r="F354" s="2"/>
      <c r="G354" s="2"/>
    </row>
    <row r="355">
      <c r="A355" s="2"/>
      <c r="B355" s="2"/>
      <c r="C355" s="2"/>
      <c r="D355" s="2"/>
      <c r="E355" s="2"/>
      <c r="F355" s="2"/>
      <c r="G355" s="2"/>
    </row>
    <row r="356">
      <c r="A356" s="2"/>
      <c r="B356" s="2"/>
      <c r="C356" s="2"/>
      <c r="D356" s="2"/>
      <c r="E356" s="2"/>
      <c r="F356" s="2"/>
      <c r="G356" s="2"/>
    </row>
    <row r="357">
      <c r="A357" s="2"/>
      <c r="B357" s="2"/>
      <c r="C357" s="2"/>
      <c r="D357" s="2"/>
      <c r="E357" s="2"/>
      <c r="F357" s="2"/>
      <c r="G357" s="2"/>
    </row>
    <row r="358">
      <c r="A358" s="2"/>
      <c r="B358" s="2"/>
      <c r="C358" s="2"/>
      <c r="D358" s="2"/>
      <c r="E358" s="2"/>
      <c r="F358" s="2"/>
      <c r="G358" s="2"/>
    </row>
    <row r="359">
      <c r="A359" s="2"/>
      <c r="B359" s="2"/>
      <c r="C359" s="2"/>
      <c r="D359" s="2"/>
      <c r="E359" s="2"/>
      <c r="F359" s="2"/>
      <c r="G359" s="2"/>
    </row>
    <row r="360">
      <c r="A360" s="2"/>
      <c r="B360" s="2"/>
      <c r="C360" s="2"/>
      <c r="D360" s="2"/>
      <c r="E360" s="2"/>
      <c r="F360" s="2"/>
      <c r="G360" s="2"/>
    </row>
    <row r="361">
      <c r="A361" s="2"/>
      <c r="B361" s="2"/>
      <c r="C361" s="2"/>
      <c r="D361" s="2"/>
      <c r="E361" s="2"/>
      <c r="F361" s="2"/>
      <c r="G361" s="2"/>
    </row>
    <row r="362">
      <c r="A362" s="2"/>
      <c r="B362" s="2"/>
      <c r="C362" s="2"/>
      <c r="D362" s="2"/>
      <c r="E362" s="2"/>
      <c r="F362" s="2"/>
      <c r="G362" s="2"/>
    </row>
    <row r="363">
      <c r="A363" s="2"/>
      <c r="B363" s="2"/>
      <c r="C363" s="2"/>
      <c r="D363" s="2"/>
      <c r="E363" s="2"/>
      <c r="F363" s="2"/>
      <c r="G363" s="2"/>
    </row>
    <row r="364">
      <c r="A364" s="2"/>
      <c r="B364" s="2"/>
      <c r="C364" s="2"/>
      <c r="D364" s="2"/>
      <c r="E364" s="2"/>
      <c r="F364" s="2"/>
      <c r="G364" s="2"/>
    </row>
    <row r="365">
      <c r="A365" s="2"/>
      <c r="B365" s="2"/>
      <c r="C365" s="2"/>
      <c r="D365" s="2"/>
      <c r="E365" s="2"/>
      <c r="F365" s="2"/>
      <c r="G365" s="2"/>
    </row>
    <row r="366">
      <c r="A366" s="2"/>
      <c r="B366" s="2"/>
      <c r="C366" s="2"/>
      <c r="D366" s="2"/>
      <c r="E366" s="2"/>
      <c r="F366" s="2"/>
      <c r="G366" s="2"/>
    </row>
    <row r="367">
      <c r="A367" s="2"/>
      <c r="B367" s="2"/>
      <c r="C367" s="2"/>
      <c r="D367" s="2"/>
      <c r="E367" s="2"/>
      <c r="F367" s="2"/>
      <c r="G367" s="2"/>
    </row>
    <row r="368">
      <c r="A368" s="2"/>
      <c r="B368" s="2"/>
      <c r="C368" s="2"/>
      <c r="D368" s="2"/>
      <c r="E368" s="2"/>
      <c r="F368" s="2"/>
      <c r="G368" s="2"/>
    </row>
    <row r="369">
      <c r="A369" s="2"/>
      <c r="B369" s="2"/>
      <c r="C369" s="2"/>
      <c r="D369" s="2"/>
      <c r="E369" s="2"/>
      <c r="F369" s="2"/>
      <c r="G369" s="2"/>
    </row>
    <row r="370">
      <c r="A370" s="2"/>
      <c r="B370" s="2"/>
      <c r="C370" s="2"/>
      <c r="D370" s="2"/>
      <c r="E370" s="2"/>
      <c r="F370" s="2"/>
      <c r="G370" s="2"/>
    </row>
    <row r="371">
      <c r="A371" s="2"/>
      <c r="B371" s="2"/>
      <c r="C371" s="2"/>
      <c r="D371" s="2"/>
      <c r="E371" s="2"/>
      <c r="F371" s="2"/>
      <c r="G371" s="2"/>
    </row>
    <row r="372">
      <c r="A372" s="2"/>
      <c r="B372" s="2"/>
      <c r="C372" s="2"/>
      <c r="D372" s="2"/>
      <c r="E372" s="2"/>
      <c r="F372" s="2"/>
      <c r="G372" s="2"/>
    </row>
    <row r="373">
      <c r="A373" s="2"/>
      <c r="B373" s="2"/>
      <c r="C373" s="2"/>
      <c r="D373" s="2"/>
      <c r="E373" s="2"/>
      <c r="F373" s="2"/>
      <c r="G373" s="2"/>
    </row>
    <row r="374">
      <c r="A374" s="2"/>
      <c r="B374" s="2"/>
      <c r="C374" s="2"/>
      <c r="D374" s="2"/>
      <c r="E374" s="2"/>
      <c r="F374" s="2"/>
      <c r="G374" s="2"/>
    </row>
    <row r="375">
      <c r="A375" s="2"/>
      <c r="B375" s="2"/>
      <c r="C375" s="2"/>
      <c r="D375" s="2"/>
      <c r="E375" s="2"/>
      <c r="F375" s="2"/>
      <c r="G375" s="2"/>
    </row>
    <row r="376">
      <c r="A376" s="2"/>
      <c r="B376" s="2"/>
      <c r="C376" s="2"/>
      <c r="D376" s="2"/>
      <c r="E376" s="2"/>
      <c r="F376" s="2"/>
      <c r="G376" s="2"/>
    </row>
    <row r="377">
      <c r="A377" s="2"/>
      <c r="B377" s="2"/>
      <c r="C377" s="2"/>
      <c r="D377" s="2"/>
      <c r="E377" s="2"/>
      <c r="F377" s="2"/>
      <c r="G377" s="2"/>
    </row>
    <row r="378">
      <c r="A378" s="2"/>
      <c r="B378" s="2"/>
      <c r="C378" s="2"/>
      <c r="D378" s="2"/>
      <c r="E378" s="2"/>
      <c r="F378" s="2"/>
      <c r="G378" s="2"/>
    </row>
    <row r="379">
      <c r="A379" s="2"/>
      <c r="B379" s="2"/>
      <c r="C379" s="2"/>
      <c r="D379" s="2"/>
      <c r="E379" s="2"/>
      <c r="F379" s="2"/>
      <c r="G379" s="2"/>
    </row>
    <row r="380">
      <c r="A380" s="2"/>
      <c r="B380" s="2"/>
      <c r="C380" s="2"/>
      <c r="D380" s="2"/>
      <c r="E380" s="2"/>
      <c r="F380" s="2"/>
      <c r="G380" s="2"/>
    </row>
    <row r="381">
      <c r="A381" s="2"/>
      <c r="B381" s="2"/>
      <c r="C381" s="2"/>
      <c r="D381" s="2"/>
      <c r="E381" s="2"/>
      <c r="F381" s="2"/>
      <c r="G381" s="2"/>
    </row>
    <row r="382">
      <c r="A382" s="2"/>
      <c r="B382" s="2"/>
      <c r="C382" s="2"/>
      <c r="D382" s="2"/>
      <c r="E382" s="2"/>
      <c r="F382" s="2"/>
      <c r="G382" s="2"/>
    </row>
    <row r="383">
      <c r="A383" s="2"/>
      <c r="B383" s="2"/>
      <c r="C383" s="2"/>
      <c r="D383" s="2"/>
      <c r="E383" s="2"/>
      <c r="F383" s="2"/>
      <c r="G383" s="2"/>
    </row>
    <row r="384">
      <c r="A384" s="2"/>
      <c r="B384" s="2"/>
      <c r="C384" s="2"/>
      <c r="D384" s="2"/>
      <c r="E384" s="2"/>
      <c r="F384" s="2"/>
      <c r="G384" s="2"/>
    </row>
    <row r="385">
      <c r="A385" s="2"/>
      <c r="B385" s="2"/>
      <c r="C385" s="2"/>
      <c r="D385" s="2"/>
      <c r="E385" s="2"/>
      <c r="F385" s="2"/>
      <c r="G385" s="2"/>
    </row>
    <row r="386">
      <c r="A386" s="2"/>
      <c r="B386" s="2"/>
      <c r="C386" s="2"/>
      <c r="D386" s="2"/>
      <c r="E386" s="2"/>
      <c r="F386" s="2"/>
      <c r="G386" s="2"/>
    </row>
    <row r="387">
      <c r="A387" s="2"/>
      <c r="B387" s="2"/>
      <c r="C387" s="2"/>
      <c r="D387" s="2"/>
      <c r="E387" s="2"/>
      <c r="F387" s="2"/>
      <c r="G387" s="2"/>
    </row>
    <row r="388">
      <c r="A388" s="2"/>
      <c r="B388" s="2"/>
      <c r="C388" s="2"/>
      <c r="D388" s="2"/>
      <c r="E388" s="2"/>
      <c r="F388" s="2"/>
      <c r="G388" s="2"/>
    </row>
    <row r="389">
      <c r="A389" s="2"/>
      <c r="B389" s="2"/>
      <c r="C389" s="2"/>
      <c r="D389" s="2"/>
      <c r="E389" s="2"/>
      <c r="F389" s="2"/>
      <c r="G389" s="2"/>
    </row>
    <row r="390">
      <c r="A390" s="2"/>
      <c r="B390" s="2"/>
      <c r="C390" s="2"/>
      <c r="D390" s="2"/>
      <c r="E390" s="2"/>
      <c r="F390" s="2"/>
      <c r="G390" s="2"/>
    </row>
    <row r="391">
      <c r="A391" s="2"/>
      <c r="B391" s="2"/>
      <c r="C391" s="2"/>
      <c r="D391" s="2"/>
      <c r="E391" s="2"/>
      <c r="F391" s="2"/>
      <c r="G391" s="2"/>
    </row>
    <row r="392">
      <c r="A392" s="2"/>
      <c r="B392" s="2"/>
      <c r="C392" s="2"/>
      <c r="D392" s="2"/>
      <c r="E392" s="2"/>
      <c r="F392" s="2"/>
      <c r="G392" s="2"/>
    </row>
    <row r="393">
      <c r="A393" s="2"/>
      <c r="B393" s="2"/>
      <c r="C393" s="2"/>
      <c r="D393" s="2"/>
      <c r="E393" s="2"/>
      <c r="F393" s="2"/>
      <c r="G393" s="2"/>
    </row>
    <row r="394">
      <c r="A394" s="2"/>
      <c r="B394" s="2"/>
      <c r="C394" s="2"/>
      <c r="D394" s="2"/>
      <c r="E394" s="2"/>
      <c r="F394" s="2"/>
      <c r="G394" s="2"/>
    </row>
    <row r="395">
      <c r="A395" s="2"/>
      <c r="B395" s="2"/>
      <c r="C395" s="2"/>
      <c r="D395" s="2"/>
      <c r="E395" s="2"/>
      <c r="F395" s="2"/>
      <c r="G395" s="2"/>
    </row>
    <row r="396">
      <c r="A396" s="2"/>
      <c r="B396" s="2"/>
      <c r="C396" s="2"/>
      <c r="D396" s="2"/>
      <c r="E396" s="2"/>
      <c r="F396" s="2"/>
      <c r="G396" s="2"/>
    </row>
    <row r="397">
      <c r="A397" s="2"/>
      <c r="B397" s="2"/>
      <c r="C397" s="2"/>
      <c r="D397" s="2"/>
      <c r="E397" s="2"/>
      <c r="F397" s="2"/>
      <c r="G397" s="2"/>
    </row>
    <row r="398">
      <c r="A398" s="2"/>
      <c r="B398" s="2"/>
      <c r="C398" s="2"/>
      <c r="D398" s="2"/>
      <c r="E398" s="2"/>
      <c r="F398" s="2"/>
      <c r="G398" s="2"/>
    </row>
    <row r="399">
      <c r="A399" s="2"/>
      <c r="B399" s="2"/>
      <c r="C399" s="2"/>
      <c r="D399" s="2"/>
      <c r="E399" s="2"/>
      <c r="F399" s="2"/>
      <c r="G399" s="2"/>
    </row>
    <row r="400">
      <c r="A400" s="2"/>
      <c r="B400" s="2"/>
      <c r="C400" s="2"/>
      <c r="D400" s="2"/>
      <c r="E400" s="2"/>
      <c r="F400" s="2"/>
      <c r="G400" s="2"/>
    </row>
    <row r="401">
      <c r="A401" s="2"/>
      <c r="B401" s="2"/>
      <c r="C401" s="2"/>
      <c r="D401" s="2"/>
      <c r="E401" s="2"/>
      <c r="F401" s="2"/>
      <c r="G401" s="2"/>
    </row>
    <row r="402">
      <c r="A402" s="2"/>
      <c r="B402" s="2"/>
      <c r="C402" s="2"/>
      <c r="D402" s="2"/>
      <c r="E402" s="2"/>
      <c r="F402" s="2"/>
      <c r="G402" s="2"/>
    </row>
    <row r="403">
      <c r="A403" s="2"/>
      <c r="B403" s="2"/>
      <c r="C403" s="2"/>
      <c r="D403" s="2"/>
      <c r="E403" s="2"/>
      <c r="F403" s="2"/>
      <c r="G403" s="2"/>
    </row>
    <row r="404">
      <c r="A404" s="2"/>
      <c r="B404" s="2"/>
      <c r="C404" s="2"/>
      <c r="D404" s="2"/>
      <c r="E404" s="2"/>
      <c r="F404" s="2"/>
      <c r="G404" s="2"/>
    </row>
    <row r="405">
      <c r="A405" s="2"/>
      <c r="B405" s="2"/>
      <c r="C405" s="2"/>
      <c r="D405" s="2"/>
      <c r="E405" s="2"/>
      <c r="F405" s="2"/>
      <c r="G405" s="2"/>
    </row>
    <row r="406">
      <c r="A406" s="2"/>
      <c r="B406" s="2"/>
      <c r="C406" s="2"/>
      <c r="D406" s="2"/>
      <c r="E406" s="2"/>
      <c r="F406" s="2"/>
      <c r="G406" s="2"/>
    </row>
    <row r="407">
      <c r="A407" s="2"/>
      <c r="B407" s="2"/>
      <c r="C407" s="2"/>
      <c r="D407" s="2"/>
      <c r="E407" s="2"/>
      <c r="F407" s="2"/>
      <c r="G407" s="2"/>
    </row>
    <row r="408">
      <c r="A408" s="2"/>
      <c r="B408" s="2"/>
      <c r="C408" s="2"/>
      <c r="D408" s="2"/>
      <c r="E408" s="2"/>
      <c r="F408" s="2"/>
      <c r="G408" s="2"/>
    </row>
    <row r="409">
      <c r="A409" s="2"/>
      <c r="B409" s="2"/>
      <c r="C409" s="2"/>
      <c r="D409" s="2"/>
      <c r="E409" s="2"/>
      <c r="F409" s="2"/>
      <c r="G409" s="2"/>
    </row>
    <row r="410">
      <c r="A410" s="2"/>
      <c r="B410" s="2"/>
      <c r="C410" s="2"/>
      <c r="D410" s="2"/>
      <c r="E410" s="2"/>
      <c r="F410" s="2"/>
      <c r="G410" s="2"/>
    </row>
    <row r="411">
      <c r="A411" s="2"/>
      <c r="B411" s="2"/>
      <c r="C411" s="2"/>
      <c r="D411" s="2"/>
      <c r="E411" s="2"/>
      <c r="F411" s="2"/>
      <c r="G411" s="2"/>
    </row>
    <row r="412">
      <c r="A412" s="2"/>
      <c r="B412" s="2"/>
      <c r="C412" s="2"/>
      <c r="D412" s="2"/>
      <c r="E412" s="2"/>
      <c r="F412" s="2"/>
      <c r="G412" s="2"/>
    </row>
    <row r="413">
      <c r="A413" s="2"/>
      <c r="B413" s="2"/>
      <c r="C413" s="2"/>
      <c r="D413" s="2"/>
      <c r="E413" s="2"/>
      <c r="F413" s="2"/>
      <c r="G413" s="2"/>
    </row>
    <row r="414">
      <c r="A414" s="2"/>
      <c r="B414" s="2"/>
      <c r="C414" s="2"/>
      <c r="D414" s="2"/>
      <c r="E414" s="2"/>
      <c r="F414" s="2"/>
      <c r="G414" s="2"/>
    </row>
    <row r="415">
      <c r="A415" s="2"/>
      <c r="B415" s="2"/>
      <c r="C415" s="2"/>
      <c r="D415" s="2"/>
      <c r="E415" s="2"/>
      <c r="F415" s="2"/>
      <c r="G415" s="2"/>
    </row>
    <row r="416">
      <c r="A416" s="2"/>
      <c r="B416" s="2"/>
      <c r="C416" s="2"/>
      <c r="D416" s="2"/>
      <c r="E416" s="2"/>
      <c r="F416" s="2"/>
      <c r="G416" s="2"/>
    </row>
    <row r="417">
      <c r="A417" s="2"/>
      <c r="B417" s="2"/>
      <c r="C417" s="2"/>
      <c r="D417" s="2"/>
      <c r="E417" s="2"/>
      <c r="F417" s="2"/>
      <c r="G417" s="2"/>
    </row>
    <row r="418">
      <c r="A418" s="2"/>
      <c r="B418" s="2"/>
      <c r="C418" s="2"/>
      <c r="D418" s="2"/>
      <c r="E418" s="2"/>
      <c r="F418" s="2"/>
      <c r="G418" s="2"/>
    </row>
    <row r="419">
      <c r="A419" s="2"/>
      <c r="B419" s="2"/>
      <c r="C419" s="2"/>
      <c r="D419" s="2"/>
      <c r="E419" s="2"/>
      <c r="F419" s="2"/>
      <c r="G419" s="2"/>
    </row>
    <row r="420">
      <c r="A420" s="2"/>
      <c r="B420" s="2"/>
      <c r="C420" s="2"/>
      <c r="D420" s="2"/>
      <c r="E420" s="2"/>
      <c r="F420" s="2"/>
      <c r="G420" s="2"/>
    </row>
    <row r="421">
      <c r="A421" s="2"/>
      <c r="B421" s="2"/>
      <c r="C421" s="2"/>
      <c r="D421" s="2"/>
      <c r="E421" s="2"/>
      <c r="F421" s="2"/>
      <c r="G421" s="2"/>
    </row>
    <row r="422">
      <c r="A422" s="2"/>
      <c r="B422" s="2"/>
      <c r="C422" s="2"/>
      <c r="D422" s="2"/>
      <c r="E422" s="2"/>
      <c r="F422" s="2"/>
      <c r="G422" s="2"/>
    </row>
    <row r="423">
      <c r="A423" s="2"/>
      <c r="B423" s="2"/>
      <c r="C423" s="2"/>
      <c r="D423" s="2"/>
      <c r="E423" s="2"/>
      <c r="F423" s="2"/>
      <c r="G423" s="2"/>
    </row>
    <row r="424">
      <c r="A424" s="2"/>
      <c r="B424" s="2"/>
      <c r="C424" s="2"/>
      <c r="D424" s="2"/>
      <c r="E424" s="2"/>
      <c r="F424" s="2"/>
      <c r="G424" s="2"/>
    </row>
    <row r="425">
      <c r="A425" s="2"/>
      <c r="B425" s="2"/>
      <c r="C425" s="2"/>
      <c r="D425" s="2"/>
      <c r="E425" s="2"/>
      <c r="F425" s="2"/>
      <c r="G425" s="2"/>
    </row>
    <row r="426">
      <c r="A426" s="2"/>
      <c r="B426" s="2"/>
      <c r="C426" s="2"/>
      <c r="D426" s="2"/>
      <c r="E426" s="2"/>
      <c r="F426" s="2"/>
      <c r="G426" s="2"/>
    </row>
    <row r="427">
      <c r="A427" s="2"/>
      <c r="B427" s="2"/>
      <c r="C427" s="2"/>
      <c r="D427" s="2"/>
      <c r="E427" s="2"/>
      <c r="F427" s="2"/>
      <c r="G427" s="2"/>
    </row>
    <row r="428">
      <c r="A428" s="2"/>
      <c r="B428" s="2"/>
      <c r="C428" s="2"/>
      <c r="D428" s="2"/>
      <c r="E428" s="2"/>
      <c r="F428" s="2"/>
      <c r="G428" s="2"/>
    </row>
    <row r="429">
      <c r="A429" s="2"/>
      <c r="B429" s="2"/>
      <c r="C429" s="2"/>
      <c r="D429" s="2"/>
      <c r="E429" s="2"/>
      <c r="F429" s="2"/>
      <c r="G429" s="2"/>
    </row>
    <row r="430">
      <c r="A430" s="2"/>
      <c r="B430" s="2"/>
      <c r="C430" s="2"/>
      <c r="D430" s="2"/>
      <c r="E430" s="2"/>
      <c r="F430" s="2"/>
      <c r="G430" s="2"/>
    </row>
    <row r="431">
      <c r="A431" s="2"/>
      <c r="B431" s="2"/>
      <c r="C431" s="2"/>
      <c r="D431" s="2"/>
      <c r="E431" s="2"/>
      <c r="F431" s="2"/>
      <c r="G431" s="2"/>
    </row>
    <row r="432">
      <c r="A432" s="2"/>
      <c r="B432" s="2"/>
      <c r="C432" s="2"/>
      <c r="D432" s="2"/>
      <c r="E432" s="2"/>
      <c r="F432" s="2"/>
      <c r="G432" s="2"/>
    </row>
    <row r="433">
      <c r="A433" s="2"/>
      <c r="B433" s="2"/>
      <c r="C433" s="2"/>
      <c r="D433" s="2"/>
      <c r="E433" s="2"/>
      <c r="F433" s="2"/>
      <c r="G433" s="2"/>
    </row>
    <row r="434">
      <c r="A434" s="2"/>
      <c r="B434" s="2"/>
      <c r="C434" s="2"/>
      <c r="D434" s="2"/>
      <c r="E434" s="2"/>
      <c r="F434" s="2"/>
      <c r="G434" s="2"/>
    </row>
    <row r="435">
      <c r="A435" s="2"/>
      <c r="B435" s="2"/>
      <c r="C435" s="2"/>
      <c r="D435" s="2"/>
      <c r="E435" s="2"/>
      <c r="F435" s="2"/>
      <c r="G435" s="2"/>
    </row>
    <row r="436">
      <c r="A436" s="2"/>
      <c r="B436" s="2"/>
      <c r="C436" s="2"/>
      <c r="D436" s="2"/>
      <c r="E436" s="2"/>
      <c r="F436" s="2"/>
      <c r="G436" s="2"/>
    </row>
    <row r="437">
      <c r="A437" s="2"/>
      <c r="B437" s="2"/>
      <c r="C437" s="2"/>
      <c r="D437" s="2"/>
      <c r="E437" s="2"/>
      <c r="F437" s="2"/>
      <c r="G437" s="2"/>
    </row>
    <row r="438">
      <c r="A438" s="2"/>
      <c r="B438" s="2"/>
      <c r="C438" s="2"/>
      <c r="D438" s="2"/>
      <c r="E438" s="2"/>
      <c r="F438" s="2"/>
      <c r="G438" s="2"/>
    </row>
    <row r="439">
      <c r="A439" s="2"/>
      <c r="B439" s="2"/>
      <c r="C439" s="2"/>
      <c r="D439" s="2"/>
      <c r="E439" s="2"/>
      <c r="F439" s="2"/>
      <c r="G439" s="2"/>
    </row>
    <row r="440">
      <c r="A440" s="2"/>
      <c r="B440" s="2"/>
      <c r="C440" s="2"/>
      <c r="D440" s="2"/>
      <c r="E440" s="2"/>
      <c r="F440" s="2"/>
      <c r="G440" s="2"/>
    </row>
    <row r="441">
      <c r="A441" s="2"/>
      <c r="B441" s="2"/>
      <c r="C441" s="2"/>
      <c r="D441" s="2"/>
      <c r="E441" s="2"/>
      <c r="F441" s="2"/>
      <c r="G441" s="2"/>
    </row>
    <row r="442">
      <c r="A442" s="2"/>
      <c r="B442" s="2"/>
      <c r="C442" s="2"/>
      <c r="D442" s="2"/>
      <c r="E442" s="2"/>
      <c r="F442" s="2"/>
      <c r="G442" s="2"/>
    </row>
    <row r="443">
      <c r="A443" s="2"/>
      <c r="B443" s="2"/>
      <c r="C443" s="2"/>
      <c r="D443" s="2"/>
      <c r="E443" s="2"/>
      <c r="F443" s="2"/>
      <c r="G443" s="2"/>
    </row>
    <row r="444">
      <c r="A444" s="2"/>
      <c r="B444" s="2"/>
      <c r="C444" s="2"/>
      <c r="D444" s="2"/>
      <c r="E444" s="2"/>
      <c r="F444" s="2"/>
      <c r="G444" s="2"/>
    </row>
    <row r="445">
      <c r="A445" s="2"/>
      <c r="B445" s="2"/>
      <c r="C445" s="2"/>
      <c r="D445" s="2"/>
      <c r="E445" s="2"/>
      <c r="F445" s="2"/>
      <c r="G445" s="2"/>
    </row>
    <row r="446">
      <c r="A446" s="2"/>
      <c r="B446" s="2"/>
      <c r="C446" s="2"/>
      <c r="D446" s="2"/>
      <c r="E446" s="2"/>
      <c r="F446" s="2"/>
      <c r="G446" s="2"/>
    </row>
    <row r="447">
      <c r="A447" s="2"/>
      <c r="B447" s="2"/>
      <c r="C447" s="2"/>
      <c r="D447" s="2"/>
      <c r="E447" s="2"/>
      <c r="F447" s="2"/>
      <c r="G447" s="2"/>
    </row>
    <row r="448">
      <c r="A448" s="2"/>
      <c r="B448" s="2"/>
      <c r="C448" s="2"/>
      <c r="D448" s="2"/>
      <c r="E448" s="2"/>
      <c r="F448" s="2"/>
      <c r="G448" s="2"/>
    </row>
    <row r="449">
      <c r="A449" s="2"/>
      <c r="B449" s="2"/>
      <c r="C449" s="2"/>
      <c r="D449" s="2"/>
      <c r="E449" s="2"/>
      <c r="F449" s="2"/>
      <c r="G449" s="2"/>
    </row>
    <row r="450">
      <c r="A450" s="2"/>
      <c r="B450" s="2"/>
      <c r="C450" s="2"/>
      <c r="D450" s="2"/>
      <c r="E450" s="2"/>
      <c r="F450" s="2"/>
      <c r="G450" s="2"/>
    </row>
    <row r="451">
      <c r="A451" s="2"/>
      <c r="B451" s="2"/>
      <c r="C451" s="2"/>
      <c r="D451" s="2"/>
      <c r="E451" s="2"/>
      <c r="F451" s="2"/>
      <c r="G451" s="2"/>
    </row>
    <row r="452">
      <c r="A452" s="2"/>
      <c r="B452" s="2"/>
      <c r="C452" s="2"/>
      <c r="D452" s="2"/>
      <c r="E452" s="2"/>
      <c r="F452" s="2"/>
      <c r="G452" s="2"/>
    </row>
    <row r="453">
      <c r="A453" s="2"/>
      <c r="B453" s="2"/>
      <c r="C453" s="2"/>
      <c r="D453" s="2"/>
      <c r="E453" s="2"/>
      <c r="F453" s="2"/>
      <c r="G453" s="2"/>
    </row>
    <row r="454">
      <c r="A454" s="2"/>
      <c r="B454" s="2"/>
      <c r="C454" s="2"/>
      <c r="D454" s="2"/>
      <c r="E454" s="2"/>
      <c r="F454" s="2"/>
      <c r="G454" s="2"/>
    </row>
    <row r="455">
      <c r="A455" s="2"/>
      <c r="B455" s="2"/>
      <c r="C455" s="2"/>
      <c r="D455" s="2"/>
      <c r="E455" s="2"/>
      <c r="F455" s="2"/>
      <c r="G455" s="2"/>
    </row>
    <row r="456">
      <c r="A456" s="2"/>
      <c r="B456" s="2"/>
      <c r="C456" s="2"/>
      <c r="D456" s="2"/>
      <c r="E456" s="2"/>
      <c r="F456" s="2"/>
      <c r="G456" s="2"/>
    </row>
    <row r="457">
      <c r="A457" s="2"/>
      <c r="B457" s="2"/>
      <c r="C457" s="2"/>
      <c r="D457" s="2"/>
      <c r="E457" s="2"/>
      <c r="F457" s="2"/>
      <c r="G457" s="2"/>
    </row>
    <row r="458">
      <c r="A458" s="2"/>
      <c r="B458" s="2"/>
      <c r="C458" s="2"/>
      <c r="D458" s="2"/>
      <c r="E458" s="2"/>
      <c r="F458" s="2"/>
      <c r="G458" s="2"/>
    </row>
    <row r="459">
      <c r="A459" s="2"/>
      <c r="B459" s="2"/>
      <c r="C459" s="2"/>
      <c r="D459" s="2"/>
      <c r="E459" s="2"/>
      <c r="F459" s="2"/>
      <c r="G459" s="2"/>
    </row>
    <row r="460">
      <c r="A460" s="2"/>
      <c r="B460" s="2"/>
      <c r="C460" s="2"/>
      <c r="D460" s="2"/>
      <c r="E460" s="2"/>
      <c r="F460" s="2"/>
      <c r="G460" s="2"/>
    </row>
    <row r="461">
      <c r="A461" s="2"/>
      <c r="B461" s="2"/>
      <c r="C461" s="2"/>
      <c r="D461" s="2"/>
      <c r="E461" s="2"/>
      <c r="F461" s="2"/>
      <c r="G461" s="2"/>
    </row>
    <row r="462">
      <c r="A462" s="2"/>
      <c r="B462" s="2"/>
      <c r="C462" s="2"/>
      <c r="D462" s="2"/>
      <c r="E462" s="2"/>
      <c r="F462" s="2"/>
      <c r="G462" s="2"/>
    </row>
    <row r="463">
      <c r="A463" s="2"/>
      <c r="B463" s="2"/>
      <c r="C463" s="2"/>
      <c r="D463" s="2"/>
      <c r="E463" s="2"/>
      <c r="F463" s="2"/>
      <c r="G463" s="2"/>
    </row>
    <row r="464">
      <c r="A464" s="2"/>
      <c r="B464" s="2"/>
      <c r="C464" s="2"/>
      <c r="D464" s="2"/>
      <c r="E464" s="2"/>
      <c r="F464" s="2"/>
      <c r="G464" s="2"/>
    </row>
    <row r="465">
      <c r="A465" s="2"/>
      <c r="B465" s="2"/>
      <c r="C465" s="2"/>
      <c r="D465" s="2"/>
      <c r="E465" s="2"/>
      <c r="F465" s="2"/>
      <c r="G465" s="2"/>
    </row>
    <row r="466">
      <c r="A466" s="2"/>
      <c r="B466" s="2"/>
      <c r="C466" s="2"/>
      <c r="D466" s="2"/>
      <c r="E466" s="2"/>
      <c r="F466" s="2"/>
      <c r="G466" s="2"/>
    </row>
    <row r="467">
      <c r="A467" s="2"/>
      <c r="B467" s="2"/>
      <c r="C467" s="2"/>
      <c r="D467" s="2"/>
      <c r="E467" s="2"/>
      <c r="F467" s="2"/>
      <c r="G467" s="2"/>
    </row>
    <row r="468">
      <c r="A468" s="2"/>
      <c r="B468" s="2"/>
      <c r="C468" s="2"/>
      <c r="D468" s="2"/>
      <c r="E468" s="2"/>
      <c r="F468" s="2"/>
      <c r="G468" s="2"/>
    </row>
    <row r="469">
      <c r="A469" s="2"/>
      <c r="B469" s="2"/>
      <c r="C469" s="2"/>
      <c r="D469" s="2"/>
      <c r="E469" s="2"/>
      <c r="F469" s="2"/>
      <c r="G469" s="2"/>
    </row>
    <row r="470">
      <c r="A470" s="2"/>
      <c r="B470" s="2"/>
      <c r="C470" s="2"/>
      <c r="D470" s="2"/>
      <c r="E470" s="2"/>
      <c r="F470" s="2"/>
      <c r="G470" s="2"/>
    </row>
    <row r="471">
      <c r="A471" s="2"/>
      <c r="B471" s="2"/>
      <c r="C471" s="2"/>
      <c r="D471" s="2"/>
      <c r="E471" s="2"/>
      <c r="F471" s="2"/>
      <c r="G471" s="2"/>
    </row>
    <row r="472">
      <c r="A472" s="2"/>
      <c r="B472" s="2"/>
      <c r="C472" s="2"/>
      <c r="D472" s="2"/>
      <c r="E472" s="2"/>
      <c r="F472" s="2"/>
      <c r="G472" s="2"/>
    </row>
    <row r="473">
      <c r="A473" s="2"/>
      <c r="B473" s="2"/>
      <c r="C473" s="2"/>
      <c r="D473" s="2"/>
      <c r="E473" s="2"/>
      <c r="F473" s="2"/>
      <c r="G473" s="2"/>
    </row>
    <row r="474">
      <c r="A474" s="2"/>
      <c r="B474" s="2"/>
      <c r="C474" s="2"/>
      <c r="D474" s="2"/>
      <c r="E474" s="2"/>
      <c r="F474" s="2"/>
      <c r="G474" s="2"/>
    </row>
    <row r="475">
      <c r="A475" s="2"/>
      <c r="B475" s="2"/>
      <c r="C475" s="2"/>
      <c r="D475" s="2"/>
      <c r="E475" s="2"/>
      <c r="F475" s="2"/>
      <c r="G475" s="2"/>
    </row>
    <row r="476">
      <c r="A476" s="2"/>
      <c r="B476" s="2"/>
      <c r="C476" s="2"/>
      <c r="D476" s="2"/>
      <c r="E476" s="2"/>
      <c r="F476" s="2"/>
      <c r="G476" s="2"/>
    </row>
    <row r="477">
      <c r="A477" s="2"/>
      <c r="B477" s="2"/>
      <c r="C477" s="2"/>
      <c r="D477" s="2"/>
      <c r="E477" s="2"/>
      <c r="F477" s="2"/>
      <c r="G477" s="2"/>
    </row>
    <row r="478">
      <c r="A478" s="2"/>
      <c r="B478" s="2"/>
      <c r="C478" s="2"/>
      <c r="D478" s="2"/>
      <c r="E478" s="2"/>
      <c r="F478" s="2"/>
      <c r="G478" s="2"/>
    </row>
    <row r="479">
      <c r="A479" s="2"/>
      <c r="B479" s="2"/>
      <c r="C479" s="2"/>
      <c r="D479" s="2"/>
      <c r="E479" s="2"/>
      <c r="F479" s="2"/>
      <c r="G479" s="2"/>
    </row>
    <row r="480">
      <c r="A480" s="2"/>
      <c r="B480" s="2"/>
      <c r="C480" s="2"/>
      <c r="D480" s="2"/>
      <c r="E480" s="2"/>
      <c r="F480" s="2"/>
      <c r="G480" s="2"/>
    </row>
    <row r="481">
      <c r="A481" s="2"/>
      <c r="B481" s="2"/>
      <c r="C481" s="2"/>
      <c r="D481" s="2"/>
      <c r="E481" s="2"/>
      <c r="F481" s="2"/>
      <c r="G481" s="2"/>
    </row>
    <row r="482">
      <c r="A482" s="2"/>
      <c r="B482" s="2"/>
      <c r="C482" s="2"/>
      <c r="D482" s="2"/>
      <c r="E482" s="2"/>
      <c r="F482" s="2"/>
      <c r="G482" s="2"/>
    </row>
    <row r="483">
      <c r="A483" s="2"/>
      <c r="B483" s="2"/>
      <c r="C483" s="2"/>
      <c r="D483" s="2"/>
      <c r="E483" s="2"/>
      <c r="F483" s="2"/>
      <c r="G483" s="2"/>
    </row>
    <row r="484">
      <c r="A484" s="2"/>
      <c r="B484" s="2"/>
      <c r="C484" s="2"/>
      <c r="D484" s="2"/>
      <c r="E484" s="2"/>
      <c r="F484" s="2"/>
      <c r="G484" s="2"/>
    </row>
    <row r="485">
      <c r="A485" s="2"/>
      <c r="B485" s="2"/>
      <c r="C485" s="2"/>
      <c r="D485" s="2"/>
      <c r="E485" s="2"/>
      <c r="F485" s="2"/>
      <c r="G485" s="2"/>
    </row>
    <row r="486">
      <c r="A486" s="2"/>
      <c r="B486" s="2"/>
      <c r="C486" s="2"/>
      <c r="D486" s="2"/>
      <c r="E486" s="2"/>
      <c r="F486" s="2"/>
      <c r="G486" s="2"/>
    </row>
    <row r="487">
      <c r="A487" s="2"/>
      <c r="B487" s="2"/>
      <c r="C487" s="2"/>
      <c r="D487" s="2"/>
      <c r="E487" s="2"/>
      <c r="F487" s="2"/>
      <c r="G487" s="2"/>
    </row>
    <row r="488">
      <c r="A488" s="2"/>
      <c r="B488" s="2"/>
      <c r="C488" s="2"/>
      <c r="D488" s="2"/>
      <c r="E488" s="2"/>
      <c r="F488" s="2"/>
      <c r="G488" s="2"/>
    </row>
    <row r="489">
      <c r="A489" s="2"/>
      <c r="B489" s="2"/>
      <c r="C489" s="2"/>
      <c r="D489" s="2"/>
      <c r="E489" s="2"/>
      <c r="F489" s="2"/>
      <c r="G489" s="2"/>
    </row>
    <row r="490">
      <c r="A490" s="2"/>
      <c r="B490" s="2"/>
      <c r="C490" s="2"/>
      <c r="D490" s="2"/>
      <c r="E490" s="2"/>
      <c r="F490" s="2"/>
      <c r="G490" s="2"/>
    </row>
    <row r="491">
      <c r="A491" s="2"/>
      <c r="B491" s="2"/>
      <c r="C491" s="2"/>
      <c r="D491" s="2"/>
      <c r="E491" s="2"/>
      <c r="F491" s="2"/>
      <c r="G491" s="2"/>
    </row>
    <row r="492">
      <c r="A492" s="2"/>
      <c r="B492" s="2"/>
      <c r="C492" s="2"/>
      <c r="D492" s="2"/>
      <c r="E492" s="2"/>
      <c r="F492" s="2"/>
      <c r="G492" s="2"/>
    </row>
    <row r="493">
      <c r="A493" s="2"/>
      <c r="B493" s="2"/>
      <c r="C493" s="2"/>
      <c r="D493" s="2"/>
      <c r="E493" s="2"/>
      <c r="F493" s="2"/>
      <c r="G493" s="2"/>
    </row>
    <row r="494">
      <c r="A494" s="2"/>
      <c r="B494" s="2"/>
      <c r="C494" s="2"/>
      <c r="D494" s="2"/>
      <c r="E494" s="2"/>
      <c r="F494" s="2"/>
      <c r="G494" s="2"/>
    </row>
    <row r="495">
      <c r="A495" s="2"/>
      <c r="B495" s="2"/>
      <c r="C495" s="2"/>
      <c r="D495" s="2"/>
      <c r="E495" s="2"/>
      <c r="F495" s="2"/>
      <c r="G495" s="2"/>
    </row>
    <row r="496">
      <c r="A496" s="2"/>
      <c r="B496" s="2"/>
      <c r="C496" s="2"/>
      <c r="D496" s="2"/>
      <c r="E496" s="2"/>
      <c r="F496" s="2"/>
      <c r="G496" s="2"/>
    </row>
    <row r="497">
      <c r="A497" s="2"/>
      <c r="B497" s="2"/>
      <c r="C497" s="2"/>
      <c r="D497" s="2"/>
      <c r="E497" s="2"/>
      <c r="F497" s="2"/>
      <c r="G497" s="2"/>
    </row>
    <row r="498">
      <c r="A498" s="2"/>
      <c r="B498" s="2"/>
      <c r="C498" s="2"/>
      <c r="D498" s="2"/>
      <c r="E498" s="2"/>
      <c r="F498" s="2"/>
      <c r="G498" s="2"/>
    </row>
    <row r="499">
      <c r="A499" s="2"/>
      <c r="B499" s="2"/>
      <c r="C499" s="2"/>
      <c r="D499" s="2"/>
      <c r="E499" s="2"/>
      <c r="F499" s="2"/>
      <c r="G499" s="2"/>
    </row>
    <row r="500">
      <c r="A500" s="2"/>
      <c r="B500" s="2"/>
      <c r="C500" s="2"/>
      <c r="D500" s="2"/>
      <c r="E500" s="2"/>
      <c r="F500" s="2"/>
      <c r="G500" s="2"/>
    </row>
    <row r="501">
      <c r="A501" s="2"/>
      <c r="B501" s="2"/>
      <c r="C501" s="2"/>
      <c r="D501" s="2"/>
      <c r="E501" s="2"/>
      <c r="F501" s="2"/>
      <c r="G501" s="2"/>
    </row>
    <row r="502">
      <c r="A502" s="2"/>
      <c r="B502" s="2"/>
      <c r="C502" s="2"/>
      <c r="D502" s="2"/>
      <c r="E502" s="2"/>
      <c r="F502" s="2"/>
      <c r="G502" s="2"/>
    </row>
    <row r="503">
      <c r="A503" s="2"/>
      <c r="B503" s="2"/>
      <c r="C503" s="2"/>
      <c r="D503" s="2"/>
      <c r="E503" s="2"/>
      <c r="F503" s="2"/>
      <c r="G503" s="2"/>
    </row>
    <row r="504">
      <c r="A504" s="2"/>
      <c r="B504" s="2"/>
      <c r="C504" s="2"/>
      <c r="D504" s="2"/>
      <c r="E504" s="2"/>
      <c r="F504" s="2"/>
      <c r="G504" s="2"/>
    </row>
    <row r="505">
      <c r="A505" s="2"/>
      <c r="B505" s="2"/>
      <c r="C505" s="2"/>
      <c r="D505" s="2"/>
      <c r="E505" s="2"/>
      <c r="F505" s="2"/>
      <c r="G505" s="2"/>
    </row>
    <row r="506">
      <c r="A506" s="2"/>
      <c r="B506" s="2"/>
      <c r="C506" s="2"/>
      <c r="D506" s="2"/>
      <c r="E506" s="2"/>
      <c r="F506" s="2"/>
      <c r="G506" s="2"/>
    </row>
    <row r="507">
      <c r="A507" s="2"/>
      <c r="B507" s="2"/>
      <c r="C507" s="2"/>
      <c r="D507" s="2"/>
      <c r="E507" s="2"/>
      <c r="F507" s="2"/>
      <c r="G507" s="2"/>
    </row>
    <row r="508">
      <c r="A508" s="2"/>
      <c r="B508" s="2"/>
      <c r="C508" s="2"/>
      <c r="D508" s="2"/>
      <c r="E508" s="2"/>
      <c r="F508" s="2"/>
      <c r="G508" s="2"/>
    </row>
    <row r="509">
      <c r="A509" s="2"/>
      <c r="B509" s="2"/>
      <c r="C509" s="2"/>
      <c r="D509" s="2"/>
      <c r="E509" s="2"/>
      <c r="F509" s="2"/>
      <c r="G509" s="2"/>
    </row>
    <row r="510">
      <c r="A510" s="2"/>
      <c r="B510" s="2"/>
      <c r="C510" s="2"/>
      <c r="D510" s="2"/>
      <c r="E510" s="2"/>
      <c r="F510" s="2"/>
      <c r="G510" s="2"/>
    </row>
    <row r="511">
      <c r="A511" s="2"/>
      <c r="B511" s="2"/>
      <c r="C511" s="2"/>
      <c r="D511" s="2"/>
      <c r="E511" s="2"/>
      <c r="F511" s="2"/>
      <c r="G511" s="2"/>
    </row>
    <row r="512">
      <c r="A512" s="2"/>
      <c r="B512" s="2"/>
      <c r="C512" s="2"/>
      <c r="D512" s="2"/>
      <c r="E512" s="2"/>
      <c r="F512" s="2"/>
      <c r="G512" s="2"/>
    </row>
    <row r="513">
      <c r="A513" s="2"/>
      <c r="B513" s="2"/>
      <c r="C513" s="2"/>
      <c r="D513" s="2"/>
      <c r="E513" s="2"/>
      <c r="F513" s="2"/>
      <c r="G513" s="2"/>
    </row>
    <row r="514">
      <c r="A514" s="2"/>
      <c r="B514" s="2"/>
      <c r="C514" s="2"/>
      <c r="D514" s="2"/>
      <c r="E514" s="2"/>
      <c r="F514" s="2"/>
      <c r="G514" s="2"/>
    </row>
    <row r="515">
      <c r="A515" s="2"/>
      <c r="B515" s="2"/>
      <c r="C515" s="2"/>
      <c r="D515" s="2"/>
      <c r="E515" s="2"/>
      <c r="F515" s="2"/>
      <c r="G515" s="2"/>
    </row>
    <row r="516">
      <c r="A516" s="2"/>
      <c r="B516" s="2"/>
      <c r="C516" s="2"/>
      <c r="D516" s="2"/>
      <c r="E516" s="2"/>
      <c r="F516" s="2"/>
      <c r="G516" s="2"/>
    </row>
    <row r="517">
      <c r="A517" s="2"/>
      <c r="B517" s="2"/>
      <c r="C517" s="2"/>
      <c r="D517" s="2"/>
      <c r="E517" s="2"/>
      <c r="F517" s="2"/>
      <c r="G517" s="2"/>
    </row>
    <row r="518">
      <c r="A518" s="2"/>
      <c r="B518" s="2"/>
      <c r="C518" s="2"/>
      <c r="D518" s="2"/>
      <c r="E518" s="2"/>
      <c r="F518" s="2"/>
      <c r="G518" s="2"/>
    </row>
    <row r="519">
      <c r="A519" s="2"/>
      <c r="B519" s="2"/>
      <c r="C519" s="2"/>
      <c r="D519" s="2"/>
      <c r="E519" s="2"/>
      <c r="F519" s="2"/>
      <c r="G519" s="2"/>
    </row>
    <row r="520">
      <c r="A520" s="2"/>
      <c r="B520" s="2"/>
      <c r="C520" s="2"/>
      <c r="D520" s="2"/>
      <c r="E520" s="2"/>
      <c r="F520" s="2"/>
      <c r="G520" s="2"/>
    </row>
    <row r="521">
      <c r="A521" s="2"/>
      <c r="B521" s="2"/>
      <c r="C521" s="2"/>
      <c r="D521" s="2"/>
      <c r="E521" s="2"/>
      <c r="F521" s="2"/>
      <c r="G521" s="2"/>
    </row>
    <row r="522">
      <c r="A522" s="2"/>
      <c r="B522" s="2"/>
      <c r="C522" s="2"/>
      <c r="D522" s="2"/>
      <c r="E522" s="2"/>
      <c r="F522" s="2"/>
      <c r="G522" s="2"/>
    </row>
    <row r="523">
      <c r="A523" s="2"/>
      <c r="B523" s="2"/>
      <c r="C523" s="2"/>
      <c r="D523" s="2"/>
      <c r="E523" s="2"/>
      <c r="F523" s="2"/>
      <c r="G523" s="2"/>
    </row>
    <row r="524">
      <c r="A524" s="2"/>
      <c r="B524" s="2"/>
      <c r="C524" s="2"/>
      <c r="D524" s="2"/>
      <c r="E524" s="2"/>
      <c r="F524" s="2"/>
      <c r="G524" s="2"/>
    </row>
    <row r="525">
      <c r="A525" s="2"/>
      <c r="B525" s="2"/>
      <c r="C525" s="2"/>
      <c r="D525" s="2"/>
      <c r="E525" s="2"/>
      <c r="F525" s="2"/>
      <c r="G525" s="2"/>
    </row>
    <row r="526">
      <c r="A526" s="2"/>
      <c r="B526" s="2"/>
      <c r="C526" s="2"/>
      <c r="D526" s="2"/>
      <c r="E526" s="2"/>
      <c r="F526" s="2"/>
      <c r="G526" s="2"/>
    </row>
    <row r="527">
      <c r="A527" s="2"/>
      <c r="B527" s="2"/>
      <c r="C527" s="2"/>
      <c r="D527" s="2"/>
      <c r="E527" s="2"/>
      <c r="F527" s="2"/>
      <c r="G527" s="2"/>
    </row>
    <row r="528">
      <c r="A528" s="2"/>
      <c r="B528" s="2"/>
      <c r="C528" s="2"/>
      <c r="D528" s="2"/>
      <c r="E528" s="2"/>
      <c r="F528" s="2"/>
      <c r="G528" s="2"/>
    </row>
    <row r="529">
      <c r="A529" s="2"/>
      <c r="B529" s="2"/>
      <c r="C529" s="2"/>
      <c r="D529" s="2"/>
      <c r="E529" s="2"/>
      <c r="F529" s="2"/>
      <c r="G529" s="2"/>
    </row>
    <row r="530">
      <c r="A530" s="2"/>
      <c r="B530" s="2"/>
      <c r="C530" s="2"/>
      <c r="D530" s="2"/>
      <c r="E530" s="2"/>
      <c r="F530" s="2"/>
      <c r="G530" s="2"/>
    </row>
    <row r="531">
      <c r="A531" s="2"/>
      <c r="B531" s="2"/>
      <c r="C531" s="2"/>
      <c r="D531" s="2"/>
      <c r="E531" s="2"/>
      <c r="F531" s="2"/>
      <c r="G531" s="2"/>
    </row>
    <row r="532">
      <c r="A532" s="2"/>
      <c r="B532" s="2"/>
      <c r="C532" s="2"/>
      <c r="D532" s="2"/>
      <c r="E532" s="2"/>
      <c r="F532" s="2"/>
      <c r="G532" s="2"/>
    </row>
    <row r="533">
      <c r="A533" s="2"/>
      <c r="B533" s="2"/>
      <c r="C533" s="2"/>
      <c r="D533" s="2"/>
      <c r="E533" s="2"/>
      <c r="F533" s="2"/>
      <c r="G533" s="2"/>
    </row>
    <row r="534">
      <c r="A534" s="2"/>
      <c r="B534" s="2"/>
      <c r="C534" s="2"/>
      <c r="D534" s="2"/>
      <c r="E534" s="2"/>
      <c r="F534" s="2"/>
      <c r="G534" s="2"/>
    </row>
    <row r="535">
      <c r="A535" s="2"/>
      <c r="B535" s="2"/>
      <c r="C535" s="2"/>
      <c r="D535" s="2"/>
      <c r="E535" s="2"/>
      <c r="F535" s="2"/>
      <c r="G535" s="2"/>
    </row>
    <row r="536">
      <c r="A536" s="2"/>
      <c r="B536" s="2"/>
      <c r="C536" s="2"/>
      <c r="D536" s="2"/>
      <c r="E536" s="2"/>
      <c r="F536" s="2"/>
      <c r="G536" s="2"/>
    </row>
    <row r="537">
      <c r="A537" s="2"/>
      <c r="B537" s="2"/>
      <c r="C537" s="2"/>
      <c r="D537" s="2"/>
      <c r="E537" s="2"/>
      <c r="F537" s="2"/>
      <c r="G537" s="2"/>
    </row>
    <row r="538">
      <c r="A538" s="2"/>
      <c r="B538" s="2"/>
      <c r="C538" s="2"/>
      <c r="D538" s="2"/>
      <c r="E538" s="2"/>
      <c r="F538" s="2"/>
      <c r="G538" s="2"/>
    </row>
    <row r="539">
      <c r="A539" s="2"/>
      <c r="B539" s="2"/>
      <c r="C539" s="2"/>
      <c r="D539" s="2"/>
      <c r="E539" s="2"/>
      <c r="F539" s="2"/>
      <c r="G539" s="2"/>
    </row>
    <row r="540">
      <c r="A540" s="2"/>
      <c r="B540" s="2"/>
      <c r="C540" s="2"/>
      <c r="D540" s="2"/>
      <c r="E540" s="2"/>
      <c r="F540" s="2"/>
      <c r="G540" s="2"/>
    </row>
    <row r="541">
      <c r="A541" s="2"/>
      <c r="B541" s="2"/>
      <c r="C541" s="2"/>
      <c r="D541" s="2"/>
      <c r="E541" s="2"/>
      <c r="F541" s="2"/>
      <c r="G541" s="2"/>
    </row>
    <row r="542">
      <c r="A542" s="2"/>
      <c r="B542" s="2"/>
      <c r="C542" s="2"/>
      <c r="D542" s="2"/>
      <c r="E542" s="2"/>
      <c r="F542" s="2"/>
      <c r="G542" s="2"/>
    </row>
    <row r="543">
      <c r="A543" s="2"/>
      <c r="B543" s="2"/>
      <c r="C543" s="2"/>
      <c r="D543" s="2"/>
      <c r="E543" s="2"/>
      <c r="F543" s="2"/>
      <c r="G543" s="2"/>
    </row>
    <row r="544">
      <c r="A544" s="2"/>
      <c r="B544" s="2"/>
      <c r="C544" s="2"/>
      <c r="D544" s="2"/>
      <c r="E544" s="2"/>
      <c r="F544" s="2"/>
      <c r="G544" s="2"/>
    </row>
    <row r="545">
      <c r="A545" s="2"/>
      <c r="B545" s="2"/>
      <c r="C545" s="2"/>
      <c r="D545" s="2"/>
      <c r="E545" s="2"/>
      <c r="F545" s="2"/>
      <c r="G545" s="2"/>
    </row>
    <row r="546">
      <c r="A546" s="2"/>
      <c r="B546" s="2"/>
      <c r="C546" s="2"/>
      <c r="D546" s="2"/>
      <c r="E546" s="2"/>
      <c r="F546" s="2"/>
      <c r="G546" s="2"/>
    </row>
    <row r="547">
      <c r="A547" s="2"/>
      <c r="B547" s="2"/>
      <c r="C547" s="2"/>
      <c r="D547" s="2"/>
      <c r="E547" s="2"/>
      <c r="F547" s="2"/>
      <c r="G547" s="2"/>
    </row>
    <row r="548">
      <c r="A548" s="2"/>
      <c r="B548" s="2"/>
      <c r="C548" s="2"/>
      <c r="D548" s="2"/>
      <c r="E548" s="2"/>
      <c r="F548" s="2"/>
      <c r="G548" s="2"/>
    </row>
    <row r="549">
      <c r="A549" s="2"/>
      <c r="B549" s="2"/>
      <c r="C549" s="2"/>
      <c r="D549" s="2"/>
      <c r="E549" s="2"/>
      <c r="F549" s="2"/>
      <c r="G549" s="2"/>
    </row>
    <row r="550">
      <c r="A550" s="2"/>
      <c r="B550" s="2"/>
      <c r="C550" s="2"/>
      <c r="D550" s="2"/>
      <c r="E550" s="2"/>
      <c r="F550" s="2"/>
      <c r="G550" s="2"/>
    </row>
    <row r="551">
      <c r="A551" s="2"/>
      <c r="B551" s="2"/>
      <c r="C551" s="2"/>
      <c r="D551" s="2"/>
      <c r="E551" s="2"/>
      <c r="F551" s="2"/>
      <c r="G551" s="2"/>
    </row>
    <row r="552">
      <c r="A552" s="2"/>
      <c r="B552" s="2"/>
      <c r="C552" s="2"/>
      <c r="D552" s="2"/>
      <c r="E552" s="2"/>
      <c r="F552" s="2"/>
      <c r="G552" s="2"/>
    </row>
    <row r="553">
      <c r="A553" s="2"/>
      <c r="B553" s="2"/>
      <c r="C553" s="2"/>
      <c r="D553" s="2"/>
      <c r="E553" s="2"/>
      <c r="F553" s="2"/>
      <c r="G553" s="2"/>
    </row>
    <row r="554">
      <c r="A554" s="2"/>
      <c r="B554" s="2"/>
      <c r="C554" s="2"/>
      <c r="D554" s="2"/>
      <c r="E554" s="2"/>
      <c r="F554" s="2"/>
      <c r="G554" s="2"/>
    </row>
    <row r="555">
      <c r="A555" s="2"/>
      <c r="B555" s="2"/>
      <c r="C555" s="2"/>
      <c r="D555" s="2"/>
      <c r="E555" s="2"/>
      <c r="F555" s="2"/>
      <c r="G555" s="2"/>
    </row>
    <row r="556">
      <c r="A556" s="2"/>
      <c r="B556" s="2"/>
      <c r="C556" s="2"/>
      <c r="D556" s="2"/>
      <c r="E556" s="2"/>
      <c r="F556" s="2"/>
      <c r="G556" s="2"/>
    </row>
    <row r="557">
      <c r="A557" s="2"/>
      <c r="B557" s="2"/>
      <c r="C557" s="2"/>
      <c r="D557" s="2"/>
      <c r="E557" s="2"/>
      <c r="F557" s="2"/>
      <c r="G557" s="2"/>
    </row>
    <row r="558">
      <c r="A558" s="2"/>
      <c r="B558" s="2"/>
      <c r="C558" s="2"/>
      <c r="D558" s="2"/>
      <c r="E558" s="2"/>
      <c r="F558" s="2"/>
      <c r="G558" s="2"/>
    </row>
    <row r="559">
      <c r="A559" s="2"/>
      <c r="B559" s="2"/>
      <c r="C559" s="2"/>
      <c r="D559" s="2"/>
      <c r="E559" s="2"/>
      <c r="F559" s="2"/>
      <c r="G559" s="2"/>
    </row>
    <row r="560">
      <c r="A560" s="2"/>
      <c r="B560" s="2"/>
      <c r="C560" s="2"/>
      <c r="D560" s="2"/>
      <c r="E560" s="2"/>
      <c r="F560" s="2"/>
      <c r="G560" s="2"/>
    </row>
    <row r="561">
      <c r="A561" s="2"/>
      <c r="B561" s="2"/>
      <c r="C561" s="2"/>
      <c r="D561" s="2"/>
      <c r="E561" s="2"/>
      <c r="F561" s="2"/>
      <c r="G561" s="2"/>
    </row>
    <row r="562">
      <c r="A562" s="2"/>
      <c r="B562" s="2"/>
      <c r="C562" s="2"/>
      <c r="D562" s="2"/>
      <c r="E562" s="2"/>
      <c r="F562" s="2"/>
      <c r="G562" s="2"/>
    </row>
    <row r="563">
      <c r="A563" s="2"/>
      <c r="B563" s="2"/>
      <c r="C563" s="2"/>
      <c r="D563" s="2"/>
      <c r="E563" s="2"/>
      <c r="F563" s="2"/>
      <c r="G563" s="2"/>
    </row>
    <row r="564">
      <c r="A564" s="2"/>
      <c r="B564" s="2"/>
      <c r="C564" s="2"/>
      <c r="D564" s="2"/>
      <c r="E564" s="2"/>
      <c r="F564" s="2"/>
      <c r="G564" s="2"/>
    </row>
    <row r="565">
      <c r="A565" s="2"/>
      <c r="B565" s="2"/>
      <c r="C565" s="2"/>
      <c r="D565" s="2"/>
      <c r="E565" s="2"/>
      <c r="F565" s="2"/>
      <c r="G565" s="2"/>
    </row>
    <row r="566">
      <c r="A566" s="2"/>
      <c r="B566" s="2"/>
      <c r="C566" s="2"/>
      <c r="D566" s="2"/>
      <c r="E566" s="2"/>
      <c r="F566" s="2"/>
      <c r="G566" s="2"/>
    </row>
    <row r="567">
      <c r="A567" s="2"/>
      <c r="B567" s="2"/>
      <c r="C567" s="2"/>
      <c r="D567" s="2"/>
      <c r="E567" s="2"/>
      <c r="F567" s="2"/>
      <c r="G567" s="2"/>
    </row>
    <row r="568">
      <c r="A568" s="2"/>
      <c r="B568" s="2"/>
      <c r="C568" s="2"/>
      <c r="D568" s="2"/>
      <c r="E568" s="2"/>
      <c r="F568" s="2"/>
      <c r="G568" s="2"/>
    </row>
    <row r="569">
      <c r="A569" s="2"/>
      <c r="B569" s="2"/>
      <c r="C569" s="2"/>
      <c r="D569" s="2"/>
      <c r="E569" s="2"/>
      <c r="F569" s="2"/>
      <c r="G569" s="2"/>
    </row>
    <row r="570">
      <c r="A570" s="2"/>
      <c r="B570" s="2"/>
      <c r="C570" s="2"/>
      <c r="D570" s="2"/>
      <c r="E570" s="2"/>
      <c r="F570" s="2"/>
      <c r="G570" s="2"/>
    </row>
    <row r="571">
      <c r="A571" s="2"/>
      <c r="B571" s="2"/>
      <c r="C571" s="2"/>
      <c r="D571" s="2"/>
      <c r="E571" s="2"/>
      <c r="F571" s="2"/>
      <c r="G571" s="2"/>
    </row>
    <row r="572">
      <c r="A572" s="2"/>
      <c r="B572" s="2"/>
      <c r="C572" s="2"/>
      <c r="D572" s="2"/>
      <c r="E572" s="2"/>
      <c r="F572" s="2"/>
      <c r="G572" s="2"/>
    </row>
    <row r="573">
      <c r="A573" s="2"/>
      <c r="B573" s="2"/>
      <c r="C573" s="2"/>
      <c r="D573" s="2"/>
      <c r="E573" s="2"/>
      <c r="F573" s="2"/>
      <c r="G573" s="2"/>
    </row>
    <row r="574">
      <c r="A574" s="2"/>
      <c r="B574" s="2"/>
      <c r="C574" s="2"/>
      <c r="D574" s="2"/>
      <c r="E574" s="2"/>
      <c r="F574" s="2"/>
      <c r="G574" s="2"/>
    </row>
    <row r="575">
      <c r="A575" s="2"/>
      <c r="B575" s="2"/>
      <c r="C575" s="2"/>
      <c r="D575" s="2"/>
      <c r="E575" s="2"/>
      <c r="F575" s="2"/>
      <c r="G575" s="2"/>
    </row>
    <row r="576">
      <c r="A576" s="2"/>
      <c r="B576" s="2"/>
      <c r="C576" s="2"/>
      <c r="D576" s="2"/>
      <c r="E576" s="2"/>
      <c r="F576" s="2"/>
      <c r="G576" s="2"/>
    </row>
    <row r="577">
      <c r="A577" s="2"/>
      <c r="B577" s="2"/>
      <c r="C577" s="2"/>
      <c r="D577" s="2"/>
      <c r="E577" s="2"/>
      <c r="F577" s="2"/>
      <c r="G577" s="2"/>
    </row>
    <row r="578">
      <c r="A578" s="2"/>
      <c r="B578" s="2"/>
      <c r="C578" s="2"/>
      <c r="D578" s="2"/>
      <c r="E578" s="2"/>
      <c r="F578" s="2"/>
      <c r="G578" s="2"/>
    </row>
    <row r="579">
      <c r="A579" s="2"/>
      <c r="B579" s="2"/>
      <c r="C579" s="2"/>
      <c r="D579" s="2"/>
      <c r="E579" s="2"/>
      <c r="F579" s="2"/>
      <c r="G579" s="2"/>
    </row>
    <row r="580">
      <c r="A580" s="2"/>
      <c r="B580" s="2"/>
      <c r="C580" s="2"/>
      <c r="D580" s="2"/>
      <c r="E580" s="2"/>
      <c r="F580" s="2"/>
      <c r="G580" s="2"/>
    </row>
    <row r="581">
      <c r="A581" s="2"/>
      <c r="B581" s="2"/>
      <c r="C581" s="2"/>
      <c r="D581" s="2"/>
      <c r="E581" s="2"/>
      <c r="F581" s="2"/>
      <c r="G581" s="2"/>
    </row>
    <row r="582">
      <c r="A582" s="2"/>
      <c r="B582" s="2"/>
      <c r="C582" s="2"/>
      <c r="D582" s="2"/>
      <c r="E582" s="2"/>
      <c r="F582" s="2"/>
      <c r="G582" s="2"/>
    </row>
    <row r="583">
      <c r="A583" s="2"/>
      <c r="B583" s="2"/>
      <c r="C583" s="2"/>
      <c r="D583" s="2"/>
      <c r="E583" s="2"/>
      <c r="F583" s="2"/>
      <c r="G583" s="2"/>
    </row>
    <row r="584">
      <c r="A584" s="2"/>
      <c r="B584" s="2"/>
      <c r="C584" s="2"/>
      <c r="D584" s="2"/>
      <c r="E584" s="2"/>
      <c r="F584" s="2"/>
      <c r="G584" s="2"/>
    </row>
    <row r="585">
      <c r="A585" s="2"/>
      <c r="B585" s="2"/>
      <c r="C585" s="2"/>
      <c r="D585" s="2"/>
      <c r="E585" s="2"/>
      <c r="F585" s="2"/>
      <c r="G585" s="2"/>
    </row>
    <row r="586">
      <c r="A586" s="2"/>
      <c r="B586" s="2"/>
      <c r="C586" s="2"/>
      <c r="D586" s="2"/>
      <c r="E586" s="2"/>
      <c r="F586" s="2"/>
      <c r="G586" s="2"/>
    </row>
    <row r="587">
      <c r="A587" s="2"/>
      <c r="B587" s="2"/>
      <c r="C587" s="2"/>
      <c r="D587" s="2"/>
      <c r="E587" s="2"/>
      <c r="F587" s="2"/>
      <c r="G587" s="2"/>
    </row>
    <row r="588">
      <c r="A588" s="2"/>
      <c r="B588" s="2"/>
      <c r="C588" s="2"/>
      <c r="D588" s="2"/>
      <c r="E588" s="2"/>
      <c r="F588" s="2"/>
      <c r="G588" s="2"/>
    </row>
    <row r="589">
      <c r="A589" s="2"/>
      <c r="B589" s="2"/>
      <c r="C589" s="2"/>
      <c r="D589" s="2"/>
      <c r="E589" s="2"/>
      <c r="F589" s="2"/>
      <c r="G589" s="2"/>
    </row>
    <row r="590">
      <c r="A590" s="2"/>
      <c r="B590" s="2"/>
      <c r="C590" s="2"/>
      <c r="D590" s="2"/>
      <c r="E590" s="2"/>
      <c r="F590" s="2"/>
      <c r="G590" s="2"/>
    </row>
    <row r="591">
      <c r="A591" s="2"/>
      <c r="B591" s="2"/>
      <c r="C591" s="2"/>
      <c r="D591" s="2"/>
      <c r="E591" s="2"/>
      <c r="F591" s="2"/>
      <c r="G591" s="2"/>
    </row>
    <row r="592">
      <c r="A592" s="2"/>
      <c r="B592" s="2"/>
      <c r="C592" s="2"/>
      <c r="D592" s="2"/>
      <c r="E592" s="2"/>
      <c r="F592" s="2"/>
      <c r="G592" s="2"/>
    </row>
    <row r="593">
      <c r="A593" s="2"/>
      <c r="B593" s="2"/>
      <c r="C593" s="2"/>
      <c r="D593" s="2"/>
      <c r="E593" s="2"/>
      <c r="F593" s="2"/>
      <c r="G593" s="2"/>
    </row>
    <row r="594">
      <c r="A594" s="2"/>
      <c r="B594" s="2"/>
      <c r="C594" s="2"/>
      <c r="D594" s="2"/>
      <c r="E594" s="2"/>
      <c r="F594" s="2"/>
      <c r="G594" s="2"/>
    </row>
    <row r="595">
      <c r="A595" s="2"/>
      <c r="B595" s="2"/>
      <c r="C595" s="2"/>
      <c r="D595" s="2"/>
      <c r="E595" s="2"/>
      <c r="F595" s="2"/>
      <c r="G595" s="2"/>
    </row>
    <row r="596">
      <c r="A596" s="2"/>
      <c r="B596" s="2"/>
      <c r="C596" s="2"/>
      <c r="D596" s="2"/>
      <c r="E596" s="2"/>
      <c r="F596" s="2"/>
      <c r="G596" s="2"/>
    </row>
    <row r="597">
      <c r="A597" s="2"/>
      <c r="B597" s="2"/>
      <c r="C597" s="2"/>
      <c r="D597" s="2"/>
      <c r="E597" s="2"/>
      <c r="F597" s="2"/>
      <c r="G597" s="2"/>
    </row>
    <row r="598">
      <c r="A598" s="2"/>
      <c r="B598" s="2"/>
      <c r="C598" s="2"/>
      <c r="D598" s="2"/>
      <c r="E598" s="2"/>
      <c r="F598" s="2"/>
      <c r="G598" s="2"/>
    </row>
    <row r="599">
      <c r="A599" s="2"/>
      <c r="B599" s="2"/>
      <c r="C599" s="2"/>
      <c r="D599" s="2"/>
      <c r="E599" s="2"/>
      <c r="F599" s="2"/>
      <c r="G599" s="2"/>
    </row>
    <row r="600">
      <c r="A600" s="2"/>
      <c r="B600" s="2"/>
      <c r="C600" s="2"/>
      <c r="D600" s="2"/>
      <c r="E600" s="2"/>
      <c r="F600" s="2"/>
      <c r="G600" s="2"/>
    </row>
    <row r="601">
      <c r="A601" s="2"/>
      <c r="B601" s="2"/>
      <c r="C601" s="2"/>
      <c r="D601" s="2"/>
      <c r="E601" s="2"/>
      <c r="F601" s="2"/>
      <c r="G601" s="2"/>
    </row>
    <row r="602">
      <c r="A602" s="2"/>
      <c r="B602" s="2"/>
      <c r="C602" s="2"/>
      <c r="D602" s="2"/>
      <c r="E602" s="2"/>
      <c r="F602" s="2"/>
      <c r="G602" s="2"/>
    </row>
    <row r="603">
      <c r="A603" s="2"/>
      <c r="B603" s="2"/>
      <c r="C603" s="2"/>
      <c r="D603" s="2"/>
      <c r="E603" s="2"/>
      <c r="F603" s="2"/>
      <c r="G603" s="2"/>
    </row>
    <row r="604">
      <c r="A604" s="2"/>
      <c r="B604" s="2"/>
      <c r="C604" s="2"/>
      <c r="D604" s="2"/>
      <c r="E604" s="2"/>
      <c r="F604" s="2"/>
      <c r="G604" s="2"/>
    </row>
    <row r="605">
      <c r="A605" s="2"/>
      <c r="B605" s="2"/>
      <c r="C605" s="2"/>
      <c r="D605" s="2"/>
      <c r="E605" s="2"/>
      <c r="F605" s="2"/>
      <c r="G605" s="2"/>
    </row>
    <row r="606">
      <c r="A606" s="2"/>
      <c r="B606" s="2"/>
      <c r="C606" s="2"/>
      <c r="D606" s="2"/>
      <c r="E606" s="2"/>
      <c r="F606" s="2"/>
      <c r="G606" s="2"/>
    </row>
    <row r="607">
      <c r="A607" s="2"/>
      <c r="B607" s="2"/>
      <c r="C607" s="2"/>
      <c r="D607" s="2"/>
      <c r="E607" s="2"/>
      <c r="F607" s="2"/>
      <c r="G607" s="2"/>
    </row>
    <row r="608">
      <c r="A608" s="2"/>
      <c r="B608" s="2"/>
      <c r="C608" s="2"/>
      <c r="D608" s="2"/>
      <c r="E608" s="2"/>
      <c r="F608" s="2"/>
      <c r="G608" s="2"/>
    </row>
    <row r="609">
      <c r="A609" s="2"/>
      <c r="B609" s="2"/>
      <c r="C609" s="2"/>
      <c r="D609" s="2"/>
      <c r="E609" s="2"/>
      <c r="F609" s="2"/>
      <c r="G609" s="2"/>
    </row>
    <row r="610">
      <c r="A610" s="2"/>
      <c r="B610" s="2"/>
      <c r="C610" s="2"/>
      <c r="D610" s="2"/>
      <c r="E610" s="2"/>
      <c r="F610" s="2"/>
      <c r="G610" s="2"/>
    </row>
    <row r="611">
      <c r="A611" s="2"/>
      <c r="B611" s="2"/>
      <c r="C611" s="2"/>
      <c r="D611" s="2"/>
      <c r="E611" s="2"/>
      <c r="F611" s="2"/>
      <c r="G611" s="2"/>
    </row>
    <row r="612">
      <c r="A612" s="2"/>
      <c r="B612" s="2"/>
      <c r="C612" s="2"/>
      <c r="D612" s="2"/>
      <c r="E612" s="2"/>
      <c r="F612" s="2"/>
      <c r="G612" s="2"/>
    </row>
    <row r="613">
      <c r="A613" s="2"/>
      <c r="B613" s="2"/>
      <c r="C613" s="2"/>
      <c r="D613" s="2"/>
      <c r="E613" s="2"/>
      <c r="F613" s="2"/>
      <c r="G613" s="2"/>
    </row>
    <row r="614">
      <c r="A614" s="2"/>
      <c r="B614" s="2"/>
      <c r="C614" s="2"/>
      <c r="D614" s="2"/>
      <c r="E614" s="2"/>
      <c r="F614" s="2"/>
      <c r="G614" s="2"/>
    </row>
    <row r="615">
      <c r="A615" s="2"/>
      <c r="B615" s="2"/>
      <c r="C615" s="2"/>
      <c r="D615" s="2"/>
      <c r="E615" s="2"/>
      <c r="F615" s="2"/>
      <c r="G615" s="2"/>
    </row>
    <row r="616">
      <c r="A616" s="2"/>
      <c r="B616" s="2"/>
      <c r="C616" s="2"/>
      <c r="D616" s="2"/>
      <c r="E616" s="2"/>
      <c r="F616" s="2"/>
      <c r="G616" s="2"/>
    </row>
    <row r="617">
      <c r="A617" s="2"/>
      <c r="B617" s="2"/>
      <c r="C617" s="2"/>
      <c r="D617" s="2"/>
      <c r="E617" s="2"/>
      <c r="F617" s="2"/>
      <c r="G617" s="2"/>
    </row>
    <row r="618">
      <c r="A618" s="2"/>
      <c r="B618" s="2"/>
      <c r="C618" s="2"/>
      <c r="D618" s="2"/>
      <c r="E618" s="2"/>
      <c r="F618" s="2"/>
      <c r="G618" s="2"/>
    </row>
    <row r="619">
      <c r="A619" s="2"/>
      <c r="B619" s="2"/>
      <c r="C619" s="2"/>
      <c r="D619" s="2"/>
      <c r="E619" s="2"/>
      <c r="F619" s="2"/>
      <c r="G619" s="2"/>
    </row>
    <row r="620">
      <c r="A620" s="2"/>
      <c r="B620" s="2"/>
      <c r="C620" s="2"/>
      <c r="D620" s="2"/>
      <c r="E620" s="2"/>
      <c r="F620" s="2"/>
      <c r="G620" s="2"/>
    </row>
    <row r="621">
      <c r="A621" s="2"/>
      <c r="B621" s="2"/>
      <c r="C621" s="2"/>
      <c r="D621" s="2"/>
      <c r="E621" s="2"/>
      <c r="F621" s="2"/>
      <c r="G621" s="2"/>
    </row>
    <row r="622">
      <c r="A622" s="2"/>
      <c r="B622" s="2"/>
      <c r="C622" s="2"/>
      <c r="D622" s="2"/>
      <c r="E622" s="2"/>
      <c r="F622" s="2"/>
      <c r="G622" s="2"/>
    </row>
    <row r="623">
      <c r="A623" s="2"/>
      <c r="B623" s="2"/>
      <c r="C623" s="2"/>
      <c r="D623" s="2"/>
      <c r="E623" s="2"/>
      <c r="F623" s="2"/>
      <c r="G623" s="2"/>
    </row>
    <row r="624">
      <c r="A624" s="2"/>
      <c r="B624" s="2"/>
      <c r="C624" s="2"/>
      <c r="D624" s="2"/>
      <c r="E624" s="2"/>
      <c r="F624" s="2"/>
      <c r="G624" s="2"/>
    </row>
    <row r="625">
      <c r="A625" s="2"/>
      <c r="B625" s="2"/>
      <c r="C625" s="2"/>
      <c r="D625" s="2"/>
      <c r="E625" s="2"/>
      <c r="F625" s="2"/>
      <c r="G625" s="2"/>
    </row>
    <row r="626">
      <c r="A626" s="2"/>
      <c r="B626" s="2"/>
      <c r="C626" s="2"/>
      <c r="D626" s="2"/>
      <c r="E626" s="2"/>
      <c r="F626" s="2"/>
      <c r="G626" s="2"/>
    </row>
    <row r="627">
      <c r="A627" s="2"/>
      <c r="B627" s="2"/>
      <c r="C627" s="2"/>
      <c r="D627" s="2"/>
      <c r="E627" s="2"/>
      <c r="F627" s="2"/>
      <c r="G627" s="2"/>
    </row>
    <row r="628">
      <c r="A628" s="2"/>
      <c r="B628" s="2"/>
      <c r="C628" s="2"/>
      <c r="D628" s="2"/>
      <c r="E628" s="2"/>
      <c r="F628" s="2"/>
      <c r="G628" s="2"/>
    </row>
    <row r="629">
      <c r="A629" s="2"/>
      <c r="B629" s="2"/>
      <c r="C629" s="2"/>
      <c r="D629" s="2"/>
      <c r="E629" s="2"/>
      <c r="F629" s="2"/>
      <c r="G629" s="2"/>
    </row>
    <row r="630">
      <c r="A630" s="2"/>
      <c r="B630" s="2"/>
      <c r="C630" s="2"/>
      <c r="D630" s="2"/>
      <c r="E630" s="2"/>
      <c r="F630" s="2"/>
      <c r="G630" s="2"/>
    </row>
    <row r="631">
      <c r="A631" s="2"/>
      <c r="B631" s="2"/>
      <c r="C631" s="2"/>
      <c r="D631" s="2"/>
      <c r="E631" s="2"/>
      <c r="F631" s="2"/>
      <c r="G631" s="2"/>
    </row>
    <row r="632">
      <c r="A632" s="2"/>
      <c r="B632" s="2"/>
      <c r="C632" s="2"/>
      <c r="D632" s="2"/>
      <c r="E632" s="2"/>
      <c r="F632" s="2"/>
      <c r="G632" s="2"/>
    </row>
    <row r="633">
      <c r="A633" s="2"/>
      <c r="B633" s="2"/>
      <c r="C633" s="2"/>
      <c r="D633" s="2"/>
      <c r="E633" s="2"/>
      <c r="F633" s="2"/>
      <c r="G633" s="2"/>
    </row>
    <row r="634">
      <c r="A634" s="2"/>
      <c r="B634" s="2"/>
      <c r="C634" s="2"/>
      <c r="D634" s="2"/>
      <c r="E634" s="2"/>
      <c r="F634" s="2"/>
      <c r="G634" s="2"/>
    </row>
    <row r="635">
      <c r="A635" s="2"/>
      <c r="B635" s="2"/>
      <c r="C635" s="2"/>
      <c r="D635" s="2"/>
      <c r="E635" s="2"/>
      <c r="F635" s="2"/>
      <c r="G635" s="2"/>
    </row>
    <row r="636">
      <c r="A636" s="2"/>
      <c r="B636" s="2"/>
      <c r="C636" s="2"/>
      <c r="D636" s="2"/>
      <c r="E636" s="2"/>
      <c r="F636" s="2"/>
      <c r="G636" s="2"/>
    </row>
    <row r="637">
      <c r="A637" s="2"/>
      <c r="B637" s="2"/>
      <c r="C637" s="2"/>
      <c r="D637" s="2"/>
      <c r="E637" s="2"/>
      <c r="F637" s="2"/>
      <c r="G637" s="2"/>
    </row>
    <row r="638">
      <c r="A638" s="2"/>
      <c r="B638" s="2"/>
      <c r="C638" s="2"/>
      <c r="D638" s="2"/>
      <c r="E638" s="2"/>
      <c r="F638" s="2"/>
      <c r="G638" s="2"/>
    </row>
    <row r="639">
      <c r="A639" s="2"/>
      <c r="B639" s="2"/>
      <c r="C639" s="2"/>
      <c r="D639" s="2"/>
      <c r="E639" s="2"/>
      <c r="F639" s="2"/>
      <c r="G639" s="2"/>
    </row>
    <row r="640">
      <c r="A640" s="2"/>
      <c r="B640" s="2"/>
      <c r="C640" s="2"/>
      <c r="D640" s="2"/>
      <c r="E640" s="2"/>
      <c r="F640" s="2"/>
      <c r="G640" s="2"/>
    </row>
    <row r="641">
      <c r="A641" s="2"/>
      <c r="B641" s="2"/>
      <c r="C641" s="2"/>
      <c r="D641" s="2"/>
      <c r="E641" s="2"/>
      <c r="F641" s="2"/>
      <c r="G641" s="2"/>
    </row>
    <row r="642">
      <c r="A642" s="2"/>
      <c r="B642" s="2"/>
      <c r="C642" s="2"/>
      <c r="D642" s="2"/>
      <c r="E642" s="2"/>
      <c r="F642" s="2"/>
      <c r="G642" s="2"/>
    </row>
    <row r="643">
      <c r="A643" s="2"/>
      <c r="B643" s="2"/>
      <c r="C643" s="2"/>
      <c r="D643" s="2"/>
      <c r="E643" s="2"/>
      <c r="F643" s="2"/>
      <c r="G643" s="2"/>
    </row>
    <row r="644">
      <c r="A644" s="2"/>
      <c r="B644" s="2"/>
      <c r="C644" s="2"/>
      <c r="D644" s="2"/>
      <c r="E644" s="2"/>
      <c r="F644" s="2"/>
      <c r="G644" s="2"/>
    </row>
    <row r="645">
      <c r="A645" s="2"/>
      <c r="B645" s="2"/>
      <c r="C645" s="2"/>
      <c r="D645" s="2"/>
      <c r="E645" s="2"/>
      <c r="F645" s="2"/>
      <c r="G645" s="2"/>
    </row>
    <row r="646">
      <c r="A646" s="2"/>
      <c r="B646" s="2"/>
      <c r="C646" s="2"/>
      <c r="D646" s="2"/>
      <c r="E646" s="2"/>
      <c r="F646" s="2"/>
      <c r="G646" s="2"/>
    </row>
    <row r="647">
      <c r="A647" s="2"/>
      <c r="B647" s="2"/>
      <c r="C647" s="2"/>
      <c r="D647" s="2"/>
      <c r="E647" s="2"/>
      <c r="F647" s="2"/>
      <c r="G647" s="2"/>
    </row>
    <row r="648">
      <c r="A648" s="2"/>
      <c r="B648" s="2"/>
      <c r="C648" s="2"/>
      <c r="D648" s="2"/>
      <c r="E648" s="2"/>
      <c r="F648" s="2"/>
      <c r="G648" s="2"/>
    </row>
    <row r="649">
      <c r="A649" s="2"/>
      <c r="B649" s="2"/>
      <c r="C649" s="2"/>
      <c r="D649" s="2"/>
      <c r="E649" s="2"/>
      <c r="F649" s="2"/>
      <c r="G649" s="2"/>
    </row>
    <row r="650">
      <c r="A650" s="2"/>
      <c r="B650" s="2"/>
      <c r="C650" s="2"/>
      <c r="D650" s="2"/>
      <c r="E650" s="2"/>
      <c r="F650" s="2"/>
      <c r="G650" s="2"/>
    </row>
    <row r="651">
      <c r="A651" s="2"/>
      <c r="B651" s="2"/>
      <c r="C651" s="2"/>
      <c r="D651" s="2"/>
      <c r="E651" s="2"/>
      <c r="F651" s="2"/>
      <c r="G651" s="2"/>
    </row>
    <row r="652">
      <c r="A652" s="2"/>
      <c r="B652" s="2"/>
      <c r="C652" s="2"/>
      <c r="D652" s="2"/>
      <c r="E652" s="2"/>
      <c r="F652" s="2"/>
      <c r="G652" s="2"/>
    </row>
    <row r="653">
      <c r="A653" s="2"/>
      <c r="B653" s="2"/>
      <c r="C653" s="2"/>
      <c r="D653" s="2"/>
      <c r="E653" s="2"/>
      <c r="F653" s="2"/>
      <c r="G653" s="2"/>
    </row>
    <row r="654">
      <c r="A654" s="2"/>
      <c r="B654" s="2"/>
      <c r="C654" s="2"/>
      <c r="D654" s="2"/>
      <c r="E654" s="2"/>
      <c r="F654" s="2"/>
      <c r="G654" s="2"/>
    </row>
    <row r="655">
      <c r="A655" s="2"/>
      <c r="B655" s="2"/>
      <c r="C655" s="2"/>
      <c r="D655" s="2"/>
      <c r="E655" s="2"/>
      <c r="F655" s="2"/>
      <c r="G655" s="2"/>
    </row>
    <row r="656">
      <c r="A656" s="2"/>
      <c r="B656" s="2"/>
      <c r="C656" s="2"/>
      <c r="D656" s="2"/>
      <c r="E656" s="2"/>
      <c r="F656" s="2"/>
      <c r="G656" s="2"/>
    </row>
    <row r="657">
      <c r="A657" s="2"/>
      <c r="B657" s="2"/>
      <c r="C657" s="2"/>
      <c r="D657" s="2"/>
      <c r="E657" s="2"/>
      <c r="F657" s="2"/>
      <c r="G657" s="2"/>
    </row>
    <row r="658">
      <c r="A658" s="2"/>
      <c r="B658" s="2"/>
      <c r="C658" s="2"/>
      <c r="D658" s="2"/>
      <c r="E658" s="2"/>
      <c r="F658" s="2"/>
      <c r="G658" s="2"/>
    </row>
    <row r="659">
      <c r="A659" s="2"/>
      <c r="B659" s="2"/>
      <c r="C659" s="2"/>
      <c r="D659" s="2"/>
      <c r="E659" s="2"/>
      <c r="F659" s="2"/>
      <c r="G659" s="2"/>
    </row>
    <row r="660">
      <c r="A660" s="2"/>
      <c r="B660" s="2"/>
      <c r="C660" s="2"/>
      <c r="D660" s="2"/>
      <c r="E660" s="2"/>
      <c r="F660" s="2"/>
      <c r="G660" s="2"/>
    </row>
    <row r="661">
      <c r="A661" s="2"/>
      <c r="B661" s="2"/>
      <c r="C661" s="2"/>
      <c r="D661" s="2"/>
      <c r="E661" s="2"/>
      <c r="F661" s="2"/>
      <c r="G661" s="2"/>
    </row>
    <row r="662">
      <c r="A662" s="2"/>
      <c r="B662" s="2"/>
      <c r="C662" s="2"/>
      <c r="D662" s="2"/>
      <c r="E662" s="2"/>
      <c r="F662" s="2"/>
      <c r="G662" s="2"/>
    </row>
    <row r="663">
      <c r="A663" s="2"/>
      <c r="B663" s="2"/>
      <c r="C663" s="2"/>
      <c r="D663" s="2"/>
      <c r="E663" s="2"/>
      <c r="F663" s="2"/>
      <c r="G663" s="2"/>
    </row>
    <row r="664">
      <c r="A664" s="2"/>
      <c r="B664" s="2"/>
      <c r="C664" s="2"/>
      <c r="D664" s="2"/>
      <c r="E664" s="2"/>
      <c r="F664" s="2"/>
      <c r="G664" s="2"/>
    </row>
    <row r="665">
      <c r="A665" s="2"/>
      <c r="B665" s="2"/>
      <c r="C665" s="2"/>
      <c r="D665" s="2"/>
      <c r="E665" s="2"/>
      <c r="F665" s="2"/>
      <c r="G665" s="2"/>
    </row>
    <row r="666">
      <c r="A666" s="2"/>
      <c r="B666" s="2"/>
      <c r="C666" s="2"/>
      <c r="D666" s="2"/>
      <c r="E666" s="2"/>
      <c r="F666" s="2"/>
      <c r="G666" s="2"/>
    </row>
    <row r="667">
      <c r="A667" s="2"/>
      <c r="B667" s="2"/>
      <c r="C667" s="2"/>
      <c r="D667" s="2"/>
      <c r="E667" s="2"/>
      <c r="F667" s="2"/>
      <c r="G667" s="2"/>
    </row>
    <row r="668">
      <c r="A668" s="2"/>
      <c r="B668" s="2"/>
      <c r="C668" s="2"/>
      <c r="D668" s="2"/>
      <c r="E668" s="2"/>
      <c r="F668" s="2"/>
      <c r="G668" s="2"/>
    </row>
    <row r="669">
      <c r="A669" s="2"/>
      <c r="B669" s="2"/>
      <c r="C669" s="2"/>
      <c r="D669" s="2"/>
      <c r="E669" s="2"/>
      <c r="F669" s="2"/>
      <c r="G669" s="2"/>
    </row>
    <row r="670">
      <c r="A670" s="2"/>
      <c r="B670" s="2"/>
      <c r="C670" s="2"/>
      <c r="D670" s="2"/>
      <c r="E670" s="2"/>
      <c r="F670" s="2"/>
      <c r="G670" s="2"/>
    </row>
    <row r="671">
      <c r="A671" s="2"/>
      <c r="B671" s="2"/>
      <c r="C671" s="2"/>
      <c r="D671" s="2"/>
      <c r="E671" s="2"/>
      <c r="F671" s="2"/>
      <c r="G671" s="2"/>
    </row>
    <row r="672">
      <c r="A672" s="2"/>
      <c r="B672" s="2"/>
      <c r="C672" s="2"/>
      <c r="D672" s="2"/>
      <c r="E672" s="2"/>
      <c r="F672" s="2"/>
      <c r="G672" s="2"/>
    </row>
    <row r="673">
      <c r="A673" s="2"/>
      <c r="B673" s="2"/>
      <c r="C673" s="2"/>
      <c r="D673" s="2"/>
      <c r="E673" s="2"/>
      <c r="F673" s="2"/>
      <c r="G673" s="2"/>
    </row>
    <row r="674">
      <c r="A674" s="2"/>
      <c r="B674" s="2"/>
      <c r="C674" s="2"/>
      <c r="D674" s="2"/>
      <c r="E674" s="2"/>
      <c r="F674" s="2"/>
      <c r="G674" s="2"/>
    </row>
    <row r="675">
      <c r="A675" s="2"/>
      <c r="B675" s="2"/>
      <c r="C675" s="2"/>
      <c r="D675" s="2"/>
      <c r="E675" s="2"/>
      <c r="F675" s="2"/>
      <c r="G675" s="2"/>
    </row>
    <row r="676">
      <c r="A676" s="2"/>
      <c r="B676" s="2"/>
      <c r="C676" s="2"/>
      <c r="D676" s="2"/>
      <c r="E676" s="2"/>
      <c r="F676" s="2"/>
      <c r="G676" s="2"/>
    </row>
    <row r="677">
      <c r="A677" s="2"/>
      <c r="B677" s="2"/>
      <c r="C677" s="2"/>
      <c r="D677" s="2"/>
      <c r="E677" s="2"/>
      <c r="F677" s="2"/>
      <c r="G677" s="2"/>
    </row>
    <row r="678">
      <c r="A678" s="2"/>
      <c r="B678" s="2"/>
      <c r="C678" s="2"/>
      <c r="D678" s="2"/>
      <c r="E678" s="2"/>
      <c r="F678" s="2"/>
      <c r="G678" s="2"/>
    </row>
    <row r="679">
      <c r="A679" s="2"/>
      <c r="B679" s="2"/>
      <c r="C679" s="2"/>
      <c r="D679" s="2"/>
      <c r="E679" s="2"/>
      <c r="F679" s="2"/>
      <c r="G679" s="2"/>
    </row>
    <row r="680">
      <c r="A680" s="2"/>
      <c r="B680" s="2"/>
      <c r="C680" s="2"/>
      <c r="D680" s="2"/>
      <c r="E680" s="2"/>
      <c r="F680" s="2"/>
      <c r="G680" s="2"/>
    </row>
    <row r="681">
      <c r="A681" s="2"/>
      <c r="B681" s="2"/>
      <c r="C681" s="2"/>
      <c r="D681" s="2"/>
      <c r="E681" s="2"/>
      <c r="F681" s="2"/>
      <c r="G681" s="2"/>
    </row>
    <row r="682">
      <c r="A682" s="2"/>
      <c r="B682" s="2"/>
      <c r="C682" s="2"/>
      <c r="D682" s="2"/>
      <c r="E682" s="2"/>
      <c r="F682" s="2"/>
      <c r="G682" s="2"/>
    </row>
    <row r="683">
      <c r="A683" s="2"/>
      <c r="B683" s="2"/>
      <c r="C683" s="2"/>
      <c r="D683" s="2"/>
      <c r="E683" s="2"/>
      <c r="F683" s="2"/>
      <c r="G683" s="2"/>
    </row>
    <row r="684">
      <c r="A684" s="2"/>
      <c r="B684" s="2"/>
      <c r="C684" s="2"/>
      <c r="D684" s="2"/>
      <c r="E684" s="2"/>
      <c r="F684" s="2"/>
      <c r="G684" s="2"/>
    </row>
    <row r="685">
      <c r="A685" s="2"/>
      <c r="B685" s="2"/>
      <c r="C685" s="2"/>
      <c r="D685" s="2"/>
      <c r="E685" s="2"/>
      <c r="F685" s="2"/>
      <c r="G685" s="2"/>
    </row>
    <row r="686">
      <c r="A686" s="2"/>
      <c r="B686" s="2"/>
      <c r="C686" s="2"/>
      <c r="D686" s="2"/>
      <c r="E686" s="2"/>
      <c r="F686" s="2"/>
      <c r="G686" s="2"/>
    </row>
    <row r="687">
      <c r="A687" s="2"/>
      <c r="B687" s="2"/>
      <c r="C687" s="2"/>
      <c r="D687" s="2"/>
      <c r="E687" s="2"/>
      <c r="F687" s="2"/>
      <c r="G687" s="2"/>
    </row>
    <row r="688">
      <c r="A688" s="2"/>
      <c r="B688" s="2"/>
      <c r="C688" s="2"/>
      <c r="D688" s="2"/>
      <c r="E688" s="2"/>
      <c r="F688" s="2"/>
      <c r="G688" s="2"/>
    </row>
    <row r="689">
      <c r="A689" s="2"/>
      <c r="B689" s="2"/>
      <c r="C689" s="2"/>
      <c r="D689" s="2"/>
      <c r="E689" s="2"/>
      <c r="F689" s="2"/>
      <c r="G689" s="2"/>
    </row>
    <row r="690">
      <c r="A690" s="2"/>
      <c r="B690" s="2"/>
      <c r="C690" s="2"/>
      <c r="D690" s="2"/>
      <c r="E690" s="2"/>
      <c r="F690" s="2"/>
      <c r="G690" s="2"/>
    </row>
    <row r="691">
      <c r="A691" s="2"/>
      <c r="B691" s="2"/>
      <c r="C691" s="2"/>
      <c r="D691" s="2"/>
      <c r="E691" s="2"/>
      <c r="F691" s="2"/>
      <c r="G691" s="2"/>
    </row>
    <row r="692">
      <c r="A692" s="2"/>
      <c r="B692" s="2"/>
      <c r="C692" s="2"/>
      <c r="D692" s="2"/>
      <c r="E692" s="2"/>
      <c r="F692" s="2"/>
      <c r="G692" s="2"/>
    </row>
    <row r="693">
      <c r="A693" s="2"/>
      <c r="B693" s="2"/>
      <c r="C693" s="2"/>
      <c r="D693" s="2"/>
      <c r="E693" s="2"/>
      <c r="F693" s="2"/>
      <c r="G693" s="2"/>
    </row>
    <row r="694">
      <c r="A694" s="2"/>
      <c r="B694" s="2"/>
      <c r="C694" s="2"/>
      <c r="D694" s="2"/>
      <c r="E694" s="2"/>
      <c r="F694" s="2"/>
      <c r="G694" s="2"/>
    </row>
    <row r="695">
      <c r="A695" s="2"/>
      <c r="B695" s="2"/>
      <c r="C695" s="2"/>
      <c r="D695" s="2"/>
      <c r="E695" s="2"/>
      <c r="F695" s="2"/>
      <c r="G695" s="2"/>
    </row>
    <row r="696">
      <c r="A696" s="2"/>
      <c r="B696" s="2"/>
      <c r="C696" s="2"/>
      <c r="D696" s="2"/>
      <c r="E696" s="2"/>
      <c r="F696" s="2"/>
      <c r="G696" s="2"/>
    </row>
    <row r="697">
      <c r="A697" s="2"/>
      <c r="B697" s="2"/>
      <c r="C697" s="2"/>
      <c r="D697" s="2"/>
      <c r="E697" s="2"/>
      <c r="F697" s="2"/>
      <c r="G697" s="2"/>
    </row>
    <row r="698">
      <c r="A698" s="2"/>
      <c r="B698" s="2"/>
      <c r="C698" s="2"/>
      <c r="D698" s="2"/>
      <c r="E698" s="2"/>
      <c r="F698" s="2"/>
      <c r="G698" s="2"/>
    </row>
    <row r="699">
      <c r="A699" s="2"/>
      <c r="B699" s="2"/>
      <c r="C699" s="2"/>
      <c r="D699" s="2"/>
      <c r="E699" s="2"/>
      <c r="F699" s="2"/>
      <c r="G699" s="2"/>
    </row>
    <row r="700">
      <c r="A700" s="2"/>
      <c r="B700" s="2"/>
      <c r="C700" s="2"/>
      <c r="D700" s="2"/>
      <c r="E700" s="2"/>
      <c r="F700" s="2"/>
      <c r="G700" s="2"/>
    </row>
    <row r="701">
      <c r="A701" s="2"/>
      <c r="B701" s="2"/>
      <c r="C701" s="2"/>
      <c r="D701" s="2"/>
      <c r="E701" s="2"/>
      <c r="F701" s="2"/>
      <c r="G701" s="2"/>
    </row>
    <row r="702">
      <c r="A702" s="2"/>
      <c r="B702" s="2"/>
      <c r="C702" s="2"/>
      <c r="D702" s="2"/>
      <c r="E702" s="2"/>
      <c r="F702" s="2"/>
      <c r="G702" s="2"/>
    </row>
    <row r="703">
      <c r="A703" s="2"/>
      <c r="B703" s="2"/>
      <c r="C703" s="2"/>
      <c r="D703" s="2"/>
      <c r="E703" s="2"/>
      <c r="F703" s="2"/>
      <c r="G703" s="2"/>
    </row>
    <row r="704">
      <c r="A704" s="2"/>
      <c r="B704" s="2"/>
      <c r="C704" s="2"/>
      <c r="D704" s="2"/>
      <c r="E704" s="2"/>
      <c r="F704" s="2"/>
      <c r="G704" s="2"/>
    </row>
    <row r="705">
      <c r="A705" s="2"/>
      <c r="B705" s="2"/>
      <c r="C705" s="2"/>
      <c r="D705" s="2"/>
      <c r="E705" s="2"/>
      <c r="F705" s="2"/>
      <c r="G705" s="2"/>
    </row>
    <row r="706">
      <c r="A706" s="2"/>
      <c r="B706" s="2"/>
      <c r="C706" s="2"/>
      <c r="D706" s="2"/>
      <c r="E706" s="2"/>
      <c r="F706" s="2"/>
      <c r="G706" s="2"/>
    </row>
    <row r="707">
      <c r="A707" s="2"/>
      <c r="B707" s="2"/>
      <c r="C707" s="2"/>
      <c r="D707" s="2"/>
      <c r="E707" s="2"/>
      <c r="F707" s="2"/>
      <c r="G707" s="2"/>
    </row>
    <row r="708">
      <c r="A708" s="2"/>
      <c r="B708" s="2"/>
      <c r="C708" s="2"/>
      <c r="D708" s="2"/>
      <c r="E708" s="2"/>
      <c r="F708" s="2"/>
      <c r="G708" s="2"/>
    </row>
    <row r="709">
      <c r="A709" s="2"/>
      <c r="B709" s="2"/>
      <c r="C709" s="2"/>
      <c r="D709" s="2"/>
      <c r="E709" s="2"/>
      <c r="F709" s="2"/>
      <c r="G709" s="2"/>
    </row>
    <row r="710">
      <c r="A710" s="2"/>
      <c r="B710" s="2"/>
      <c r="C710" s="2"/>
      <c r="D710" s="2"/>
      <c r="E710" s="2"/>
      <c r="F710" s="2"/>
      <c r="G710" s="2"/>
    </row>
    <row r="711">
      <c r="A711" s="2"/>
      <c r="B711" s="2"/>
      <c r="C711" s="2"/>
      <c r="D711" s="2"/>
      <c r="E711" s="2"/>
      <c r="F711" s="2"/>
      <c r="G711" s="2"/>
    </row>
    <row r="712">
      <c r="A712" s="2"/>
      <c r="B712" s="2"/>
      <c r="C712" s="2"/>
      <c r="D712" s="2"/>
      <c r="E712" s="2"/>
      <c r="F712" s="2"/>
      <c r="G712" s="2"/>
    </row>
    <row r="713">
      <c r="A713" s="2"/>
      <c r="B713" s="2"/>
      <c r="C713" s="2"/>
      <c r="D713" s="2"/>
      <c r="E713" s="2"/>
      <c r="F713" s="2"/>
      <c r="G713" s="2"/>
    </row>
    <row r="714">
      <c r="A714" s="2"/>
      <c r="B714" s="2"/>
      <c r="C714" s="2"/>
      <c r="D714" s="2"/>
      <c r="E714" s="2"/>
      <c r="F714" s="2"/>
      <c r="G714" s="2"/>
    </row>
    <row r="715">
      <c r="A715" s="2"/>
      <c r="B715" s="2"/>
      <c r="C715" s="2"/>
      <c r="D715" s="2"/>
      <c r="E715" s="2"/>
      <c r="F715" s="2"/>
      <c r="G715" s="2"/>
    </row>
    <row r="716">
      <c r="A716" s="2"/>
      <c r="B716" s="2"/>
      <c r="C716" s="2"/>
      <c r="D716" s="2"/>
      <c r="E716" s="2"/>
      <c r="F716" s="2"/>
      <c r="G716" s="2"/>
    </row>
    <row r="717">
      <c r="A717" s="2"/>
      <c r="B717" s="2"/>
      <c r="C717" s="2"/>
      <c r="D717" s="2"/>
      <c r="E717" s="2"/>
      <c r="F717" s="2"/>
      <c r="G717" s="2"/>
    </row>
    <row r="718">
      <c r="A718" s="2"/>
      <c r="B718" s="2"/>
      <c r="C718" s="2"/>
      <c r="D718" s="2"/>
      <c r="E718" s="2"/>
      <c r="F718" s="2"/>
      <c r="G718" s="2"/>
    </row>
    <row r="719">
      <c r="A719" s="2"/>
      <c r="B719" s="2"/>
      <c r="C719" s="2"/>
      <c r="D719" s="2"/>
      <c r="E719" s="2"/>
      <c r="F719" s="2"/>
      <c r="G719" s="2"/>
    </row>
    <row r="720">
      <c r="A720" s="2"/>
      <c r="B720" s="2"/>
      <c r="C720" s="2"/>
      <c r="D720" s="2"/>
      <c r="E720" s="2"/>
      <c r="F720" s="2"/>
      <c r="G720" s="2"/>
    </row>
    <row r="721">
      <c r="A721" s="2"/>
      <c r="B721" s="2"/>
      <c r="C721" s="2"/>
      <c r="D721" s="2"/>
      <c r="E721" s="2"/>
      <c r="F721" s="2"/>
      <c r="G721" s="2"/>
    </row>
    <row r="722">
      <c r="A722" s="2"/>
      <c r="B722" s="2"/>
      <c r="C722" s="2"/>
      <c r="D722" s="2"/>
      <c r="E722" s="2"/>
      <c r="F722" s="2"/>
      <c r="G722" s="2"/>
    </row>
    <row r="723">
      <c r="A723" s="2"/>
      <c r="B723" s="2"/>
      <c r="C723" s="2"/>
      <c r="D723" s="2"/>
      <c r="E723" s="2"/>
      <c r="F723" s="2"/>
      <c r="G723" s="2"/>
    </row>
    <row r="724">
      <c r="A724" s="2"/>
      <c r="B724" s="2"/>
      <c r="C724" s="2"/>
      <c r="D724" s="2"/>
      <c r="E724" s="2"/>
      <c r="F724" s="2"/>
      <c r="G724" s="2"/>
    </row>
    <row r="725">
      <c r="A725" s="2"/>
      <c r="B725" s="2"/>
      <c r="C725" s="2"/>
      <c r="D725" s="2"/>
      <c r="E725" s="2"/>
      <c r="F725" s="2"/>
      <c r="G725" s="2"/>
    </row>
    <row r="726">
      <c r="A726" s="2"/>
      <c r="B726" s="2"/>
      <c r="C726" s="2"/>
      <c r="D726" s="2"/>
      <c r="E726" s="2"/>
      <c r="F726" s="2"/>
      <c r="G726" s="2"/>
    </row>
    <row r="727">
      <c r="A727" s="2"/>
      <c r="B727" s="2"/>
      <c r="C727" s="2"/>
      <c r="D727" s="2"/>
      <c r="E727" s="2"/>
      <c r="F727" s="2"/>
      <c r="G727" s="2"/>
    </row>
    <row r="728">
      <c r="A728" s="2"/>
      <c r="B728" s="2"/>
      <c r="C728" s="2"/>
      <c r="D728" s="2"/>
      <c r="E728" s="2"/>
      <c r="F728" s="2"/>
      <c r="G728" s="2"/>
    </row>
    <row r="729">
      <c r="A729" s="2"/>
      <c r="B729" s="2"/>
      <c r="C729" s="2"/>
      <c r="D729" s="2"/>
      <c r="E729" s="2"/>
      <c r="F729" s="2"/>
      <c r="G729" s="2"/>
    </row>
    <row r="730">
      <c r="A730" s="2"/>
      <c r="B730" s="2"/>
      <c r="C730" s="2"/>
      <c r="D730" s="2"/>
      <c r="E730" s="2"/>
      <c r="F730" s="2"/>
      <c r="G730" s="2"/>
    </row>
    <row r="731">
      <c r="A731" s="2"/>
      <c r="B731" s="2"/>
      <c r="C731" s="2"/>
      <c r="D731" s="2"/>
      <c r="E731" s="2"/>
      <c r="F731" s="2"/>
      <c r="G731" s="2"/>
    </row>
    <row r="732">
      <c r="A732" s="2"/>
      <c r="B732" s="2"/>
      <c r="C732" s="2"/>
      <c r="D732" s="2"/>
      <c r="E732" s="2"/>
      <c r="F732" s="2"/>
      <c r="G732" s="2"/>
    </row>
    <row r="733">
      <c r="A733" s="2"/>
      <c r="B733" s="2"/>
      <c r="C733" s="2"/>
      <c r="D733" s="2"/>
      <c r="E733" s="2"/>
      <c r="F733" s="2"/>
      <c r="G733" s="2"/>
    </row>
    <row r="734">
      <c r="A734" s="2"/>
      <c r="B734" s="2"/>
      <c r="C734" s="2"/>
      <c r="D734" s="2"/>
      <c r="E734" s="2"/>
      <c r="F734" s="2"/>
      <c r="G734" s="2"/>
    </row>
    <row r="735">
      <c r="A735" s="2"/>
      <c r="B735" s="2"/>
      <c r="C735" s="2"/>
      <c r="D735" s="2"/>
      <c r="E735" s="2"/>
      <c r="F735" s="2"/>
      <c r="G735" s="2"/>
    </row>
    <row r="736">
      <c r="A736" s="2"/>
      <c r="B736" s="2"/>
      <c r="C736" s="2"/>
      <c r="D736" s="2"/>
      <c r="E736" s="2"/>
      <c r="F736" s="2"/>
      <c r="G736" s="2"/>
    </row>
    <row r="737">
      <c r="A737" s="2"/>
      <c r="B737" s="2"/>
      <c r="C737" s="2"/>
      <c r="D737" s="2"/>
      <c r="E737" s="2"/>
      <c r="F737" s="2"/>
      <c r="G737" s="2"/>
    </row>
    <row r="738">
      <c r="A738" s="2"/>
      <c r="B738" s="2"/>
      <c r="C738" s="2"/>
      <c r="D738" s="2"/>
      <c r="E738" s="2"/>
      <c r="F738" s="2"/>
      <c r="G738" s="2"/>
    </row>
    <row r="739">
      <c r="A739" s="2"/>
      <c r="B739" s="2"/>
      <c r="C739" s="2"/>
      <c r="D739" s="2"/>
      <c r="E739" s="2"/>
      <c r="F739" s="2"/>
      <c r="G739" s="2"/>
    </row>
    <row r="740">
      <c r="A740" s="2"/>
      <c r="B740" s="2"/>
      <c r="C740" s="2"/>
      <c r="D740" s="2"/>
      <c r="E740" s="2"/>
      <c r="F740" s="2"/>
      <c r="G740" s="2"/>
    </row>
    <row r="741">
      <c r="A741" s="2"/>
      <c r="B741" s="2"/>
      <c r="C741" s="2"/>
      <c r="D741" s="2"/>
      <c r="E741" s="2"/>
      <c r="F741" s="2"/>
      <c r="G741" s="2"/>
    </row>
    <row r="742">
      <c r="A742" s="2"/>
      <c r="B742" s="2"/>
      <c r="C742" s="2"/>
      <c r="D742" s="2"/>
      <c r="E742" s="2"/>
      <c r="F742" s="2"/>
      <c r="G742" s="2"/>
    </row>
    <row r="743">
      <c r="A743" s="2"/>
      <c r="B743" s="2"/>
      <c r="C743" s="2"/>
      <c r="D743" s="2"/>
      <c r="E743" s="2"/>
      <c r="F743" s="2"/>
      <c r="G743" s="2"/>
    </row>
    <row r="744">
      <c r="A744" s="2"/>
      <c r="B744" s="2"/>
      <c r="C744" s="2"/>
      <c r="D744" s="2"/>
      <c r="E744" s="2"/>
      <c r="F744" s="2"/>
      <c r="G744" s="2"/>
    </row>
    <row r="745">
      <c r="A745" s="2"/>
      <c r="B745" s="2"/>
      <c r="C745" s="2"/>
      <c r="D745" s="2"/>
      <c r="E745" s="2"/>
      <c r="F745" s="2"/>
      <c r="G745" s="2"/>
    </row>
    <row r="746">
      <c r="A746" s="2"/>
      <c r="B746" s="2"/>
      <c r="C746" s="2"/>
      <c r="D746" s="2"/>
      <c r="E746" s="2"/>
      <c r="F746" s="2"/>
      <c r="G746" s="2"/>
    </row>
    <row r="747">
      <c r="A747" s="2"/>
      <c r="B747" s="2"/>
      <c r="C747" s="2"/>
      <c r="D747" s="2"/>
      <c r="E747" s="2"/>
      <c r="F747" s="2"/>
      <c r="G747" s="2"/>
    </row>
    <row r="748">
      <c r="A748" s="2"/>
      <c r="B748" s="2"/>
      <c r="C748" s="2"/>
      <c r="D748" s="2"/>
      <c r="E748" s="2"/>
      <c r="F748" s="2"/>
      <c r="G748" s="2"/>
    </row>
    <row r="749">
      <c r="A749" s="2"/>
      <c r="B749" s="2"/>
      <c r="C749" s="2"/>
      <c r="D749" s="2"/>
      <c r="E749" s="2"/>
      <c r="F749" s="2"/>
      <c r="G749" s="2"/>
    </row>
    <row r="750">
      <c r="A750" s="2"/>
      <c r="B750" s="2"/>
      <c r="C750" s="2"/>
      <c r="D750" s="2"/>
      <c r="E750" s="2"/>
      <c r="F750" s="2"/>
      <c r="G750" s="2"/>
    </row>
    <row r="751">
      <c r="A751" s="2"/>
      <c r="B751" s="2"/>
      <c r="C751" s="2"/>
      <c r="D751" s="2"/>
      <c r="E751" s="2"/>
      <c r="F751" s="2"/>
      <c r="G751" s="2"/>
    </row>
    <row r="752">
      <c r="A752" s="2"/>
      <c r="B752" s="2"/>
      <c r="C752" s="2"/>
      <c r="D752" s="2"/>
      <c r="E752" s="2"/>
      <c r="F752" s="2"/>
      <c r="G752" s="2"/>
    </row>
    <row r="753">
      <c r="A753" s="2"/>
      <c r="B753" s="2"/>
      <c r="C753" s="2"/>
      <c r="D753" s="2"/>
      <c r="E753" s="2"/>
      <c r="F753" s="2"/>
      <c r="G753" s="2"/>
    </row>
    <row r="754">
      <c r="A754" s="2"/>
      <c r="B754" s="2"/>
      <c r="C754" s="2"/>
      <c r="D754" s="2"/>
      <c r="E754" s="2"/>
      <c r="F754" s="2"/>
      <c r="G754" s="2"/>
    </row>
    <row r="755">
      <c r="A755" s="2"/>
      <c r="B755" s="2"/>
      <c r="C755" s="2"/>
      <c r="D755" s="2"/>
      <c r="E755" s="2"/>
      <c r="F755" s="2"/>
      <c r="G755" s="2"/>
    </row>
    <row r="756">
      <c r="A756" s="2"/>
      <c r="B756" s="2"/>
      <c r="C756" s="2"/>
      <c r="D756" s="2"/>
      <c r="E756" s="2"/>
      <c r="F756" s="2"/>
      <c r="G756" s="2"/>
    </row>
    <row r="757">
      <c r="A757" s="2"/>
      <c r="B757" s="2"/>
      <c r="C757" s="2"/>
      <c r="D757" s="2"/>
      <c r="E757" s="2"/>
      <c r="F757" s="2"/>
      <c r="G757" s="2"/>
    </row>
    <row r="758">
      <c r="A758" s="2"/>
      <c r="B758" s="2"/>
      <c r="C758" s="2"/>
      <c r="D758" s="2"/>
      <c r="E758" s="2"/>
      <c r="F758" s="2"/>
      <c r="G758" s="2"/>
    </row>
    <row r="759">
      <c r="A759" s="2"/>
      <c r="B759" s="2"/>
      <c r="C759" s="2"/>
      <c r="D759" s="2"/>
      <c r="E759" s="2"/>
      <c r="F759" s="2"/>
      <c r="G759" s="2"/>
    </row>
    <row r="760">
      <c r="A760" s="2"/>
      <c r="B760" s="2"/>
      <c r="C760" s="2"/>
      <c r="D760" s="2"/>
      <c r="E760" s="2"/>
      <c r="F760" s="2"/>
      <c r="G760" s="2"/>
    </row>
    <row r="761">
      <c r="A761" s="2"/>
      <c r="B761" s="2"/>
      <c r="C761" s="2"/>
      <c r="D761" s="2"/>
      <c r="E761" s="2"/>
      <c r="F761" s="2"/>
      <c r="G761" s="2"/>
    </row>
    <row r="762">
      <c r="A762" s="2"/>
      <c r="B762" s="2"/>
      <c r="C762" s="2"/>
      <c r="D762" s="2"/>
      <c r="E762" s="2"/>
      <c r="F762" s="2"/>
      <c r="G762" s="2"/>
    </row>
    <row r="763">
      <c r="A763" s="2"/>
      <c r="B763" s="2"/>
      <c r="C763" s="2"/>
      <c r="D763" s="2"/>
      <c r="E763" s="2"/>
      <c r="F763" s="2"/>
      <c r="G763" s="2"/>
    </row>
    <row r="764">
      <c r="A764" s="2"/>
      <c r="B764" s="2"/>
      <c r="C764" s="2"/>
      <c r="D764" s="2"/>
      <c r="E764" s="2"/>
      <c r="F764" s="2"/>
      <c r="G764" s="2"/>
    </row>
    <row r="765">
      <c r="A765" s="2"/>
      <c r="B765" s="2"/>
      <c r="C765" s="2"/>
      <c r="D765" s="2"/>
      <c r="E765" s="2"/>
      <c r="F765" s="2"/>
      <c r="G765" s="2"/>
    </row>
    <row r="766">
      <c r="A766" s="2"/>
      <c r="B766" s="2"/>
      <c r="C766" s="2"/>
      <c r="D766" s="2"/>
      <c r="E766" s="2"/>
      <c r="F766" s="2"/>
      <c r="G766" s="2"/>
    </row>
    <row r="767">
      <c r="A767" s="2"/>
      <c r="B767" s="2"/>
      <c r="C767" s="2"/>
      <c r="D767" s="2"/>
      <c r="E767" s="2"/>
      <c r="F767" s="2"/>
      <c r="G767" s="2"/>
    </row>
    <row r="768">
      <c r="A768" s="2"/>
      <c r="B768" s="2"/>
      <c r="C768" s="2"/>
      <c r="D768" s="2"/>
      <c r="E768" s="2"/>
      <c r="F768" s="2"/>
      <c r="G768" s="2"/>
    </row>
    <row r="769">
      <c r="A769" s="2"/>
      <c r="B769" s="2"/>
      <c r="C769" s="2"/>
      <c r="D769" s="2"/>
      <c r="E769" s="2"/>
      <c r="F769" s="2"/>
      <c r="G769" s="2"/>
    </row>
    <row r="770">
      <c r="A770" s="2"/>
      <c r="B770" s="2"/>
      <c r="C770" s="2"/>
      <c r="D770" s="2"/>
      <c r="E770" s="2"/>
      <c r="F770" s="2"/>
      <c r="G770" s="2"/>
    </row>
    <row r="771">
      <c r="A771" s="2"/>
      <c r="B771" s="2"/>
      <c r="C771" s="2"/>
      <c r="D771" s="2"/>
      <c r="E771" s="2"/>
      <c r="F771" s="2"/>
      <c r="G771" s="2"/>
    </row>
    <row r="772">
      <c r="A772" s="2"/>
      <c r="B772" s="2"/>
      <c r="C772" s="2"/>
      <c r="D772" s="2"/>
      <c r="E772" s="2"/>
      <c r="F772" s="2"/>
      <c r="G772" s="2"/>
    </row>
    <row r="773">
      <c r="A773" s="2"/>
      <c r="B773" s="2"/>
      <c r="C773" s="2"/>
      <c r="D773" s="2"/>
      <c r="E773" s="2"/>
      <c r="F773" s="2"/>
      <c r="G773" s="2"/>
    </row>
    <row r="774">
      <c r="A774" s="2"/>
      <c r="B774" s="2"/>
      <c r="C774" s="2"/>
      <c r="D774" s="2"/>
      <c r="E774" s="2"/>
      <c r="F774" s="2"/>
      <c r="G774" s="2"/>
    </row>
    <row r="775">
      <c r="A775" s="2"/>
      <c r="B775" s="2"/>
      <c r="C775" s="2"/>
      <c r="D775" s="2"/>
      <c r="E775" s="2"/>
      <c r="F775" s="2"/>
      <c r="G775" s="2"/>
    </row>
    <row r="776">
      <c r="A776" s="2"/>
      <c r="B776" s="2"/>
      <c r="C776" s="2"/>
      <c r="D776" s="2"/>
      <c r="E776" s="2"/>
      <c r="F776" s="2"/>
      <c r="G776" s="2"/>
    </row>
    <row r="777">
      <c r="A777" s="2"/>
      <c r="B777" s="2"/>
      <c r="C777" s="2"/>
      <c r="D777" s="2"/>
      <c r="E777" s="2"/>
      <c r="F777" s="2"/>
      <c r="G777" s="2"/>
    </row>
    <row r="778">
      <c r="A778" s="2"/>
      <c r="B778" s="2"/>
      <c r="C778" s="2"/>
      <c r="D778" s="2"/>
      <c r="E778" s="2"/>
      <c r="F778" s="2"/>
      <c r="G778" s="2"/>
    </row>
    <row r="779">
      <c r="A779" s="2"/>
      <c r="B779" s="2"/>
      <c r="C779" s="2"/>
      <c r="D779" s="2"/>
      <c r="E779" s="2"/>
      <c r="F779" s="2"/>
      <c r="G779" s="2"/>
    </row>
    <row r="780">
      <c r="A780" s="2"/>
      <c r="B780" s="2"/>
      <c r="C780" s="2"/>
      <c r="D780" s="2"/>
      <c r="E780" s="2"/>
      <c r="F780" s="2"/>
      <c r="G780" s="2"/>
    </row>
    <row r="781">
      <c r="A781" s="2"/>
      <c r="B781" s="2"/>
      <c r="C781" s="2"/>
      <c r="D781" s="2"/>
      <c r="E781" s="2"/>
      <c r="F781" s="2"/>
      <c r="G781" s="2"/>
    </row>
    <row r="782">
      <c r="A782" s="2"/>
      <c r="B782" s="2"/>
      <c r="C782" s="2"/>
      <c r="D782" s="2"/>
      <c r="E782" s="2"/>
      <c r="F782" s="2"/>
      <c r="G782" s="2"/>
    </row>
    <row r="783">
      <c r="A783" s="2"/>
      <c r="B783" s="2"/>
      <c r="C783" s="2"/>
      <c r="D783" s="2"/>
      <c r="E783" s="2"/>
      <c r="F783" s="2"/>
      <c r="G783" s="2"/>
    </row>
    <row r="784">
      <c r="A784" s="2"/>
      <c r="B784" s="2"/>
      <c r="C784" s="2"/>
      <c r="D784" s="2"/>
      <c r="E784" s="2"/>
      <c r="F784" s="2"/>
      <c r="G784" s="2"/>
    </row>
    <row r="785">
      <c r="A785" s="2"/>
      <c r="B785" s="2"/>
      <c r="C785" s="2"/>
      <c r="D785" s="2"/>
      <c r="E785" s="2"/>
      <c r="F785" s="2"/>
      <c r="G785" s="2"/>
    </row>
    <row r="786">
      <c r="A786" s="2"/>
      <c r="B786" s="2"/>
      <c r="C786" s="2"/>
      <c r="D786" s="2"/>
      <c r="E786" s="2"/>
      <c r="F786" s="2"/>
      <c r="G786" s="2"/>
    </row>
    <row r="787">
      <c r="A787" s="2"/>
      <c r="B787" s="2"/>
      <c r="C787" s="2"/>
      <c r="D787" s="2"/>
      <c r="E787" s="2"/>
      <c r="F787" s="2"/>
      <c r="G787" s="2"/>
    </row>
    <row r="788">
      <c r="A788" s="2"/>
      <c r="B788" s="2"/>
      <c r="C788" s="2"/>
      <c r="D788" s="2"/>
      <c r="E788" s="2"/>
      <c r="F788" s="2"/>
      <c r="G788" s="2"/>
    </row>
    <row r="789">
      <c r="A789" s="2"/>
      <c r="B789" s="2"/>
      <c r="C789" s="2"/>
      <c r="D789" s="2"/>
      <c r="E789" s="2"/>
      <c r="F789" s="2"/>
      <c r="G789" s="2"/>
    </row>
    <row r="790">
      <c r="A790" s="2"/>
      <c r="B790" s="2"/>
      <c r="C790" s="2"/>
      <c r="D790" s="2"/>
      <c r="E790" s="2"/>
      <c r="F790" s="2"/>
      <c r="G790" s="2"/>
    </row>
    <row r="791">
      <c r="A791" s="2"/>
      <c r="B791" s="2"/>
      <c r="C791" s="2"/>
      <c r="D791" s="2"/>
      <c r="E791" s="2"/>
      <c r="F791" s="2"/>
      <c r="G791" s="2"/>
    </row>
    <row r="792">
      <c r="A792" s="2"/>
      <c r="B792" s="2"/>
      <c r="C792" s="2"/>
      <c r="D792" s="2"/>
      <c r="E792" s="2"/>
      <c r="F792" s="2"/>
      <c r="G792" s="2"/>
    </row>
    <row r="793">
      <c r="A793" s="2"/>
      <c r="B793" s="2"/>
      <c r="C793" s="2"/>
      <c r="D793" s="2"/>
      <c r="E793" s="2"/>
      <c r="F793" s="2"/>
      <c r="G793" s="2"/>
    </row>
    <row r="794">
      <c r="A794" s="2"/>
      <c r="B794" s="2"/>
      <c r="C794" s="2"/>
      <c r="D794" s="2"/>
      <c r="E794" s="2"/>
      <c r="F794" s="2"/>
      <c r="G794" s="2"/>
    </row>
    <row r="795">
      <c r="A795" s="2"/>
      <c r="B795" s="2"/>
      <c r="C795" s="2"/>
      <c r="D795" s="2"/>
      <c r="E795" s="2"/>
      <c r="F795" s="2"/>
      <c r="G795" s="2"/>
    </row>
    <row r="796">
      <c r="A796" s="2"/>
      <c r="B796" s="2"/>
      <c r="C796" s="2"/>
      <c r="D796" s="2"/>
      <c r="E796" s="2"/>
      <c r="F796" s="2"/>
      <c r="G796" s="2"/>
    </row>
    <row r="797">
      <c r="A797" s="2"/>
      <c r="B797" s="2"/>
      <c r="C797" s="2"/>
      <c r="D797" s="2"/>
      <c r="E797" s="2"/>
      <c r="F797" s="2"/>
      <c r="G797" s="2"/>
    </row>
    <row r="798">
      <c r="A798" s="2"/>
      <c r="B798" s="2"/>
      <c r="C798" s="2"/>
      <c r="D798" s="2"/>
      <c r="E798" s="2"/>
      <c r="F798" s="2"/>
      <c r="G798" s="2"/>
    </row>
    <row r="799">
      <c r="A799" s="2"/>
      <c r="B799" s="2"/>
      <c r="C799" s="2"/>
      <c r="D799" s="2"/>
      <c r="E799" s="2"/>
      <c r="F799" s="2"/>
      <c r="G799" s="2"/>
    </row>
    <row r="800">
      <c r="A800" s="2"/>
      <c r="B800" s="2"/>
      <c r="C800" s="2"/>
      <c r="D800" s="2"/>
      <c r="E800" s="2"/>
      <c r="F800" s="2"/>
      <c r="G800" s="2"/>
    </row>
    <row r="801">
      <c r="A801" s="2"/>
      <c r="B801" s="2"/>
      <c r="C801" s="2"/>
      <c r="D801" s="2"/>
      <c r="E801" s="2"/>
      <c r="F801" s="2"/>
      <c r="G801" s="2"/>
    </row>
    <row r="802">
      <c r="A802" s="2"/>
      <c r="B802" s="2"/>
      <c r="C802" s="2"/>
      <c r="D802" s="2"/>
      <c r="E802" s="2"/>
      <c r="F802" s="2"/>
      <c r="G802" s="2"/>
    </row>
    <row r="803">
      <c r="A803" s="2"/>
      <c r="B803" s="2"/>
      <c r="C803" s="2"/>
      <c r="D803" s="2"/>
      <c r="E803" s="2"/>
      <c r="F803" s="2"/>
      <c r="G803" s="2"/>
    </row>
    <row r="804">
      <c r="A804" s="2"/>
      <c r="B804" s="2"/>
      <c r="C804" s="2"/>
      <c r="D804" s="2"/>
      <c r="E804" s="2"/>
      <c r="F804" s="2"/>
      <c r="G804" s="2"/>
    </row>
    <row r="805">
      <c r="A805" s="2"/>
      <c r="B805" s="2"/>
      <c r="C805" s="2"/>
      <c r="D805" s="2"/>
      <c r="E805" s="2"/>
      <c r="F805" s="2"/>
      <c r="G805" s="2"/>
    </row>
    <row r="806">
      <c r="A806" s="2"/>
      <c r="B806" s="2"/>
      <c r="C806" s="2"/>
      <c r="D806" s="2"/>
      <c r="E806" s="2"/>
      <c r="F806" s="2"/>
      <c r="G806" s="2"/>
    </row>
    <row r="807">
      <c r="A807" s="2"/>
      <c r="B807" s="2"/>
      <c r="C807" s="2"/>
      <c r="D807" s="2"/>
      <c r="E807" s="2"/>
      <c r="F807" s="2"/>
      <c r="G807" s="2"/>
    </row>
    <row r="808">
      <c r="A808" s="2"/>
      <c r="B808" s="2"/>
      <c r="C808" s="2"/>
      <c r="D808" s="2"/>
      <c r="E808" s="2"/>
      <c r="F808" s="2"/>
      <c r="G808" s="2"/>
    </row>
    <row r="809">
      <c r="A809" s="2"/>
      <c r="B809" s="2"/>
      <c r="C809" s="2"/>
      <c r="D809" s="2"/>
      <c r="E809" s="2"/>
      <c r="F809" s="2"/>
      <c r="G809" s="2"/>
    </row>
    <row r="810">
      <c r="A810" s="2"/>
      <c r="B810" s="2"/>
      <c r="C810" s="2"/>
      <c r="D810" s="2"/>
      <c r="E810" s="2"/>
      <c r="F810" s="2"/>
      <c r="G810" s="2"/>
    </row>
    <row r="811">
      <c r="A811" s="2"/>
      <c r="B811" s="2"/>
      <c r="C811" s="2"/>
      <c r="D811" s="2"/>
      <c r="E811" s="2"/>
      <c r="F811" s="2"/>
      <c r="G811" s="2"/>
    </row>
    <row r="812">
      <c r="A812" s="2"/>
      <c r="B812" s="2"/>
      <c r="C812" s="2"/>
      <c r="D812" s="2"/>
      <c r="E812" s="2"/>
      <c r="F812" s="2"/>
      <c r="G812" s="2"/>
    </row>
    <row r="813">
      <c r="A813" s="2"/>
      <c r="B813" s="2"/>
      <c r="C813" s="2"/>
      <c r="D813" s="2"/>
      <c r="E813" s="2"/>
      <c r="F813" s="2"/>
      <c r="G813" s="2"/>
    </row>
    <row r="814">
      <c r="A814" s="2"/>
      <c r="B814" s="2"/>
      <c r="C814" s="2"/>
      <c r="D814" s="2"/>
      <c r="E814" s="2"/>
      <c r="F814" s="2"/>
      <c r="G814" s="2"/>
    </row>
    <row r="815">
      <c r="A815" s="2"/>
      <c r="B815" s="2"/>
      <c r="C815" s="2"/>
      <c r="D815" s="2"/>
      <c r="E815" s="2"/>
      <c r="F815" s="2"/>
      <c r="G815" s="2"/>
    </row>
    <row r="816">
      <c r="A816" s="2"/>
      <c r="B816" s="2"/>
      <c r="C816" s="2"/>
      <c r="D816" s="2"/>
      <c r="E816" s="2"/>
      <c r="F816" s="2"/>
      <c r="G816" s="2"/>
    </row>
    <row r="817">
      <c r="A817" s="2"/>
      <c r="B817" s="2"/>
      <c r="C817" s="2"/>
      <c r="D817" s="2"/>
      <c r="E817" s="2"/>
      <c r="F817" s="2"/>
      <c r="G817" s="2"/>
    </row>
    <row r="818">
      <c r="A818" s="2"/>
      <c r="B818" s="2"/>
      <c r="C818" s="2"/>
      <c r="D818" s="2"/>
      <c r="E818" s="2"/>
      <c r="F818" s="2"/>
      <c r="G818" s="2"/>
    </row>
    <row r="819">
      <c r="A819" s="2"/>
      <c r="B819" s="2"/>
      <c r="C819" s="2"/>
      <c r="D819" s="2"/>
      <c r="E819" s="2"/>
      <c r="F819" s="2"/>
      <c r="G819" s="2"/>
    </row>
    <row r="820">
      <c r="A820" s="2"/>
      <c r="B820" s="2"/>
      <c r="C820" s="2"/>
      <c r="D820" s="2"/>
      <c r="E820" s="2"/>
      <c r="F820" s="2"/>
      <c r="G820" s="2"/>
    </row>
    <row r="821">
      <c r="A821" s="2"/>
      <c r="B821" s="2"/>
      <c r="C821" s="2"/>
      <c r="D821" s="2"/>
      <c r="E821" s="2"/>
      <c r="F821" s="2"/>
      <c r="G821" s="2"/>
    </row>
    <row r="822">
      <c r="A822" s="2"/>
      <c r="B822" s="2"/>
      <c r="C822" s="2"/>
      <c r="D822" s="2"/>
      <c r="E822" s="2"/>
      <c r="F822" s="2"/>
      <c r="G822" s="2"/>
    </row>
    <row r="823">
      <c r="A823" s="2"/>
      <c r="B823" s="2"/>
      <c r="C823" s="2"/>
      <c r="D823" s="2"/>
      <c r="E823" s="2"/>
      <c r="F823" s="2"/>
      <c r="G823" s="2"/>
    </row>
    <row r="824">
      <c r="A824" s="2"/>
      <c r="B824" s="2"/>
      <c r="C824" s="2"/>
      <c r="D824" s="2"/>
      <c r="E824" s="2"/>
      <c r="F824" s="2"/>
      <c r="G824" s="2"/>
    </row>
    <row r="825">
      <c r="A825" s="2"/>
      <c r="B825" s="2"/>
      <c r="C825" s="2"/>
      <c r="D825" s="2"/>
      <c r="E825" s="2"/>
      <c r="F825" s="2"/>
      <c r="G825" s="2"/>
    </row>
    <row r="826">
      <c r="A826" s="2"/>
      <c r="B826" s="2"/>
      <c r="C826" s="2"/>
      <c r="D826" s="2"/>
      <c r="E826" s="2"/>
      <c r="F826" s="2"/>
      <c r="G826" s="2"/>
    </row>
    <row r="827">
      <c r="A827" s="2"/>
      <c r="B827" s="2"/>
      <c r="C827" s="2"/>
      <c r="D827" s="2"/>
      <c r="E827" s="2"/>
      <c r="F827" s="2"/>
      <c r="G827" s="2"/>
    </row>
    <row r="828">
      <c r="A828" s="2"/>
      <c r="B828" s="2"/>
      <c r="C828" s="2"/>
      <c r="D828" s="2"/>
      <c r="E828" s="2"/>
      <c r="F828" s="2"/>
      <c r="G828" s="2"/>
    </row>
    <row r="829">
      <c r="A829" s="2"/>
      <c r="B829" s="2"/>
      <c r="C829" s="2"/>
      <c r="D829" s="2"/>
      <c r="E829" s="2"/>
      <c r="F829" s="2"/>
      <c r="G829" s="2"/>
    </row>
    <row r="830">
      <c r="A830" s="2"/>
      <c r="B830" s="2"/>
      <c r="C830" s="2"/>
      <c r="D830" s="2"/>
      <c r="E830" s="2"/>
      <c r="F830" s="2"/>
      <c r="G830" s="2"/>
    </row>
    <row r="831">
      <c r="A831" s="2"/>
      <c r="B831" s="2"/>
      <c r="C831" s="2"/>
      <c r="D831" s="2"/>
      <c r="E831" s="2"/>
      <c r="F831" s="2"/>
      <c r="G831" s="2"/>
    </row>
    <row r="832">
      <c r="A832" s="2"/>
      <c r="B832" s="2"/>
      <c r="C832" s="2"/>
      <c r="D832" s="2"/>
      <c r="E832" s="2"/>
      <c r="F832" s="2"/>
      <c r="G832" s="2"/>
    </row>
    <row r="833">
      <c r="A833" s="2"/>
      <c r="B833" s="2"/>
      <c r="C833" s="2"/>
      <c r="D833" s="2"/>
      <c r="E833" s="2"/>
      <c r="F833" s="2"/>
      <c r="G833" s="2"/>
    </row>
    <row r="834">
      <c r="A834" s="2"/>
      <c r="B834" s="2"/>
      <c r="C834" s="2"/>
      <c r="D834" s="2"/>
      <c r="E834" s="2"/>
      <c r="F834" s="2"/>
      <c r="G834" s="2"/>
    </row>
    <row r="835">
      <c r="A835" s="2"/>
      <c r="B835" s="2"/>
      <c r="C835" s="2"/>
      <c r="D835" s="2"/>
      <c r="E835" s="2"/>
      <c r="F835" s="2"/>
      <c r="G835" s="2"/>
    </row>
    <row r="836">
      <c r="A836" s="2"/>
      <c r="B836" s="2"/>
      <c r="C836" s="2"/>
      <c r="D836" s="2"/>
      <c r="E836" s="2"/>
      <c r="F836" s="2"/>
      <c r="G836" s="2"/>
    </row>
    <row r="837">
      <c r="A837" s="2"/>
      <c r="B837" s="2"/>
      <c r="C837" s="2"/>
      <c r="D837" s="2"/>
      <c r="E837" s="2"/>
      <c r="F837" s="2"/>
      <c r="G837" s="2"/>
    </row>
    <row r="838">
      <c r="A838" s="2"/>
      <c r="B838" s="2"/>
      <c r="C838" s="2"/>
      <c r="D838" s="2"/>
      <c r="E838" s="2"/>
      <c r="F838" s="2"/>
      <c r="G838" s="2"/>
    </row>
    <row r="839">
      <c r="A839" s="2"/>
      <c r="B839" s="2"/>
      <c r="C839" s="2"/>
      <c r="D839" s="2"/>
      <c r="E839" s="2"/>
      <c r="F839" s="2"/>
      <c r="G839" s="2"/>
    </row>
    <row r="840">
      <c r="A840" s="2"/>
      <c r="B840" s="2"/>
      <c r="C840" s="2"/>
      <c r="D840" s="2"/>
      <c r="E840" s="2"/>
      <c r="F840" s="2"/>
      <c r="G840" s="2"/>
    </row>
    <row r="841">
      <c r="A841" s="2"/>
      <c r="B841" s="2"/>
      <c r="C841" s="2"/>
      <c r="D841" s="2"/>
      <c r="E841" s="2"/>
      <c r="F841" s="2"/>
      <c r="G841" s="2"/>
    </row>
    <row r="842">
      <c r="A842" s="2"/>
      <c r="B842" s="2"/>
      <c r="C842" s="2"/>
      <c r="D842" s="2"/>
      <c r="E842" s="2"/>
      <c r="F842" s="2"/>
      <c r="G842" s="2"/>
    </row>
    <row r="843">
      <c r="A843" s="2"/>
      <c r="B843" s="2"/>
      <c r="C843" s="2"/>
      <c r="D843" s="2"/>
      <c r="E843" s="2"/>
      <c r="F843" s="2"/>
      <c r="G843" s="2"/>
    </row>
    <row r="844">
      <c r="A844" s="2"/>
      <c r="B844" s="2"/>
      <c r="C844" s="2"/>
      <c r="D844" s="2"/>
      <c r="E844" s="2"/>
      <c r="F844" s="2"/>
      <c r="G844" s="2"/>
    </row>
    <row r="845">
      <c r="A845" s="2"/>
      <c r="B845" s="2"/>
      <c r="C845" s="2"/>
      <c r="D845" s="2"/>
      <c r="E845" s="2"/>
      <c r="F845" s="2"/>
      <c r="G845" s="2"/>
    </row>
    <row r="846">
      <c r="A846" s="2"/>
      <c r="B846" s="2"/>
      <c r="C846" s="2"/>
      <c r="D846" s="2"/>
      <c r="E846" s="2"/>
      <c r="F846" s="2"/>
      <c r="G846" s="2"/>
    </row>
    <row r="847">
      <c r="A847" s="2"/>
      <c r="B847" s="2"/>
      <c r="C847" s="2"/>
      <c r="D847" s="2"/>
      <c r="E847" s="2"/>
      <c r="F847" s="2"/>
      <c r="G847" s="2"/>
    </row>
    <row r="848">
      <c r="A848" s="2"/>
      <c r="B848" s="2"/>
      <c r="C848" s="2"/>
      <c r="D848" s="2"/>
      <c r="E848" s="2"/>
      <c r="F848" s="2"/>
      <c r="G848" s="2"/>
    </row>
    <row r="849">
      <c r="A849" s="2"/>
      <c r="B849" s="2"/>
      <c r="C849" s="2"/>
      <c r="D849" s="2"/>
      <c r="E849" s="2"/>
      <c r="F849" s="2"/>
      <c r="G849" s="2"/>
    </row>
    <row r="850">
      <c r="A850" s="2"/>
      <c r="B850" s="2"/>
      <c r="C850" s="2"/>
      <c r="D850" s="2"/>
      <c r="E850" s="2"/>
      <c r="F850" s="2"/>
      <c r="G850" s="2"/>
    </row>
    <row r="851">
      <c r="A851" s="2"/>
      <c r="B851" s="2"/>
      <c r="C851" s="2"/>
      <c r="D851" s="2"/>
      <c r="E851" s="2"/>
      <c r="F851" s="2"/>
      <c r="G851" s="2"/>
    </row>
    <row r="852">
      <c r="A852" s="2"/>
      <c r="B852" s="2"/>
      <c r="C852" s="2"/>
      <c r="D852" s="2"/>
      <c r="E852" s="2"/>
      <c r="F852" s="2"/>
      <c r="G852" s="2"/>
    </row>
    <row r="853">
      <c r="A853" s="2"/>
      <c r="B853" s="2"/>
      <c r="C853" s="2"/>
      <c r="D853" s="2"/>
      <c r="E853" s="2"/>
      <c r="F853" s="2"/>
      <c r="G853" s="2"/>
    </row>
    <row r="854">
      <c r="A854" s="2"/>
      <c r="B854" s="2"/>
      <c r="C854" s="2"/>
      <c r="D854" s="2"/>
      <c r="E854" s="2"/>
      <c r="F854" s="2"/>
      <c r="G854" s="2"/>
    </row>
    <row r="855">
      <c r="A855" s="2"/>
      <c r="B855" s="2"/>
      <c r="C855" s="2"/>
      <c r="D855" s="2"/>
      <c r="E855" s="2"/>
      <c r="F855" s="2"/>
      <c r="G855" s="2"/>
    </row>
    <row r="856">
      <c r="A856" s="2"/>
      <c r="B856" s="2"/>
      <c r="C856" s="2"/>
      <c r="D856" s="2"/>
      <c r="E856" s="2"/>
      <c r="F856" s="2"/>
      <c r="G856" s="2"/>
    </row>
    <row r="857">
      <c r="A857" s="2"/>
      <c r="B857" s="2"/>
      <c r="C857" s="2"/>
      <c r="D857" s="2"/>
      <c r="E857" s="2"/>
      <c r="F857" s="2"/>
      <c r="G857" s="2"/>
    </row>
    <row r="858">
      <c r="A858" s="2"/>
      <c r="B858" s="2"/>
      <c r="C858" s="2"/>
      <c r="D858" s="2"/>
      <c r="E858" s="2"/>
      <c r="F858" s="2"/>
      <c r="G858" s="2"/>
    </row>
    <row r="859">
      <c r="A859" s="2"/>
      <c r="B859" s="2"/>
      <c r="C859" s="2"/>
      <c r="D859" s="2"/>
      <c r="E859" s="2"/>
      <c r="F859" s="2"/>
      <c r="G859" s="2"/>
    </row>
    <row r="860">
      <c r="A860" s="2"/>
      <c r="B860" s="2"/>
      <c r="C860" s="2"/>
      <c r="D860" s="2"/>
      <c r="E860" s="2"/>
      <c r="F860" s="2"/>
      <c r="G860" s="2"/>
    </row>
    <row r="861">
      <c r="A861" s="2"/>
      <c r="B861" s="2"/>
      <c r="C861" s="2"/>
      <c r="D861" s="2"/>
      <c r="E861" s="2"/>
      <c r="F861" s="2"/>
      <c r="G861" s="2"/>
    </row>
    <row r="862">
      <c r="A862" s="2"/>
      <c r="B862" s="2"/>
      <c r="C862" s="2"/>
      <c r="D862" s="2"/>
      <c r="E862" s="2"/>
      <c r="F862" s="2"/>
      <c r="G862" s="2"/>
    </row>
    <row r="863">
      <c r="A863" s="2"/>
      <c r="B863" s="2"/>
      <c r="C863" s="2"/>
      <c r="D863" s="2"/>
      <c r="E863" s="2"/>
      <c r="F863" s="2"/>
      <c r="G863" s="2"/>
    </row>
    <row r="864">
      <c r="A864" s="2"/>
      <c r="B864" s="2"/>
      <c r="C864" s="2"/>
      <c r="D864" s="2"/>
      <c r="E864" s="2"/>
      <c r="F864" s="2"/>
      <c r="G864" s="2"/>
    </row>
    <row r="865">
      <c r="A865" s="2"/>
      <c r="B865" s="2"/>
      <c r="C865" s="2"/>
      <c r="D865" s="2"/>
      <c r="E865" s="2"/>
      <c r="F865" s="2"/>
      <c r="G865" s="2"/>
    </row>
    <row r="866">
      <c r="A866" s="2"/>
      <c r="B866" s="2"/>
      <c r="C866" s="2"/>
      <c r="D866" s="2"/>
      <c r="E866" s="2"/>
      <c r="F866" s="2"/>
      <c r="G866" s="2"/>
    </row>
    <row r="867">
      <c r="A867" s="2"/>
      <c r="B867" s="2"/>
      <c r="C867" s="2"/>
      <c r="D867" s="2"/>
      <c r="E867" s="2"/>
      <c r="F867" s="2"/>
      <c r="G867" s="2"/>
    </row>
    <row r="868">
      <c r="A868" s="2"/>
      <c r="B868" s="2"/>
      <c r="C868" s="2"/>
      <c r="D868" s="2"/>
      <c r="E868" s="2"/>
      <c r="F868" s="2"/>
      <c r="G868" s="2"/>
    </row>
    <row r="869">
      <c r="A869" s="2"/>
      <c r="B869" s="2"/>
      <c r="C869" s="2"/>
      <c r="D869" s="2"/>
      <c r="E869" s="2"/>
      <c r="F869" s="2"/>
      <c r="G869" s="2"/>
    </row>
    <row r="870">
      <c r="A870" s="2"/>
      <c r="B870" s="2"/>
      <c r="C870" s="2"/>
      <c r="D870" s="2"/>
      <c r="E870" s="2"/>
      <c r="F870" s="2"/>
      <c r="G870" s="2"/>
    </row>
    <row r="871">
      <c r="A871" s="2"/>
      <c r="B871" s="2"/>
      <c r="C871" s="2"/>
      <c r="D871" s="2"/>
      <c r="E871" s="2"/>
      <c r="F871" s="2"/>
      <c r="G871" s="2"/>
    </row>
    <row r="872">
      <c r="A872" s="2"/>
      <c r="B872" s="2"/>
      <c r="C872" s="2"/>
      <c r="D872" s="2"/>
      <c r="E872" s="2"/>
      <c r="F872" s="2"/>
      <c r="G872" s="2"/>
    </row>
    <row r="873">
      <c r="A873" s="2"/>
      <c r="B873" s="2"/>
      <c r="C873" s="2"/>
      <c r="D873" s="2"/>
      <c r="E873" s="2"/>
      <c r="F873" s="2"/>
      <c r="G873" s="2"/>
    </row>
    <row r="874">
      <c r="A874" s="2"/>
      <c r="B874" s="2"/>
      <c r="C874" s="2"/>
      <c r="D874" s="2"/>
      <c r="E874" s="2"/>
      <c r="F874" s="2"/>
      <c r="G874" s="2"/>
    </row>
    <row r="875">
      <c r="A875" s="2"/>
      <c r="B875" s="2"/>
      <c r="C875" s="2"/>
      <c r="D875" s="2"/>
      <c r="E875" s="2"/>
      <c r="F875" s="2"/>
      <c r="G875" s="2"/>
    </row>
    <row r="876">
      <c r="A876" s="2"/>
      <c r="B876" s="2"/>
      <c r="C876" s="2"/>
      <c r="D876" s="2"/>
      <c r="E876" s="2"/>
      <c r="F876" s="2"/>
      <c r="G876" s="2"/>
    </row>
    <row r="877">
      <c r="A877" s="2"/>
      <c r="B877" s="2"/>
      <c r="C877" s="2"/>
      <c r="D877" s="2"/>
      <c r="E877" s="2"/>
      <c r="F877" s="2"/>
      <c r="G877" s="2"/>
    </row>
    <row r="878">
      <c r="A878" s="2"/>
      <c r="B878" s="2"/>
      <c r="C878" s="2"/>
      <c r="D878" s="2"/>
      <c r="E878" s="2"/>
      <c r="F878" s="2"/>
      <c r="G878" s="2"/>
    </row>
    <row r="879">
      <c r="A879" s="2"/>
      <c r="B879" s="2"/>
      <c r="C879" s="2"/>
      <c r="D879" s="2"/>
      <c r="E879" s="2"/>
      <c r="F879" s="2"/>
      <c r="G879" s="2"/>
    </row>
    <row r="880">
      <c r="A880" s="2"/>
      <c r="B880" s="2"/>
      <c r="C880" s="2"/>
      <c r="D880" s="2"/>
      <c r="E880" s="2"/>
      <c r="F880" s="2"/>
      <c r="G880" s="2"/>
    </row>
    <row r="881">
      <c r="A881" s="2"/>
      <c r="B881" s="2"/>
      <c r="C881" s="2"/>
      <c r="D881" s="2"/>
      <c r="E881" s="2"/>
      <c r="F881" s="2"/>
      <c r="G881" s="2"/>
    </row>
    <row r="882">
      <c r="A882" s="2"/>
      <c r="B882" s="2"/>
      <c r="C882" s="2"/>
      <c r="D882" s="2"/>
      <c r="E882" s="2"/>
      <c r="F882" s="2"/>
      <c r="G882" s="2"/>
    </row>
    <row r="883">
      <c r="A883" s="2"/>
      <c r="B883" s="2"/>
      <c r="C883" s="2"/>
      <c r="D883" s="2"/>
      <c r="E883" s="2"/>
      <c r="F883" s="2"/>
      <c r="G883" s="2"/>
    </row>
    <row r="884">
      <c r="A884" s="2"/>
      <c r="B884" s="2"/>
      <c r="C884" s="2"/>
      <c r="D884" s="2"/>
      <c r="E884" s="2"/>
      <c r="F884" s="2"/>
      <c r="G884" s="2"/>
    </row>
    <row r="885">
      <c r="A885" s="2"/>
      <c r="B885" s="2"/>
      <c r="C885" s="2"/>
      <c r="D885" s="2"/>
      <c r="E885" s="2"/>
      <c r="F885" s="2"/>
      <c r="G885" s="2"/>
    </row>
    <row r="886">
      <c r="A886" s="2"/>
      <c r="B886" s="2"/>
      <c r="C886" s="2"/>
      <c r="D886" s="2"/>
      <c r="E886" s="2"/>
      <c r="F886" s="2"/>
      <c r="G886" s="2"/>
    </row>
    <row r="887">
      <c r="A887" s="2"/>
      <c r="B887" s="2"/>
      <c r="C887" s="2"/>
      <c r="D887" s="2"/>
      <c r="E887" s="2"/>
      <c r="F887" s="2"/>
      <c r="G887" s="2"/>
    </row>
    <row r="888">
      <c r="A888" s="2"/>
      <c r="B888" s="2"/>
      <c r="C888" s="2"/>
      <c r="D888" s="2"/>
      <c r="E888" s="2"/>
      <c r="F888" s="2"/>
      <c r="G888" s="2"/>
    </row>
    <row r="889">
      <c r="A889" s="2"/>
      <c r="B889" s="2"/>
      <c r="C889" s="2"/>
      <c r="D889" s="2"/>
      <c r="E889" s="2"/>
      <c r="F889" s="2"/>
      <c r="G889" s="2"/>
    </row>
    <row r="890">
      <c r="A890" s="2"/>
      <c r="B890" s="2"/>
      <c r="C890" s="2"/>
      <c r="D890" s="2"/>
      <c r="E890" s="2"/>
      <c r="F890" s="2"/>
      <c r="G890" s="2"/>
    </row>
    <row r="891">
      <c r="A891" s="2"/>
      <c r="B891" s="2"/>
      <c r="C891" s="2"/>
      <c r="D891" s="2"/>
      <c r="E891" s="2"/>
      <c r="F891" s="2"/>
      <c r="G891" s="2"/>
    </row>
    <row r="892">
      <c r="A892" s="2"/>
      <c r="B892" s="2"/>
      <c r="C892" s="2"/>
      <c r="D892" s="2"/>
      <c r="E892" s="2"/>
      <c r="F892" s="2"/>
      <c r="G892" s="2"/>
    </row>
    <row r="893">
      <c r="A893" s="2"/>
      <c r="B893" s="2"/>
      <c r="C893" s="2"/>
      <c r="D893" s="2"/>
      <c r="E893" s="2"/>
      <c r="F893" s="2"/>
      <c r="G893" s="2"/>
    </row>
    <row r="894">
      <c r="A894" s="2"/>
      <c r="B894" s="2"/>
      <c r="C894" s="2"/>
      <c r="D894" s="2"/>
      <c r="E894" s="2"/>
      <c r="F894" s="2"/>
      <c r="G894" s="2"/>
    </row>
    <row r="895">
      <c r="A895" s="2"/>
      <c r="B895" s="2"/>
      <c r="C895" s="2"/>
      <c r="D895" s="2"/>
      <c r="E895" s="2"/>
      <c r="F895" s="2"/>
      <c r="G895" s="2"/>
    </row>
    <row r="896">
      <c r="A896" s="2"/>
      <c r="B896" s="2"/>
      <c r="C896" s="2"/>
      <c r="D896" s="2"/>
      <c r="E896" s="2"/>
      <c r="F896" s="2"/>
      <c r="G896" s="2"/>
    </row>
    <row r="897">
      <c r="A897" s="2"/>
      <c r="B897" s="2"/>
      <c r="C897" s="2"/>
      <c r="D897" s="2"/>
      <c r="E897" s="2"/>
      <c r="F897" s="2"/>
      <c r="G897" s="2"/>
    </row>
    <row r="898">
      <c r="A898" s="2"/>
      <c r="B898" s="2"/>
      <c r="C898" s="2"/>
      <c r="D898" s="2"/>
      <c r="E898" s="2"/>
      <c r="F898" s="2"/>
      <c r="G898" s="2"/>
    </row>
    <row r="899">
      <c r="A899" s="2"/>
      <c r="B899" s="2"/>
      <c r="C899" s="2"/>
      <c r="D899" s="2"/>
      <c r="E899" s="2"/>
      <c r="F899" s="2"/>
      <c r="G899" s="2"/>
    </row>
    <row r="900">
      <c r="A900" s="2"/>
      <c r="B900" s="2"/>
      <c r="C900" s="2"/>
      <c r="D900" s="2"/>
      <c r="E900" s="2"/>
      <c r="F900" s="2"/>
      <c r="G900" s="2"/>
    </row>
    <row r="901">
      <c r="A901" s="2"/>
      <c r="B901" s="2"/>
      <c r="C901" s="2"/>
      <c r="D901" s="2"/>
      <c r="E901" s="2"/>
      <c r="F901" s="2"/>
      <c r="G901" s="2"/>
    </row>
    <row r="902">
      <c r="A902" s="2"/>
      <c r="B902" s="2"/>
      <c r="C902" s="2"/>
      <c r="D902" s="2"/>
      <c r="E902" s="2"/>
      <c r="F902" s="2"/>
      <c r="G902" s="2"/>
    </row>
    <row r="903">
      <c r="A903" s="2"/>
      <c r="B903" s="2"/>
      <c r="C903" s="2"/>
      <c r="D903" s="2"/>
      <c r="E903" s="2"/>
      <c r="F903" s="2"/>
      <c r="G903" s="2"/>
    </row>
    <row r="904">
      <c r="A904" s="2"/>
      <c r="B904" s="2"/>
      <c r="C904" s="2"/>
      <c r="D904" s="2"/>
      <c r="E904" s="2"/>
      <c r="F904" s="2"/>
      <c r="G904" s="2"/>
    </row>
    <row r="905">
      <c r="A905" s="2"/>
      <c r="B905" s="2"/>
      <c r="C905" s="2"/>
      <c r="D905" s="2"/>
      <c r="E905" s="2"/>
      <c r="F905" s="2"/>
      <c r="G905" s="2"/>
    </row>
    <row r="906">
      <c r="A906" s="2"/>
      <c r="B906" s="2"/>
      <c r="C906" s="2"/>
      <c r="D906" s="2"/>
      <c r="E906" s="2"/>
      <c r="F906" s="2"/>
      <c r="G906" s="2"/>
    </row>
    <row r="907">
      <c r="A907" s="2"/>
      <c r="B907" s="2"/>
      <c r="C907" s="2"/>
      <c r="D907" s="2"/>
      <c r="E907" s="2"/>
      <c r="F907" s="2"/>
      <c r="G907" s="2"/>
    </row>
    <row r="908">
      <c r="A908" s="2"/>
      <c r="B908" s="2"/>
      <c r="C908" s="2"/>
      <c r="D908" s="2"/>
      <c r="E908" s="2"/>
      <c r="F908" s="2"/>
      <c r="G908" s="2"/>
    </row>
    <row r="909">
      <c r="A909" s="2"/>
      <c r="B909" s="2"/>
      <c r="C909" s="2"/>
      <c r="D909" s="2"/>
      <c r="E909" s="2"/>
      <c r="F909" s="2"/>
      <c r="G909" s="2"/>
    </row>
    <row r="910">
      <c r="A910" s="2"/>
      <c r="B910" s="2"/>
      <c r="C910" s="2"/>
      <c r="D910" s="2"/>
      <c r="E910" s="2"/>
      <c r="F910" s="2"/>
      <c r="G910" s="2"/>
    </row>
    <row r="911">
      <c r="A911" s="2"/>
      <c r="B911" s="2"/>
      <c r="C911" s="2"/>
      <c r="D911" s="2"/>
      <c r="E911" s="2"/>
      <c r="F911" s="2"/>
      <c r="G911" s="2"/>
    </row>
    <row r="912">
      <c r="A912" s="2"/>
      <c r="B912" s="2"/>
      <c r="C912" s="2"/>
      <c r="D912" s="2"/>
      <c r="E912" s="2"/>
      <c r="F912" s="2"/>
      <c r="G912" s="2"/>
    </row>
    <row r="913">
      <c r="A913" s="2"/>
      <c r="B913" s="2"/>
      <c r="C913" s="2"/>
      <c r="D913" s="2"/>
      <c r="E913" s="2"/>
      <c r="F913" s="2"/>
      <c r="G913" s="2"/>
    </row>
    <row r="914">
      <c r="A914" s="2"/>
      <c r="B914" s="2"/>
      <c r="C914" s="2"/>
      <c r="D914" s="2"/>
      <c r="E914" s="2"/>
      <c r="F914" s="2"/>
      <c r="G914" s="2"/>
    </row>
    <row r="915">
      <c r="A915" s="2"/>
      <c r="B915" s="2"/>
      <c r="C915" s="2"/>
      <c r="D915" s="2"/>
      <c r="E915" s="2"/>
      <c r="F915" s="2"/>
      <c r="G915" s="2"/>
    </row>
    <row r="916">
      <c r="A916" s="2"/>
      <c r="B916" s="2"/>
      <c r="C916" s="2"/>
      <c r="D916" s="2"/>
      <c r="E916" s="2"/>
      <c r="F916" s="2"/>
      <c r="G916" s="2"/>
    </row>
    <row r="917">
      <c r="A917" s="2"/>
      <c r="B917" s="2"/>
      <c r="C917" s="2"/>
      <c r="D917" s="2"/>
      <c r="E917" s="2"/>
      <c r="F917" s="2"/>
      <c r="G917" s="2"/>
    </row>
    <row r="918">
      <c r="A918" s="2"/>
      <c r="B918" s="2"/>
      <c r="C918" s="2"/>
      <c r="D918" s="2"/>
      <c r="E918" s="2"/>
      <c r="F918" s="2"/>
      <c r="G918" s="2"/>
    </row>
    <row r="919">
      <c r="A919" s="2"/>
      <c r="B919" s="2"/>
      <c r="C919" s="2"/>
      <c r="D919" s="2"/>
      <c r="E919" s="2"/>
      <c r="F919" s="2"/>
      <c r="G919" s="2"/>
    </row>
    <row r="920">
      <c r="A920" s="2"/>
      <c r="B920" s="2"/>
      <c r="C920" s="2"/>
      <c r="D920" s="2"/>
      <c r="E920" s="2"/>
      <c r="F920" s="2"/>
      <c r="G920" s="2"/>
    </row>
    <row r="921">
      <c r="A921" s="2"/>
      <c r="B921" s="2"/>
      <c r="C921" s="2"/>
      <c r="D921" s="2"/>
      <c r="E921" s="2"/>
      <c r="F921" s="2"/>
      <c r="G921" s="2"/>
    </row>
    <row r="922">
      <c r="A922" s="2"/>
      <c r="B922" s="2"/>
      <c r="C922" s="2"/>
      <c r="D922" s="2"/>
      <c r="E922" s="2"/>
      <c r="F922" s="2"/>
      <c r="G922" s="2"/>
    </row>
    <row r="923">
      <c r="A923" s="2"/>
      <c r="B923" s="2"/>
      <c r="C923" s="2"/>
      <c r="D923" s="2"/>
      <c r="E923" s="2"/>
      <c r="F923" s="2"/>
      <c r="G923" s="2"/>
    </row>
    <row r="924">
      <c r="A924" s="2"/>
      <c r="B924" s="2"/>
      <c r="C924" s="2"/>
      <c r="D924" s="2"/>
      <c r="E924" s="2"/>
      <c r="F924" s="2"/>
      <c r="G924" s="2"/>
    </row>
    <row r="925">
      <c r="A925" s="2"/>
      <c r="B925" s="2"/>
      <c r="C925" s="2"/>
      <c r="D925" s="2"/>
      <c r="E925" s="2"/>
      <c r="F925" s="2"/>
      <c r="G925" s="2"/>
    </row>
    <row r="926">
      <c r="A926" s="2"/>
      <c r="B926" s="2"/>
      <c r="C926" s="2"/>
      <c r="D926" s="2"/>
      <c r="E926" s="2"/>
      <c r="F926" s="2"/>
      <c r="G926" s="2"/>
    </row>
    <row r="927">
      <c r="A927" s="2"/>
      <c r="B927" s="2"/>
      <c r="C927" s="2"/>
      <c r="D927" s="2"/>
      <c r="E927" s="2"/>
      <c r="F927" s="2"/>
      <c r="G927" s="2"/>
    </row>
    <row r="928">
      <c r="A928" s="2"/>
      <c r="B928" s="2"/>
      <c r="C928" s="2"/>
      <c r="D928" s="2"/>
      <c r="E928" s="2"/>
      <c r="F928" s="2"/>
      <c r="G928" s="2"/>
    </row>
    <row r="929">
      <c r="A929" s="2"/>
      <c r="B929" s="2"/>
      <c r="C929" s="2"/>
      <c r="D929" s="2"/>
      <c r="E929" s="2"/>
      <c r="F929" s="2"/>
      <c r="G929" s="2"/>
    </row>
    <row r="930">
      <c r="A930" s="2"/>
      <c r="B930" s="2"/>
      <c r="C930" s="2"/>
      <c r="D930" s="2"/>
      <c r="E930" s="2"/>
      <c r="F930" s="2"/>
      <c r="G930" s="2"/>
    </row>
    <row r="931">
      <c r="A931" s="2"/>
      <c r="B931" s="2"/>
      <c r="C931" s="2"/>
      <c r="D931" s="2"/>
      <c r="E931" s="2"/>
      <c r="F931" s="2"/>
      <c r="G931" s="2"/>
    </row>
    <row r="932">
      <c r="A932" s="2"/>
      <c r="B932" s="2"/>
      <c r="C932" s="2"/>
      <c r="D932" s="2"/>
      <c r="E932" s="2"/>
      <c r="F932" s="2"/>
      <c r="G932" s="2"/>
    </row>
    <row r="933">
      <c r="A933" s="2"/>
      <c r="B933" s="2"/>
      <c r="C933" s="2"/>
      <c r="D933" s="2"/>
      <c r="E933" s="2"/>
      <c r="F933" s="2"/>
      <c r="G933" s="2"/>
    </row>
    <row r="934">
      <c r="A934" s="2"/>
      <c r="B934" s="2"/>
      <c r="C934" s="2"/>
      <c r="D934" s="2"/>
      <c r="E934" s="2"/>
      <c r="F934" s="2"/>
      <c r="G934" s="2"/>
    </row>
    <row r="935">
      <c r="A935" s="2"/>
      <c r="B935" s="2"/>
      <c r="C935" s="2"/>
      <c r="D935" s="2"/>
      <c r="E935" s="2"/>
      <c r="F935" s="2"/>
      <c r="G935" s="2"/>
    </row>
    <row r="936">
      <c r="A936" s="2"/>
      <c r="B936" s="2"/>
      <c r="C936" s="2"/>
      <c r="D936" s="2"/>
      <c r="E936" s="2"/>
      <c r="F936" s="2"/>
      <c r="G936" s="2"/>
    </row>
    <row r="937">
      <c r="A937" s="2"/>
      <c r="B937" s="2"/>
      <c r="C937" s="2"/>
      <c r="D937" s="2"/>
      <c r="E937" s="2"/>
      <c r="F937" s="2"/>
      <c r="G937" s="2"/>
    </row>
    <row r="938">
      <c r="A938" s="2"/>
      <c r="B938" s="2"/>
      <c r="C938" s="2"/>
      <c r="D938" s="2"/>
      <c r="E938" s="2"/>
      <c r="F938" s="2"/>
      <c r="G938" s="2"/>
    </row>
    <row r="939">
      <c r="A939" s="2"/>
      <c r="B939" s="2"/>
      <c r="C939" s="2"/>
      <c r="D939" s="2"/>
      <c r="E939" s="2"/>
      <c r="F939" s="2"/>
      <c r="G939" s="2"/>
    </row>
    <row r="940">
      <c r="A940" s="2"/>
      <c r="B940" s="2"/>
      <c r="C940" s="2"/>
      <c r="D940" s="2"/>
      <c r="E940" s="2"/>
      <c r="F940" s="2"/>
      <c r="G940" s="2"/>
    </row>
    <row r="941">
      <c r="A941" s="2"/>
      <c r="B941" s="2"/>
      <c r="C941" s="2"/>
      <c r="D941" s="2"/>
      <c r="E941" s="2"/>
      <c r="F941" s="2"/>
      <c r="G941" s="2"/>
    </row>
    <row r="942">
      <c r="A942" s="2"/>
      <c r="B942" s="2"/>
      <c r="C942" s="2"/>
      <c r="D942" s="2"/>
      <c r="E942" s="2"/>
      <c r="F942" s="2"/>
      <c r="G942" s="2"/>
    </row>
    <row r="943">
      <c r="A943" s="2"/>
      <c r="B943" s="2"/>
      <c r="C943" s="2"/>
      <c r="D943" s="2"/>
      <c r="E943" s="2"/>
      <c r="F943" s="2"/>
      <c r="G943" s="2"/>
    </row>
    <row r="944">
      <c r="A944" s="2"/>
      <c r="B944" s="2"/>
      <c r="C944" s="2"/>
      <c r="D944" s="2"/>
      <c r="E944" s="2"/>
      <c r="F944" s="2"/>
      <c r="G944" s="2"/>
    </row>
    <row r="945">
      <c r="A945" s="2"/>
      <c r="B945" s="2"/>
      <c r="C945" s="2"/>
      <c r="D945" s="2"/>
      <c r="E945" s="2"/>
      <c r="F945" s="2"/>
      <c r="G945" s="2"/>
    </row>
    <row r="946">
      <c r="A946" s="2"/>
      <c r="B946" s="2"/>
      <c r="C946" s="2"/>
      <c r="D946" s="2"/>
      <c r="E946" s="2"/>
      <c r="F946" s="2"/>
      <c r="G946" s="2"/>
    </row>
    <row r="947">
      <c r="A947" s="2"/>
      <c r="B947" s="2"/>
      <c r="C947" s="2"/>
      <c r="D947" s="2"/>
      <c r="E947" s="2"/>
      <c r="F947" s="2"/>
      <c r="G947" s="2"/>
    </row>
    <row r="948">
      <c r="A948" s="2"/>
      <c r="B948" s="2"/>
      <c r="C948" s="2"/>
      <c r="D948" s="2"/>
      <c r="E948" s="2"/>
      <c r="F948" s="2"/>
      <c r="G948" s="2"/>
    </row>
    <row r="949">
      <c r="A949" s="2"/>
      <c r="B949" s="2"/>
      <c r="C949" s="2"/>
      <c r="D949" s="2"/>
      <c r="E949" s="2"/>
      <c r="F949" s="2"/>
      <c r="G949" s="2"/>
    </row>
    <row r="950">
      <c r="A950" s="2"/>
      <c r="B950" s="2"/>
      <c r="C950" s="2"/>
      <c r="D950" s="2"/>
      <c r="E950" s="2"/>
      <c r="F950" s="2"/>
      <c r="G950" s="2"/>
    </row>
    <row r="951">
      <c r="A951" s="2"/>
      <c r="B951" s="2"/>
      <c r="C951" s="2"/>
      <c r="D951" s="2"/>
      <c r="E951" s="2"/>
      <c r="F951" s="2"/>
      <c r="G951" s="2"/>
    </row>
    <row r="952">
      <c r="A952" s="2"/>
      <c r="B952" s="2"/>
      <c r="C952" s="2"/>
      <c r="D952" s="2"/>
      <c r="E952" s="2"/>
      <c r="F952" s="2"/>
      <c r="G952" s="2"/>
    </row>
    <row r="953">
      <c r="A953" s="2"/>
      <c r="B953" s="2"/>
      <c r="C953" s="2"/>
      <c r="D953" s="2"/>
      <c r="E953" s="2"/>
      <c r="F953" s="2"/>
      <c r="G953" s="2"/>
    </row>
    <row r="954">
      <c r="A954" s="2"/>
      <c r="B954" s="2"/>
      <c r="C954" s="2"/>
      <c r="D954" s="2"/>
      <c r="E954" s="2"/>
      <c r="F954" s="2"/>
      <c r="G954" s="2"/>
    </row>
    <row r="955">
      <c r="A955" s="2"/>
      <c r="B955" s="2"/>
      <c r="C955" s="2"/>
      <c r="D955" s="2"/>
      <c r="E955" s="2"/>
      <c r="F955" s="2"/>
      <c r="G955" s="2"/>
    </row>
    <row r="956">
      <c r="A956" s="2"/>
      <c r="B956" s="2"/>
      <c r="C956" s="2"/>
      <c r="D956" s="2"/>
      <c r="E956" s="2"/>
      <c r="F956" s="2"/>
      <c r="G956" s="2"/>
    </row>
    <row r="957">
      <c r="A957" s="2"/>
      <c r="B957" s="2"/>
      <c r="C957" s="2"/>
      <c r="D957" s="2"/>
      <c r="E957" s="2"/>
      <c r="F957" s="2"/>
      <c r="G957" s="2"/>
    </row>
    <row r="958">
      <c r="A958" s="2"/>
      <c r="B958" s="2"/>
      <c r="C958" s="2"/>
      <c r="D958" s="2"/>
      <c r="E958" s="2"/>
      <c r="F958" s="2"/>
      <c r="G958" s="2"/>
    </row>
    <row r="959">
      <c r="A959" s="2"/>
      <c r="B959" s="2"/>
      <c r="C959" s="2"/>
      <c r="D959" s="2"/>
      <c r="E959" s="2"/>
      <c r="F959" s="2"/>
      <c r="G959" s="2"/>
    </row>
    <row r="960">
      <c r="A960" s="2"/>
      <c r="B960" s="2"/>
      <c r="C960" s="2"/>
      <c r="D960" s="2"/>
      <c r="E960" s="2"/>
      <c r="F960" s="2"/>
      <c r="G960" s="2"/>
    </row>
    <row r="961">
      <c r="A961" s="2"/>
      <c r="B961" s="2"/>
      <c r="C961" s="2"/>
      <c r="D961" s="2"/>
      <c r="E961" s="2"/>
      <c r="F961" s="2"/>
      <c r="G961" s="2"/>
    </row>
    <row r="962">
      <c r="A962" s="2"/>
      <c r="B962" s="2"/>
      <c r="C962" s="2"/>
      <c r="D962" s="2"/>
      <c r="E962" s="2"/>
      <c r="F962" s="2"/>
      <c r="G962" s="2"/>
    </row>
    <row r="963">
      <c r="A963" s="2"/>
      <c r="B963" s="2"/>
      <c r="C963" s="2"/>
      <c r="D963" s="2"/>
      <c r="E963" s="2"/>
      <c r="F963" s="2"/>
      <c r="G963" s="2"/>
    </row>
    <row r="964">
      <c r="A964" s="2"/>
      <c r="B964" s="2"/>
      <c r="C964" s="2"/>
      <c r="D964" s="2"/>
      <c r="E964" s="2"/>
      <c r="F964" s="2"/>
      <c r="G964" s="2"/>
    </row>
    <row r="965">
      <c r="A965" s="2"/>
      <c r="B965" s="2"/>
      <c r="C965" s="2"/>
      <c r="D965" s="2"/>
      <c r="E965" s="2"/>
      <c r="F965" s="2"/>
      <c r="G965" s="2"/>
    </row>
    <row r="966">
      <c r="A966" s="2"/>
      <c r="B966" s="2"/>
      <c r="C966" s="2"/>
      <c r="D966" s="2"/>
      <c r="E966" s="2"/>
      <c r="F966" s="2"/>
      <c r="G966" s="2"/>
    </row>
    <row r="967">
      <c r="A967" s="2"/>
      <c r="B967" s="2"/>
      <c r="C967" s="2"/>
      <c r="D967" s="2"/>
      <c r="E967" s="2"/>
      <c r="F967" s="2"/>
      <c r="G967" s="2"/>
    </row>
    <row r="968">
      <c r="A968" s="2"/>
      <c r="B968" s="2"/>
      <c r="C968" s="2"/>
      <c r="D968" s="2"/>
      <c r="E968" s="2"/>
      <c r="F968" s="2"/>
      <c r="G968" s="2"/>
    </row>
    <row r="969">
      <c r="A969" s="2"/>
      <c r="B969" s="2"/>
      <c r="C969" s="2"/>
      <c r="D969" s="2"/>
      <c r="E969" s="2"/>
      <c r="F969" s="2"/>
      <c r="G969" s="2"/>
    </row>
    <row r="970">
      <c r="A970" s="2"/>
      <c r="B970" s="2"/>
      <c r="C970" s="2"/>
      <c r="D970" s="2"/>
      <c r="E970" s="2"/>
      <c r="F970" s="2"/>
      <c r="G970" s="2"/>
    </row>
    <row r="971">
      <c r="A971" s="2"/>
      <c r="B971" s="2"/>
      <c r="C971" s="2"/>
      <c r="D971" s="2"/>
      <c r="E971" s="2"/>
      <c r="F971" s="2"/>
      <c r="G971" s="2"/>
    </row>
    <row r="972">
      <c r="A972" s="2"/>
      <c r="B972" s="2"/>
      <c r="C972" s="2"/>
      <c r="D972" s="2"/>
      <c r="E972" s="2"/>
      <c r="F972" s="2"/>
      <c r="G972" s="2"/>
    </row>
    <row r="973">
      <c r="A973" s="2"/>
      <c r="B973" s="2"/>
      <c r="C973" s="2"/>
      <c r="D973" s="2"/>
      <c r="E973" s="2"/>
      <c r="F973" s="2"/>
      <c r="G973" s="2"/>
    </row>
    <row r="974">
      <c r="A974" s="2"/>
      <c r="B974" s="2"/>
      <c r="C974" s="2"/>
      <c r="D974" s="2"/>
      <c r="E974" s="2"/>
      <c r="F974" s="2"/>
      <c r="G974" s="2"/>
    </row>
    <row r="975">
      <c r="A975" s="2"/>
      <c r="B975" s="2"/>
      <c r="C975" s="2"/>
      <c r="D975" s="2"/>
      <c r="E975" s="2"/>
      <c r="F975" s="2"/>
      <c r="G975" s="2"/>
    </row>
    <row r="976">
      <c r="A976" s="2"/>
      <c r="B976" s="2"/>
      <c r="C976" s="2"/>
      <c r="D976" s="2"/>
      <c r="E976" s="2"/>
      <c r="F976" s="2"/>
      <c r="G976" s="2"/>
    </row>
    <row r="977">
      <c r="A977" s="2"/>
      <c r="B977" s="2"/>
      <c r="C977" s="2"/>
      <c r="D977" s="2"/>
      <c r="E977" s="2"/>
      <c r="F977" s="2"/>
      <c r="G977" s="2"/>
    </row>
    <row r="978">
      <c r="A978" s="2"/>
      <c r="B978" s="2"/>
      <c r="C978" s="2"/>
      <c r="D978" s="2"/>
      <c r="E978" s="2"/>
      <c r="F978" s="2"/>
      <c r="G978" s="2"/>
    </row>
    <row r="979">
      <c r="A979" s="2"/>
      <c r="B979" s="2"/>
      <c r="C979" s="2"/>
      <c r="D979" s="2"/>
      <c r="E979" s="2"/>
      <c r="F979" s="2"/>
      <c r="G979" s="2"/>
    </row>
    <row r="980">
      <c r="A980" s="2"/>
      <c r="B980" s="2"/>
      <c r="C980" s="2"/>
      <c r="D980" s="2"/>
      <c r="E980" s="2"/>
      <c r="F980" s="2"/>
      <c r="G980" s="2"/>
    </row>
    <row r="981">
      <c r="A981" s="2"/>
      <c r="B981" s="2"/>
      <c r="C981" s="2"/>
      <c r="D981" s="2"/>
      <c r="E981" s="2"/>
      <c r="F981" s="2"/>
      <c r="G981" s="2"/>
    </row>
    <row r="982">
      <c r="A982" s="2"/>
      <c r="B982" s="2"/>
      <c r="C982" s="2"/>
      <c r="D982" s="2"/>
      <c r="E982" s="2"/>
      <c r="F982" s="2"/>
      <c r="G982" s="2"/>
    </row>
    <row r="983">
      <c r="A983" s="2"/>
      <c r="B983" s="2"/>
      <c r="C983" s="2"/>
      <c r="D983" s="2"/>
      <c r="E983" s="2"/>
      <c r="F983" s="2"/>
      <c r="G983" s="2"/>
    </row>
    <row r="984">
      <c r="A984" s="2"/>
      <c r="B984" s="2"/>
      <c r="C984" s="2"/>
      <c r="D984" s="2"/>
      <c r="E984" s="2"/>
      <c r="F984" s="2"/>
      <c r="G984" s="2"/>
    </row>
    <row r="985">
      <c r="A985" s="2"/>
      <c r="B985" s="2"/>
      <c r="C985" s="2"/>
      <c r="D985" s="2"/>
      <c r="E985" s="2"/>
      <c r="F985" s="2"/>
      <c r="G985" s="2"/>
    </row>
    <row r="986">
      <c r="A986" s="2"/>
      <c r="B986" s="2"/>
      <c r="C986" s="2"/>
      <c r="D986" s="2"/>
      <c r="E986" s="2"/>
      <c r="F986" s="2"/>
      <c r="G986" s="2"/>
    </row>
    <row r="987">
      <c r="A987" s="2"/>
      <c r="B987" s="2"/>
      <c r="C987" s="2"/>
      <c r="D987" s="2"/>
      <c r="E987" s="2"/>
      <c r="F987" s="2"/>
      <c r="G987" s="2"/>
    </row>
    <row r="988">
      <c r="A988" s="2"/>
      <c r="B988" s="2"/>
      <c r="C988" s="2"/>
      <c r="D988" s="2"/>
      <c r="E988" s="2"/>
      <c r="F988" s="2"/>
      <c r="G988" s="2"/>
    </row>
    <row r="989">
      <c r="A989" s="2"/>
      <c r="B989" s="2"/>
      <c r="C989" s="2"/>
      <c r="D989" s="2"/>
      <c r="E989" s="2"/>
      <c r="F989" s="2"/>
      <c r="G989" s="2"/>
    </row>
    <row r="990">
      <c r="A990" s="2"/>
      <c r="B990" s="2"/>
      <c r="C990" s="2"/>
      <c r="D990" s="2"/>
      <c r="E990" s="2"/>
      <c r="F990" s="2"/>
      <c r="G990" s="2"/>
    </row>
    <row r="991">
      <c r="A991" s="2"/>
      <c r="B991" s="2"/>
      <c r="C991" s="2"/>
      <c r="D991" s="2"/>
      <c r="E991" s="2"/>
      <c r="F991" s="2"/>
      <c r="G991" s="2"/>
    </row>
    <row r="992">
      <c r="A992" s="2"/>
      <c r="B992" s="2"/>
      <c r="C992" s="2"/>
      <c r="D992" s="2"/>
      <c r="E992" s="2"/>
      <c r="F992" s="2"/>
      <c r="G992" s="2"/>
    </row>
    <row r="993">
      <c r="A993" s="2"/>
      <c r="B993" s="2"/>
      <c r="C993" s="2"/>
      <c r="D993" s="2"/>
      <c r="E993" s="2"/>
      <c r="F993" s="2"/>
      <c r="G993" s="2"/>
    </row>
    <row r="994">
      <c r="A994" s="2"/>
      <c r="B994" s="2"/>
      <c r="C994" s="2"/>
      <c r="D994" s="2"/>
      <c r="E994" s="2"/>
      <c r="F994" s="2"/>
      <c r="G994" s="2"/>
    </row>
    <row r="995">
      <c r="A995" s="2"/>
      <c r="B995" s="2"/>
      <c r="C995" s="2"/>
      <c r="D995" s="2"/>
      <c r="E995" s="2"/>
      <c r="F995" s="2"/>
      <c r="G995" s="2"/>
    </row>
    <row r="996">
      <c r="A996" s="2"/>
      <c r="B996" s="2"/>
      <c r="C996" s="2"/>
      <c r="D996" s="2"/>
      <c r="E996" s="2"/>
      <c r="F996" s="2"/>
      <c r="G996" s="2"/>
    </row>
    <row r="997">
      <c r="A997" s="2"/>
      <c r="B997" s="2"/>
      <c r="C997" s="2"/>
      <c r="D997" s="2"/>
      <c r="E997" s="2"/>
      <c r="F997" s="2"/>
      <c r="G997" s="2"/>
    </row>
    <row r="998">
      <c r="A998" s="2"/>
      <c r="B998" s="2"/>
      <c r="C998" s="2"/>
      <c r="D998" s="2"/>
      <c r="E998" s="2"/>
      <c r="F998" s="2"/>
      <c r="G998" s="2"/>
    </row>
    <row r="999">
      <c r="A999" s="2"/>
      <c r="B999" s="2"/>
      <c r="C999" s="2"/>
      <c r="D999" s="2"/>
      <c r="E999" s="2"/>
      <c r="F999" s="2"/>
      <c r="G999" s="2"/>
    </row>
    <row r="1000">
      <c r="A1000" s="2"/>
      <c r="B1000" s="2"/>
      <c r="C1000" s="2"/>
      <c r="D1000" s="2"/>
      <c r="E1000" s="2"/>
      <c r="F1000" s="2"/>
      <c r="G1000" s="2"/>
    </row>
    <row r="1001">
      <c r="A1001" s="2"/>
      <c r="B1001" s="2"/>
      <c r="C1001" s="2"/>
      <c r="D1001" s="2"/>
      <c r="E1001" s="2"/>
      <c r="F1001" s="2"/>
      <c r="G1001" s="2"/>
    </row>
    <row r="1002">
      <c r="A1002" s="2"/>
      <c r="B1002" s="2"/>
      <c r="C1002" s="2"/>
      <c r="D1002" s="2"/>
      <c r="E1002" s="2"/>
      <c r="F1002" s="2"/>
      <c r="G1002" s="2"/>
    </row>
    <row r="1003">
      <c r="A1003" s="2"/>
      <c r="B1003" s="2"/>
      <c r="C1003" s="2"/>
      <c r="D1003" s="2"/>
      <c r="E1003" s="2"/>
      <c r="F1003" s="2"/>
      <c r="G1003" s="2"/>
    </row>
    <row r="1004">
      <c r="A1004" s="2"/>
      <c r="B1004" s="2"/>
      <c r="C1004" s="2"/>
      <c r="D1004" s="2"/>
      <c r="E1004" s="2"/>
      <c r="F1004" s="2"/>
      <c r="G1004" s="2"/>
    </row>
  </sheetData>
  <mergeCells count="84">
    <mergeCell ref="B57:G57"/>
    <mergeCell ref="B58:G58"/>
    <mergeCell ref="B50:G50"/>
    <mergeCell ref="B51:G51"/>
    <mergeCell ref="B52:G52"/>
    <mergeCell ref="B53:G53"/>
    <mergeCell ref="B54:G54"/>
    <mergeCell ref="B55:G55"/>
    <mergeCell ref="B56:G56"/>
    <mergeCell ref="B59:G59"/>
    <mergeCell ref="B60:G60"/>
    <mergeCell ref="B61:G61"/>
    <mergeCell ref="B62:G62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B86:G86"/>
    <mergeCell ref="B94:G94"/>
    <mergeCell ref="B95:G95"/>
    <mergeCell ref="B96:G96"/>
    <mergeCell ref="B97:G97"/>
    <mergeCell ref="B87:G87"/>
    <mergeCell ref="B88:G88"/>
    <mergeCell ref="B89:G89"/>
    <mergeCell ref="B90:G90"/>
    <mergeCell ref="B91:G91"/>
    <mergeCell ref="B92:G92"/>
    <mergeCell ref="B93:G93"/>
    <mergeCell ref="B2:D2"/>
    <mergeCell ref="B3:D3"/>
    <mergeCell ref="B4:D4"/>
    <mergeCell ref="B5:D5"/>
    <mergeCell ref="A8:G8"/>
    <mergeCell ref="A13:G13"/>
    <mergeCell ref="C20:G20"/>
    <mergeCell ref="C21:G21"/>
    <mergeCell ref="C22:G22"/>
    <mergeCell ref="C23:G23"/>
    <mergeCell ref="C24:G24"/>
    <mergeCell ref="C25:G25"/>
    <mergeCell ref="C27:G27"/>
    <mergeCell ref="B28:G28"/>
    <mergeCell ref="A29:A33"/>
    <mergeCell ref="A34:A41"/>
    <mergeCell ref="A42:A52"/>
    <mergeCell ref="A53:A54"/>
    <mergeCell ref="A55:A56"/>
    <mergeCell ref="A57:A58"/>
    <mergeCell ref="A59:A60"/>
    <mergeCell ref="A61:A62"/>
    <mergeCell ref="A20:B20"/>
    <mergeCell ref="A21:B21"/>
    <mergeCell ref="A22:B22"/>
    <mergeCell ref="A23:B23"/>
    <mergeCell ref="A24:B24"/>
    <mergeCell ref="A25:B25"/>
    <mergeCell ref="A26:C26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</mergeCells>
  <conditionalFormatting sqref="B2 B5:D5">
    <cfRule type="containsBlanks" dxfId="0" priority="1">
      <formula>LEN(TRIM(B2))=0</formula>
    </cfRule>
  </conditionalFormatting>
  <conditionalFormatting sqref="G2:G4">
    <cfRule type="containsBlanks" dxfId="0" priority="2">
      <formula>LEN(TRIM(G2))=0</formula>
    </cfRule>
  </conditionalFormatting>
  <conditionalFormatting sqref="A10:F11">
    <cfRule type="containsBlanks" dxfId="0" priority="3">
      <formula>LEN(TRIM(A10))=0</formula>
    </cfRule>
  </conditionalFormatting>
  <conditionalFormatting sqref="A15:F17">
    <cfRule type="containsBlanks" dxfId="0" priority="4">
      <formula>LEN(TRIM(A15))=0</formula>
    </cfRule>
  </conditionalFormatting>
  <conditionalFormatting sqref="A66:B73">
    <cfRule type="containsBlanks" dxfId="0" priority="5">
      <formula>LEN(TRIM(A66))=0</formula>
    </cfRule>
  </conditionalFormatting>
  <conditionalFormatting sqref="D66:E73">
    <cfRule type="containsBlanks" dxfId="0" priority="6">
      <formula>LEN(TRIM(D66))=0</formula>
    </cfRule>
  </conditionalFormatting>
  <conditionalFormatting sqref="C66:C73">
    <cfRule type="expression" dxfId="0" priority="7">
      <formula>$C66=FALSE</formula>
    </cfRule>
  </conditionalFormatting>
  <conditionalFormatting sqref="A78:B85">
    <cfRule type="containsBlanks" dxfId="0" priority="8">
      <formula>LEN(TRIM(A78))=0</formula>
    </cfRule>
  </conditionalFormatting>
  <dataValidations>
    <dataValidation type="custom" allowBlank="1" showDropDown="1" sqref="G2:G4">
      <formula1>OR(NOT(ISERROR(DATEVALUE(G2))), AND(ISNUMBER(G2), LEFT(CELL("format", G2))="D"))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38"/>
    <col customWidth="1" min="2" max="3" width="25.13"/>
    <col customWidth="1" min="4" max="4" width="44.13"/>
    <col customWidth="1" min="5" max="5" width="22.38"/>
    <col customWidth="1" min="6" max="6" width="20.0"/>
    <col customWidth="1" min="7" max="7" width="19.0"/>
    <col customWidth="1" hidden="1" min="8" max="9" width="17.13"/>
    <col customWidth="1" hidden="1" min="10" max="10" width="20.88"/>
    <col customWidth="1" hidden="1" min="11" max="11" width="16.88"/>
    <col hidden="1" min="12" max="14" width="12.63"/>
  </cols>
  <sheetData>
    <row r="1">
      <c r="A1" s="73" t="s">
        <v>80</v>
      </c>
      <c r="B1" s="73" t="s">
        <v>81</v>
      </c>
      <c r="C1" s="73" t="s">
        <v>14</v>
      </c>
      <c r="D1" s="73" t="s">
        <v>82</v>
      </c>
      <c r="E1" s="74" t="s">
        <v>83</v>
      </c>
      <c r="F1" s="75" t="str">
        <f t="array" ref="F1:N1">TRANSPOSE('Справочник'!D2:D10)</f>
        <v>ООО "Весело живем"</v>
      </c>
      <c r="G1" s="75" t="s">
        <v>84</v>
      </c>
      <c r="H1" s="75">
        <v>3.0</v>
      </c>
      <c r="I1" s="75">
        <v>4.0</v>
      </c>
      <c r="J1" s="75">
        <v>5.0</v>
      </c>
      <c r="K1" s="75">
        <v>6.0</v>
      </c>
      <c r="L1" s="75">
        <v>7.0</v>
      </c>
      <c r="M1" s="75">
        <v>8.0</v>
      </c>
      <c r="N1" s="75">
        <v>9.0</v>
      </c>
    </row>
    <row r="2">
      <c r="A2" s="76" t="s">
        <v>85</v>
      </c>
      <c r="B2" s="76" t="s">
        <v>86</v>
      </c>
      <c r="C2" s="77" t="s">
        <v>87</v>
      </c>
      <c r="D2" s="78"/>
      <c r="E2" s="79" t="str">
        <f t="shared" ref="E2:E45" si="1">if(and(OR(B2="Косвенные административные",B2="Косвенные коммерческие",B2="Расходы ниже EBITDA"),COUNTIF(F2:N2,TRUE)&gt;0),"По направлениям распредляются только прямые расходы!","ОК")</f>
        <v>ОК</v>
      </c>
      <c r="F2" s="80" t="b">
        <v>0</v>
      </c>
      <c r="G2" s="81" t="b">
        <v>0</v>
      </c>
      <c r="H2" s="81" t="b">
        <v>0</v>
      </c>
      <c r="I2" s="81" t="b">
        <v>0</v>
      </c>
      <c r="J2" s="81" t="b">
        <v>0</v>
      </c>
      <c r="K2" s="81" t="b">
        <v>0</v>
      </c>
      <c r="L2" s="81" t="b">
        <v>0</v>
      </c>
      <c r="M2" s="81" t="b">
        <v>0</v>
      </c>
      <c r="N2" s="81" t="b">
        <v>0</v>
      </c>
    </row>
    <row r="3">
      <c r="A3" s="82" t="s">
        <v>88</v>
      </c>
      <c r="B3" s="76" t="s">
        <v>86</v>
      </c>
      <c r="C3" s="77" t="s">
        <v>87</v>
      </c>
      <c r="D3" s="78"/>
      <c r="E3" s="79" t="str">
        <f t="shared" si="1"/>
        <v>ОК</v>
      </c>
      <c r="F3" s="80" t="b">
        <v>0</v>
      </c>
      <c r="G3" s="81" t="b">
        <v>0</v>
      </c>
      <c r="H3" s="81" t="b">
        <v>0</v>
      </c>
      <c r="I3" s="81" t="b">
        <v>0</v>
      </c>
      <c r="J3" s="81" t="b">
        <v>0</v>
      </c>
      <c r="K3" s="81" t="b">
        <v>0</v>
      </c>
      <c r="L3" s="81" t="b">
        <v>0</v>
      </c>
      <c r="M3" s="81" t="b">
        <v>0</v>
      </c>
      <c r="N3" s="81" t="b">
        <v>0</v>
      </c>
    </row>
    <row r="4">
      <c r="A4" s="78"/>
      <c r="B4" s="81"/>
      <c r="C4" s="77"/>
      <c r="D4" s="78"/>
      <c r="E4" s="79" t="str">
        <f t="shared" si="1"/>
        <v>ОК</v>
      </c>
      <c r="F4" s="80" t="b">
        <v>0</v>
      </c>
      <c r="G4" s="81" t="b">
        <v>0</v>
      </c>
      <c r="H4" s="81" t="b">
        <v>0</v>
      </c>
      <c r="I4" s="81" t="b">
        <v>0</v>
      </c>
      <c r="J4" s="81" t="b">
        <v>0</v>
      </c>
      <c r="K4" s="81" t="b">
        <v>0</v>
      </c>
      <c r="L4" s="81" t="b">
        <v>0</v>
      </c>
      <c r="M4" s="81" t="b">
        <v>0</v>
      </c>
      <c r="N4" s="81" t="b">
        <v>0</v>
      </c>
    </row>
    <row r="5">
      <c r="A5" s="82" t="s">
        <v>89</v>
      </c>
      <c r="B5" s="76" t="s">
        <v>90</v>
      </c>
      <c r="C5" s="77" t="s">
        <v>91</v>
      </c>
      <c r="D5" s="78"/>
      <c r="E5" s="79" t="str">
        <f t="shared" si="1"/>
        <v>ОК</v>
      </c>
      <c r="F5" s="80" t="b">
        <v>0</v>
      </c>
      <c r="G5" s="81" t="b">
        <v>0</v>
      </c>
      <c r="H5" s="81" t="b">
        <v>0</v>
      </c>
      <c r="I5" s="81" t="b">
        <v>0</v>
      </c>
      <c r="J5" s="81" t="b">
        <v>0</v>
      </c>
      <c r="K5" s="81" t="b">
        <v>0</v>
      </c>
      <c r="L5" s="81" t="b">
        <v>0</v>
      </c>
      <c r="M5" s="81" t="b">
        <v>0</v>
      </c>
      <c r="N5" s="81" t="b">
        <v>0</v>
      </c>
    </row>
    <row r="6">
      <c r="A6" s="82" t="s">
        <v>92</v>
      </c>
      <c r="B6" s="76" t="s">
        <v>90</v>
      </c>
      <c r="C6" s="77" t="s">
        <v>91</v>
      </c>
      <c r="D6" s="78"/>
      <c r="E6" s="79" t="str">
        <f t="shared" si="1"/>
        <v>ОК</v>
      </c>
      <c r="F6" s="80" t="b">
        <v>0</v>
      </c>
      <c r="G6" s="81" t="b">
        <v>0</v>
      </c>
      <c r="H6" s="81" t="b">
        <v>0</v>
      </c>
      <c r="I6" s="81" t="b">
        <v>0</v>
      </c>
      <c r="J6" s="81" t="b">
        <v>0</v>
      </c>
      <c r="K6" s="81" t="b">
        <v>0</v>
      </c>
      <c r="L6" s="81" t="b">
        <v>0</v>
      </c>
      <c r="M6" s="81" t="b">
        <v>0</v>
      </c>
      <c r="N6" s="81" t="b">
        <v>0</v>
      </c>
    </row>
    <row r="7">
      <c r="A7" s="82" t="s">
        <v>93</v>
      </c>
      <c r="B7" s="76" t="s">
        <v>94</v>
      </c>
      <c r="C7" s="77" t="s">
        <v>91</v>
      </c>
      <c r="D7" s="78"/>
      <c r="E7" s="79" t="str">
        <f t="shared" si="1"/>
        <v>ОК</v>
      </c>
      <c r="F7" s="80" t="b">
        <v>0</v>
      </c>
      <c r="G7" s="81" t="b">
        <v>0</v>
      </c>
      <c r="H7" s="81" t="b">
        <v>0</v>
      </c>
      <c r="I7" s="81" t="b">
        <v>0</v>
      </c>
      <c r="J7" s="81" t="b">
        <v>0</v>
      </c>
      <c r="K7" s="81" t="b">
        <v>0</v>
      </c>
      <c r="L7" s="81" t="b">
        <v>0</v>
      </c>
      <c r="M7" s="81" t="b">
        <v>0</v>
      </c>
      <c r="N7" s="81" t="b">
        <v>0</v>
      </c>
    </row>
    <row r="8">
      <c r="A8" s="82" t="s">
        <v>95</v>
      </c>
      <c r="B8" s="76" t="s">
        <v>90</v>
      </c>
      <c r="C8" s="77" t="s">
        <v>91</v>
      </c>
      <c r="D8" s="78"/>
      <c r="E8" s="79" t="str">
        <f t="shared" si="1"/>
        <v>ОК</v>
      </c>
      <c r="F8" s="80" t="b">
        <v>0</v>
      </c>
      <c r="G8" s="81" t="b">
        <v>0</v>
      </c>
      <c r="H8" s="81" t="b">
        <v>0</v>
      </c>
      <c r="I8" s="81" t="b">
        <v>0</v>
      </c>
      <c r="J8" s="81" t="b">
        <v>0</v>
      </c>
      <c r="K8" s="81" t="b">
        <v>0</v>
      </c>
      <c r="L8" s="81" t="b">
        <v>0</v>
      </c>
      <c r="M8" s="81" t="b">
        <v>0</v>
      </c>
      <c r="N8" s="81" t="b">
        <v>0</v>
      </c>
    </row>
    <row r="9">
      <c r="A9" s="78" t="s">
        <v>96</v>
      </c>
      <c r="B9" s="76" t="s">
        <v>90</v>
      </c>
      <c r="C9" s="77" t="s">
        <v>97</v>
      </c>
      <c r="D9" s="78"/>
      <c r="E9" s="79" t="str">
        <f t="shared" si="1"/>
        <v>ОК</v>
      </c>
      <c r="F9" s="80" t="b">
        <v>0</v>
      </c>
      <c r="G9" s="81" t="b">
        <v>0</v>
      </c>
      <c r="H9" s="81" t="b">
        <v>0</v>
      </c>
      <c r="I9" s="81" t="b">
        <v>0</v>
      </c>
      <c r="J9" s="81" t="b">
        <v>0</v>
      </c>
      <c r="K9" s="81" t="b">
        <v>0</v>
      </c>
      <c r="L9" s="81" t="b">
        <v>0</v>
      </c>
      <c r="M9" s="81" t="b">
        <v>0</v>
      </c>
      <c r="N9" s="81" t="b">
        <v>0</v>
      </c>
    </row>
    <row r="10">
      <c r="A10" s="78" t="s">
        <v>98</v>
      </c>
      <c r="B10" s="76" t="s">
        <v>99</v>
      </c>
      <c r="C10" s="77" t="s">
        <v>97</v>
      </c>
      <c r="D10" s="78"/>
      <c r="E10" s="79" t="str">
        <f t="shared" si="1"/>
        <v>ОК</v>
      </c>
      <c r="F10" s="80" t="b">
        <v>0</v>
      </c>
      <c r="G10" s="81" t="b">
        <v>0</v>
      </c>
      <c r="H10" s="81" t="b">
        <v>0</v>
      </c>
      <c r="I10" s="81" t="b">
        <v>0</v>
      </c>
      <c r="J10" s="81" t="b">
        <v>0</v>
      </c>
      <c r="K10" s="81" t="b">
        <v>0</v>
      </c>
      <c r="L10" s="81" t="b">
        <v>0</v>
      </c>
      <c r="M10" s="81" t="b">
        <v>0</v>
      </c>
      <c r="N10" s="81" t="b">
        <v>0</v>
      </c>
    </row>
    <row r="11">
      <c r="A11" s="78" t="s">
        <v>100</v>
      </c>
      <c r="B11" s="76" t="s">
        <v>101</v>
      </c>
      <c r="C11" s="77" t="s">
        <v>97</v>
      </c>
      <c r="D11" s="78"/>
      <c r="E11" s="79" t="str">
        <f t="shared" si="1"/>
        <v>ОК</v>
      </c>
      <c r="F11" s="80" t="b">
        <v>0</v>
      </c>
      <c r="G11" s="81" t="b">
        <v>0</v>
      </c>
      <c r="H11" s="81" t="b">
        <v>0</v>
      </c>
      <c r="I11" s="81" t="b">
        <v>0</v>
      </c>
      <c r="J11" s="81" t="b">
        <v>0</v>
      </c>
      <c r="K11" s="81" t="b">
        <v>0</v>
      </c>
      <c r="L11" s="81" t="b">
        <v>0</v>
      </c>
      <c r="M11" s="81" t="b">
        <v>0</v>
      </c>
      <c r="N11" s="81" t="b">
        <v>0</v>
      </c>
    </row>
    <row r="12">
      <c r="A12" s="82" t="s">
        <v>102</v>
      </c>
      <c r="B12" s="76" t="s">
        <v>101</v>
      </c>
      <c r="C12" s="77" t="s">
        <v>91</v>
      </c>
      <c r="D12" s="78"/>
      <c r="E12" s="79" t="str">
        <f t="shared" si="1"/>
        <v>ОК</v>
      </c>
      <c r="F12" s="80" t="b">
        <v>0</v>
      </c>
      <c r="G12" s="81" t="b">
        <v>0</v>
      </c>
      <c r="H12" s="81" t="b">
        <v>0</v>
      </c>
      <c r="I12" s="81" t="b">
        <v>0</v>
      </c>
      <c r="J12" s="81" t="b">
        <v>0</v>
      </c>
      <c r="K12" s="81" t="b">
        <v>0</v>
      </c>
      <c r="L12" s="81" t="b">
        <v>0</v>
      </c>
      <c r="M12" s="81" t="b">
        <v>0</v>
      </c>
      <c r="N12" s="81" t="b">
        <v>0</v>
      </c>
    </row>
    <row r="13">
      <c r="A13" s="82" t="s">
        <v>103</v>
      </c>
      <c r="B13" s="76" t="s">
        <v>101</v>
      </c>
      <c r="C13" s="77" t="s">
        <v>91</v>
      </c>
      <c r="D13" s="78"/>
      <c r="E13" s="79" t="str">
        <f t="shared" si="1"/>
        <v>ОК</v>
      </c>
      <c r="F13" s="80" t="b">
        <v>0</v>
      </c>
      <c r="G13" s="81" t="b">
        <v>0</v>
      </c>
      <c r="H13" s="81" t="b">
        <v>0</v>
      </c>
      <c r="I13" s="81" t="b">
        <v>0</v>
      </c>
      <c r="J13" s="81" t="b">
        <v>0</v>
      </c>
      <c r="K13" s="81" t="b">
        <v>0</v>
      </c>
      <c r="L13" s="81" t="b">
        <v>0</v>
      </c>
      <c r="M13" s="81" t="b">
        <v>0</v>
      </c>
      <c r="N13" s="81" t="b">
        <v>0</v>
      </c>
    </row>
    <row r="14">
      <c r="A14" s="82" t="s">
        <v>104</v>
      </c>
      <c r="B14" s="76" t="s">
        <v>90</v>
      </c>
      <c r="C14" s="77" t="s">
        <v>97</v>
      </c>
      <c r="D14" s="78"/>
      <c r="E14" s="79" t="str">
        <f t="shared" si="1"/>
        <v>ОК</v>
      </c>
      <c r="F14" s="80" t="b">
        <v>0</v>
      </c>
      <c r="G14" s="81" t="b">
        <v>0</v>
      </c>
      <c r="H14" s="81" t="b">
        <v>0</v>
      </c>
      <c r="I14" s="81" t="b">
        <v>0</v>
      </c>
      <c r="J14" s="81" t="b">
        <v>0</v>
      </c>
      <c r="K14" s="81" t="b">
        <v>0</v>
      </c>
      <c r="L14" s="81" t="b">
        <v>0</v>
      </c>
      <c r="M14" s="81" t="b">
        <v>0</v>
      </c>
      <c r="N14" s="81" t="b">
        <v>0</v>
      </c>
    </row>
    <row r="15">
      <c r="A15" s="82" t="s">
        <v>105</v>
      </c>
      <c r="B15" s="76" t="s">
        <v>90</v>
      </c>
      <c r="C15" s="83" t="s">
        <v>97</v>
      </c>
      <c r="D15" s="78"/>
      <c r="E15" s="79" t="str">
        <f t="shared" si="1"/>
        <v>ОК</v>
      </c>
      <c r="F15" s="80" t="b">
        <v>0</v>
      </c>
      <c r="G15" s="81" t="b">
        <v>0</v>
      </c>
      <c r="H15" s="81" t="b">
        <v>0</v>
      </c>
      <c r="I15" s="81" t="b">
        <v>0</v>
      </c>
      <c r="J15" s="81" t="b">
        <v>0</v>
      </c>
      <c r="K15" s="81" t="b">
        <v>0</v>
      </c>
      <c r="L15" s="81" t="b">
        <v>0</v>
      </c>
      <c r="M15" s="81" t="b">
        <v>0</v>
      </c>
      <c r="N15" s="81" t="b">
        <v>0</v>
      </c>
    </row>
    <row r="16">
      <c r="A16" s="82" t="s">
        <v>106</v>
      </c>
      <c r="B16" s="76" t="s">
        <v>107</v>
      </c>
      <c r="C16" s="83" t="s">
        <v>97</v>
      </c>
      <c r="D16" s="78"/>
      <c r="E16" s="79" t="str">
        <f t="shared" si="1"/>
        <v>ОК</v>
      </c>
      <c r="F16" s="80" t="b">
        <v>0</v>
      </c>
      <c r="G16" s="81" t="b">
        <v>0</v>
      </c>
      <c r="H16" s="81" t="b">
        <v>0</v>
      </c>
      <c r="I16" s="81" t="b">
        <v>0</v>
      </c>
      <c r="J16" s="81" t="b">
        <v>0</v>
      </c>
      <c r="K16" s="81" t="b">
        <v>0</v>
      </c>
      <c r="L16" s="81" t="b">
        <v>0</v>
      </c>
      <c r="M16" s="81" t="b">
        <v>0</v>
      </c>
      <c r="N16" s="81" t="b">
        <v>0</v>
      </c>
    </row>
    <row r="17">
      <c r="A17" s="82" t="s">
        <v>108</v>
      </c>
      <c r="B17" s="76" t="s">
        <v>101</v>
      </c>
      <c r="C17" s="77" t="s">
        <v>109</v>
      </c>
      <c r="D17" s="78"/>
      <c r="E17" s="79" t="str">
        <f t="shared" si="1"/>
        <v>ОК</v>
      </c>
      <c r="F17" s="80" t="b">
        <v>0</v>
      </c>
      <c r="G17" s="81" t="b">
        <v>0</v>
      </c>
      <c r="H17" s="81" t="b">
        <v>0</v>
      </c>
      <c r="I17" s="81" t="b">
        <v>0</v>
      </c>
      <c r="J17" s="81" t="b">
        <v>0</v>
      </c>
      <c r="K17" s="81" t="b">
        <v>0</v>
      </c>
      <c r="L17" s="81" t="b">
        <v>0</v>
      </c>
      <c r="M17" s="81" t="b">
        <v>0</v>
      </c>
      <c r="N17" s="81" t="b">
        <v>0</v>
      </c>
    </row>
    <row r="18">
      <c r="A18" s="82" t="s">
        <v>110</v>
      </c>
      <c r="B18" s="76" t="s">
        <v>111</v>
      </c>
      <c r="C18" s="77" t="s">
        <v>97</v>
      </c>
      <c r="D18" s="78"/>
      <c r="E18" s="79" t="str">
        <f t="shared" si="1"/>
        <v>ОК</v>
      </c>
      <c r="F18" s="80" t="b">
        <v>0</v>
      </c>
      <c r="G18" s="81" t="b">
        <v>0</v>
      </c>
      <c r="H18" s="81" t="b">
        <v>0</v>
      </c>
      <c r="I18" s="81" t="b">
        <v>0</v>
      </c>
      <c r="J18" s="81" t="b">
        <v>0</v>
      </c>
      <c r="K18" s="81" t="b">
        <v>0</v>
      </c>
      <c r="L18" s="81" t="b">
        <v>0</v>
      </c>
      <c r="M18" s="81" t="b">
        <v>0</v>
      </c>
      <c r="N18" s="81" t="b">
        <v>0</v>
      </c>
    </row>
    <row r="19">
      <c r="A19" s="82" t="s">
        <v>112</v>
      </c>
      <c r="B19" s="76" t="s">
        <v>111</v>
      </c>
      <c r="C19" s="83" t="s">
        <v>97</v>
      </c>
      <c r="D19" s="78"/>
      <c r="E19" s="79" t="str">
        <f t="shared" si="1"/>
        <v>ОК</v>
      </c>
      <c r="F19" s="80" t="b">
        <v>0</v>
      </c>
      <c r="G19" s="81" t="b">
        <v>0</v>
      </c>
      <c r="H19" s="81" t="b">
        <v>0</v>
      </c>
      <c r="I19" s="81" t="b">
        <v>0</v>
      </c>
      <c r="J19" s="81" t="b">
        <v>0</v>
      </c>
      <c r="K19" s="81" t="b">
        <v>0</v>
      </c>
      <c r="L19" s="81" t="b">
        <v>0</v>
      </c>
      <c r="M19" s="81" t="b">
        <v>0</v>
      </c>
      <c r="N19" s="81" t="b">
        <v>0</v>
      </c>
    </row>
    <row r="20">
      <c r="A20" s="82" t="s">
        <v>113</v>
      </c>
      <c r="B20" s="76" t="s">
        <v>90</v>
      </c>
      <c r="C20" s="83" t="s">
        <v>97</v>
      </c>
      <c r="D20" s="78"/>
      <c r="E20" s="79" t="str">
        <f t="shared" si="1"/>
        <v>ОК</v>
      </c>
      <c r="F20" s="80" t="b">
        <v>0</v>
      </c>
      <c r="G20" s="81" t="b">
        <v>0</v>
      </c>
      <c r="H20" s="81" t="b">
        <v>0</v>
      </c>
      <c r="I20" s="81" t="b">
        <v>0</v>
      </c>
      <c r="J20" s="81" t="b">
        <v>0</v>
      </c>
      <c r="K20" s="81" t="b">
        <v>0</v>
      </c>
      <c r="L20" s="81" t="b">
        <v>0</v>
      </c>
      <c r="M20" s="81" t="b">
        <v>0</v>
      </c>
      <c r="N20" s="81" t="b">
        <v>0</v>
      </c>
    </row>
    <row r="21">
      <c r="A21" s="82" t="s">
        <v>114</v>
      </c>
      <c r="B21" s="76" t="s">
        <v>90</v>
      </c>
      <c r="C21" s="77" t="s">
        <v>97</v>
      </c>
      <c r="D21" s="78"/>
      <c r="E21" s="79" t="str">
        <f t="shared" si="1"/>
        <v>ОК</v>
      </c>
      <c r="F21" s="80" t="b">
        <v>0</v>
      </c>
      <c r="G21" s="81" t="b">
        <v>0</v>
      </c>
      <c r="H21" s="81" t="b">
        <v>0</v>
      </c>
      <c r="I21" s="81" t="b">
        <v>0</v>
      </c>
      <c r="J21" s="81" t="b">
        <v>0</v>
      </c>
      <c r="K21" s="81" t="b">
        <v>0</v>
      </c>
      <c r="L21" s="81" t="b">
        <v>0</v>
      </c>
      <c r="M21" s="81" t="b">
        <v>0</v>
      </c>
      <c r="N21" s="81" t="b">
        <v>0</v>
      </c>
    </row>
    <row r="22">
      <c r="A22" s="82" t="s">
        <v>115</v>
      </c>
      <c r="B22" s="76" t="s">
        <v>111</v>
      </c>
      <c r="C22" s="77" t="s">
        <v>116</v>
      </c>
      <c r="D22" s="78"/>
      <c r="E22" s="79" t="str">
        <f t="shared" si="1"/>
        <v>ОК</v>
      </c>
      <c r="F22" s="80" t="b">
        <v>0</v>
      </c>
      <c r="G22" s="81" t="b">
        <v>0</v>
      </c>
      <c r="H22" s="81" t="b">
        <v>0</v>
      </c>
      <c r="I22" s="81" t="b">
        <v>0</v>
      </c>
      <c r="J22" s="81" t="b">
        <v>0</v>
      </c>
      <c r="K22" s="81" t="b">
        <v>0</v>
      </c>
      <c r="L22" s="81" t="b">
        <v>0</v>
      </c>
      <c r="M22" s="81" t="b">
        <v>0</v>
      </c>
      <c r="N22" s="81" t="b">
        <v>0</v>
      </c>
    </row>
    <row r="23">
      <c r="A23" s="82" t="s">
        <v>117</v>
      </c>
      <c r="B23" s="76" t="s">
        <v>111</v>
      </c>
      <c r="C23" s="83" t="s">
        <v>97</v>
      </c>
      <c r="D23" s="78"/>
      <c r="E23" s="79" t="str">
        <f t="shared" si="1"/>
        <v>ОК</v>
      </c>
      <c r="F23" s="80" t="b">
        <v>0</v>
      </c>
      <c r="G23" s="81" t="b">
        <v>0</v>
      </c>
      <c r="H23" s="81" t="b">
        <v>0</v>
      </c>
      <c r="I23" s="81" t="b">
        <v>0</v>
      </c>
      <c r="J23" s="81" t="b">
        <v>0</v>
      </c>
      <c r="K23" s="81" t="b">
        <v>0</v>
      </c>
      <c r="L23" s="81" t="b">
        <v>0</v>
      </c>
      <c r="M23" s="81" t="b">
        <v>0</v>
      </c>
      <c r="N23" s="81" t="b">
        <v>0</v>
      </c>
    </row>
    <row r="24">
      <c r="A24" s="82" t="s">
        <v>118</v>
      </c>
      <c r="B24" s="76" t="s">
        <v>101</v>
      </c>
      <c r="C24" s="83" t="s">
        <v>97</v>
      </c>
      <c r="D24" s="78"/>
      <c r="E24" s="79" t="str">
        <f t="shared" si="1"/>
        <v>ОК</v>
      </c>
      <c r="F24" s="80" t="b">
        <v>0</v>
      </c>
      <c r="G24" s="81" t="b">
        <v>0</v>
      </c>
      <c r="H24" s="81" t="b">
        <v>0</v>
      </c>
      <c r="I24" s="81" t="b">
        <v>0</v>
      </c>
      <c r="J24" s="81" t="b">
        <v>0</v>
      </c>
      <c r="K24" s="81" t="b">
        <v>0</v>
      </c>
      <c r="L24" s="81" t="b">
        <v>0</v>
      </c>
      <c r="M24" s="81" t="b">
        <v>0</v>
      </c>
      <c r="N24" s="81" t="b">
        <v>0</v>
      </c>
    </row>
    <row r="25" ht="43.5" customHeight="1">
      <c r="A25" s="82" t="s">
        <v>119</v>
      </c>
      <c r="B25" s="76" t="s">
        <v>101</v>
      </c>
      <c r="C25" s="83" t="s">
        <v>97</v>
      </c>
      <c r="D25" s="78"/>
      <c r="E25" s="79" t="str">
        <f t="shared" si="1"/>
        <v>ОК</v>
      </c>
      <c r="F25" s="80" t="b">
        <v>0</v>
      </c>
      <c r="G25" s="81" t="b">
        <v>0</v>
      </c>
      <c r="H25" s="81" t="b">
        <v>0</v>
      </c>
      <c r="I25" s="81" t="b">
        <v>0</v>
      </c>
      <c r="J25" s="81" t="b">
        <v>0</v>
      </c>
      <c r="K25" s="81" t="b">
        <v>0</v>
      </c>
      <c r="L25" s="81" t="b">
        <v>0</v>
      </c>
      <c r="M25" s="81" t="b">
        <v>0</v>
      </c>
      <c r="N25" s="81" t="b">
        <v>0</v>
      </c>
    </row>
    <row r="26" ht="45.0" customHeight="1">
      <c r="A26" s="82" t="s">
        <v>120</v>
      </c>
      <c r="B26" s="76" t="s">
        <v>90</v>
      </c>
      <c r="C26" s="83" t="s">
        <v>97</v>
      </c>
      <c r="D26" s="78"/>
      <c r="E26" s="79" t="str">
        <f t="shared" si="1"/>
        <v>ОК</v>
      </c>
      <c r="F26" s="80" t="b">
        <v>0</v>
      </c>
      <c r="G26" s="81" t="b">
        <v>0</v>
      </c>
      <c r="H26" s="81" t="b">
        <v>0</v>
      </c>
      <c r="I26" s="81" t="b">
        <v>0</v>
      </c>
      <c r="J26" s="81" t="b">
        <v>0</v>
      </c>
      <c r="K26" s="81" t="b">
        <v>0</v>
      </c>
      <c r="L26" s="81" t="b">
        <v>0</v>
      </c>
      <c r="M26" s="81" t="b">
        <v>0</v>
      </c>
      <c r="N26" s="81" t="b">
        <v>0</v>
      </c>
    </row>
    <row r="27">
      <c r="A27" s="82" t="s">
        <v>121</v>
      </c>
      <c r="B27" s="76" t="s">
        <v>94</v>
      </c>
      <c r="C27" s="83" t="s">
        <v>97</v>
      </c>
      <c r="D27" s="78"/>
      <c r="E27" s="79" t="str">
        <f t="shared" si="1"/>
        <v>ОК</v>
      </c>
      <c r="F27" s="80" t="b">
        <v>0</v>
      </c>
      <c r="G27" s="81" t="b">
        <v>0</v>
      </c>
      <c r="H27" s="81" t="b">
        <v>0</v>
      </c>
      <c r="I27" s="81" t="b">
        <v>0</v>
      </c>
      <c r="J27" s="81" t="b">
        <v>0</v>
      </c>
      <c r="K27" s="81" t="b">
        <v>0</v>
      </c>
      <c r="L27" s="81" t="b">
        <v>0</v>
      </c>
      <c r="M27" s="81" t="b">
        <v>0</v>
      </c>
      <c r="N27" s="81" t="b">
        <v>0</v>
      </c>
    </row>
    <row r="28">
      <c r="A28" s="82" t="s">
        <v>122</v>
      </c>
      <c r="B28" s="76" t="s">
        <v>99</v>
      </c>
      <c r="C28" s="84" t="s">
        <v>91</v>
      </c>
      <c r="D28" s="78"/>
      <c r="E28" s="79" t="str">
        <f t="shared" si="1"/>
        <v>ОК</v>
      </c>
      <c r="F28" s="80" t="b">
        <v>0</v>
      </c>
      <c r="G28" s="81" t="b">
        <v>0</v>
      </c>
      <c r="H28" s="81" t="b">
        <v>0</v>
      </c>
      <c r="I28" s="81" t="b">
        <v>0</v>
      </c>
      <c r="J28" s="81" t="b">
        <v>0</v>
      </c>
      <c r="K28" s="81" t="b">
        <v>0</v>
      </c>
      <c r="L28" s="81" t="b">
        <v>0</v>
      </c>
      <c r="M28" s="81" t="b">
        <v>0</v>
      </c>
      <c r="N28" s="81" t="b">
        <v>0</v>
      </c>
    </row>
    <row r="29">
      <c r="A29" s="82" t="s">
        <v>123</v>
      </c>
      <c r="B29" s="76" t="s">
        <v>90</v>
      </c>
      <c r="C29" s="77" t="s">
        <v>97</v>
      </c>
      <c r="D29" s="78"/>
      <c r="E29" s="79" t="str">
        <f t="shared" si="1"/>
        <v>ОК</v>
      </c>
      <c r="F29" s="80" t="b">
        <v>0</v>
      </c>
      <c r="G29" s="81" t="b">
        <v>0</v>
      </c>
      <c r="H29" s="81" t="b">
        <v>0</v>
      </c>
      <c r="I29" s="81" t="b">
        <v>0</v>
      </c>
      <c r="J29" s="81" t="b">
        <v>0</v>
      </c>
      <c r="K29" s="81" t="b">
        <v>0</v>
      </c>
      <c r="L29" s="81" t="b">
        <v>0</v>
      </c>
      <c r="M29" s="81" t="b">
        <v>0</v>
      </c>
      <c r="N29" s="81" t="b">
        <v>0</v>
      </c>
    </row>
    <row r="30">
      <c r="A30" s="82" t="s">
        <v>124</v>
      </c>
      <c r="B30" s="76" t="s">
        <v>90</v>
      </c>
      <c r="C30" s="83" t="s">
        <v>97</v>
      </c>
      <c r="D30" s="78"/>
      <c r="E30" s="79" t="str">
        <f t="shared" si="1"/>
        <v>ОК</v>
      </c>
      <c r="F30" s="80" t="b">
        <v>0</v>
      </c>
      <c r="G30" s="81" t="b">
        <v>0</v>
      </c>
      <c r="H30" s="81" t="b">
        <v>0</v>
      </c>
      <c r="I30" s="81" t="b">
        <v>0</v>
      </c>
      <c r="J30" s="81" t="b">
        <v>0</v>
      </c>
      <c r="K30" s="81" t="b">
        <v>0</v>
      </c>
      <c r="L30" s="81" t="b">
        <v>0</v>
      </c>
      <c r="M30" s="81" t="b">
        <v>0</v>
      </c>
      <c r="N30" s="81" t="b">
        <v>0</v>
      </c>
    </row>
    <row r="31">
      <c r="A31" s="78" t="s">
        <v>125</v>
      </c>
      <c r="B31" s="76" t="s">
        <v>101</v>
      </c>
      <c r="C31" s="77" t="s">
        <v>126</v>
      </c>
      <c r="D31" s="78"/>
      <c r="E31" s="79" t="str">
        <f t="shared" si="1"/>
        <v>ОК</v>
      </c>
      <c r="F31" s="80" t="b">
        <v>0</v>
      </c>
      <c r="G31" s="81" t="b">
        <v>0</v>
      </c>
      <c r="H31" s="81"/>
      <c r="I31" s="81"/>
      <c r="J31" s="81"/>
      <c r="K31" s="81"/>
      <c r="L31" s="81"/>
      <c r="M31" s="81"/>
      <c r="N31" s="81"/>
    </row>
    <row r="32">
      <c r="A32" s="85"/>
      <c r="B32" s="81"/>
      <c r="C32" s="86"/>
      <c r="D32" s="78"/>
      <c r="E32" s="79" t="str">
        <f t="shared" si="1"/>
        <v>ОК</v>
      </c>
      <c r="F32" s="87"/>
      <c r="G32" s="81"/>
      <c r="H32" s="81"/>
      <c r="I32" s="81"/>
      <c r="J32" s="81"/>
      <c r="K32" s="81"/>
      <c r="L32" s="81"/>
      <c r="M32" s="81"/>
      <c r="N32" s="81"/>
    </row>
    <row r="33">
      <c r="A33" s="81"/>
      <c r="B33" s="81"/>
      <c r="C33" s="86"/>
      <c r="D33" s="78"/>
      <c r="E33" s="79" t="str">
        <f t="shared" si="1"/>
        <v>ОК</v>
      </c>
      <c r="F33" s="87"/>
      <c r="G33" s="81"/>
      <c r="H33" s="81"/>
      <c r="I33" s="81"/>
      <c r="J33" s="81"/>
      <c r="K33" s="81"/>
      <c r="L33" s="81"/>
      <c r="M33" s="81"/>
      <c r="N33" s="81"/>
    </row>
    <row r="34">
      <c r="A34" s="81"/>
      <c r="B34" s="81"/>
      <c r="C34" s="86"/>
      <c r="D34" s="78"/>
      <c r="E34" s="79" t="str">
        <f t="shared" si="1"/>
        <v>ОК</v>
      </c>
      <c r="F34" s="87"/>
      <c r="G34" s="81"/>
      <c r="H34" s="81"/>
      <c r="I34" s="81"/>
      <c r="J34" s="81"/>
      <c r="K34" s="81"/>
      <c r="L34" s="81"/>
      <c r="M34" s="81"/>
      <c r="N34" s="81"/>
    </row>
    <row r="35">
      <c r="A35" s="81"/>
      <c r="B35" s="81"/>
      <c r="C35" s="86"/>
      <c r="D35" s="78"/>
      <c r="E35" s="79" t="str">
        <f t="shared" si="1"/>
        <v>ОК</v>
      </c>
      <c r="F35" s="87"/>
      <c r="G35" s="81"/>
      <c r="H35" s="81"/>
      <c r="I35" s="81"/>
      <c r="J35" s="81"/>
      <c r="K35" s="81"/>
      <c r="L35" s="81"/>
      <c r="M35" s="81"/>
      <c r="N35" s="81"/>
    </row>
    <row r="36">
      <c r="A36" s="81"/>
      <c r="B36" s="81"/>
      <c r="C36" s="86"/>
      <c r="D36" s="78"/>
      <c r="E36" s="79" t="str">
        <f t="shared" si="1"/>
        <v>ОК</v>
      </c>
      <c r="F36" s="87"/>
      <c r="G36" s="81"/>
      <c r="H36" s="81"/>
      <c r="I36" s="81"/>
      <c r="J36" s="81"/>
      <c r="K36" s="81"/>
      <c r="L36" s="81"/>
      <c r="M36" s="81"/>
      <c r="N36" s="81"/>
    </row>
    <row r="37">
      <c r="A37" s="81"/>
      <c r="B37" s="81"/>
      <c r="C37" s="86"/>
      <c r="D37" s="78"/>
      <c r="E37" s="79" t="str">
        <f t="shared" si="1"/>
        <v>ОК</v>
      </c>
      <c r="F37" s="87"/>
      <c r="G37" s="81"/>
      <c r="H37" s="81"/>
      <c r="I37" s="81"/>
      <c r="J37" s="81"/>
      <c r="K37" s="81"/>
      <c r="L37" s="81"/>
      <c r="M37" s="81"/>
      <c r="N37" s="81"/>
    </row>
    <row r="38">
      <c r="A38" s="81"/>
      <c r="B38" s="81"/>
      <c r="C38" s="86"/>
      <c r="D38" s="78"/>
      <c r="E38" s="79" t="str">
        <f t="shared" si="1"/>
        <v>ОК</v>
      </c>
      <c r="F38" s="87"/>
      <c r="G38" s="81"/>
      <c r="H38" s="81"/>
      <c r="I38" s="81"/>
      <c r="J38" s="81"/>
      <c r="K38" s="81"/>
      <c r="L38" s="81"/>
      <c r="M38" s="81"/>
      <c r="N38" s="81"/>
    </row>
    <row r="39">
      <c r="A39" s="81"/>
      <c r="B39" s="81"/>
      <c r="C39" s="86"/>
      <c r="D39" s="78"/>
      <c r="E39" s="79" t="str">
        <f t="shared" si="1"/>
        <v>ОК</v>
      </c>
      <c r="F39" s="87"/>
      <c r="G39" s="81"/>
      <c r="H39" s="81"/>
      <c r="I39" s="81"/>
      <c r="J39" s="81"/>
      <c r="K39" s="81"/>
      <c r="L39" s="81"/>
      <c r="M39" s="81"/>
      <c r="N39" s="81"/>
    </row>
    <row r="40">
      <c r="A40" s="81"/>
      <c r="B40" s="81"/>
      <c r="C40" s="86"/>
      <c r="D40" s="78"/>
      <c r="E40" s="79" t="str">
        <f t="shared" si="1"/>
        <v>ОК</v>
      </c>
      <c r="F40" s="87"/>
      <c r="G40" s="81"/>
      <c r="H40" s="81"/>
      <c r="I40" s="81"/>
      <c r="J40" s="81"/>
      <c r="K40" s="81"/>
      <c r="L40" s="81"/>
      <c r="M40" s="81"/>
      <c r="N40" s="81"/>
    </row>
    <row r="41">
      <c r="A41" s="81"/>
      <c r="B41" s="81"/>
      <c r="C41" s="86"/>
      <c r="D41" s="78"/>
      <c r="E41" s="79" t="str">
        <f t="shared" si="1"/>
        <v>ОК</v>
      </c>
      <c r="F41" s="87"/>
      <c r="G41" s="81"/>
      <c r="H41" s="81"/>
      <c r="I41" s="81"/>
      <c r="J41" s="81"/>
      <c r="K41" s="81"/>
      <c r="L41" s="81"/>
      <c r="M41" s="81"/>
      <c r="N41" s="81"/>
    </row>
    <row r="42">
      <c r="A42" s="81"/>
      <c r="B42" s="81"/>
      <c r="C42" s="86"/>
      <c r="D42" s="78"/>
      <c r="E42" s="79" t="str">
        <f t="shared" si="1"/>
        <v>ОК</v>
      </c>
      <c r="F42" s="87"/>
      <c r="G42" s="81"/>
      <c r="H42" s="81"/>
      <c r="I42" s="81"/>
      <c r="J42" s="81"/>
      <c r="K42" s="81"/>
      <c r="L42" s="81"/>
      <c r="M42" s="81"/>
      <c r="N42" s="81"/>
    </row>
    <row r="43">
      <c r="A43" s="81"/>
      <c r="B43" s="81"/>
      <c r="C43" s="86"/>
      <c r="D43" s="78"/>
      <c r="E43" s="79" t="str">
        <f t="shared" si="1"/>
        <v>ОК</v>
      </c>
      <c r="F43" s="87"/>
      <c r="G43" s="81"/>
      <c r="H43" s="81"/>
      <c r="I43" s="81"/>
      <c r="J43" s="81"/>
      <c r="K43" s="81"/>
      <c r="L43" s="81"/>
      <c r="M43" s="81"/>
      <c r="N43" s="81"/>
    </row>
    <row r="44">
      <c r="A44" s="81"/>
      <c r="B44" s="81"/>
      <c r="C44" s="86"/>
      <c r="D44" s="78"/>
      <c r="E44" s="79" t="str">
        <f t="shared" si="1"/>
        <v>ОК</v>
      </c>
      <c r="F44" s="87"/>
      <c r="G44" s="81"/>
      <c r="H44" s="81"/>
      <c r="I44" s="81"/>
      <c r="J44" s="81"/>
      <c r="K44" s="81"/>
      <c r="L44" s="81"/>
      <c r="M44" s="81"/>
      <c r="N44" s="81"/>
    </row>
    <row r="45">
      <c r="A45" s="81"/>
      <c r="B45" s="81"/>
      <c r="C45" s="86"/>
      <c r="D45" s="78"/>
      <c r="E45" s="79" t="str">
        <f t="shared" si="1"/>
        <v>ОК</v>
      </c>
      <c r="F45" s="87"/>
      <c r="G45" s="81"/>
      <c r="H45" s="81"/>
      <c r="I45" s="81"/>
      <c r="J45" s="81"/>
      <c r="K45" s="81"/>
      <c r="L45" s="81"/>
      <c r="M45" s="81"/>
      <c r="N45" s="81"/>
    </row>
  </sheetData>
  <autoFilter ref="$A$1:$N$45"/>
  <conditionalFormatting sqref="D30">
    <cfRule type="expression" dxfId="1" priority="1">
      <formula>#REF!="ДДС"</formula>
    </cfRule>
  </conditionalFormatting>
  <conditionalFormatting sqref="D2:D29 A9:A11 A31 D31:D45">
    <cfRule type="expression" dxfId="1" priority="2">
      <formula>$A2="ДДС"</formula>
    </cfRule>
  </conditionalFormatting>
  <conditionalFormatting sqref="E2:E45">
    <cfRule type="containsText" dxfId="2" priority="3" operator="containsText" text="ОК">
      <formula>NOT(ISERROR(SEARCH(("ОК"),(E2))))</formula>
    </cfRule>
  </conditionalFormatting>
  <conditionalFormatting sqref="E2:E45">
    <cfRule type="containsText" dxfId="3" priority="4" operator="containsText" text="По направ">
      <formula>NOT(ISERROR(SEARCH(("По направ"),(E2))))</formula>
    </cfRule>
  </conditionalFormatting>
  <dataValidations>
    <dataValidation type="list" allowBlank="1" sqref="B2:B45">
      <formula1>'Справочник'!$C$2:$C45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7.13"/>
    <col customWidth="1" min="2" max="2" width="38.25"/>
    <col customWidth="1" min="3" max="3" width="10.63"/>
    <col collapsed="1" customWidth="1" min="4" max="4" width="10.63"/>
    <col customWidth="1" hidden="1" min="5" max="8" width="10.63" outlineLevel="1"/>
    <col customWidth="1" min="9" max="10" width="10.63"/>
    <col collapsed="1" customWidth="1" min="11" max="11" width="10.63"/>
    <col customWidth="1" hidden="1" min="12" max="15" width="10.63" outlineLevel="1"/>
    <col customWidth="1" min="16" max="16" width="10.63"/>
    <col customWidth="1" min="17" max="17" width="11.38"/>
    <col customWidth="1" min="18" max="18" width="12.25"/>
    <col customWidth="1" min="19" max="19" width="16.88"/>
  </cols>
  <sheetData>
    <row r="1">
      <c r="A1" s="88"/>
      <c r="B1" s="89"/>
      <c r="C1" s="90" t="s">
        <v>127</v>
      </c>
      <c r="D1" s="91"/>
      <c r="E1" s="91"/>
      <c r="F1" s="91"/>
      <c r="G1" s="91"/>
      <c r="H1" s="91"/>
      <c r="I1" s="92"/>
      <c r="J1" s="93" t="s">
        <v>128</v>
      </c>
      <c r="K1" s="91"/>
      <c r="L1" s="91"/>
      <c r="M1" s="91"/>
      <c r="N1" s="91"/>
      <c r="O1" s="91"/>
      <c r="P1" s="92"/>
      <c r="Q1" s="94" t="s">
        <v>129</v>
      </c>
      <c r="S1" s="94"/>
    </row>
    <row r="2">
      <c r="A2" s="88" t="s">
        <v>130</v>
      </c>
      <c r="B2" s="89"/>
      <c r="C2" s="95" t="str">
        <f t="array" ref="C2:H2">TRANSPOSE('Справочник'!D2:D7)</f>
        <v>ООО "Весело живем"</v>
      </c>
      <c r="D2" s="96" t="s">
        <v>84</v>
      </c>
      <c r="E2" s="97">
        <v>3.0</v>
      </c>
      <c r="F2" s="97">
        <v>4.0</v>
      </c>
      <c r="G2" s="97">
        <v>5.0</v>
      </c>
      <c r="H2" s="97">
        <v>6.0</v>
      </c>
      <c r="I2" s="98" t="s">
        <v>131</v>
      </c>
      <c r="J2" s="95" t="str">
        <f t="array" ref="J2:O2">TRANSPOSE('Справочник'!D2:D7)</f>
        <v>ООО "Весело живем"</v>
      </c>
      <c r="K2" s="96" t="s">
        <v>84</v>
      </c>
      <c r="L2" s="97">
        <v>3.0</v>
      </c>
      <c r="M2" s="97">
        <v>4.0</v>
      </c>
      <c r="N2" s="97">
        <v>5.0</v>
      </c>
      <c r="O2" s="97">
        <v>6.0</v>
      </c>
      <c r="P2" s="98" t="s">
        <v>131</v>
      </c>
      <c r="Q2" s="99" t="s">
        <v>132</v>
      </c>
      <c r="R2" s="100" t="s">
        <v>133</v>
      </c>
      <c r="S2" s="101" t="s">
        <v>134</v>
      </c>
    </row>
    <row r="3">
      <c r="A3" s="102"/>
      <c r="B3" s="103" t="s">
        <v>86</v>
      </c>
      <c r="C3" s="104">
        <f t="shared" ref="C3:H3" si="1">SUM(C4:C10)</f>
        <v>225500</v>
      </c>
      <c r="D3" s="105">
        <f t="shared" si="1"/>
        <v>2100</v>
      </c>
      <c r="E3" s="105">
        <f t="shared" si="1"/>
        <v>0</v>
      </c>
      <c r="F3" s="105">
        <f t="shared" si="1"/>
        <v>0</v>
      </c>
      <c r="G3" s="105">
        <f t="shared" si="1"/>
        <v>0</v>
      </c>
      <c r="H3" s="105">
        <f t="shared" si="1"/>
        <v>0</v>
      </c>
      <c r="I3" s="106">
        <f>sum(C3:H3)</f>
        <v>227600</v>
      </c>
      <c r="J3" s="104">
        <f t="shared" ref="J3:K3" si="2">SUM(J4:J10)</f>
        <v>230400</v>
      </c>
      <c r="K3" s="105">
        <f t="shared" si="2"/>
        <v>0</v>
      </c>
      <c r="L3" s="105"/>
      <c r="M3" s="105"/>
      <c r="N3" s="105"/>
      <c r="O3" s="105"/>
      <c r="P3" s="107">
        <f>SUM(P4:P10)</f>
        <v>230400</v>
      </c>
      <c r="Q3" s="105">
        <f t="shared" ref="Q3:Q55" si="3">I3-P3</f>
        <v>-2800</v>
      </c>
      <c r="R3" s="108">
        <f t="shared" ref="R3:R55" si="4">IFERROR(I3/P3,0)</f>
        <v>0.9878472222</v>
      </c>
      <c r="S3" s="109" t="str">
        <f>IF(Q3=0,"",IF(R3&gt;1,"выполнение","план не выполнен"))</f>
        <v>план не выполнен</v>
      </c>
    </row>
    <row r="4">
      <c r="A4" s="110" t="str">
        <f>IFERROR(VLOOKUP(B4,'Статьи'!$A$2:C26,3,0)," ")</f>
        <v>1С сч 90.01 убрать НДС!</v>
      </c>
      <c r="B4" s="111" t="str">
        <f>IFERROR(__xludf.DUMMYFUNCTION("iferror(filter('Статьи'!$A$1:$A182,'Статьи'!$B$1:$B182=$B$3))"),"Выручка от аренды машиноместа")</f>
        <v>Выручка от аренды машиноместа</v>
      </c>
      <c r="C4" s="112">
        <v>500.0</v>
      </c>
      <c r="D4" s="113"/>
      <c r="E4" s="114"/>
      <c r="F4" s="115"/>
      <c r="G4" s="115"/>
      <c r="H4" s="115"/>
      <c r="I4" s="116">
        <f t="shared" ref="I4:I8" si="5">SUM(C4:H4)</f>
        <v>500</v>
      </c>
      <c r="J4" s="117">
        <v>400.0</v>
      </c>
      <c r="K4" s="118"/>
      <c r="L4" s="118"/>
      <c r="M4" s="118"/>
      <c r="N4" s="118"/>
      <c r="O4" s="118"/>
      <c r="P4" s="116">
        <f t="shared" ref="P4:P5" si="6">SUM(J4:K4)</f>
        <v>400</v>
      </c>
      <c r="Q4" s="119">
        <f t="shared" si="3"/>
        <v>100</v>
      </c>
      <c r="R4" s="120">
        <f t="shared" si="4"/>
        <v>1.25</v>
      </c>
      <c r="S4" s="121" t="str">
        <f t="shared" ref="S4:S10" si="7">IF(Q4=0,"",IF(R4=0,"обратить внимание",IF(R4&gt;1,"выполнение","план не выполнен")))</f>
        <v>выполнение</v>
      </c>
    </row>
    <row r="5" collapsed="1">
      <c r="A5" s="110" t="str">
        <f>IFERROR(VLOOKUP(B5,'Статьи'!$A$2:C27,3,0)," ")</f>
        <v>1С сч 90.01 убрать НДС!</v>
      </c>
      <c r="B5" s="111" t="str">
        <f>IFERROR(__xludf.DUMMYFUNCTION("""COMPUTED_VALUE"""),"Выручка за грузоперевозки")</f>
        <v>Выручка за грузоперевозки</v>
      </c>
      <c r="C5" s="112">
        <v>225000.0</v>
      </c>
      <c r="D5" s="113">
        <v>2100.0</v>
      </c>
      <c r="E5" s="114"/>
      <c r="F5" s="115"/>
      <c r="G5" s="115"/>
      <c r="H5" s="115"/>
      <c r="I5" s="116">
        <f t="shared" si="5"/>
        <v>227100</v>
      </c>
      <c r="J5" s="117">
        <v>230000.0</v>
      </c>
      <c r="K5" s="118"/>
      <c r="L5" s="118"/>
      <c r="M5" s="118"/>
      <c r="N5" s="118"/>
      <c r="O5" s="118"/>
      <c r="P5" s="116">
        <f t="shared" si="6"/>
        <v>230000</v>
      </c>
      <c r="Q5" s="119">
        <f t="shared" si="3"/>
        <v>-2900</v>
      </c>
      <c r="R5" s="120">
        <f t="shared" si="4"/>
        <v>0.9873913043</v>
      </c>
      <c r="S5" s="121" t="str">
        <f t="shared" si="7"/>
        <v>план не выполнен</v>
      </c>
    </row>
    <row r="6" hidden="1" outlineLevel="1">
      <c r="A6" s="110" t="str">
        <f>IFERROR(VLOOKUP(B6,'Статьи'!$A$2:C28,3,0)," ")</f>
        <v> </v>
      </c>
      <c r="B6" s="111"/>
      <c r="C6" s="122"/>
      <c r="D6" s="115"/>
      <c r="E6" s="115"/>
      <c r="F6" s="114"/>
      <c r="G6" s="114"/>
      <c r="H6" s="114"/>
      <c r="I6" s="116">
        <f t="shared" si="5"/>
        <v>0</v>
      </c>
      <c r="J6" s="123"/>
      <c r="K6" s="118"/>
      <c r="L6" s="118"/>
      <c r="M6" s="118"/>
      <c r="N6" s="118"/>
      <c r="O6" s="118"/>
      <c r="P6" s="116">
        <f t="shared" ref="P6:P8" si="8">SUM(F6:J6)</f>
        <v>0</v>
      </c>
      <c r="Q6" s="119">
        <f t="shared" si="3"/>
        <v>0</v>
      </c>
      <c r="R6" s="120">
        <f t="shared" si="4"/>
        <v>0</v>
      </c>
      <c r="S6" s="121" t="str">
        <f t="shared" si="7"/>
        <v/>
      </c>
    </row>
    <row r="7" hidden="1" outlineLevel="1">
      <c r="A7" s="110" t="str">
        <f>IFERROR(VLOOKUP(B7,'Статьи'!$A$2:C29,3,0)," ")</f>
        <v> </v>
      </c>
      <c r="B7" s="111"/>
      <c r="C7" s="122"/>
      <c r="D7" s="115"/>
      <c r="E7" s="115"/>
      <c r="F7" s="115"/>
      <c r="G7" s="115"/>
      <c r="H7" s="115"/>
      <c r="I7" s="116">
        <f t="shared" si="5"/>
        <v>0</v>
      </c>
      <c r="J7" s="123"/>
      <c r="K7" s="118"/>
      <c r="L7" s="118"/>
      <c r="M7" s="118"/>
      <c r="N7" s="118"/>
      <c r="O7" s="118"/>
      <c r="P7" s="116">
        <f t="shared" si="8"/>
        <v>0</v>
      </c>
      <c r="Q7" s="119">
        <f t="shared" si="3"/>
        <v>0</v>
      </c>
      <c r="R7" s="120">
        <f t="shared" si="4"/>
        <v>0</v>
      </c>
      <c r="S7" s="121" t="str">
        <f t="shared" si="7"/>
        <v/>
      </c>
    </row>
    <row r="8" hidden="1" outlineLevel="1">
      <c r="A8" s="110" t="str">
        <f>IFERROR(VLOOKUP(B8,'Статьи'!$A$2:C30,3,0)," ")</f>
        <v> </v>
      </c>
      <c r="B8" s="111"/>
      <c r="C8" s="122"/>
      <c r="D8" s="115"/>
      <c r="E8" s="115"/>
      <c r="F8" s="115"/>
      <c r="G8" s="115"/>
      <c r="H8" s="115"/>
      <c r="I8" s="116">
        <f t="shared" si="5"/>
        <v>0</v>
      </c>
      <c r="J8" s="123"/>
      <c r="K8" s="118"/>
      <c r="L8" s="118"/>
      <c r="M8" s="118"/>
      <c r="N8" s="118"/>
      <c r="O8" s="118"/>
      <c r="P8" s="116">
        <f t="shared" si="8"/>
        <v>0</v>
      </c>
      <c r="Q8" s="119">
        <f t="shared" si="3"/>
        <v>0</v>
      </c>
      <c r="R8" s="120">
        <f t="shared" si="4"/>
        <v>0</v>
      </c>
      <c r="S8" s="121" t="str">
        <f t="shared" si="7"/>
        <v/>
      </c>
    </row>
    <row r="9" hidden="1" outlineLevel="1">
      <c r="A9" s="110" t="str">
        <f>IFERROR(VLOOKUP(B9,'Статьи'!$A$2:C31,3,0)," ")</f>
        <v> </v>
      </c>
      <c r="B9" s="111"/>
      <c r="C9" s="124"/>
      <c r="D9" s="115"/>
      <c r="E9" s="115"/>
      <c r="F9" s="115"/>
      <c r="G9" s="115"/>
      <c r="H9" s="115"/>
      <c r="I9" s="116"/>
      <c r="J9" s="123"/>
      <c r="K9" s="118"/>
      <c r="L9" s="118"/>
      <c r="M9" s="118"/>
      <c r="N9" s="118"/>
      <c r="O9" s="118"/>
      <c r="P9" s="116"/>
      <c r="Q9" s="119">
        <f t="shared" si="3"/>
        <v>0</v>
      </c>
      <c r="R9" s="120">
        <f t="shared" si="4"/>
        <v>0</v>
      </c>
      <c r="S9" s="121" t="str">
        <f t="shared" si="7"/>
        <v/>
      </c>
    </row>
    <row r="10">
      <c r="A10" s="110" t="str">
        <f>IFERROR(VLOOKUP(B10,'Статьи'!$A$2:C32,3,0)," ")</f>
        <v> </v>
      </c>
      <c r="B10" s="125"/>
      <c r="C10" s="122"/>
      <c r="D10" s="115"/>
      <c r="E10" s="115"/>
      <c r="F10" s="115"/>
      <c r="G10" s="115"/>
      <c r="H10" s="115"/>
      <c r="I10" s="116"/>
      <c r="J10" s="123"/>
      <c r="K10" s="118"/>
      <c r="L10" s="118"/>
      <c r="M10" s="118"/>
      <c r="N10" s="118"/>
      <c r="O10" s="118"/>
      <c r="P10" s="116"/>
      <c r="Q10" s="119">
        <f t="shared" si="3"/>
        <v>0</v>
      </c>
      <c r="R10" s="120">
        <f t="shared" si="4"/>
        <v>0</v>
      </c>
      <c r="S10" s="121" t="str">
        <f t="shared" si="7"/>
        <v/>
      </c>
    </row>
    <row r="11">
      <c r="A11" s="126"/>
      <c r="B11" s="127" t="s">
        <v>135</v>
      </c>
      <c r="C11" s="128">
        <f t="shared" ref="C11:K11" si="9">C12+C58</f>
        <v>-60769</v>
      </c>
      <c r="D11" s="129">
        <f t="shared" si="9"/>
        <v>-1216</v>
      </c>
      <c r="E11" s="129">
        <f t="shared" si="9"/>
        <v>0</v>
      </c>
      <c r="F11" s="129">
        <f t="shared" si="9"/>
        <v>0</v>
      </c>
      <c r="G11" s="129">
        <f t="shared" si="9"/>
        <v>0</v>
      </c>
      <c r="H11" s="129">
        <f t="shared" si="9"/>
        <v>0</v>
      </c>
      <c r="I11" s="130">
        <f t="shared" si="9"/>
        <v>-61985</v>
      </c>
      <c r="J11" s="128">
        <f t="shared" si="9"/>
        <v>-73525</v>
      </c>
      <c r="K11" s="129">
        <f t="shared" si="9"/>
        <v>0</v>
      </c>
      <c r="L11" s="129"/>
      <c r="M11" s="129"/>
      <c r="N11" s="129"/>
      <c r="O11" s="129"/>
      <c r="P11" s="131">
        <f>P12+P58</f>
        <v>-73525</v>
      </c>
      <c r="Q11" s="132">
        <f t="shared" si="3"/>
        <v>11540</v>
      </c>
      <c r="R11" s="133">
        <f t="shared" si="4"/>
        <v>0.8430465828</v>
      </c>
      <c r="S11" s="134" t="str">
        <f t="shared" ref="S11:S12" si="11">IF(Q11=0,"",IF(R11&gt;1,"план не выполнен","выполнение"))</f>
        <v>выполнение</v>
      </c>
    </row>
    <row r="12">
      <c r="A12" s="135"/>
      <c r="B12" s="136" t="s">
        <v>99</v>
      </c>
      <c r="C12" s="137">
        <f t="shared" ref="C12:K12" si="10">sum(C13:C54)</f>
        <v>-48250</v>
      </c>
      <c r="D12" s="138">
        <f t="shared" si="10"/>
        <v>-1216</v>
      </c>
      <c r="E12" s="138">
        <f t="shared" si="10"/>
        <v>0</v>
      </c>
      <c r="F12" s="138">
        <f t="shared" si="10"/>
        <v>0</v>
      </c>
      <c r="G12" s="138">
        <f t="shared" si="10"/>
        <v>0</v>
      </c>
      <c r="H12" s="138">
        <f t="shared" si="10"/>
        <v>0</v>
      </c>
      <c r="I12" s="139">
        <f t="shared" si="10"/>
        <v>-49466</v>
      </c>
      <c r="J12" s="137">
        <f t="shared" si="10"/>
        <v>-61250</v>
      </c>
      <c r="K12" s="138">
        <f t="shared" si="10"/>
        <v>0</v>
      </c>
      <c r="L12" s="138"/>
      <c r="M12" s="138"/>
      <c r="N12" s="138"/>
      <c r="O12" s="138"/>
      <c r="P12" s="140">
        <f>sum(P13:P54)</f>
        <v>-61250</v>
      </c>
      <c r="Q12" s="119">
        <f t="shared" si="3"/>
        <v>11784</v>
      </c>
      <c r="R12" s="120">
        <f t="shared" si="4"/>
        <v>0.8076081633</v>
      </c>
      <c r="S12" s="141" t="str">
        <f t="shared" si="11"/>
        <v>выполнение</v>
      </c>
    </row>
    <row r="13">
      <c r="A13" s="142" t="str">
        <f>IFERROR(VLOOKUP(B13,'Статьи'!$A$2:C35,3,0)," ")</f>
        <v>ДДС отчетного месяца. Без НДС!</v>
      </c>
      <c r="B13" s="125" t="str">
        <f>IFERROR(__xludf.DUMMYFUNCTION("iferror(filter('Статьи'!$A$1:$A182,'Статьи'!$B$1:$B182=$B$12))"),"Комиссия топливных компаний")</f>
        <v>Комиссия топливных компаний</v>
      </c>
      <c r="C13" s="112">
        <v>-250.0</v>
      </c>
      <c r="D13" s="113">
        <v>-16.0</v>
      </c>
      <c r="E13" s="114"/>
      <c r="F13" s="114"/>
      <c r="G13" s="114"/>
      <c r="H13" s="143"/>
      <c r="I13" s="116">
        <f t="shared" ref="I13:I54" si="12">sum(C13:H13)</f>
        <v>-266</v>
      </c>
      <c r="J13" s="117">
        <v>-250.0</v>
      </c>
      <c r="K13" s="118"/>
      <c r="L13" s="118"/>
      <c r="M13" s="118"/>
      <c r="N13" s="118"/>
      <c r="O13" s="118"/>
      <c r="P13" s="116">
        <f t="shared" ref="P13:P16" si="13">SUM(J13:K13)</f>
        <v>-250</v>
      </c>
      <c r="Q13" s="119">
        <f t="shared" si="3"/>
        <v>-16</v>
      </c>
      <c r="R13" s="120">
        <f t="shared" si="4"/>
        <v>1.064</v>
      </c>
      <c r="S13" s="121" t="str">
        <f t="shared" ref="S13:S17" si="14">IF(Q13=0,"",IF(R13=0,"обратить внимание",IF(R13&gt;1,"перерасход","экономия")))</f>
        <v>перерасход</v>
      </c>
    </row>
    <row r="14">
      <c r="A14" s="142" t="str">
        <f>IFERROR(VLOOKUP(B14,'Статьи'!$A$2:C36,3,0)," ")</f>
        <v>1С</v>
      </c>
      <c r="B14" s="125" t="str">
        <f>IFERROR(__xludf.DUMMYFUNCTION("""COMPUTED_VALUE"""),"Топливо для грузовых авто ")</f>
        <v>Топливо для грузовых авто </v>
      </c>
      <c r="C14" s="112">
        <v>-48000.0</v>
      </c>
      <c r="D14" s="113">
        <v>-1200.0</v>
      </c>
      <c r="E14" s="114"/>
      <c r="F14" s="114"/>
      <c r="G14" s="114"/>
      <c r="H14" s="143"/>
      <c r="I14" s="116">
        <f t="shared" si="12"/>
        <v>-49200</v>
      </c>
      <c r="J14" s="117">
        <v>-61000.0</v>
      </c>
      <c r="K14" s="118"/>
      <c r="L14" s="118"/>
      <c r="M14" s="118"/>
      <c r="N14" s="118"/>
      <c r="O14" s="118"/>
      <c r="P14" s="116">
        <f t="shared" si="13"/>
        <v>-61000</v>
      </c>
      <c r="Q14" s="119">
        <f t="shared" si="3"/>
        <v>11800</v>
      </c>
      <c r="R14" s="120">
        <f t="shared" si="4"/>
        <v>0.806557377</v>
      </c>
      <c r="S14" s="121" t="str">
        <f t="shared" si="14"/>
        <v>экономия</v>
      </c>
    </row>
    <row r="15">
      <c r="A15" s="142" t="str">
        <f>IFERROR(VLOOKUP(B15,'Статьи'!$A$2:C37,3,0)," ")</f>
        <v> </v>
      </c>
      <c r="B15" s="144"/>
      <c r="C15" s="145"/>
      <c r="D15" s="113"/>
      <c r="E15" s="114"/>
      <c r="F15" s="146"/>
      <c r="G15" s="146"/>
      <c r="H15" s="143"/>
      <c r="I15" s="116">
        <f t="shared" si="12"/>
        <v>0</v>
      </c>
      <c r="J15" s="117"/>
      <c r="K15" s="118"/>
      <c r="L15" s="118"/>
      <c r="M15" s="118"/>
      <c r="N15" s="118"/>
      <c r="O15" s="118"/>
      <c r="P15" s="116">
        <f t="shared" si="13"/>
        <v>0</v>
      </c>
      <c r="Q15" s="119">
        <f t="shared" si="3"/>
        <v>0</v>
      </c>
      <c r="R15" s="120">
        <f t="shared" si="4"/>
        <v>0</v>
      </c>
      <c r="S15" s="121" t="str">
        <f t="shared" si="14"/>
        <v/>
      </c>
    </row>
    <row r="16">
      <c r="A16" s="142" t="str">
        <f>IFERROR(VLOOKUP(B16,'Статьи'!$A$2:C38,3,0)," ")</f>
        <v> </v>
      </c>
      <c r="B16" s="144"/>
      <c r="C16" s="145"/>
      <c r="D16" s="113"/>
      <c r="E16" s="114"/>
      <c r="F16" s="146"/>
      <c r="G16" s="146"/>
      <c r="H16" s="143"/>
      <c r="I16" s="116">
        <f t="shared" si="12"/>
        <v>0</v>
      </c>
      <c r="J16" s="117"/>
      <c r="K16" s="118"/>
      <c r="L16" s="118"/>
      <c r="M16" s="118"/>
      <c r="N16" s="118"/>
      <c r="O16" s="118"/>
      <c r="P16" s="116">
        <f t="shared" si="13"/>
        <v>0</v>
      </c>
      <c r="Q16" s="119">
        <f t="shared" si="3"/>
        <v>0</v>
      </c>
      <c r="R16" s="120">
        <f t="shared" si="4"/>
        <v>0</v>
      </c>
      <c r="S16" s="121" t="str">
        <f t="shared" si="14"/>
        <v/>
      </c>
    </row>
    <row r="17">
      <c r="A17" s="147" t="str">
        <f>IFERROR(VLOOKUP(B17,'Статьи'!$A$2:C39,3,0)," ")</f>
        <v> </v>
      </c>
      <c r="B17" s="144"/>
      <c r="C17" s="145"/>
      <c r="D17" s="114"/>
      <c r="E17" s="114"/>
      <c r="F17" s="146"/>
      <c r="G17" s="146"/>
      <c r="H17" s="143"/>
      <c r="I17" s="116">
        <f t="shared" si="12"/>
        <v>0</v>
      </c>
      <c r="J17" s="123"/>
      <c r="K17" s="118"/>
      <c r="L17" s="118"/>
      <c r="M17" s="118"/>
      <c r="N17" s="118"/>
      <c r="O17" s="118"/>
      <c r="P17" s="116">
        <f t="shared" ref="P17:P54" si="15">sum(F17:J17)</f>
        <v>0</v>
      </c>
      <c r="Q17" s="119">
        <f t="shared" si="3"/>
        <v>0</v>
      </c>
      <c r="R17" s="120">
        <f t="shared" si="4"/>
        <v>0</v>
      </c>
      <c r="S17" s="121" t="str">
        <f t="shared" si="14"/>
        <v/>
      </c>
    </row>
    <row r="18" outlineLevel="1">
      <c r="A18" s="147"/>
      <c r="B18" s="144"/>
      <c r="C18" s="145"/>
      <c r="D18" s="114"/>
      <c r="E18" s="114"/>
      <c r="F18" s="146"/>
      <c r="G18" s="146"/>
      <c r="H18" s="143"/>
      <c r="I18" s="116">
        <f t="shared" si="12"/>
        <v>0</v>
      </c>
      <c r="J18" s="123"/>
      <c r="K18" s="118"/>
      <c r="L18" s="118"/>
      <c r="M18" s="118"/>
      <c r="N18" s="118"/>
      <c r="O18" s="118"/>
      <c r="P18" s="116">
        <f t="shared" si="15"/>
        <v>0</v>
      </c>
      <c r="Q18" s="132">
        <f t="shared" si="3"/>
        <v>0</v>
      </c>
      <c r="R18" s="133">
        <f t="shared" si="4"/>
        <v>0</v>
      </c>
      <c r="S18" s="133">
        <f t="shared" ref="S18:S54" si="16">IF(Q18=0,0,IF(R18&gt;1,"перерасход","экономия"))</f>
        <v>0</v>
      </c>
    </row>
    <row r="19" outlineLevel="1">
      <c r="A19" s="147"/>
      <c r="B19" s="144"/>
      <c r="C19" s="148"/>
      <c r="D19" s="114"/>
      <c r="E19" s="114"/>
      <c r="F19" s="146"/>
      <c r="G19" s="146"/>
      <c r="H19" s="143"/>
      <c r="I19" s="116">
        <f t="shared" si="12"/>
        <v>0</v>
      </c>
      <c r="J19" s="123"/>
      <c r="K19" s="118"/>
      <c r="L19" s="118"/>
      <c r="M19" s="118"/>
      <c r="N19" s="118"/>
      <c r="O19" s="118"/>
      <c r="P19" s="116">
        <f t="shared" si="15"/>
        <v>0</v>
      </c>
      <c r="Q19" s="132">
        <f t="shared" si="3"/>
        <v>0</v>
      </c>
      <c r="R19" s="133">
        <f t="shared" si="4"/>
        <v>0</v>
      </c>
      <c r="S19" s="133">
        <f t="shared" si="16"/>
        <v>0</v>
      </c>
    </row>
    <row r="20" outlineLevel="1">
      <c r="A20" s="147"/>
      <c r="B20" s="144"/>
      <c r="C20" s="148"/>
      <c r="D20" s="114"/>
      <c r="E20" s="114"/>
      <c r="F20" s="146"/>
      <c r="G20" s="146"/>
      <c r="H20" s="143"/>
      <c r="I20" s="116">
        <f t="shared" si="12"/>
        <v>0</v>
      </c>
      <c r="J20" s="123"/>
      <c r="K20" s="118"/>
      <c r="L20" s="118"/>
      <c r="M20" s="118"/>
      <c r="N20" s="118"/>
      <c r="O20" s="118"/>
      <c r="P20" s="116">
        <f t="shared" si="15"/>
        <v>0</v>
      </c>
      <c r="Q20" s="132">
        <f t="shared" si="3"/>
        <v>0</v>
      </c>
      <c r="R20" s="133">
        <f t="shared" si="4"/>
        <v>0</v>
      </c>
      <c r="S20" s="133">
        <f t="shared" si="16"/>
        <v>0</v>
      </c>
    </row>
    <row r="21" outlineLevel="1">
      <c r="A21" s="147"/>
      <c r="B21" s="144"/>
      <c r="C21" s="148"/>
      <c r="D21" s="114"/>
      <c r="E21" s="114"/>
      <c r="F21" s="146"/>
      <c r="G21" s="146"/>
      <c r="H21" s="143"/>
      <c r="I21" s="116">
        <f t="shared" si="12"/>
        <v>0</v>
      </c>
      <c r="J21" s="123"/>
      <c r="K21" s="118"/>
      <c r="L21" s="118"/>
      <c r="M21" s="118"/>
      <c r="N21" s="118"/>
      <c r="O21" s="118"/>
      <c r="P21" s="116">
        <f t="shared" si="15"/>
        <v>0</v>
      </c>
      <c r="Q21" s="132">
        <f t="shared" si="3"/>
        <v>0</v>
      </c>
      <c r="R21" s="133">
        <f t="shared" si="4"/>
        <v>0</v>
      </c>
      <c r="S21" s="133">
        <f t="shared" si="16"/>
        <v>0</v>
      </c>
    </row>
    <row r="22" outlineLevel="1">
      <c r="A22" s="147"/>
      <c r="B22" s="144"/>
      <c r="C22" s="145"/>
      <c r="D22" s="114"/>
      <c r="E22" s="114"/>
      <c r="F22" s="146"/>
      <c r="G22" s="146"/>
      <c r="H22" s="149"/>
      <c r="I22" s="116">
        <f t="shared" si="12"/>
        <v>0</v>
      </c>
      <c r="J22" s="123"/>
      <c r="K22" s="118"/>
      <c r="L22" s="118"/>
      <c r="M22" s="118"/>
      <c r="N22" s="118"/>
      <c r="O22" s="118"/>
      <c r="P22" s="116">
        <f t="shared" si="15"/>
        <v>0</v>
      </c>
      <c r="Q22" s="132">
        <f t="shared" si="3"/>
        <v>0</v>
      </c>
      <c r="R22" s="133">
        <f t="shared" si="4"/>
        <v>0</v>
      </c>
      <c r="S22" s="133">
        <f t="shared" si="16"/>
        <v>0</v>
      </c>
    </row>
    <row r="23" outlineLevel="1">
      <c r="A23" s="150"/>
      <c r="B23" s="151"/>
      <c r="C23" s="148"/>
      <c r="D23" s="114"/>
      <c r="E23" s="114"/>
      <c r="F23" s="146"/>
      <c r="G23" s="146"/>
      <c r="H23" s="143"/>
      <c r="I23" s="116">
        <f t="shared" si="12"/>
        <v>0</v>
      </c>
      <c r="J23" s="123"/>
      <c r="K23" s="118"/>
      <c r="L23" s="118"/>
      <c r="M23" s="118"/>
      <c r="N23" s="118"/>
      <c r="O23" s="118"/>
      <c r="P23" s="116">
        <f t="shared" si="15"/>
        <v>0</v>
      </c>
      <c r="Q23" s="132">
        <f t="shared" si="3"/>
        <v>0</v>
      </c>
      <c r="R23" s="133">
        <f t="shared" si="4"/>
        <v>0</v>
      </c>
      <c r="S23" s="133">
        <f t="shared" si="16"/>
        <v>0</v>
      </c>
    </row>
    <row r="24" outlineLevel="1">
      <c r="A24" s="142"/>
      <c r="B24" s="125"/>
      <c r="C24" s="148"/>
      <c r="D24" s="114"/>
      <c r="E24" s="114"/>
      <c r="F24" s="146"/>
      <c r="G24" s="146"/>
      <c r="H24" s="143"/>
      <c r="I24" s="116">
        <f t="shared" si="12"/>
        <v>0</v>
      </c>
      <c r="J24" s="123"/>
      <c r="K24" s="118"/>
      <c r="L24" s="118"/>
      <c r="M24" s="118"/>
      <c r="N24" s="118"/>
      <c r="O24" s="118"/>
      <c r="P24" s="116">
        <f t="shared" si="15"/>
        <v>0</v>
      </c>
      <c r="Q24" s="132">
        <f t="shared" si="3"/>
        <v>0</v>
      </c>
      <c r="R24" s="133">
        <f t="shared" si="4"/>
        <v>0</v>
      </c>
      <c r="S24" s="133">
        <f t="shared" si="16"/>
        <v>0</v>
      </c>
    </row>
    <row r="25" outlineLevel="1">
      <c r="A25" s="142"/>
      <c r="B25" s="125"/>
      <c r="C25" s="123"/>
      <c r="D25" s="114"/>
      <c r="E25" s="114"/>
      <c r="F25" s="114"/>
      <c r="G25" s="114"/>
      <c r="H25" s="143"/>
      <c r="I25" s="116">
        <f t="shared" si="12"/>
        <v>0</v>
      </c>
      <c r="J25" s="123"/>
      <c r="K25" s="118"/>
      <c r="L25" s="118"/>
      <c r="M25" s="118"/>
      <c r="N25" s="118"/>
      <c r="O25" s="118"/>
      <c r="P25" s="116">
        <f t="shared" si="15"/>
        <v>0</v>
      </c>
      <c r="Q25" s="132">
        <f t="shared" si="3"/>
        <v>0</v>
      </c>
      <c r="R25" s="133">
        <f t="shared" si="4"/>
        <v>0</v>
      </c>
      <c r="S25" s="133">
        <f t="shared" si="16"/>
        <v>0</v>
      </c>
    </row>
    <row r="26" outlineLevel="1">
      <c r="A26" s="142"/>
      <c r="B26" s="125"/>
      <c r="C26" s="123"/>
      <c r="D26" s="114"/>
      <c r="E26" s="114"/>
      <c r="F26" s="114"/>
      <c r="G26" s="114"/>
      <c r="H26" s="143"/>
      <c r="I26" s="116">
        <f t="shared" si="12"/>
        <v>0</v>
      </c>
      <c r="J26" s="123"/>
      <c r="K26" s="118"/>
      <c r="L26" s="118"/>
      <c r="M26" s="118"/>
      <c r="N26" s="118"/>
      <c r="O26" s="118"/>
      <c r="P26" s="116">
        <f t="shared" si="15"/>
        <v>0</v>
      </c>
      <c r="Q26" s="132">
        <f t="shared" si="3"/>
        <v>0</v>
      </c>
      <c r="R26" s="133">
        <f t="shared" si="4"/>
        <v>0</v>
      </c>
      <c r="S26" s="133">
        <f t="shared" si="16"/>
        <v>0</v>
      </c>
    </row>
    <row r="27" outlineLevel="1">
      <c r="A27" s="142"/>
      <c r="B27" s="125"/>
      <c r="C27" s="123"/>
      <c r="D27" s="114"/>
      <c r="E27" s="114"/>
      <c r="F27" s="114"/>
      <c r="G27" s="114"/>
      <c r="H27" s="143"/>
      <c r="I27" s="116">
        <f t="shared" si="12"/>
        <v>0</v>
      </c>
      <c r="J27" s="123"/>
      <c r="K27" s="118"/>
      <c r="L27" s="118"/>
      <c r="M27" s="118"/>
      <c r="N27" s="118"/>
      <c r="O27" s="118"/>
      <c r="P27" s="116">
        <f t="shared" si="15"/>
        <v>0</v>
      </c>
      <c r="Q27" s="132">
        <f t="shared" si="3"/>
        <v>0</v>
      </c>
      <c r="R27" s="133">
        <f t="shared" si="4"/>
        <v>0</v>
      </c>
      <c r="S27" s="133">
        <f t="shared" si="16"/>
        <v>0</v>
      </c>
    </row>
    <row r="28" outlineLevel="1">
      <c r="A28" s="142"/>
      <c r="B28" s="125"/>
      <c r="C28" s="123"/>
      <c r="D28" s="114"/>
      <c r="E28" s="114"/>
      <c r="F28" s="114"/>
      <c r="G28" s="114"/>
      <c r="H28" s="143"/>
      <c r="I28" s="116">
        <f t="shared" si="12"/>
        <v>0</v>
      </c>
      <c r="J28" s="123"/>
      <c r="K28" s="118"/>
      <c r="L28" s="118"/>
      <c r="M28" s="118"/>
      <c r="N28" s="118"/>
      <c r="O28" s="118"/>
      <c r="P28" s="116">
        <f t="shared" si="15"/>
        <v>0</v>
      </c>
      <c r="Q28" s="132">
        <f t="shared" si="3"/>
        <v>0</v>
      </c>
      <c r="R28" s="133">
        <f t="shared" si="4"/>
        <v>0</v>
      </c>
      <c r="S28" s="133">
        <f t="shared" si="16"/>
        <v>0</v>
      </c>
    </row>
    <row r="29" outlineLevel="1">
      <c r="A29" s="142"/>
      <c r="B29" s="125"/>
      <c r="C29" s="123"/>
      <c r="D29" s="114"/>
      <c r="E29" s="114"/>
      <c r="F29" s="114"/>
      <c r="G29" s="114"/>
      <c r="H29" s="143"/>
      <c r="I29" s="116">
        <f t="shared" si="12"/>
        <v>0</v>
      </c>
      <c r="J29" s="123"/>
      <c r="K29" s="118"/>
      <c r="L29" s="118"/>
      <c r="M29" s="118"/>
      <c r="N29" s="118"/>
      <c r="O29" s="118"/>
      <c r="P29" s="116">
        <f t="shared" si="15"/>
        <v>0</v>
      </c>
      <c r="Q29" s="132">
        <f t="shared" si="3"/>
        <v>0</v>
      </c>
      <c r="R29" s="133">
        <f t="shared" si="4"/>
        <v>0</v>
      </c>
      <c r="S29" s="133">
        <f t="shared" si="16"/>
        <v>0</v>
      </c>
    </row>
    <row r="30" outlineLevel="1">
      <c r="A30" s="142"/>
      <c r="B30" s="125"/>
      <c r="C30" s="123"/>
      <c r="D30" s="114"/>
      <c r="E30" s="114"/>
      <c r="F30" s="114"/>
      <c r="G30" s="114"/>
      <c r="H30" s="143"/>
      <c r="I30" s="116">
        <f t="shared" si="12"/>
        <v>0</v>
      </c>
      <c r="J30" s="123"/>
      <c r="K30" s="118"/>
      <c r="L30" s="118"/>
      <c r="M30" s="118"/>
      <c r="N30" s="118"/>
      <c r="O30" s="118"/>
      <c r="P30" s="116">
        <f t="shared" si="15"/>
        <v>0</v>
      </c>
      <c r="Q30" s="132">
        <f t="shared" si="3"/>
        <v>0</v>
      </c>
      <c r="R30" s="133">
        <f t="shared" si="4"/>
        <v>0</v>
      </c>
      <c r="S30" s="133">
        <f t="shared" si="16"/>
        <v>0</v>
      </c>
    </row>
    <row r="31" outlineLevel="1">
      <c r="A31" s="142"/>
      <c r="B31" s="125"/>
      <c r="C31" s="123"/>
      <c r="D31" s="114"/>
      <c r="E31" s="114"/>
      <c r="F31" s="114"/>
      <c r="G31" s="114"/>
      <c r="H31" s="143"/>
      <c r="I31" s="116">
        <f t="shared" si="12"/>
        <v>0</v>
      </c>
      <c r="J31" s="123"/>
      <c r="K31" s="118"/>
      <c r="L31" s="118"/>
      <c r="M31" s="118"/>
      <c r="N31" s="118"/>
      <c r="O31" s="118"/>
      <c r="P31" s="116">
        <f t="shared" si="15"/>
        <v>0</v>
      </c>
      <c r="Q31" s="132">
        <f t="shared" si="3"/>
        <v>0</v>
      </c>
      <c r="R31" s="133">
        <f t="shared" si="4"/>
        <v>0</v>
      </c>
      <c r="S31" s="133">
        <f t="shared" si="16"/>
        <v>0</v>
      </c>
    </row>
    <row r="32" outlineLevel="1">
      <c r="A32" s="142"/>
      <c r="B32" s="125"/>
      <c r="C32" s="123"/>
      <c r="D32" s="114"/>
      <c r="E32" s="114"/>
      <c r="F32" s="114"/>
      <c r="G32" s="114"/>
      <c r="H32" s="143"/>
      <c r="I32" s="116">
        <f t="shared" si="12"/>
        <v>0</v>
      </c>
      <c r="J32" s="123"/>
      <c r="K32" s="118"/>
      <c r="L32" s="118"/>
      <c r="M32" s="118"/>
      <c r="N32" s="118"/>
      <c r="O32" s="118"/>
      <c r="P32" s="116">
        <f t="shared" si="15"/>
        <v>0</v>
      </c>
      <c r="Q32" s="132">
        <f t="shared" si="3"/>
        <v>0</v>
      </c>
      <c r="R32" s="133">
        <f t="shared" si="4"/>
        <v>0</v>
      </c>
      <c r="S32" s="133">
        <f t="shared" si="16"/>
        <v>0</v>
      </c>
    </row>
    <row r="33" outlineLevel="1">
      <c r="A33" s="142"/>
      <c r="B33" s="125"/>
      <c r="C33" s="123"/>
      <c r="D33" s="114"/>
      <c r="E33" s="114"/>
      <c r="F33" s="114"/>
      <c r="G33" s="114"/>
      <c r="H33" s="143"/>
      <c r="I33" s="116">
        <f t="shared" si="12"/>
        <v>0</v>
      </c>
      <c r="J33" s="123"/>
      <c r="K33" s="118"/>
      <c r="L33" s="118"/>
      <c r="M33" s="118"/>
      <c r="N33" s="118"/>
      <c r="O33" s="118"/>
      <c r="P33" s="116">
        <f t="shared" si="15"/>
        <v>0</v>
      </c>
      <c r="Q33" s="132">
        <f t="shared" si="3"/>
        <v>0</v>
      </c>
      <c r="R33" s="133">
        <f t="shared" si="4"/>
        <v>0</v>
      </c>
      <c r="S33" s="133">
        <f t="shared" si="16"/>
        <v>0</v>
      </c>
    </row>
    <row r="34" outlineLevel="1">
      <c r="A34" s="142"/>
      <c r="B34" s="125"/>
      <c r="C34" s="123"/>
      <c r="D34" s="114"/>
      <c r="E34" s="114"/>
      <c r="F34" s="114"/>
      <c r="G34" s="114"/>
      <c r="H34" s="143"/>
      <c r="I34" s="116">
        <f t="shared" si="12"/>
        <v>0</v>
      </c>
      <c r="J34" s="123"/>
      <c r="K34" s="118"/>
      <c r="L34" s="118"/>
      <c r="M34" s="118"/>
      <c r="N34" s="118"/>
      <c r="O34" s="118"/>
      <c r="P34" s="116">
        <f t="shared" si="15"/>
        <v>0</v>
      </c>
      <c r="Q34" s="132">
        <f t="shared" si="3"/>
        <v>0</v>
      </c>
      <c r="R34" s="133">
        <f t="shared" si="4"/>
        <v>0</v>
      </c>
      <c r="S34" s="133">
        <f t="shared" si="16"/>
        <v>0</v>
      </c>
    </row>
    <row r="35" outlineLevel="1">
      <c r="A35" s="142"/>
      <c r="B35" s="125"/>
      <c r="C35" s="123"/>
      <c r="D35" s="114"/>
      <c r="E35" s="114"/>
      <c r="F35" s="114"/>
      <c r="G35" s="114"/>
      <c r="H35" s="143"/>
      <c r="I35" s="116">
        <f t="shared" si="12"/>
        <v>0</v>
      </c>
      <c r="J35" s="123"/>
      <c r="K35" s="118"/>
      <c r="L35" s="118"/>
      <c r="M35" s="118"/>
      <c r="N35" s="118"/>
      <c r="O35" s="118"/>
      <c r="P35" s="116">
        <f t="shared" si="15"/>
        <v>0</v>
      </c>
      <c r="Q35" s="132">
        <f t="shared" si="3"/>
        <v>0</v>
      </c>
      <c r="R35" s="133">
        <f t="shared" si="4"/>
        <v>0</v>
      </c>
      <c r="S35" s="133">
        <f t="shared" si="16"/>
        <v>0</v>
      </c>
    </row>
    <row r="36" outlineLevel="1">
      <c r="A36" s="142"/>
      <c r="B36" s="125"/>
      <c r="C36" s="123"/>
      <c r="D36" s="114"/>
      <c r="E36" s="114"/>
      <c r="F36" s="114"/>
      <c r="G36" s="114"/>
      <c r="H36" s="143"/>
      <c r="I36" s="116">
        <f t="shared" si="12"/>
        <v>0</v>
      </c>
      <c r="J36" s="123"/>
      <c r="K36" s="118"/>
      <c r="L36" s="118"/>
      <c r="M36" s="118"/>
      <c r="N36" s="118"/>
      <c r="O36" s="118"/>
      <c r="P36" s="116">
        <f t="shared" si="15"/>
        <v>0</v>
      </c>
      <c r="Q36" s="132">
        <f t="shared" si="3"/>
        <v>0</v>
      </c>
      <c r="R36" s="133">
        <f t="shared" si="4"/>
        <v>0</v>
      </c>
      <c r="S36" s="133">
        <f t="shared" si="16"/>
        <v>0</v>
      </c>
    </row>
    <row r="37" outlineLevel="1">
      <c r="A37" s="142"/>
      <c r="B37" s="125"/>
      <c r="C37" s="123"/>
      <c r="D37" s="114"/>
      <c r="E37" s="114"/>
      <c r="F37" s="114"/>
      <c r="G37" s="114"/>
      <c r="H37" s="143"/>
      <c r="I37" s="116">
        <f t="shared" si="12"/>
        <v>0</v>
      </c>
      <c r="J37" s="123"/>
      <c r="K37" s="118"/>
      <c r="L37" s="118"/>
      <c r="M37" s="118"/>
      <c r="N37" s="118"/>
      <c r="O37" s="118"/>
      <c r="P37" s="116">
        <f t="shared" si="15"/>
        <v>0</v>
      </c>
      <c r="Q37" s="132">
        <f t="shared" si="3"/>
        <v>0</v>
      </c>
      <c r="R37" s="133">
        <f t="shared" si="4"/>
        <v>0</v>
      </c>
      <c r="S37" s="133">
        <f t="shared" si="16"/>
        <v>0</v>
      </c>
    </row>
    <row r="38" outlineLevel="1">
      <c r="A38" s="142"/>
      <c r="B38" s="125"/>
      <c r="C38" s="123"/>
      <c r="D38" s="114"/>
      <c r="E38" s="114"/>
      <c r="F38" s="114"/>
      <c r="G38" s="114"/>
      <c r="H38" s="143"/>
      <c r="I38" s="116">
        <f t="shared" si="12"/>
        <v>0</v>
      </c>
      <c r="J38" s="123"/>
      <c r="K38" s="118"/>
      <c r="L38" s="118"/>
      <c r="M38" s="118"/>
      <c r="N38" s="118"/>
      <c r="O38" s="118"/>
      <c r="P38" s="116">
        <f t="shared" si="15"/>
        <v>0</v>
      </c>
      <c r="Q38" s="132">
        <f t="shared" si="3"/>
        <v>0</v>
      </c>
      <c r="R38" s="133">
        <f t="shared" si="4"/>
        <v>0</v>
      </c>
      <c r="S38" s="133">
        <f t="shared" si="16"/>
        <v>0</v>
      </c>
    </row>
    <row r="39" outlineLevel="1">
      <c r="A39" s="142"/>
      <c r="B39" s="125"/>
      <c r="C39" s="123"/>
      <c r="D39" s="114"/>
      <c r="E39" s="114"/>
      <c r="F39" s="114"/>
      <c r="G39" s="114"/>
      <c r="H39" s="143"/>
      <c r="I39" s="116">
        <f t="shared" si="12"/>
        <v>0</v>
      </c>
      <c r="J39" s="123"/>
      <c r="K39" s="118"/>
      <c r="L39" s="118"/>
      <c r="M39" s="118"/>
      <c r="N39" s="118"/>
      <c r="O39" s="118"/>
      <c r="P39" s="116">
        <f t="shared" si="15"/>
        <v>0</v>
      </c>
      <c r="Q39" s="132">
        <f t="shared" si="3"/>
        <v>0</v>
      </c>
      <c r="R39" s="133">
        <f t="shared" si="4"/>
        <v>0</v>
      </c>
      <c r="S39" s="133">
        <f t="shared" si="16"/>
        <v>0</v>
      </c>
    </row>
    <row r="40" outlineLevel="1">
      <c r="A40" s="142"/>
      <c r="B40" s="125"/>
      <c r="C40" s="123"/>
      <c r="D40" s="114"/>
      <c r="E40" s="114"/>
      <c r="F40" s="114"/>
      <c r="G40" s="114"/>
      <c r="H40" s="143"/>
      <c r="I40" s="116">
        <f t="shared" si="12"/>
        <v>0</v>
      </c>
      <c r="J40" s="123"/>
      <c r="K40" s="118"/>
      <c r="L40" s="118"/>
      <c r="M40" s="118"/>
      <c r="N40" s="118"/>
      <c r="O40" s="118"/>
      <c r="P40" s="116">
        <f t="shared" si="15"/>
        <v>0</v>
      </c>
      <c r="Q40" s="132">
        <f t="shared" si="3"/>
        <v>0</v>
      </c>
      <c r="R40" s="133">
        <f t="shared" si="4"/>
        <v>0</v>
      </c>
      <c r="S40" s="133">
        <f t="shared" si="16"/>
        <v>0</v>
      </c>
    </row>
    <row r="41" outlineLevel="1">
      <c r="A41" s="142"/>
      <c r="B41" s="125"/>
      <c r="C41" s="123"/>
      <c r="D41" s="114"/>
      <c r="E41" s="114"/>
      <c r="F41" s="114"/>
      <c r="G41" s="114"/>
      <c r="H41" s="143"/>
      <c r="I41" s="116">
        <f t="shared" si="12"/>
        <v>0</v>
      </c>
      <c r="J41" s="123"/>
      <c r="K41" s="118"/>
      <c r="L41" s="118"/>
      <c r="M41" s="118"/>
      <c r="N41" s="118"/>
      <c r="O41" s="118"/>
      <c r="P41" s="116">
        <f t="shared" si="15"/>
        <v>0</v>
      </c>
      <c r="Q41" s="132">
        <f t="shared" si="3"/>
        <v>0</v>
      </c>
      <c r="R41" s="133">
        <f t="shared" si="4"/>
        <v>0</v>
      </c>
      <c r="S41" s="133">
        <f t="shared" si="16"/>
        <v>0</v>
      </c>
    </row>
    <row r="42" outlineLevel="1">
      <c r="A42" s="142"/>
      <c r="B42" s="125"/>
      <c r="C42" s="123"/>
      <c r="D42" s="114"/>
      <c r="E42" s="114"/>
      <c r="F42" s="114"/>
      <c r="G42" s="114"/>
      <c r="H42" s="143"/>
      <c r="I42" s="116">
        <f t="shared" si="12"/>
        <v>0</v>
      </c>
      <c r="J42" s="123"/>
      <c r="K42" s="118"/>
      <c r="L42" s="118"/>
      <c r="M42" s="118"/>
      <c r="N42" s="118"/>
      <c r="O42" s="118"/>
      <c r="P42" s="116">
        <f t="shared" si="15"/>
        <v>0</v>
      </c>
      <c r="Q42" s="132">
        <f t="shared" si="3"/>
        <v>0</v>
      </c>
      <c r="R42" s="133">
        <f t="shared" si="4"/>
        <v>0</v>
      </c>
      <c r="S42" s="133">
        <f t="shared" si="16"/>
        <v>0</v>
      </c>
    </row>
    <row r="43" outlineLevel="1">
      <c r="A43" s="142"/>
      <c r="B43" s="125"/>
      <c r="C43" s="123"/>
      <c r="D43" s="114"/>
      <c r="E43" s="114"/>
      <c r="F43" s="114"/>
      <c r="G43" s="114"/>
      <c r="H43" s="143"/>
      <c r="I43" s="116">
        <f t="shared" si="12"/>
        <v>0</v>
      </c>
      <c r="J43" s="123"/>
      <c r="K43" s="118"/>
      <c r="L43" s="118"/>
      <c r="M43" s="118"/>
      <c r="N43" s="118"/>
      <c r="O43" s="118"/>
      <c r="P43" s="116">
        <f t="shared" si="15"/>
        <v>0</v>
      </c>
      <c r="Q43" s="132">
        <f t="shared" si="3"/>
        <v>0</v>
      </c>
      <c r="R43" s="133">
        <f t="shared" si="4"/>
        <v>0</v>
      </c>
      <c r="S43" s="133">
        <f t="shared" si="16"/>
        <v>0</v>
      </c>
    </row>
    <row r="44" outlineLevel="1">
      <c r="A44" s="142"/>
      <c r="B44" s="125"/>
      <c r="C44" s="123"/>
      <c r="D44" s="114"/>
      <c r="E44" s="114"/>
      <c r="F44" s="114"/>
      <c r="G44" s="114"/>
      <c r="H44" s="143"/>
      <c r="I44" s="116">
        <f t="shared" si="12"/>
        <v>0</v>
      </c>
      <c r="J44" s="123"/>
      <c r="K44" s="118"/>
      <c r="L44" s="118"/>
      <c r="M44" s="118"/>
      <c r="N44" s="118"/>
      <c r="O44" s="118"/>
      <c r="P44" s="116">
        <f t="shared" si="15"/>
        <v>0</v>
      </c>
      <c r="Q44" s="132">
        <f t="shared" si="3"/>
        <v>0</v>
      </c>
      <c r="R44" s="133">
        <f t="shared" si="4"/>
        <v>0</v>
      </c>
      <c r="S44" s="133">
        <f t="shared" si="16"/>
        <v>0</v>
      </c>
    </row>
    <row r="45" outlineLevel="1">
      <c r="A45" s="142"/>
      <c r="B45" s="125"/>
      <c r="C45" s="123"/>
      <c r="D45" s="114"/>
      <c r="E45" s="114"/>
      <c r="F45" s="114"/>
      <c r="G45" s="114"/>
      <c r="H45" s="143"/>
      <c r="I45" s="116">
        <f t="shared" si="12"/>
        <v>0</v>
      </c>
      <c r="J45" s="123"/>
      <c r="K45" s="118"/>
      <c r="L45" s="118"/>
      <c r="M45" s="118"/>
      <c r="N45" s="118"/>
      <c r="O45" s="118"/>
      <c r="P45" s="116">
        <f t="shared" si="15"/>
        <v>0</v>
      </c>
      <c r="Q45" s="132">
        <f t="shared" si="3"/>
        <v>0</v>
      </c>
      <c r="R45" s="133">
        <f t="shared" si="4"/>
        <v>0</v>
      </c>
      <c r="S45" s="133">
        <f t="shared" si="16"/>
        <v>0</v>
      </c>
    </row>
    <row r="46" outlineLevel="1">
      <c r="A46" s="142"/>
      <c r="B46" s="125"/>
      <c r="C46" s="123"/>
      <c r="D46" s="114"/>
      <c r="E46" s="114"/>
      <c r="F46" s="114"/>
      <c r="G46" s="114"/>
      <c r="H46" s="143"/>
      <c r="I46" s="116">
        <f t="shared" si="12"/>
        <v>0</v>
      </c>
      <c r="J46" s="123"/>
      <c r="K46" s="118"/>
      <c r="L46" s="118"/>
      <c r="M46" s="118"/>
      <c r="N46" s="118"/>
      <c r="O46" s="118"/>
      <c r="P46" s="116">
        <f t="shared" si="15"/>
        <v>0</v>
      </c>
      <c r="Q46" s="132">
        <f t="shared" si="3"/>
        <v>0</v>
      </c>
      <c r="R46" s="133">
        <f t="shared" si="4"/>
        <v>0</v>
      </c>
      <c r="S46" s="133">
        <f t="shared" si="16"/>
        <v>0</v>
      </c>
    </row>
    <row r="47" outlineLevel="1">
      <c r="A47" s="142"/>
      <c r="B47" s="125"/>
      <c r="C47" s="123"/>
      <c r="D47" s="114"/>
      <c r="E47" s="114"/>
      <c r="F47" s="114"/>
      <c r="G47" s="114"/>
      <c r="H47" s="143"/>
      <c r="I47" s="116">
        <f t="shared" si="12"/>
        <v>0</v>
      </c>
      <c r="J47" s="123"/>
      <c r="K47" s="118"/>
      <c r="L47" s="118"/>
      <c r="M47" s="118"/>
      <c r="N47" s="118"/>
      <c r="O47" s="118"/>
      <c r="P47" s="116">
        <f t="shared" si="15"/>
        <v>0</v>
      </c>
      <c r="Q47" s="132">
        <f t="shared" si="3"/>
        <v>0</v>
      </c>
      <c r="R47" s="133">
        <f t="shared" si="4"/>
        <v>0</v>
      </c>
      <c r="S47" s="133">
        <f t="shared" si="16"/>
        <v>0</v>
      </c>
    </row>
    <row r="48" outlineLevel="1">
      <c r="A48" s="142"/>
      <c r="B48" s="125"/>
      <c r="C48" s="123"/>
      <c r="D48" s="114"/>
      <c r="E48" s="114"/>
      <c r="F48" s="114"/>
      <c r="G48" s="114"/>
      <c r="H48" s="143"/>
      <c r="I48" s="116">
        <f t="shared" si="12"/>
        <v>0</v>
      </c>
      <c r="J48" s="123"/>
      <c r="K48" s="118"/>
      <c r="L48" s="118"/>
      <c r="M48" s="118"/>
      <c r="N48" s="118"/>
      <c r="O48" s="118"/>
      <c r="P48" s="116">
        <f t="shared" si="15"/>
        <v>0</v>
      </c>
      <c r="Q48" s="132">
        <f t="shared" si="3"/>
        <v>0</v>
      </c>
      <c r="R48" s="133">
        <f t="shared" si="4"/>
        <v>0</v>
      </c>
      <c r="S48" s="133">
        <f t="shared" si="16"/>
        <v>0</v>
      </c>
    </row>
    <row r="49" outlineLevel="1">
      <c r="A49" s="142"/>
      <c r="B49" s="125"/>
      <c r="C49" s="123"/>
      <c r="D49" s="143"/>
      <c r="E49" s="114"/>
      <c r="F49" s="114"/>
      <c r="G49" s="114"/>
      <c r="H49" s="143"/>
      <c r="I49" s="116">
        <f t="shared" si="12"/>
        <v>0</v>
      </c>
      <c r="J49" s="123"/>
      <c r="K49" s="118"/>
      <c r="L49" s="118"/>
      <c r="M49" s="118"/>
      <c r="N49" s="118"/>
      <c r="O49" s="118"/>
      <c r="P49" s="116">
        <f t="shared" si="15"/>
        <v>0</v>
      </c>
      <c r="Q49" s="132">
        <f t="shared" si="3"/>
        <v>0</v>
      </c>
      <c r="R49" s="133">
        <f t="shared" si="4"/>
        <v>0</v>
      </c>
      <c r="S49" s="133">
        <f t="shared" si="16"/>
        <v>0</v>
      </c>
    </row>
    <row r="50" outlineLevel="1">
      <c r="A50" s="142"/>
      <c r="B50" s="125"/>
      <c r="C50" s="123"/>
      <c r="D50" s="114"/>
      <c r="E50" s="114"/>
      <c r="F50" s="114"/>
      <c r="G50" s="114"/>
      <c r="H50" s="143"/>
      <c r="I50" s="116">
        <f t="shared" si="12"/>
        <v>0</v>
      </c>
      <c r="J50" s="123"/>
      <c r="K50" s="118"/>
      <c r="L50" s="118"/>
      <c r="M50" s="118"/>
      <c r="N50" s="118"/>
      <c r="O50" s="118"/>
      <c r="P50" s="116">
        <f t="shared" si="15"/>
        <v>0</v>
      </c>
      <c r="Q50" s="132">
        <f t="shared" si="3"/>
        <v>0</v>
      </c>
      <c r="R50" s="133">
        <f t="shared" si="4"/>
        <v>0</v>
      </c>
      <c r="S50" s="133">
        <f t="shared" si="16"/>
        <v>0</v>
      </c>
    </row>
    <row r="51" outlineLevel="1">
      <c r="A51" s="142"/>
      <c r="B51" s="125"/>
      <c r="C51" s="123"/>
      <c r="D51" s="114"/>
      <c r="E51" s="114"/>
      <c r="F51" s="114"/>
      <c r="G51" s="114"/>
      <c r="H51" s="143"/>
      <c r="I51" s="116">
        <f t="shared" si="12"/>
        <v>0</v>
      </c>
      <c r="J51" s="123"/>
      <c r="K51" s="118"/>
      <c r="L51" s="118"/>
      <c r="M51" s="118"/>
      <c r="N51" s="118"/>
      <c r="O51" s="118"/>
      <c r="P51" s="116">
        <f t="shared" si="15"/>
        <v>0</v>
      </c>
      <c r="Q51" s="132">
        <f t="shared" si="3"/>
        <v>0</v>
      </c>
      <c r="R51" s="133">
        <f t="shared" si="4"/>
        <v>0</v>
      </c>
      <c r="S51" s="133">
        <f t="shared" si="16"/>
        <v>0</v>
      </c>
    </row>
    <row r="52" outlineLevel="1">
      <c r="A52" s="142"/>
      <c r="B52" s="125"/>
      <c r="C52" s="123"/>
      <c r="D52" s="114"/>
      <c r="E52" s="114"/>
      <c r="F52" s="114"/>
      <c r="G52" s="114"/>
      <c r="H52" s="149"/>
      <c r="I52" s="116">
        <f t="shared" si="12"/>
        <v>0</v>
      </c>
      <c r="J52" s="123"/>
      <c r="K52" s="118"/>
      <c r="L52" s="118"/>
      <c r="M52" s="118"/>
      <c r="N52" s="118"/>
      <c r="O52" s="118"/>
      <c r="P52" s="116">
        <f t="shared" si="15"/>
        <v>0</v>
      </c>
      <c r="Q52" s="132">
        <f t="shared" si="3"/>
        <v>0</v>
      </c>
      <c r="R52" s="133">
        <f t="shared" si="4"/>
        <v>0</v>
      </c>
      <c r="S52" s="133">
        <f t="shared" si="16"/>
        <v>0</v>
      </c>
    </row>
    <row r="53" outlineLevel="1">
      <c r="A53" s="142"/>
      <c r="B53" s="125"/>
      <c r="C53" s="123"/>
      <c r="D53" s="114"/>
      <c r="E53" s="114"/>
      <c r="F53" s="114"/>
      <c r="G53" s="114"/>
      <c r="H53" s="143"/>
      <c r="I53" s="116">
        <f t="shared" si="12"/>
        <v>0</v>
      </c>
      <c r="J53" s="123"/>
      <c r="K53" s="118"/>
      <c r="L53" s="118"/>
      <c r="M53" s="118"/>
      <c r="N53" s="118"/>
      <c r="O53" s="118"/>
      <c r="P53" s="116">
        <f t="shared" si="15"/>
        <v>0</v>
      </c>
      <c r="Q53" s="132">
        <f t="shared" si="3"/>
        <v>0</v>
      </c>
      <c r="R53" s="133">
        <f t="shared" si="4"/>
        <v>0</v>
      </c>
      <c r="S53" s="133">
        <f t="shared" si="16"/>
        <v>0</v>
      </c>
    </row>
    <row r="54" outlineLevel="1">
      <c r="A54" s="142"/>
      <c r="B54" s="125"/>
      <c r="C54" s="122"/>
      <c r="D54" s="114"/>
      <c r="E54" s="114"/>
      <c r="F54" s="114"/>
      <c r="G54" s="114"/>
      <c r="H54" s="143"/>
      <c r="I54" s="116">
        <f t="shared" si="12"/>
        <v>0</v>
      </c>
      <c r="J54" s="123"/>
      <c r="K54" s="118"/>
      <c r="L54" s="118"/>
      <c r="M54" s="118"/>
      <c r="N54" s="118"/>
      <c r="O54" s="118"/>
      <c r="P54" s="116">
        <f t="shared" si="15"/>
        <v>0</v>
      </c>
      <c r="Q54" s="132">
        <f t="shared" si="3"/>
        <v>0</v>
      </c>
      <c r="R54" s="133">
        <f t="shared" si="4"/>
        <v>0</v>
      </c>
      <c r="S54" s="133">
        <f t="shared" si="16"/>
        <v>0</v>
      </c>
    </row>
    <row r="55">
      <c r="A55" s="152"/>
      <c r="B55" s="153" t="s">
        <v>136</v>
      </c>
      <c r="C55" s="154">
        <f t="shared" ref="C55:K55" si="17">C3+C12</f>
        <v>177250</v>
      </c>
      <c r="D55" s="155">
        <f t="shared" si="17"/>
        <v>884</v>
      </c>
      <c r="E55" s="155">
        <f t="shared" si="17"/>
        <v>0</v>
      </c>
      <c r="F55" s="155">
        <f t="shared" si="17"/>
        <v>0</v>
      </c>
      <c r="G55" s="155">
        <f t="shared" si="17"/>
        <v>0</v>
      </c>
      <c r="H55" s="156">
        <f t="shared" si="17"/>
        <v>0</v>
      </c>
      <c r="I55" s="157">
        <f t="shared" si="17"/>
        <v>178134</v>
      </c>
      <c r="J55" s="154">
        <f t="shared" si="17"/>
        <v>169150</v>
      </c>
      <c r="K55" s="155">
        <f t="shared" si="17"/>
        <v>0</v>
      </c>
      <c r="L55" s="155"/>
      <c r="M55" s="155"/>
      <c r="N55" s="155"/>
      <c r="O55" s="155"/>
      <c r="P55" s="157">
        <f>P3+P12</f>
        <v>169150</v>
      </c>
      <c r="Q55" s="155">
        <f t="shared" si="3"/>
        <v>8984</v>
      </c>
      <c r="R55" s="158">
        <f t="shared" si="4"/>
        <v>1.053112622</v>
      </c>
      <c r="S55" s="159" t="str">
        <f>IF(Q55=0,"",IF(R55&gt;1,"выполнение","план не выполнен"))</f>
        <v>выполнение</v>
      </c>
    </row>
    <row r="56">
      <c r="A56" s="160"/>
      <c r="B56" s="161" t="s">
        <v>137</v>
      </c>
      <c r="C56" s="162">
        <f t="shared" ref="C56:K56" si="18">IFERROR(C55/C$3,"")</f>
        <v>0.7860310421</v>
      </c>
      <c r="D56" s="163">
        <f t="shared" si="18"/>
        <v>0.420952381</v>
      </c>
      <c r="E56" s="163" t="str">
        <f t="shared" si="18"/>
        <v/>
      </c>
      <c r="F56" s="163" t="str">
        <f t="shared" si="18"/>
        <v/>
      </c>
      <c r="G56" s="163" t="str">
        <f t="shared" si="18"/>
        <v/>
      </c>
      <c r="H56" s="163" t="str">
        <f t="shared" si="18"/>
        <v/>
      </c>
      <c r="I56" s="164">
        <f t="shared" si="18"/>
        <v>0.7826625659</v>
      </c>
      <c r="J56" s="163">
        <f t="shared" si="18"/>
        <v>0.7341579861</v>
      </c>
      <c r="K56" s="163" t="str">
        <f t="shared" si="18"/>
        <v/>
      </c>
      <c r="L56" s="163"/>
      <c r="M56" s="163"/>
      <c r="N56" s="163"/>
      <c r="O56" s="163"/>
      <c r="P56" s="164">
        <f>IFERROR(P55/P$3,"")</f>
        <v>0.7341579861</v>
      </c>
      <c r="Q56" s="121"/>
      <c r="R56" s="121"/>
      <c r="S56" s="121"/>
    </row>
    <row r="57">
      <c r="A57" s="142"/>
      <c r="B57" s="125"/>
      <c r="C57" s="122"/>
      <c r="D57" s="114"/>
      <c r="E57" s="114"/>
      <c r="F57" s="114"/>
      <c r="G57" s="114"/>
      <c r="H57" s="114"/>
      <c r="I57" s="116"/>
      <c r="J57" s="123"/>
      <c r="K57" s="118"/>
      <c r="L57" s="118"/>
      <c r="M57" s="118"/>
      <c r="N57" s="118"/>
      <c r="O57" s="118"/>
      <c r="P57" s="116"/>
      <c r="Q57" s="121"/>
      <c r="R57" s="121"/>
      <c r="S57" s="121"/>
    </row>
    <row r="58">
      <c r="A58" s="135"/>
      <c r="B58" s="136" t="s">
        <v>94</v>
      </c>
      <c r="C58" s="165">
        <f t="shared" ref="C58:H58" si="19">sum(C59:C79)</f>
        <v>-12519</v>
      </c>
      <c r="D58" s="166">
        <f t="shared" si="19"/>
        <v>0</v>
      </c>
      <c r="E58" s="166">
        <f t="shared" si="19"/>
        <v>0</v>
      </c>
      <c r="F58" s="166">
        <f t="shared" si="19"/>
        <v>0</v>
      </c>
      <c r="G58" s="166">
        <f t="shared" si="19"/>
        <v>0</v>
      </c>
      <c r="H58" s="166">
        <f t="shared" si="19"/>
        <v>0</v>
      </c>
      <c r="I58" s="167">
        <f t="shared" ref="I58:K58" si="20">SUM(I59:I84)</f>
        <v>-12519</v>
      </c>
      <c r="J58" s="165">
        <f t="shared" si="20"/>
        <v>-12275</v>
      </c>
      <c r="K58" s="166">
        <f t="shared" si="20"/>
        <v>0</v>
      </c>
      <c r="L58" s="166"/>
      <c r="M58" s="166"/>
      <c r="N58" s="166"/>
      <c r="O58" s="166"/>
      <c r="P58" s="168">
        <f>SUM(P59:P84)</f>
        <v>-12275</v>
      </c>
      <c r="Q58" s="166">
        <f t="shared" ref="Q58:Q85" si="21">I58-P58</f>
        <v>-244</v>
      </c>
      <c r="R58" s="169">
        <f t="shared" ref="R58:R85" si="22">IFERROR(I58/P58,0)</f>
        <v>1.0198778</v>
      </c>
      <c r="S58" s="141" t="str">
        <f>IF(Q58=0,"",IF(R58&gt;1,"план не выполнен","выполнение"))</f>
        <v>план не выполнен</v>
      </c>
    </row>
    <row r="59">
      <c r="A59" s="142" t="str">
        <f>IFERROR(VLOOKUP(B59,'Статьи'!$A$2:C81,3,0)," ")</f>
        <v>1С</v>
      </c>
      <c r="B59" s="125" t="str">
        <f>IFERROR(__xludf.DUMMYFUNCTION("iferror(filter('Статьи'!$A$1:$A182,'Статьи'!$B$1:$B182=$B$58))"),"Зарплата производственного персонала")</f>
        <v>Зарплата производственного персонала</v>
      </c>
      <c r="C59" s="170">
        <v>-19.0</v>
      </c>
      <c r="D59" s="149"/>
      <c r="E59" s="143"/>
      <c r="F59" s="143"/>
      <c r="G59" s="143"/>
      <c r="H59" s="143"/>
      <c r="I59" s="116">
        <f t="shared" ref="I59:I84" si="23">SUM(C59:H59)</f>
        <v>-19</v>
      </c>
      <c r="J59" s="117">
        <v>-55.0</v>
      </c>
      <c r="K59" s="118"/>
      <c r="L59" s="118"/>
      <c r="M59" s="118"/>
      <c r="N59" s="118"/>
      <c r="O59" s="118"/>
      <c r="P59" s="116">
        <f t="shared" ref="P59:P84" si="24">SUM(J59:K59)</f>
        <v>-55</v>
      </c>
      <c r="Q59" s="119">
        <f t="shared" si="21"/>
        <v>36</v>
      </c>
      <c r="R59" s="120">
        <f t="shared" si="22"/>
        <v>0.3454545455</v>
      </c>
      <c r="S59" s="121" t="str">
        <f t="shared" ref="S59:S84" si="25">IF(Q59=0,"",IF(R59=0,"обратить внимание",IF(R59&gt;1,"перерасход","экономия")))</f>
        <v>экономия</v>
      </c>
    </row>
    <row r="60" collapsed="1">
      <c r="A60" s="142" t="str">
        <f>IFERROR(VLOOKUP(B60,'Статьи'!$A$2:C82,3,0)," ")</f>
        <v>ДДС отчетного месяца. Без НДС!</v>
      </c>
      <c r="B60" s="125" t="str">
        <f>IFERROR(__xludf.DUMMYFUNCTION("""COMPUTED_VALUE"""),"Таможенные расходы")</f>
        <v>Таможенные расходы</v>
      </c>
      <c r="C60" s="171">
        <v>-12500.0</v>
      </c>
      <c r="D60" s="149"/>
      <c r="E60" s="143"/>
      <c r="F60" s="143"/>
      <c r="G60" s="143"/>
      <c r="H60" s="149"/>
      <c r="I60" s="116">
        <f t="shared" si="23"/>
        <v>-12500</v>
      </c>
      <c r="J60" s="117">
        <v>-12220.0</v>
      </c>
      <c r="K60" s="118"/>
      <c r="L60" s="118"/>
      <c r="M60" s="118"/>
      <c r="N60" s="118"/>
      <c r="O60" s="118"/>
      <c r="P60" s="116">
        <f t="shared" si="24"/>
        <v>-12220</v>
      </c>
      <c r="Q60" s="119">
        <f t="shared" si="21"/>
        <v>-280</v>
      </c>
      <c r="R60" s="120">
        <f t="shared" si="22"/>
        <v>1.022913257</v>
      </c>
      <c r="S60" s="121" t="str">
        <f t="shared" si="25"/>
        <v>перерасход</v>
      </c>
    </row>
    <row r="61" hidden="1" outlineLevel="1">
      <c r="A61" s="142" t="str">
        <f>IFERROR(VLOOKUP(B61,'Статьи'!$A$2:C83,3,0)," ")</f>
        <v> </v>
      </c>
      <c r="B61" s="125"/>
      <c r="C61" s="171"/>
      <c r="D61" s="172"/>
      <c r="E61" s="143"/>
      <c r="F61" s="143"/>
      <c r="G61" s="143"/>
      <c r="H61" s="149"/>
      <c r="I61" s="116">
        <f t="shared" si="23"/>
        <v>0</v>
      </c>
      <c r="J61" s="117"/>
      <c r="K61" s="118"/>
      <c r="L61" s="118"/>
      <c r="M61" s="118"/>
      <c r="N61" s="118"/>
      <c r="O61" s="118"/>
      <c r="P61" s="116">
        <f t="shared" si="24"/>
        <v>0</v>
      </c>
      <c r="Q61" s="119">
        <f t="shared" si="21"/>
        <v>0</v>
      </c>
      <c r="R61" s="120">
        <f t="shared" si="22"/>
        <v>0</v>
      </c>
      <c r="S61" s="121" t="str">
        <f t="shared" si="25"/>
        <v/>
      </c>
    </row>
    <row r="62" hidden="1" outlineLevel="1">
      <c r="A62" s="142" t="str">
        <f>IFERROR(VLOOKUP(B62,'Статьи'!$A$2:C84,3,0)," ")</f>
        <v> </v>
      </c>
      <c r="B62" s="125"/>
      <c r="C62" s="171"/>
      <c r="D62" s="172"/>
      <c r="E62" s="143"/>
      <c r="F62" s="143"/>
      <c r="G62" s="143"/>
      <c r="H62" s="149"/>
      <c r="I62" s="116">
        <f t="shared" si="23"/>
        <v>0</v>
      </c>
      <c r="J62" s="123"/>
      <c r="K62" s="118"/>
      <c r="L62" s="118"/>
      <c r="M62" s="118"/>
      <c r="N62" s="118"/>
      <c r="O62" s="118"/>
      <c r="P62" s="116">
        <f t="shared" si="24"/>
        <v>0</v>
      </c>
      <c r="Q62" s="119">
        <f t="shared" si="21"/>
        <v>0</v>
      </c>
      <c r="R62" s="120">
        <f t="shared" si="22"/>
        <v>0</v>
      </c>
      <c r="S62" s="121" t="str">
        <f t="shared" si="25"/>
        <v/>
      </c>
    </row>
    <row r="63" hidden="1" outlineLevel="1">
      <c r="A63" s="142" t="str">
        <f>IFERROR(VLOOKUP(B63,'Статьи'!$A$2:C85,3,0)," ")</f>
        <v> </v>
      </c>
      <c r="B63" s="125"/>
      <c r="C63" s="171"/>
      <c r="D63" s="172"/>
      <c r="E63" s="143"/>
      <c r="F63" s="143"/>
      <c r="G63" s="143"/>
      <c r="H63" s="149"/>
      <c r="I63" s="116">
        <f t="shared" si="23"/>
        <v>0</v>
      </c>
      <c r="J63" s="117"/>
      <c r="K63" s="118"/>
      <c r="L63" s="118"/>
      <c r="M63" s="118"/>
      <c r="N63" s="118"/>
      <c r="O63" s="118"/>
      <c r="P63" s="116">
        <f t="shared" si="24"/>
        <v>0</v>
      </c>
      <c r="Q63" s="119">
        <f t="shared" si="21"/>
        <v>0</v>
      </c>
      <c r="R63" s="120">
        <f t="shared" si="22"/>
        <v>0</v>
      </c>
      <c r="S63" s="121" t="str">
        <f t="shared" si="25"/>
        <v/>
      </c>
    </row>
    <row r="64" hidden="1" outlineLevel="1">
      <c r="A64" s="142" t="str">
        <f>IFERROR(VLOOKUP(B64,'Статьи'!$A$2:C86,3,0)," ")</f>
        <v> </v>
      </c>
      <c r="B64" s="125"/>
      <c r="C64" s="171"/>
      <c r="D64" s="172"/>
      <c r="E64" s="143"/>
      <c r="F64" s="143"/>
      <c r="G64" s="143"/>
      <c r="H64" s="149"/>
      <c r="I64" s="116">
        <f t="shared" si="23"/>
        <v>0</v>
      </c>
      <c r="J64" s="117"/>
      <c r="K64" s="118"/>
      <c r="L64" s="118"/>
      <c r="M64" s="118"/>
      <c r="N64" s="118"/>
      <c r="O64" s="118"/>
      <c r="P64" s="116">
        <f t="shared" si="24"/>
        <v>0</v>
      </c>
      <c r="Q64" s="119">
        <f t="shared" si="21"/>
        <v>0</v>
      </c>
      <c r="R64" s="120">
        <f t="shared" si="22"/>
        <v>0</v>
      </c>
      <c r="S64" s="121" t="str">
        <f t="shared" si="25"/>
        <v/>
      </c>
    </row>
    <row r="65" hidden="1" outlineLevel="1">
      <c r="A65" s="142" t="str">
        <f>IFERROR(VLOOKUP(B65,'Статьи'!$A$2:C87,3,0)," ")</f>
        <v> </v>
      </c>
      <c r="B65" s="125"/>
      <c r="C65" s="171"/>
      <c r="D65" s="172"/>
      <c r="E65" s="143"/>
      <c r="F65" s="143"/>
      <c r="G65" s="143"/>
      <c r="H65" s="149"/>
      <c r="I65" s="116">
        <f t="shared" si="23"/>
        <v>0</v>
      </c>
      <c r="J65" s="117"/>
      <c r="K65" s="118"/>
      <c r="L65" s="118"/>
      <c r="M65" s="118"/>
      <c r="N65" s="118"/>
      <c r="O65" s="118"/>
      <c r="P65" s="116">
        <f t="shared" si="24"/>
        <v>0</v>
      </c>
      <c r="Q65" s="119">
        <f t="shared" si="21"/>
        <v>0</v>
      </c>
      <c r="R65" s="120">
        <f t="shared" si="22"/>
        <v>0</v>
      </c>
      <c r="S65" s="121" t="str">
        <f t="shared" si="25"/>
        <v/>
      </c>
    </row>
    <row r="66" hidden="1" outlineLevel="1">
      <c r="A66" s="142" t="str">
        <f>IFERROR(VLOOKUP(B66,'Статьи'!$A$2:C88,3,0)," ")</f>
        <v> </v>
      </c>
      <c r="B66" s="125"/>
      <c r="C66" s="171"/>
      <c r="D66" s="172"/>
      <c r="E66" s="143"/>
      <c r="F66" s="143"/>
      <c r="G66" s="143"/>
      <c r="H66" s="149"/>
      <c r="I66" s="116">
        <f t="shared" si="23"/>
        <v>0</v>
      </c>
      <c r="J66" s="117"/>
      <c r="K66" s="118"/>
      <c r="L66" s="118"/>
      <c r="M66" s="118"/>
      <c r="N66" s="118"/>
      <c r="O66" s="118"/>
      <c r="P66" s="116">
        <f t="shared" si="24"/>
        <v>0</v>
      </c>
      <c r="Q66" s="119">
        <f t="shared" si="21"/>
        <v>0</v>
      </c>
      <c r="R66" s="120">
        <f t="shared" si="22"/>
        <v>0</v>
      </c>
      <c r="S66" s="121" t="str">
        <f t="shared" si="25"/>
        <v/>
      </c>
    </row>
    <row r="67" hidden="1" outlineLevel="1">
      <c r="A67" s="142" t="str">
        <f>IFERROR(VLOOKUP(B67,'Статьи'!$A$2:C89,3,0)," ")</f>
        <v> </v>
      </c>
      <c r="B67" s="125"/>
      <c r="C67" s="171"/>
      <c r="D67" s="172"/>
      <c r="E67" s="143"/>
      <c r="F67" s="143"/>
      <c r="G67" s="143"/>
      <c r="H67" s="149"/>
      <c r="I67" s="116">
        <f t="shared" si="23"/>
        <v>0</v>
      </c>
      <c r="J67" s="117"/>
      <c r="K67" s="118"/>
      <c r="L67" s="118"/>
      <c r="M67" s="118"/>
      <c r="N67" s="118"/>
      <c r="O67" s="118"/>
      <c r="P67" s="116">
        <f t="shared" si="24"/>
        <v>0</v>
      </c>
      <c r="Q67" s="119">
        <f t="shared" si="21"/>
        <v>0</v>
      </c>
      <c r="R67" s="120">
        <f t="shared" si="22"/>
        <v>0</v>
      </c>
      <c r="S67" s="121" t="str">
        <f t="shared" si="25"/>
        <v/>
      </c>
    </row>
    <row r="68" hidden="1" outlineLevel="1">
      <c r="A68" s="142" t="str">
        <f>IFERROR(VLOOKUP(B68,'Статьи'!$A$2:C90,3,0)," ")</f>
        <v> </v>
      </c>
      <c r="B68" s="125"/>
      <c r="C68" s="171"/>
      <c r="D68" s="172"/>
      <c r="E68" s="143"/>
      <c r="F68" s="143"/>
      <c r="G68" s="143"/>
      <c r="H68" s="149"/>
      <c r="I68" s="116">
        <f t="shared" si="23"/>
        <v>0</v>
      </c>
      <c r="J68" s="123"/>
      <c r="K68" s="118"/>
      <c r="L68" s="118"/>
      <c r="M68" s="118"/>
      <c r="N68" s="118"/>
      <c r="O68" s="118"/>
      <c r="P68" s="116">
        <f t="shared" si="24"/>
        <v>0</v>
      </c>
      <c r="Q68" s="119">
        <f t="shared" si="21"/>
        <v>0</v>
      </c>
      <c r="R68" s="120">
        <f t="shared" si="22"/>
        <v>0</v>
      </c>
      <c r="S68" s="121" t="str">
        <f t="shared" si="25"/>
        <v/>
      </c>
    </row>
    <row r="69" hidden="1" outlineLevel="1">
      <c r="A69" s="142" t="str">
        <f>IFERROR(VLOOKUP(B69,'Статьи'!$A$2:C91,3,0)," ")</f>
        <v> </v>
      </c>
      <c r="B69" s="125"/>
      <c r="C69" s="171"/>
      <c r="D69" s="172"/>
      <c r="E69" s="143"/>
      <c r="F69" s="143"/>
      <c r="G69" s="143"/>
      <c r="H69" s="149"/>
      <c r="I69" s="116">
        <f t="shared" si="23"/>
        <v>0</v>
      </c>
      <c r="J69" s="117"/>
      <c r="K69" s="118"/>
      <c r="L69" s="118"/>
      <c r="M69" s="118"/>
      <c r="N69" s="118"/>
      <c r="O69" s="118"/>
      <c r="P69" s="116">
        <f t="shared" si="24"/>
        <v>0</v>
      </c>
      <c r="Q69" s="119">
        <f t="shared" si="21"/>
        <v>0</v>
      </c>
      <c r="R69" s="120">
        <f t="shared" si="22"/>
        <v>0</v>
      </c>
      <c r="S69" s="121" t="str">
        <f t="shared" si="25"/>
        <v/>
      </c>
    </row>
    <row r="70" hidden="1" outlineLevel="1">
      <c r="A70" s="142" t="str">
        <f>IFERROR(VLOOKUP(B70,'Статьи'!$A$2:C92,3,0)," ")</f>
        <v> </v>
      </c>
      <c r="B70" s="125"/>
      <c r="C70" s="171"/>
      <c r="D70" s="172"/>
      <c r="E70" s="143"/>
      <c r="F70" s="143"/>
      <c r="G70" s="143"/>
      <c r="H70" s="149"/>
      <c r="I70" s="116">
        <f t="shared" si="23"/>
        <v>0</v>
      </c>
      <c r="J70" s="117"/>
      <c r="K70" s="118"/>
      <c r="L70" s="118"/>
      <c r="M70" s="118"/>
      <c r="N70" s="118"/>
      <c r="O70" s="118"/>
      <c r="P70" s="116">
        <f t="shared" si="24"/>
        <v>0</v>
      </c>
      <c r="Q70" s="119">
        <f t="shared" si="21"/>
        <v>0</v>
      </c>
      <c r="R70" s="120">
        <f t="shared" si="22"/>
        <v>0</v>
      </c>
      <c r="S70" s="121" t="str">
        <f t="shared" si="25"/>
        <v/>
      </c>
    </row>
    <row r="71" hidden="1" outlineLevel="1">
      <c r="A71" s="142" t="str">
        <f>IFERROR(VLOOKUP(B71,'Статьи'!$A$2:C93,3,0)," ")</f>
        <v> </v>
      </c>
      <c r="B71" s="125"/>
      <c r="C71" s="171"/>
      <c r="D71" s="172"/>
      <c r="E71" s="143"/>
      <c r="F71" s="143"/>
      <c r="G71" s="143"/>
      <c r="H71" s="149"/>
      <c r="I71" s="116">
        <f t="shared" si="23"/>
        <v>0</v>
      </c>
      <c r="J71" s="117"/>
      <c r="K71" s="118"/>
      <c r="L71" s="118"/>
      <c r="M71" s="118"/>
      <c r="N71" s="118"/>
      <c r="O71" s="118"/>
      <c r="P71" s="116">
        <f t="shared" si="24"/>
        <v>0</v>
      </c>
      <c r="Q71" s="119">
        <f t="shared" si="21"/>
        <v>0</v>
      </c>
      <c r="R71" s="120">
        <f t="shared" si="22"/>
        <v>0</v>
      </c>
      <c r="S71" s="121" t="str">
        <f t="shared" si="25"/>
        <v/>
      </c>
    </row>
    <row r="72" hidden="1" outlineLevel="1">
      <c r="A72" s="142" t="str">
        <f>IFERROR(VLOOKUP(B72,'Статьи'!$A$2:C94,3,0)," ")</f>
        <v> </v>
      </c>
      <c r="B72" s="125"/>
      <c r="C72" s="170"/>
      <c r="D72" s="149"/>
      <c r="E72" s="143"/>
      <c r="F72" s="143"/>
      <c r="G72" s="143"/>
      <c r="H72" s="149"/>
      <c r="I72" s="116">
        <f t="shared" si="23"/>
        <v>0</v>
      </c>
      <c r="J72" s="123"/>
      <c r="K72" s="118"/>
      <c r="L72" s="118"/>
      <c r="M72" s="118"/>
      <c r="N72" s="118"/>
      <c r="O72" s="118"/>
      <c r="P72" s="116">
        <f t="shared" si="24"/>
        <v>0</v>
      </c>
      <c r="Q72" s="119">
        <f t="shared" si="21"/>
        <v>0</v>
      </c>
      <c r="R72" s="120">
        <f t="shared" si="22"/>
        <v>0</v>
      </c>
      <c r="S72" s="121" t="str">
        <f t="shared" si="25"/>
        <v/>
      </c>
    </row>
    <row r="73" hidden="1" outlineLevel="1">
      <c r="A73" s="142" t="str">
        <f>IFERROR(VLOOKUP(B73,'Статьи'!$A$2:C95,3,0)," ")</f>
        <v> </v>
      </c>
      <c r="B73" s="125"/>
      <c r="C73" s="170"/>
      <c r="D73" s="149"/>
      <c r="E73" s="143"/>
      <c r="F73" s="143"/>
      <c r="G73" s="143"/>
      <c r="H73" s="149"/>
      <c r="I73" s="116">
        <f t="shared" si="23"/>
        <v>0</v>
      </c>
      <c r="J73" s="123"/>
      <c r="K73" s="118"/>
      <c r="L73" s="118"/>
      <c r="M73" s="118"/>
      <c r="N73" s="118"/>
      <c r="O73" s="118"/>
      <c r="P73" s="116">
        <f t="shared" si="24"/>
        <v>0</v>
      </c>
      <c r="Q73" s="119">
        <f t="shared" si="21"/>
        <v>0</v>
      </c>
      <c r="R73" s="120">
        <f t="shared" si="22"/>
        <v>0</v>
      </c>
      <c r="S73" s="121" t="str">
        <f t="shared" si="25"/>
        <v/>
      </c>
    </row>
    <row r="74" hidden="1" outlineLevel="1">
      <c r="A74" s="142" t="str">
        <f>IFERROR(VLOOKUP(B74,'Статьи'!$A$2:C96,3,0)," ")</f>
        <v> </v>
      </c>
      <c r="B74" s="125"/>
      <c r="C74" s="170"/>
      <c r="D74" s="149"/>
      <c r="E74" s="143"/>
      <c r="F74" s="143"/>
      <c r="G74" s="143"/>
      <c r="H74" s="149"/>
      <c r="I74" s="116">
        <f t="shared" si="23"/>
        <v>0</v>
      </c>
      <c r="J74" s="123"/>
      <c r="K74" s="118"/>
      <c r="L74" s="118"/>
      <c r="M74" s="118"/>
      <c r="N74" s="118"/>
      <c r="O74" s="118"/>
      <c r="P74" s="116">
        <f t="shared" si="24"/>
        <v>0</v>
      </c>
      <c r="Q74" s="119">
        <f t="shared" si="21"/>
        <v>0</v>
      </c>
      <c r="R74" s="120">
        <f t="shared" si="22"/>
        <v>0</v>
      </c>
      <c r="S74" s="121" t="str">
        <f t="shared" si="25"/>
        <v/>
      </c>
    </row>
    <row r="75" hidden="1" outlineLevel="1">
      <c r="A75" s="142" t="str">
        <f>IFERROR(VLOOKUP(B75,'Статьи'!$A$2:C97,3,0)," ")</f>
        <v> </v>
      </c>
      <c r="B75" s="125"/>
      <c r="C75" s="170"/>
      <c r="D75" s="149"/>
      <c r="E75" s="143"/>
      <c r="F75" s="143"/>
      <c r="G75" s="143"/>
      <c r="H75" s="149"/>
      <c r="I75" s="116">
        <f t="shared" si="23"/>
        <v>0</v>
      </c>
      <c r="J75" s="123"/>
      <c r="K75" s="118"/>
      <c r="L75" s="118"/>
      <c r="M75" s="118"/>
      <c r="N75" s="118"/>
      <c r="O75" s="118"/>
      <c r="P75" s="116">
        <f t="shared" si="24"/>
        <v>0</v>
      </c>
      <c r="Q75" s="119">
        <f t="shared" si="21"/>
        <v>0</v>
      </c>
      <c r="R75" s="120">
        <f t="shared" si="22"/>
        <v>0</v>
      </c>
      <c r="S75" s="121" t="str">
        <f t="shared" si="25"/>
        <v/>
      </c>
    </row>
    <row r="76" hidden="1" outlineLevel="1">
      <c r="A76" s="142" t="str">
        <f>IFERROR(VLOOKUP(B76,'Статьи'!$A$2:C98,3,0)," ")</f>
        <v> </v>
      </c>
      <c r="B76" s="125"/>
      <c r="C76" s="173"/>
      <c r="D76" s="143"/>
      <c r="E76" s="149"/>
      <c r="F76" s="143"/>
      <c r="G76" s="143"/>
      <c r="H76" s="143"/>
      <c r="I76" s="116">
        <f t="shared" si="23"/>
        <v>0</v>
      </c>
      <c r="J76" s="123"/>
      <c r="K76" s="118"/>
      <c r="L76" s="118"/>
      <c r="M76" s="118"/>
      <c r="N76" s="118"/>
      <c r="O76" s="118"/>
      <c r="P76" s="116">
        <f t="shared" si="24"/>
        <v>0</v>
      </c>
      <c r="Q76" s="119">
        <f t="shared" si="21"/>
        <v>0</v>
      </c>
      <c r="R76" s="120">
        <f t="shared" si="22"/>
        <v>0</v>
      </c>
      <c r="S76" s="121" t="str">
        <f t="shared" si="25"/>
        <v/>
      </c>
    </row>
    <row r="77" hidden="1" outlineLevel="1">
      <c r="A77" s="142" t="str">
        <f>IFERROR(VLOOKUP(B77,'Статьи'!$A$2:C99,3,0)," ")</f>
        <v> </v>
      </c>
      <c r="B77" s="125"/>
      <c r="C77" s="170"/>
      <c r="D77" s="174"/>
      <c r="E77" s="174"/>
      <c r="F77" s="174"/>
      <c r="G77" s="174"/>
      <c r="H77" s="174"/>
      <c r="I77" s="116">
        <f t="shared" si="23"/>
        <v>0</v>
      </c>
      <c r="J77" s="123"/>
      <c r="K77" s="118"/>
      <c r="L77" s="118"/>
      <c r="M77" s="118"/>
      <c r="N77" s="118"/>
      <c r="O77" s="118"/>
      <c r="P77" s="116">
        <f t="shared" si="24"/>
        <v>0</v>
      </c>
      <c r="Q77" s="119">
        <f t="shared" si="21"/>
        <v>0</v>
      </c>
      <c r="R77" s="120">
        <f t="shared" si="22"/>
        <v>0</v>
      </c>
      <c r="S77" s="121" t="str">
        <f t="shared" si="25"/>
        <v/>
      </c>
    </row>
    <row r="78" hidden="1" outlineLevel="1">
      <c r="A78" s="175" t="str">
        <f>IFERROR(VLOOKUP(B78,'Статьи'!$A$2:C100,3,0)," ")</f>
        <v> </v>
      </c>
      <c r="B78" s="176"/>
      <c r="C78" s="122"/>
      <c r="D78" s="114"/>
      <c r="E78" s="114"/>
      <c r="F78" s="114"/>
      <c r="G78" s="114"/>
      <c r="H78" s="149"/>
      <c r="I78" s="116">
        <f t="shared" si="23"/>
        <v>0</v>
      </c>
      <c r="J78" s="123"/>
      <c r="K78" s="118"/>
      <c r="L78" s="118"/>
      <c r="M78" s="118"/>
      <c r="N78" s="118"/>
      <c r="O78" s="118"/>
      <c r="P78" s="116">
        <f t="shared" si="24"/>
        <v>0</v>
      </c>
      <c r="Q78" s="119">
        <f t="shared" si="21"/>
        <v>0</v>
      </c>
      <c r="R78" s="120">
        <f t="shared" si="22"/>
        <v>0</v>
      </c>
      <c r="S78" s="121" t="str">
        <f t="shared" si="25"/>
        <v/>
      </c>
    </row>
    <row r="79" hidden="1" outlineLevel="1">
      <c r="A79" s="110" t="str">
        <f>IFERROR(VLOOKUP(B79,'Статьи'!$A$2:C101,3,0)," ")</f>
        <v> </v>
      </c>
      <c r="B79" s="111"/>
      <c r="C79" s="122"/>
      <c r="D79" s="115"/>
      <c r="E79" s="115"/>
      <c r="F79" s="115"/>
      <c r="G79" s="115"/>
      <c r="H79" s="115"/>
      <c r="I79" s="116">
        <f t="shared" si="23"/>
        <v>0</v>
      </c>
      <c r="J79" s="123"/>
      <c r="K79" s="118"/>
      <c r="L79" s="118"/>
      <c r="M79" s="118"/>
      <c r="N79" s="118"/>
      <c r="O79" s="118"/>
      <c r="P79" s="116">
        <f t="shared" si="24"/>
        <v>0</v>
      </c>
      <c r="Q79" s="119">
        <f t="shared" si="21"/>
        <v>0</v>
      </c>
      <c r="R79" s="120">
        <f t="shared" si="22"/>
        <v>0</v>
      </c>
      <c r="S79" s="121" t="str">
        <f t="shared" si="25"/>
        <v/>
      </c>
    </row>
    <row r="80" hidden="1" outlineLevel="1">
      <c r="A80" s="110" t="str">
        <f>IFERROR(VLOOKUP(B80,'Статьи'!$A$2:C102,3,0)," ")</f>
        <v> </v>
      </c>
      <c r="B80" s="111"/>
      <c r="C80" s="122"/>
      <c r="D80" s="115"/>
      <c r="E80" s="115"/>
      <c r="F80" s="115"/>
      <c r="G80" s="115"/>
      <c r="H80" s="115"/>
      <c r="I80" s="116">
        <f t="shared" si="23"/>
        <v>0</v>
      </c>
      <c r="J80" s="123"/>
      <c r="K80" s="118"/>
      <c r="L80" s="118"/>
      <c r="M80" s="118"/>
      <c r="N80" s="118"/>
      <c r="O80" s="118"/>
      <c r="P80" s="116">
        <f t="shared" si="24"/>
        <v>0</v>
      </c>
      <c r="Q80" s="119">
        <f t="shared" si="21"/>
        <v>0</v>
      </c>
      <c r="R80" s="120">
        <f t="shared" si="22"/>
        <v>0</v>
      </c>
      <c r="S80" s="121" t="str">
        <f t="shared" si="25"/>
        <v/>
      </c>
    </row>
    <row r="81" hidden="1" outlineLevel="1">
      <c r="A81" s="110" t="str">
        <f>IFERROR(VLOOKUP(B81,'Статьи'!$A$2:C103,3,0)," ")</f>
        <v> </v>
      </c>
      <c r="B81" s="111"/>
      <c r="C81" s="122"/>
      <c r="D81" s="115"/>
      <c r="E81" s="115"/>
      <c r="F81" s="115"/>
      <c r="G81" s="115"/>
      <c r="H81" s="115"/>
      <c r="I81" s="116">
        <f t="shared" si="23"/>
        <v>0</v>
      </c>
      <c r="J81" s="123"/>
      <c r="K81" s="118"/>
      <c r="L81" s="118"/>
      <c r="M81" s="118"/>
      <c r="N81" s="118"/>
      <c r="O81" s="118"/>
      <c r="P81" s="116">
        <f t="shared" si="24"/>
        <v>0</v>
      </c>
      <c r="Q81" s="119">
        <f t="shared" si="21"/>
        <v>0</v>
      </c>
      <c r="R81" s="120">
        <f t="shared" si="22"/>
        <v>0</v>
      </c>
      <c r="S81" s="121" t="str">
        <f t="shared" si="25"/>
        <v/>
      </c>
    </row>
    <row r="82" hidden="1" outlineLevel="1">
      <c r="A82" s="110" t="str">
        <f>IFERROR(VLOOKUP(B82,'Статьи'!$A$2:C104,3,0)," ")</f>
        <v> </v>
      </c>
      <c r="B82" s="111"/>
      <c r="C82" s="122"/>
      <c r="D82" s="115"/>
      <c r="E82" s="115"/>
      <c r="F82" s="115"/>
      <c r="G82" s="115"/>
      <c r="H82" s="115"/>
      <c r="I82" s="116">
        <f t="shared" si="23"/>
        <v>0</v>
      </c>
      <c r="J82" s="123"/>
      <c r="K82" s="118"/>
      <c r="L82" s="118"/>
      <c r="M82" s="118"/>
      <c r="N82" s="118"/>
      <c r="O82" s="118"/>
      <c r="P82" s="116">
        <f t="shared" si="24"/>
        <v>0</v>
      </c>
      <c r="Q82" s="119">
        <f t="shared" si="21"/>
        <v>0</v>
      </c>
      <c r="R82" s="120">
        <f t="shared" si="22"/>
        <v>0</v>
      </c>
      <c r="S82" s="121" t="str">
        <f t="shared" si="25"/>
        <v/>
      </c>
    </row>
    <row r="83" hidden="1" outlineLevel="1">
      <c r="A83" s="110" t="str">
        <f>IFERROR(VLOOKUP(B83,'Статьи'!$A$2:C105,3,0)," ")</f>
        <v> </v>
      </c>
      <c r="B83" s="111"/>
      <c r="C83" s="122"/>
      <c r="D83" s="115"/>
      <c r="E83" s="115"/>
      <c r="F83" s="115"/>
      <c r="G83" s="115"/>
      <c r="H83" s="115"/>
      <c r="I83" s="116">
        <f t="shared" si="23"/>
        <v>0</v>
      </c>
      <c r="J83" s="123"/>
      <c r="K83" s="118"/>
      <c r="L83" s="118"/>
      <c r="M83" s="118"/>
      <c r="N83" s="118"/>
      <c r="O83" s="118"/>
      <c r="P83" s="116">
        <f t="shared" si="24"/>
        <v>0</v>
      </c>
      <c r="Q83" s="119">
        <f t="shared" si="21"/>
        <v>0</v>
      </c>
      <c r="R83" s="120">
        <f t="shared" si="22"/>
        <v>0</v>
      </c>
      <c r="S83" s="121" t="str">
        <f t="shared" si="25"/>
        <v/>
      </c>
    </row>
    <row r="84">
      <c r="A84" s="110" t="str">
        <f>IFERROR(VLOOKUP(B84,'Статьи'!$A$2:C106,3,0)," ")</f>
        <v> </v>
      </c>
      <c r="B84" s="111"/>
      <c r="C84" s="122"/>
      <c r="D84" s="115"/>
      <c r="E84" s="115"/>
      <c r="F84" s="115"/>
      <c r="G84" s="115"/>
      <c r="H84" s="115"/>
      <c r="I84" s="116">
        <f t="shared" si="23"/>
        <v>0</v>
      </c>
      <c r="J84" s="123"/>
      <c r="K84" s="118"/>
      <c r="L84" s="118"/>
      <c r="M84" s="118"/>
      <c r="N84" s="118"/>
      <c r="O84" s="118"/>
      <c r="P84" s="116">
        <f t="shared" si="24"/>
        <v>0</v>
      </c>
      <c r="Q84" s="119">
        <f t="shared" si="21"/>
        <v>0</v>
      </c>
      <c r="R84" s="120">
        <f t="shared" si="22"/>
        <v>0</v>
      </c>
      <c r="S84" s="121" t="str">
        <f t="shared" si="25"/>
        <v/>
      </c>
    </row>
    <row r="85">
      <c r="A85" s="152"/>
      <c r="B85" s="153" t="s">
        <v>138</v>
      </c>
      <c r="C85" s="154">
        <f t="shared" ref="C85:K85" si="26">C55+C58</f>
        <v>164731</v>
      </c>
      <c r="D85" s="155">
        <f t="shared" si="26"/>
        <v>884</v>
      </c>
      <c r="E85" s="155">
        <f t="shared" si="26"/>
        <v>0</v>
      </c>
      <c r="F85" s="155">
        <f t="shared" si="26"/>
        <v>0</v>
      </c>
      <c r="G85" s="155">
        <f t="shared" si="26"/>
        <v>0</v>
      </c>
      <c r="H85" s="155">
        <f t="shared" si="26"/>
        <v>0</v>
      </c>
      <c r="I85" s="157">
        <f t="shared" si="26"/>
        <v>165615</v>
      </c>
      <c r="J85" s="154">
        <f t="shared" si="26"/>
        <v>156875</v>
      </c>
      <c r="K85" s="155">
        <f t="shared" si="26"/>
        <v>0</v>
      </c>
      <c r="L85" s="155"/>
      <c r="M85" s="155"/>
      <c r="N85" s="155"/>
      <c r="O85" s="155"/>
      <c r="P85" s="157">
        <f>P55+P58</f>
        <v>156875</v>
      </c>
      <c r="Q85" s="155">
        <f t="shared" si="21"/>
        <v>8740</v>
      </c>
      <c r="R85" s="158">
        <f t="shared" si="22"/>
        <v>1.055713147</v>
      </c>
      <c r="S85" s="177" t="str">
        <f>IF(Q85=0,"",IF(R85&gt;1,"выполнение","план не выполнен"))</f>
        <v>выполнение</v>
      </c>
    </row>
    <row r="86">
      <c r="A86" s="160"/>
      <c r="B86" s="161" t="s">
        <v>139</v>
      </c>
      <c r="C86" s="162">
        <f t="shared" ref="C86:K86" si="27">IFERROR(C85/C$3,"")</f>
        <v>0.7305144124</v>
      </c>
      <c r="D86" s="163">
        <f t="shared" si="27"/>
        <v>0.420952381</v>
      </c>
      <c r="E86" s="163" t="str">
        <f t="shared" si="27"/>
        <v/>
      </c>
      <c r="F86" s="163" t="str">
        <f t="shared" si="27"/>
        <v/>
      </c>
      <c r="G86" s="163" t="str">
        <f t="shared" si="27"/>
        <v/>
      </c>
      <c r="H86" s="163" t="str">
        <f t="shared" si="27"/>
        <v/>
      </c>
      <c r="I86" s="164">
        <f t="shared" si="27"/>
        <v>0.7276581722</v>
      </c>
      <c r="J86" s="162">
        <f t="shared" si="27"/>
        <v>0.6808810764</v>
      </c>
      <c r="K86" s="163" t="str">
        <f t="shared" si="27"/>
        <v/>
      </c>
      <c r="L86" s="163"/>
      <c r="M86" s="163"/>
      <c r="N86" s="163"/>
      <c r="O86" s="163"/>
      <c r="P86" s="164">
        <f>IFERROR(P85/P$3,"")</f>
        <v>0.6808810764</v>
      </c>
      <c r="Q86" s="121"/>
      <c r="R86" s="121"/>
      <c r="S86" s="121" t="str">
        <f t="shared" ref="S86:S87" si="28">IF(Q86=0,"",IF(Q86=0,0,IF(R86&gt;1,"перерасход","экономия")))</f>
        <v/>
      </c>
    </row>
    <row r="87">
      <c r="A87" s="178"/>
      <c r="B87" s="179"/>
      <c r="C87" s="124"/>
      <c r="D87" s="115"/>
      <c r="E87" s="115"/>
      <c r="F87" s="115"/>
      <c r="G87" s="115"/>
      <c r="H87" s="115"/>
      <c r="I87" s="116"/>
      <c r="J87" s="123"/>
      <c r="K87" s="118"/>
      <c r="L87" s="118"/>
      <c r="M87" s="118"/>
      <c r="N87" s="118"/>
      <c r="O87" s="118"/>
      <c r="P87" s="116"/>
      <c r="Q87" s="180"/>
      <c r="R87" s="121"/>
      <c r="S87" s="121" t="str">
        <f t="shared" si="28"/>
        <v/>
      </c>
    </row>
    <row r="88">
      <c r="A88" s="181"/>
      <c r="B88" s="127" t="s">
        <v>140</v>
      </c>
      <c r="C88" s="182">
        <f t="shared" ref="C88:K88" si="29">C101+C132+C89</f>
        <v>-21962</v>
      </c>
      <c r="D88" s="183">
        <f t="shared" si="29"/>
        <v>-231</v>
      </c>
      <c r="E88" s="183">
        <f t="shared" si="29"/>
        <v>0</v>
      </c>
      <c r="F88" s="183">
        <f t="shared" si="29"/>
        <v>0</v>
      </c>
      <c r="G88" s="183">
        <f t="shared" si="29"/>
        <v>0</v>
      </c>
      <c r="H88" s="183">
        <f t="shared" si="29"/>
        <v>0</v>
      </c>
      <c r="I88" s="184">
        <f t="shared" si="29"/>
        <v>-22193</v>
      </c>
      <c r="J88" s="182">
        <f t="shared" si="29"/>
        <v>-14977.97</v>
      </c>
      <c r="K88" s="183">
        <f t="shared" si="29"/>
        <v>0</v>
      </c>
      <c r="L88" s="183"/>
      <c r="M88" s="183"/>
      <c r="N88" s="183"/>
      <c r="O88" s="183"/>
      <c r="P88" s="185">
        <f>P101+P132+P89</f>
        <v>-14977.97</v>
      </c>
      <c r="Q88" s="183">
        <f t="shared" ref="Q88:Q142" si="31">I88-P88</f>
        <v>-7215.03</v>
      </c>
      <c r="R88" s="186">
        <f t="shared" ref="R88:R142" si="32">IFERROR(I88/P88,0)</f>
        <v>1.481709471</v>
      </c>
      <c r="S88" s="134" t="str">
        <f>IF(Q88=0,"",IF(R88&gt;1,"план не выполнен","выполнение"))</f>
        <v>план не выполнен</v>
      </c>
    </row>
    <row r="89" collapsed="1">
      <c r="A89" s="135"/>
      <c r="B89" s="136" t="s">
        <v>141</v>
      </c>
      <c r="C89" s="137">
        <f t="shared" ref="C89:K89" si="30">SUM(C90:C100)</f>
        <v>0</v>
      </c>
      <c r="D89" s="138">
        <f t="shared" si="30"/>
        <v>0</v>
      </c>
      <c r="E89" s="138">
        <f t="shared" si="30"/>
        <v>0</v>
      </c>
      <c r="F89" s="138">
        <f t="shared" si="30"/>
        <v>0</v>
      </c>
      <c r="G89" s="138">
        <f t="shared" si="30"/>
        <v>0</v>
      </c>
      <c r="H89" s="138">
        <f t="shared" si="30"/>
        <v>0</v>
      </c>
      <c r="I89" s="139">
        <f t="shared" si="30"/>
        <v>0</v>
      </c>
      <c r="J89" s="137">
        <f t="shared" si="30"/>
        <v>0</v>
      </c>
      <c r="K89" s="138">
        <f t="shared" si="30"/>
        <v>0</v>
      </c>
      <c r="L89" s="138"/>
      <c r="M89" s="138"/>
      <c r="N89" s="138"/>
      <c r="O89" s="138"/>
      <c r="P89" s="140">
        <f>SUM(P90:P100)</f>
        <v>0</v>
      </c>
      <c r="Q89" s="138">
        <f t="shared" si="31"/>
        <v>0</v>
      </c>
      <c r="R89" s="187">
        <f t="shared" si="32"/>
        <v>0</v>
      </c>
      <c r="S89" s="141" t="str">
        <f>IF(Q89=0,"",IF(Q89=0,0,IF(R89&gt;1,"перерасход","экономия")))</f>
        <v/>
      </c>
    </row>
    <row r="90" hidden="1" outlineLevel="1">
      <c r="A90" s="142" t="str">
        <f>IFERROR(VLOOKUP(B90,'Статьи'!$A$2:C112,3,0)," ")</f>
        <v> </v>
      </c>
      <c r="B90" s="125" t="str">
        <f>IFERROR(__xludf.DUMMYFUNCTION("iferror(filter('Статьи'!$A$1:$A182,'Статьи'!$B$1:$B182=$B$89))"),"")</f>
        <v/>
      </c>
      <c r="C90" s="171"/>
      <c r="D90" s="172"/>
      <c r="E90" s="149"/>
      <c r="F90" s="149"/>
      <c r="G90" s="149"/>
      <c r="H90" s="149"/>
      <c r="I90" s="188">
        <f t="shared" ref="I90:I100" si="33">sum(C90:H90)</f>
        <v>0</v>
      </c>
      <c r="J90" s="170"/>
      <c r="K90" s="149"/>
      <c r="L90" s="149"/>
      <c r="M90" s="149"/>
      <c r="N90" s="149"/>
      <c r="O90" s="149"/>
      <c r="P90" s="188">
        <f t="shared" ref="P90:P94" si="34">SUM(J90:K90)</f>
        <v>0</v>
      </c>
      <c r="Q90" s="132">
        <f t="shared" si="31"/>
        <v>0</v>
      </c>
      <c r="R90" s="133">
        <f t="shared" si="32"/>
        <v>0</v>
      </c>
      <c r="S90" s="121" t="str">
        <f t="shared" ref="S90:S94" si="35">IF(Q90=0,"",IF(R90=0,"обратить внимание",IF(R90&gt;1,"перерасход","экономия")))</f>
        <v/>
      </c>
    </row>
    <row r="91" hidden="1" outlineLevel="1">
      <c r="A91" s="142" t="str">
        <f>IFERROR(VLOOKUP(B91,'Статьи'!$A$2:C113,3,0)," ")</f>
        <v> </v>
      </c>
      <c r="B91" s="125"/>
      <c r="C91" s="171"/>
      <c r="D91" s="172"/>
      <c r="E91" s="149"/>
      <c r="F91" s="149"/>
      <c r="G91" s="149"/>
      <c r="H91" s="149"/>
      <c r="I91" s="188">
        <f t="shared" si="33"/>
        <v>0</v>
      </c>
      <c r="J91" s="189"/>
      <c r="K91" s="149"/>
      <c r="L91" s="149"/>
      <c r="M91" s="149"/>
      <c r="N91" s="149"/>
      <c r="O91" s="149"/>
      <c r="P91" s="188">
        <f t="shared" si="34"/>
        <v>0</v>
      </c>
      <c r="Q91" s="132">
        <f t="shared" si="31"/>
        <v>0</v>
      </c>
      <c r="R91" s="133">
        <f t="shared" si="32"/>
        <v>0</v>
      </c>
      <c r="S91" s="121" t="str">
        <f t="shared" si="35"/>
        <v/>
      </c>
    </row>
    <row r="92" hidden="1" outlineLevel="1">
      <c r="A92" s="142" t="str">
        <f>IFERROR(VLOOKUP(B92,'Статьи'!$A$2:C114,3,0)," ")</f>
        <v> </v>
      </c>
      <c r="B92" s="125"/>
      <c r="C92" s="171"/>
      <c r="D92" s="172"/>
      <c r="E92" s="149"/>
      <c r="F92" s="149"/>
      <c r="G92" s="149"/>
      <c r="H92" s="149"/>
      <c r="I92" s="188">
        <f t="shared" si="33"/>
        <v>0</v>
      </c>
      <c r="J92" s="189"/>
      <c r="K92" s="149"/>
      <c r="L92" s="149"/>
      <c r="M92" s="149"/>
      <c r="N92" s="149"/>
      <c r="O92" s="149"/>
      <c r="P92" s="188">
        <f t="shared" si="34"/>
        <v>0</v>
      </c>
      <c r="Q92" s="132">
        <f t="shared" si="31"/>
        <v>0</v>
      </c>
      <c r="R92" s="133">
        <f t="shared" si="32"/>
        <v>0</v>
      </c>
      <c r="S92" s="121" t="str">
        <f t="shared" si="35"/>
        <v/>
      </c>
    </row>
    <row r="93" hidden="1" outlineLevel="1">
      <c r="A93" s="142" t="str">
        <f>IFERROR(VLOOKUP(B93,'Статьи'!$A$2:C115,3,0)," ")</f>
        <v> </v>
      </c>
      <c r="B93" s="125"/>
      <c r="C93" s="171"/>
      <c r="D93" s="172"/>
      <c r="E93" s="149"/>
      <c r="F93" s="149"/>
      <c r="G93" s="149"/>
      <c r="H93" s="149"/>
      <c r="I93" s="188">
        <f t="shared" si="33"/>
        <v>0</v>
      </c>
      <c r="J93" s="170"/>
      <c r="K93" s="149"/>
      <c r="L93" s="149"/>
      <c r="M93" s="149"/>
      <c r="N93" s="149"/>
      <c r="O93" s="149"/>
      <c r="P93" s="188">
        <f t="shared" si="34"/>
        <v>0</v>
      </c>
      <c r="Q93" s="132">
        <f t="shared" si="31"/>
        <v>0</v>
      </c>
      <c r="R93" s="133">
        <f t="shared" si="32"/>
        <v>0</v>
      </c>
      <c r="S93" s="121" t="str">
        <f t="shared" si="35"/>
        <v/>
      </c>
    </row>
    <row r="94" hidden="1" outlineLevel="1">
      <c r="A94" s="190" t="str">
        <f>IFERROR(VLOOKUP(B94,'Статьи'!$A$2:C116,3,0)," ")</f>
        <v> </v>
      </c>
      <c r="B94" s="125"/>
      <c r="C94" s="170"/>
      <c r="D94" s="149"/>
      <c r="E94" s="149"/>
      <c r="F94" s="149"/>
      <c r="G94" s="149"/>
      <c r="H94" s="149"/>
      <c r="I94" s="188">
        <f t="shared" si="33"/>
        <v>0</v>
      </c>
      <c r="J94" s="170"/>
      <c r="K94" s="149"/>
      <c r="L94" s="149"/>
      <c r="M94" s="149"/>
      <c r="N94" s="149"/>
      <c r="O94" s="149"/>
      <c r="P94" s="188">
        <f t="shared" si="34"/>
        <v>0</v>
      </c>
      <c r="Q94" s="132">
        <f t="shared" si="31"/>
        <v>0</v>
      </c>
      <c r="R94" s="133">
        <f t="shared" si="32"/>
        <v>0</v>
      </c>
      <c r="S94" s="121" t="str">
        <f t="shared" si="35"/>
        <v/>
      </c>
    </row>
    <row r="95" hidden="1" outlineLevel="1">
      <c r="A95" s="190"/>
      <c r="B95" s="125"/>
      <c r="C95" s="170"/>
      <c r="D95" s="149"/>
      <c r="E95" s="149"/>
      <c r="F95" s="149"/>
      <c r="G95" s="149"/>
      <c r="H95" s="149"/>
      <c r="I95" s="188">
        <f t="shared" si="33"/>
        <v>0</v>
      </c>
      <c r="J95" s="170"/>
      <c r="K95" s="149"/>
      <c r="L95" s="149"/>
      <c r="M95" s="149"/>
      <c r="N95" s="149"/>
      <c r="O95" s="149"/>
      <c r="P95" s="188">
        <f t="shared" ref="P95:P100" si="36">sum(F95:J95)</f>
        <v>0</v>
      </c>
      <c r="Q95" s="132">
        <f t="shared" si="31"/>
        <v>0</v>
      </c>
      <c r="R95" s="133">
        <f t="shared" si="32"/>
        <v>0</v>
      </c>
      <c r="S95" s="121" t="str">
        <f t="shared" ref="S95:S100" si="37">IF(Q95=0,"",IF(Q95=0,0,IF(R95&gt;1,"перерасход","экономия")))</f>
        <v/>
      </c>
    </row>
    <row r="96" hidden="1" outlineLevel="1">
      <c r="A96" s="190"/>
      <c r="B96" s="125"/>
      <c r="C96" s="170"/>
      <c r="D96" s="149"/>
      <c r="E96" s="149"/>
      <c r="F96" s="149"/>
      <c r="G96" s="149"/>
      <c r="H96" s="149"/>
      <c r="I96" s="188">
        <f t="shared" si="33"/>
        <v>0</v>
      </c>
      <c r="J96" s="170"/>
      <c r="K96" s="149"/>
      <c r="L96" s="149"/>
      <c r="M96" s="149"/>
      <c r="N96" s="149"/>
      <c r="O96" s="149"/>
      <c r="P96" s="188">
        <f t="shared" si="36"/>
        <v>0</v>
      </c>
      <c r="Q96" s="132">
        <f t="shared" si="31"/>
        <v>0</v>
      </c>
      <c r="R96" s="133">
        <f t="shared" si="32"/>
        <v>0</v>
      </c>
      <c r="S96" s="121" t="str">
        <f t="shared" si="37"/>
        <v/>
      </c>
    </row>
    <row r="97" hidden="1" outlineLevel="1">
      <c r="A97" s="190"/>
      <c r="B97" s="125"/>
      <c r="C97" s="170"/>
      <c r="D97" s="149"/>
      <c r="E97" s="149"/>
      <c r="F97" s="149"/>
      <c r="G97" s="149"/>
      <c r="H97" s="149"/>
      <c r="I97" s="188">
        <f t="shared" si="33"/>
        <v>0</v>
      </c>
      <c r="J97" s="170"/>
      <c r="K97" s="149"/>
      <c r="L97" s="149"/>
      <c r="M97" s="149"/>
      <c r="N97" s="149"/>
      <c r="O97" s="149"/>
      <c r="P97" s="188">
        <f t="shared" si="36"/>
        <v>0</v>
      </c>
      <c r="Q97" s="132">
        <f t="shared" si="31"/>
        <v>0</v>
      </c>
      <c r="R97" s="133">
        <f t="shared" si="32"/>
        <v>0</v>
      </c>
      <c r="S97" s="121" t="str">
        <f t="shared" si="37"/>
        <v/>
      </c>
    </row>
    <row r="98" hidden="1" outlineLevel="1">
      <c r="A98" s="190"/>
      <c r="B98" s="125"/>
      <c r="C98" s="170"/>
      <c r="D98" s="149"/>
      <c r="E98" s="149"/>
      <c r="F98" s="149"/>
      <c r="G98" s="149"/>
      <c r="H98" s="149"/>
      <c r="I98" s="188">
        <f t="shared" si="33"/>
        <v>0</v>
      </c>
      <c r="J98" s="170"/>
      <c r="K98" s="149"/>
      <c r="L98" s="149"/>
      <c r="M98" s="149"/>
      <c r="N98" s="149"/>
      <c r="O98" s="149"/>
      <c r="P98" s="188">
        <f t="shared" si="36"/>
        <v>0</v>
      </c>
      <c r="Q98" s="132">
        <f t="shared" si="31"/>
        <v>0</v>
      </c>
      <c r="R98" s="133">
        <f t="shared" si="32"/>
        <v>0</v>
      </c>
      <c r="S98" s="121" t="str">
        <f t="shared" si="37"/>
        <v/>
      </c>
    </row>
    <row r="99" hidden="1" outlineLevel="1">
      <c r="A99" s="190"/>
      <c r="B99" s="125"/>
      <c r="C99" s="170"/>
      <c r="D99" s="149"/>
      <c r="E99" s="149"/>
      <c r="F99" s="149"/>
      <c r="G99" s="149"/>
      <c r="H99" s="149"/>
      <c r="I99" s="188">
        <f t="shared" si="33"/>
        <v>0</v>
      </c>
      <c r="J99" s="170"/>
      <c r="K99" s="149"/>
      <c r="L99" s="149"/>
      <c r="M99" s="149"/>
      <c r="N99" s="149"/>
      <c r="O99" s="149"/>
      <c r="P99" s="188">
        <f t="shared" si="36"/>
        <v>0</v>
      </c>
      <c r="Q99" s="132">
        <f t="shared" si="31"/>
        <v>0</v>
      </c>
      <c r="R99" s="133">
        <f t="shared" si="32"/>
        <v>0</v>
      </c>
      <c r="S99" s="121" t="str">
        <f t="shared" si="37"/>
        <v/>
      </c>
    </row>
    <row r="100">
      <c r="A100" s="190"/>
      <c r="B100" s="125"/>
      <c r="C100" s="170"/>
      <c r="D100" s="149"/>
      <c r="E100" s="149"/>
      <c r="F100" s="149"/>
      <c r="G100" s="149"/>
      <c r="H100" s="149"/>
      <c r="I100" s="188">
        <f t="shared" si="33"/>
        <v>0</v>
      </c>
      <c r="J100" s="170"/>
      <c r="K100" s="149"/>
      <c r="L100" s="149"/>
      <c r="M100" s="149"/>
      <c r="N100" s="149"/>
      <c r="O100" s="149"/>
      <c r="P100" s="188">
        <f t="shared" si="36"/>
        <v>0</v>
      </c>
      <c r="Q100" s="132">
        <f t="shared" si="31"/>
        <v>0</v>
      </c>
      <c r="R100" s="133">
        <f t="shared" si="32"/>
        <v>0</v>
      </c>
      <c r="S100" s="121" t="str">
        <f t="shared" si="37"/>
        <v/>
      </c>
    </row>
    <row r="101">
      <c r="A101" s="135"/>
      <c r="B101" s="136" t="s">
        <v>90</v>
      </c>
      <c r="C101" s="137">
        <f t="shared" ref="C101:K101" si="38">SUM(C102:C131)</f>
        <v>-21942</v>
      </c>
      <c r="D101" s="138">
        <f t="shared" si="38"/>
        <v>-231</v>
      </c>
      <c r="E101" s="138">
        <f t="shared" si="38"/>
        <v>0</v>
      </c>
      <c r="F101" s="138">
        <f t="shared" si="38"/>
        <v>0</v>
      </c>
      <c r="G101" s="138">
        <f t="shared" si="38"/>
        <v>0</v>
      </c>
      <c r="H101" s="138">
        <f t="shared" si="38"/>
        <v>0</v>
      </c>
      <c r="I101" s="139">
        <f t="shared" si="38"/>
        <v>-22173</v>
      </c>
      <c r="J101" s="137">
        <f t="shared" si="38"/>
        <v>-14937.97</v>
      </c>
      <c r="K101" s="138">
        <f t="shared" si="38"/>
        <v>0</v>
      </c>
      <c r="L101" s="138"/>
      <c r="M101" s="138"/>
      <c r="N101" s="138"/>
      <c r="O101" s="138"/>
      <c r="P101" s="140">
        <f>SUM(P102:P131)</f>
        <v>-14937.97</v>
      </c>
      <c r="Q101" s="138">
        <f t="shared" si="31"/>
        <v>-7235.03</v>
      </c>
      <c r="R101" s="187">
        <f t="shared" si="32"/>
        <v>1.484338233</v>
      </c>
      <c r="S101" s="141" t="str">
        <f>IF(Q101=0,"",IF(R101&gt;1,"план не выполнен","выполнение"))</f>
        <v>план не выполнен</v>
      </c>
    </row>
    <row r="102">
      <c r="A102" s="142" t="str">
        <f>IFERROR(VLOOKUP(B102,'Статьи'!$A$2:C124,3,0)," ")</f>
        <v>1С</v>
      </c>
      <c r="B102" s="125" t="str">
        <f>IFERROR(__xludf.DUMMYFUNCTION("iferror(filter('Статьи'!$A$1:$A182,'Статьи'!$B$1:$B182=$B$101))"),"Аренда, коммунальные услуги")</f>
        <v>Аренда, коммунальные услуги</v>
      </c>
      <c r="C102" s="171">
        <v>-5000.0</v>
      </c>
      <c r="D102" s="172">
        <v>-23.0</v>
      </c>
      <c r="E102" s="149"/>
      <c r="F102" s="149"/>
      <c r="G102" s="149"/>
      <c r="H102" s="149"/>
      <c r="I102" s="188">
        <f t="shared" ref="I102:I141" si="39">sum(C102:H102)</f>
        <v>-5023</v>
      </c>
      <c r="J102" s="170">
        <v>-4500.0</v>
      </c>
      <c r="K102" s="149"/>
      <c r="L102" s="149"/>
      <c r="M102" s="149"/>
      <c r="N102" s="149"/>
      <c r="O102" s="149"/>
      <c r="P102" s="188">
        <f t="shared" ref="P102:P131" si="40">SUM(J102:K102)</f>
        <v>-4500</v>
      </c>
      <c r="Q102" s="132">
        <f t="shared" si="31"/>
        <v>-523</v>
      </c>
      <c r="R102" s="133">
        <f t="shared" si="32"/>
        <v>1.116222222</v>
      </c>
      <c r="S102" s="121" t="str">
        <f t="shared" ref="S102:S131" si="41">IF(Q102=0,"",IF(R102=0,"обратить внимание",IF(R102&gt;1,"перерасход","экономия")))</f>
        <v>перерасход</v>
      </c>
    </row>
    <row r="103">
      <c r="A103" s="191" t="str">
        <f>IFERROR(VLOOKUP(B103,'Статьи'!$A$2:C125,3,0)," ")</f>
        <v>1С</v>
      </c>
      <c r="B103" s="192" t="str">
        <f>IFERROR(__xludf.DUMMYFUNCTION("""COMPUTED_VALUE"""),"Аутсорсинг и прочие услуги")</f>
        <v>Аутсорсинг и прочие услуги</v>
      </c>
      <c r="C103" s="171">
        <v>-1200.0</v>
      </c>
      <c r="D103" s="172"/>
      <c r="E103" s="149"/>
      <c r="F103" s="149"/>
      <c r="G103" s="149"/>
      <c r="H103" s="149"/>
      <c r="I103" s="188">
        <f t="shared" si="39"/>
        <v>-1200</v>
      </c>
      <c r="J103" s="170">
        <v>-2147.0</v>
      </c>
      <c r="K103" s="149"/>
      <c r="L103" s="149"/>
      <c r="M103" s="149"/>
      <c r="N103" s="149"/>
      <c r="O103" s="149"/>
      <c r="P103" s="188">
        <f t="shared" si="40"/>
        <v>-2147</v>
      </c>
      <c r="Q103" s="132">
        <f t="shared" si="31"/>
        <v>947</v>
      </c>
      <c r="R103" s="133">
        <f t="shared" si="32"/>
        <v>0.5589194224</v>
      </c>
      <c r="S103" s="121" t="str">
        <f t="shared" si="41"/>
        <v>экономия</v>
      </c>
    </row>
    <row r="104">
      <c r="A104" s="193" t="str">
        <f>IFERROR(VLOOKUP(B104,'Статьи'!$A$2:C126,3,0)," ")</f>
        <v>1С</v>
      </c>
      <c r="B104" s="194" t="str">
        <f>IFERROR(__xludf.DUMMYFUNCTION("""COMPUTED_VALUE"""),"Командировочные расходы")</f>
        <v>Командировочные расходы</v>
      </c>
      <c r="C104" s="171">
        <v>-2000.0</v>
      </c>
      <c r="D104" s="172"/>
      <c r="E104" s="149"/>
      <c r="F104" s="149"/>
      <c r="G104" s="149"/>
      <c r="H104" s="149"/>
      <c r="I104" s="188">
        <f t="shared" si="39"/>
        <v>-2000</v>
      </c>
      <c r="J104" s="170">
        <v>-1800.0</v>
      </c>
      <c r="K104" s="149"/>
      <c r="L104" s="149"/>
      <c r="M104" s="149"/>
      <c r="N104" s="149"/>
      <c r="O104" s="149"/>
      <c r="P104" s="188">
        <f t="shared" si="40"/>
        <v>-1800</v>
      </c>
      <c r="Q104" s="132">
        <f t="shared" si="31"/>
        <v>-200</v>
      </c>
      <c r="R104" s="133">
        <f t="shared" si="32"/>
        <v>1.111111111</v>
      </c>
      <c r="S104" s="121" t="str">
        <f t="shared" si="41"/>
        <v>перерасход</v>
      </c>
    </row>
    <row r="105">
      <c r="A105" s="195" t="str">
        <f>IFERROR(VLOOKUP(B105,'Статьи'!$A$2:C127,3,0)," ")</f>
        <v>ДДС отчетного месяца. Без НДС!</v>
      </c>
      <c r="B105" s="196" t="str">
        <f>IFERROR(__xludf.DUMMYFUNCTION("""COMPUTED_VALUE"""),"Комиссии банка")</f>
        <v>Комиссии банка</v>
      </c>
      <c r="C105" s="171">
        <v>-100.0</v>
      </c>
      <c r="D105" s="172"/>
      <c r="E105" s="149"/>
      <c r="F105" s="149"/>
      <c r="G105" s="149"/>
      <c r="H105" s="149"/>
      <c r="I105" s="188">
        <f t="shared" si="39"/>
        <v>-100</v>
      </c>
      <c r="J105" s="170">
        <v>-100.0</v>
      </c>
      <c r="K105" s="149"/>
      <c r="L105" s="149"/>
      <c r="M105" s="149"/>
      <c r="N105" s="149"/>
      <c r="O105" s="149"/>
      <c r="P105" s="188">
        <f t="shared" si="40"/>
        <v>-100</v>
      </c>
      <c r="Q105" s="132">
        <f t="shared" si="31"/>
        <v>0</v>
      </c>
      <c r="R105" s="133">
        <f t="shared" si="32"/>
        <v>1</v>
      </c>
      <c r="S105" s="121" t="str">
        <f t="shared" si="41"/>
        <v/>
      </c>
    </row>
    <row r="106">
      <c r="A106" s="191" t="str">
        <f>IFERROR(VLOOKUP(B106,'Статьи'!$A$2:C128,3,0)," ")</f>
        <v>ДДС отчетного месяца. Без НДС!</v>
      </c>
      <c r="B106" s="192" t="str">
        <f>IFERROR(__xludf.DUMMYFUNCTION("""COMPUTED_VALUE"""),"Обучение сотрудников")</f>
        <v>Обучение сотрудников</v>
      </c>
      <c r="C106" s="171">
        <f>-8000</f>
        <v>-8000</v>
      </c>
      <c r="D106" s="172">
        <v>-148.0</v>
      </c>
      <c r="E106" s="149"/>
      <c r="F106" s="149"/>
      <c r="G106" s="149"/>
      <c r="H106" s="149"/>
      <c r="I106" s="188">
        <f t="shared" si="39"/>
        <v>-8148</v>
      </c>
      <c r="J106" s="170">
        <v>-5000.0</v>
      </c>
      <c r="K106" s="149"/>
      <c r="L106" s="149"/>
      <c r="M106" s="149"/>
      <c r="N106" s="149"/>
      <c r="O106" s="149"/>
      <c r="P106" s="188">
        <f t="shared" si="40"/>
        <v>-5000</v>
      </c>
      <c r="Q106" s="132">
        <f t="shared" si="31"/>
        <v>-3148</v>
      </c>
      <c r="R106" s="133">
        <f t="shared" si="32"/>
        <v>1.6296</v>
      </c>
      <c r="S106" s="121" t="str">
        <f t="shared" si="41"/>
        <v>перерасход</v>
      </c>
    </row>
    <row r="107">
      <c r="A107" s="142" t="str">
        <f>IFERROR(VLOOKUP(B107,'Статьи'!$A$2:C129,3,0)," ")</f>
        <v>ДДС отчетного месяца. Без НДС!</v>
      </c>
      <c r="B107" s="125" t="str">
        <f>IFERROR(__xludf.DUMMYFUNCTION("""COMPUTED_VALUE"""),"Подбор персонала")</f>
        <v>Подбор персонала</v>
      </c>
      <c r="C107" s="171">
        <f>-4832+590</f>
        <v>-4242</v>
      </c>
      <c r="D107" s="172"/>
      <c r="E107" s="149"/>
      <c r="F107" s="149"/>
      <c r="G107" s="149"/>
      <c r="H107" s="149"/>
      <c r="I107" s="188">
        <f t="shared" si="39"/>
        <v>-4242</v>
      </c>
      <c r="J107" s="189">
        <v>0.0</v>
      </c>
      <c r="K107" s="149"/>
      <c r="L107" s="149"/>
      <c r="M107" s="149"/>
      <c r="N107" s="149"/>
      <c r="O107" s="149"/>
      <c r="P107" s="188">
        <f t="shared" si="40"/>
        <v>0</v>
      </c>
      <c r="Q107" s="132">
        <f t="shared" si="31"/>
        <v>-4242</v>
      </c>
      <c r="R107" s="133">
        <f t="shared" si="32"/>
        <v>0</v>
      </c>
      <c r="S107" s="121" t="str">
        <f t="shared" si="41"/>
        <v>обратить внимание</v>
      </c>
    </row>
    <row r="108">
      <c r="A108" s="142" t="str">
        <f>IFERROR(VLOOKUP(B108,'Статьи'!$A$2:C130,3,0)," ")</f>
        <v>ДДС отчетного месяца. Без НДС!</v>
      </c>
      <c r="B108" s="125" t="str">
        <f>IFERROR(__xludf.DUMMYFUNCTION("""COMPUTED_VALUE"""),"Почтовые расходы")</f>
        <v>Почтовые расходы</v>
      </c>
      <c r="C108" s="171">
        <v>0.0</v>
      </c>
      <c r="D108" s="172"/>
      <c r="E108" s="149"/>
      <c r="F108" s="149"/>
      <c r="G108" s="149"/>
      <c r="H108" s="149"/>
      <c r="I108" s="188">
        <f t="shared" si="39"/>
        <v>0</v>
      </c>
      <c r="J108" s="170">
        <v>-400.0</v>
      </c>
      <c r="K108" s="149"/>
      <c r="L108" s="149"/>
      <c r="M108" s="149"/>
      <c r="N108" s="149"/>
      <c r="O108" s="149"/>
      <c r="P108" s="188">
        <f t="shared" si="40"/>
        <v>-400</v>
      </c>
      <c r="Q108" s="132">
        <f t="shared" si="31"/>
        <v>400</v>
      </c>
      <c r="R108" s="133">
        <f t="shared" si="32"/>
        <v>0</v>
      </c>
      <c r="S108" s="121" t="str">
        <f t="shared" si="41"/>
        <v>обратить внимание</v>
      </c>
    </row>
    <row r="109">
      <c r="A109" s="142" t="str">
        <f>IFERROR(VLOOKUP(B109,'Статьи'!$A$2:C131,3,0)," ")</f>
        <v>ДДС отчетного месяца. Без НДС!</v>
      </c>
      <c r="B109" s="125" t="str">
        <f>IFERROR(__xludf.DUMMYFUNCTION("""COMPUTED_VALUE"""),"Представительские расходы")</f>
        <v>Представительские расходы</v>
      </c>
      <c r="C109" s="171">
        <v>-900.0</v>
      </c>
      <c r="D109" s="172">
        <v>-60.0</v>
      </c>
      <c r="E109" s="149"/>
      <c r="F109" s="149"/>
      <c r="G109" s="149"/>
      <c r="H109" s="149"/>
      <c r="I109" s="188">
        <f t="shared" si="39"/>
        <v>-960</v>
      </c>
      <c r="J109" s="170">
        <v>-500.0</v>
      </c>
      <c r="K109" s="149"/>
      <c r="L109" s="149"/>
      <c r="M109" s="149"/>
      <c r="N109" s="149"/>
      <c r="O109" s="149"/>
      <c r="P109" s="188">
        <f t="shared" si="40"/>
        <v>-500</v>
      </c>
      <c r="Q109" s="132">
        <f t="shared" si="31"/>
        <v>-460</v>
      </c>
      <c r="R109" s="133">
        <f t="shared" si="32"/>
        <v>1.92</v>
      </c>
      <c r="S109" s="121" t="str">
        <f t="shared" si="41"/>
        <v>перерасход</v>
      </c>
    </row>
    <row r="110">
      <c r="A110" s="142" t="str">
        <f>IFERROR(VLOOKUP(B110,'Статьи'!$A$2:C132,3,0)," ")</f>
        <v>ДДС отчетного месяца. Без НДС!</v>
      </c>
      <c r="B110" s="125" t="str">
        <f>IFERROR(__xludf.DUMMYFUNCTION("""COMPUTED_VALUE"""),"Содержание офиса")</f>
        <v>Содержание офиса</v>
      </c>
      <c r="C110" s="171"/>
      <c r="D110" s="172"/>
      <c r="E110" s="149"/>
      <c r="F110" s="149"/>
      <c r="G110" s="149"/>
      <c r="H110" s="149"/>
      <c r="I110" s="188">
        <f t="shared" si="39"/>
        <v>0</v>
      </c>
      <c r="J110" s="189">
        <v>0.0</v>
      </c>
      <c r="K110" s="149"/>
      <c r="L110" s="149"/>
      <c r="M110" s="149"/>
      <c r="N110" s="149"/>
      <c r="O110" s="149"/>
      <c r="P110" s="188">
        <f t="shared" si="40"/>
        <v>0</v>
      </c>
      <c r="Q110" s="132">
        <f t="shared" si="31"/>
        <v>0</v>
      </c>
      <c r="R110" s="133">
        <f t="shared" si="32"/>
        <v>0</v>
      </c>
      <c r="S110" s="121" t="str">
        <f t="shared" si="41"/>
        <v/>
      </c>
    </row>
    <row r="111">
      <c r="A111" s="142" t="str">
        <f>IFERROR(VLOOKUP(B111,'Статьи'!$A$2:C133,3,0)," ")</f>
        <v>ДДС отчетного месяца. Без НДС!</v>
      </c>
      <c r="B111" s="125" t="str">
        <f>IFERROR(__xludf.DUMMYFUNCTION("""COMPUTED_VALUE"""),"Услуги связи + Интернет")</f>
        <v>Услуги связи + Интернет</v>
      </c>
      <c r="C111" s="171">
        <v>-500.0</v>
      </c>
      <c r="D111" s="172"/>
      <c r="E111" s="149"/>
      <c r="F111" s="149"/>
      <c r="G111" s="149"/>
      <c r="H111" s="149"/>
      <c r="I111" s="188">
        <f t="shared" si="39"/>
        <v>-500</v>
      </c>
      <c r="J111" s="189">
        <v>-490.96999999999997</v>
      </c>
      <c r="K111" s="149"/>
      <c r="L111" s="149"/>
      <c r="M111" s="149"/>
      <c r="N111" s="149"/>
      <c r="O111" s="149"/>
      <c r="P111" s="188">
        <f t="shared" si="40"/>
        <v>-490.97</v>
      </c>
      <c r="Q111" s="132">
        <f t="shared" si="31"/>
        <v>-9.03</v>
      </c>
      <c r="R111" s="133">
        <f t="shared" si="32"/>
        <v>1.018392162</v>
      </c>
      <c r="S111" s="121" t="str">
        <f t="shared" si="41"/>
        <v>перерасход</v>
      </c>
    </row>
    <row r="112">
      <c r="A112" s="142" t="str">
        <f>IFERROR(VLOOKUP(B112,'Статьи'!$A$2:C134,3,0)," ")</f>
        <v>ДДС отчетного месяца. Без НДС!</v>
      </c>
      <c r="B112" s="125" t="str">
        <f>IFERROR(__xludf.DUMMYFUNCTION("""COMPUTED_VALUE"""),"Штрафы")</f>
        <v>Штрафы</v>
      </c>
      <c r="C112" s="171"/>
      <c r="D112" s="172"/>
      <c r="E112" s="149"/>
      <c r="F112" s="149"/>
      <c r="G112" s="149"/>
      <c r="H112" s="149"/>
      <c r="I112" s="188">
        <f t="shared" si="39"/>
        <v>0</v>
      </c>
      <c r="J112" s="189"/>
      <c r="K112" s="149"/>
      <c r="L112" s="149"/>
      <c r="M112" s="149"/>
      <c r="N112" s="149"/>
      <c r="O112" s="149"/>
      <c r="P112" s="188">
        <f t="shared" si="40"/>
        <v>0</v>
      </c>
      <c r="Q112" s="132">
        <f t="shared" si="31"/>
        <v>0</v>
      </c>
      <c r="R112" s="133">
        <f t="shared" si="32"/>
        <v>0</v>
      </c>
      <c r="S112" s="121" t="str">
        <f t="shared" si="41"/>
        <v/>
      </c>
    </row>
    <row r="113" collapsed="1">
      <c r="A113" s="142" t="str">
        <f>IFERROR(VLOOKUP(B113,'Статьи'!$A$2:C135,3,0)," ")</f>
        <v> </v>
      </c>
      <c r="B113" s="125"/>
      <c r="C113" s="197"/>
      <c r="D113" s="149"/>
      <c r="E113" s="149"/>
      <c r="F113" s="149"/>
      <c r="G113" s="149"/>
      <c r="H113" s="149"/>
      <c r="I113" s="188">
        <f t="shared" si="39"/>
        <v>0</v>
      </c>
      <c r="J113" s="189"/>
      <c r="K113" s="149"/>
      <c r="L113" s="149"/>
      <c r="M113" s="149"/>
      <c r="N113" s="149"/>
      <c r="O113" s="149"/>
      <c r="P113" s="188">
        <f t="shared" si="40"/>
        <v>0</v>
      </c>
      <c r="Q113" s="132">
        <f t="shared" si="31"/>
        <v>0</v>
      </c>
      <c r="R113" s="133">
        <f t="shared" si="32"/>
        <v>0</v>
      </c>
      <c r="S113" s="121" t="str">
        <f t="shared" si="41"/>
        <v/>
      </c>
    </row>
    <row r="114" hidden="1" outlineLevel="1">
      <c r="A114" s="142" t="str">
        <f>IFERROR(VLOOKUP(B114,'Статьи'!$A$2:C136,3,0)," ")</f>
        <v> </v>
      </c>
      <c r="B114" s="125"/>
      <c r="C114" s="197"/>
      <c r="D114" s="149"/>
      <c r="E114" s="149"/>
      <c r="F114" s="149"/>
      <c r="G114" s="149"/>
      <c r="H114" s="149"/>
      <c r="I114" s="188">
        <f t="shared" si="39"/>
        <v>0</v>
      </c>
      <c r="J114" s="170"/>
      <c r="K114" s="149"/>
      <c r="L114" s="149"/>
      <c r="M114" s="149"/>
      <c r="N114" s="149"/>
      <c r="O114" s="149"/>
      <c r="P114" s="188">
        <f t="shared" si="40"/>
        <v>0</v>
      </c>
      <c r="Q114" s="132">
        <f t="shared" si="31"/>
        <v>0</v>
      </c>
      <c r="R114" s="133">
        <f t="shared" si="32"/>
        <v>0</v>
      </c>
      <c r="S114" s="121" t="str">
        <f t="shared" si="41"/>
        <v/>
      </c>
    </row>
    <row r="115" hidden="1" outlineLevel="1">
      <c r="A115" s="142" t="str">
        <f>IFERROR(VLOOKUP(B115,'Статьи'!$A$2:C137,3,0)," ")</f>
        <v> </v>
      </c>
      <c r="B115" s="125"/>
      <c r="C115" s="197"/>
      <c r="D115" s="149"/>
      <c r="E115" s="198"/>
      <c r="F115" s="198"/>
      <c r="G115" s="198"/>
      <c r="H115" s="198"/>
      <c r="I115" s="188">
        <f t="shared" si="39"/>
        <v>0</v>
      </c>
      <c r="J115" s="189"/>
      <c r="K115" s="149"/>
      <c r="L115" s="149"/>
      <c r="M115" s="149"/>
      <c r="N115" s="149"/>
      <c r="O115" s="149"/>
      <c r="P115" s="188">
        <f t="shared" si="40"/>
        <v>0</v>
      </c>
      <c r="Q115" s="132">
        <f t="shared" si="31"/>
        <v>0</v>
      </c>
      <c r="R115" s="133">
        <f t="shared" si="32"/>
        <v>0</v>
      </c>
      <c r="S115" s="121" t="str">
        <f t="shared" si="41"/>
        <v/>
      </c>
    </row>
    <row r="116" hidden="1" outlineLevel="1">
      <c r="A116" s="142" t="str">
        <f>IFERROR(VLOOKUP(B116,'Статьи'!$A$2:C138,3,0)," ")</f>
        <v> </v>
      </c>
      <c r="B116" s="125"/>
      <c r="C116" s="197"/>
      <c r="D116" s="149"/>
      <c r="E116" s="149"/>
      <c r="F116" s="149"/>
      <c r="G116" s="149"/>
      <c r="H116" s="149"/>
      <c r="I116" s="188">
        <f t="shared" si="39"/>
        <v>0</v>
      </c>
      <c r="J116" s="189"/>
      <c r="K116" s="149"/>
      <c r="L116" s="149"/>
      <c r="M116" s="149"/>
      <c r="N116" s="149"/>
      <c r="O116" s="149"/>
      <c r="P116" s="188">
        <f t="shared" si="40"/>
        <v>0</v>
      </c>
      <c r="Q116" s="132">
        <f t="shared" si="31"/>
        <v>0</v>
      </c>
      <c r="R116" s="133">
        <f t="shared" si="32"/>
        <v>0</v>
      </c>
      <c r="S116" s="121" t="str">
        <f t="shared" si="41"/>
        <v/>
      </c>
    </row>
    <row r="117" hidden="1" outlineLevel="1">
      <c r="A117" s="142" t="str">
        <f>IFERROR(VLOOKUP(B117,'Статьи'!$A$2:C139,3,0)," ")</f>
        <v> </v>
      </c>
      <c r="B117" s="125"/>
      <c r="C117" s="197"/>
      <c r="D117" s="149"/>
      <c r="E117" s="149"/>
      <c r="F117" s="149"/>
      <c r="G117" s="149"/>
      <c r="H117" s="149"/>
      <c r="I117" s="188">
        <f t="shared" si="39"/>
        <v>0</v>
      </c>
      <c r="J117" s="189"/>
      <c r="K117" s="149"/>
      <c r="L117" s="149"/>
      <c r="M117" s="149"/>
      <c r="N117" s="149"/>
      <c r="O117" s="149"/>
      <c r="P117" s="188">
        <f t="shared" si="40"/>
        <v>0</v>
      </c>
      <c r="Q117" s="132">
        <f t="shared" si="31"/>
        <v>0</v>
      </c>
      <c r="R117" s="133">
        <f t="shared" si="32"/>
        <v>0</v>
      </c>
      <c r="S117" s="121" t="str">
        <f t="shared" si="41"/>
        <v/>
      </c>
    </row>
    <row r="118" hidden="1" outlineLevel="1">
      <c r="A118" s="142" t="str">
        <f>IFERROR(VLOOKUP(B118,'Статьи'!$A$2:C140,3,0)," ")</f>
        <v> </v>
      </c>
      <c r="B118" s="125"/>
      <c r="C118" s="197"/>
      <c r="D118" s="149"/>
      <c r="E118" s="149"/>
      <c r="F118" s="149"/>
      <c r="G118" s="149"/>
      <c r="H118" s="149"/>
      <c r="I118" s="188">
        <f t="shared" si="39"/>
        <v>0</v>
      </c>
      <c r="J118" s="170"/>
      <c r="K118" s="149"/>
      <c r="L118" s="149"/>
      <c r="M118" s="149"/>
      <c r="N118" s="149"/>
      <c r="O118" s="149"/>
      <c r="P118" s="188">
        <f t="shared" si="40"/>
        <v>0</v>
      </c>
      <c r="Q118" s="132">
        <f t="shared" si="31"/>
        <v>0</v>
      </c>
      <c r="R118" s="133">
        <f t="shared" si="32"/>
        <v>0</v>
      </c>
      <c r="S118" s="121" t="str">
        <f t="shared" si="41"/>
        <v/>
      </c>
    </row>
    <row r="119" hidden="1" outlineLevel="1">
      <c r="A119" s="142" t="str">
        <f>IFERROR(VLOOKUP(B119,'Статьи'!$A$2:C141,3,0)," ")</f>
        <v> </v>
      </c>
      <c r="B119" s="125"/>
      <c r="C119" s="197"/>
      <c r="D119" s="149"/>
      <c r="E119" s="149"/>
      <c r="F119" s="149"/>
      <c r="G119" s="149"/>
      <c r="H119" s="149"/>
      <c r="I119" s="188">
        <f t="shared" si="39"/>
        <v>0</v>
      </c>
      <c r="J119" s="189"/>
      <c r="K119" s="149"/>
      <c r="L119" s="149"/>
      <c r="M119" s="149"/>
      <c r="N119" s="149"/>
      <c r="O119" s="149"/>
      <c r="P119" s="188">
        <f t="shared" si="40"/>
        <v>0</v>
      </c>
      <c r="Q119" s="132">
        <f t="shared" si="31"/>
        <v>0</v>
      </c>
      <c r="R119" s="133">
        <f t="shared" si="32"/>
        <v>0</v>
      </c>
      <c r="S119" s="121" t="str">
        <f t="shared" si="41"/>
        <v/>
      </c>
    </row>
    <row r="120" hidden="1" outlineLevel="1">
      <c r="A120" s="142" t="str">
        <f>IFERROR(VLOOKUP(B120,'Статьи'!$A$2:C142,3,0)," ")</f>
        <v> </v>
      </c>
      <c r="B120" s="125"/>
      <c r="C120" s="197"/>
      <c r="D120" s="149"/>
      <c r="E120" s="149"/>
      <c r="F120" s="149"/>
      <c r="G120" s="149"/>
      <c r="H120" s="149"/>
      <c r="I120" s="188">
        <f t="shared" si="39"/>
        <v>0</v>
      </c>
      <c r="J120" s="189"/>
      <c r="K120" s="149"/>
      <c r="L120" s="149"/>
      <c r="M120" s="149"/>
      <c r="N120" s="149"/>
      <c r="O120" s="149"/>
      <c r="P120" s="188">
        <f t="shared" si="40"/>
        <v>0</v>
      </c>
      <c r="Q120" s="132">
        <f t="shared" si="31"/>
        <v>0</v>
      </c>
      <c r="R120" s="133">
        <f t="shared" si="32"/>
        <v>0</v>
      </c>
      <c r="S120" s="121" t="str">
        <f t="shared" si="41"/>
        <v/>
      </c>
    </row>
    <row r="121" hidden="1" outlineLevel="1">
      <c r="A121" s="142" t="str">
        <f>IFERROR(VLOOKUP(B121,'Статьи'!$A$2:C143,3,0)," ")</f>
        <v> </v>
      </c>
      <c r="B121" s="125"/>
      <c r="C121" s="197"/>
      <c r="D121" s="149"/>
      <c r="E121" s="149"/>
      <c r="F121" s="149"/>
      <c r="G121" s="149"/>
      <c r="H121" s="149"/>
      <c r="I121" s="188">
        <f t="shared" si="39"/>
        <v>0</v>
      </c>
      <c r="J121" s="170"/>
      <c r="K121" s="149"/>
      <c r="L121" s="149"/>
      <c r="M121" s="149"/>
      <c r="N121" s="149"/>
      <c r="O121" s="149"/>
      <c r="P121" s="188">
        <f t="shared" si="40"/>
        <v>0</v>
      </c>
      <c r="Q121" s="132">
        <f t="shared" si="31"/>
        <v>0</v>
      </c>
      <c r="R121" s="133">
        <f t="shared" si="32"/>
        <v>0</v>
      </c>
      <c r="S121" s="121" t="str">
        <f t="shared" si="41"/>
        <v/>
      </c>
    </row>
    <row r="122" hidden="1" outlineLevel="1">
      <c r="A122" s="142" t="str">
        <f>IFERROR(VLOOKUP(B122,'Статьи'!$A$2:C144,3,0)," ")</f>
        <v> </v>
      </c>
      <c r="B122" s="125"/>
      <c r="C122" s="197"/>
      <c r="D122" s="149"/>
      <c r="E122" s="149"/>
      <c r="F122" s="149"/>
      <c r="G122" s="149"/>
      <c r="H122" s="149"/>
      <c r="I122" s="188">
        <f t="shared" si="39"/>
        <v>0</v>
      </c>
      <c r="J122" s="189"/>
      <c r="K122" s="149"/>
      <c r="L122" s="149"/>
      <c r="M122" s="149"/>
      <c r="N122" s="149"/>
      <c r="O122" s="149"/>
      <c r="P122" s="188">
        <f t="shared" si="40"/>
        <v>0</v>
      </c>
      <c r="Q122" s="132">
        <f t="shared" si="31"/>
        <v>0</v>
      </c>
      <c r="R122" s="133">
        <f t="shared" si="32"/>
        <v>0</v>
      </c>
      <c r="S122" s="121" t="str">
        <f t="shared" si="41"/>
        <v/>
      </c>
    </row>
    <row r="123" hidden="1" outlineLevel="1">
      <c r="A123" s="142" t="str">
        <f>IFERROR(VLOOKUP(B123,'Статьи'!$A$2:C145,3,0)," ")</f>
        <v> </v>
      </c>
      <c r="B123" s="125"/>
      <c r="C123" s="197"/>
      <c r="D123" s="149"/>
      <c r="E123" s="149"/>
      <c r="F123" s="149"/>
      <c r="G123" s="149"/>
      <c r="H123" s="149"/>
      <c r="I123" s="188">
        <f t="shared" si="39"/>
        <v>0</v>
      </c>
      <c r="J123" s="170"/>
      <c r="K123" s="149"/>
      <c r="L123" s="149"/>
      <c r="M123" s="149"/>
      <c r="N123" s="149"/>
      <c r="O123" s="149"/>
      <c r="P123" s="188">
        <f t="shared" si="40"/>
        <v>0</v>
      </c>
      <c r="Q123" s="132">
        <f t="shared" si="31"/>
        <v>0</v>
      </c>
      <c r="R123" s="133">
        <f t="shared" si="32"/>
        <v>0</v>
      </c>
      <c r="S123" s="121" t="str">
        <f t="shared" si="41"/>
        <v/>
      </c>
    </row>
    <row r="124" hidden="1" outlineLevel="1">
      <c r="A124" s="142" t="str">
        <f>IFERROR(VLOOKUP(B124,'Статьи'!$A$2:C146,3,0)," ")</f>
        <v> </v>
      </c>
      <c r="B124" s="125"/>
      <c r="C124" s="170"/>
      <c r="D124" s="149"/>
      <c r="E124" s="149"/>
      <c r="F124" s="149"/>
      <c r="G124" s="149"/>
      <c r="H124" s="149"/>
      <c r="I124" s="188">
        <f t="shared" si="39"/>
        <v>0</v>
      </c>
      <c r="J124" s="170"/>
      <c r="K124" s="149"/>
      <c r="L124" s="149"/>
      <c r="M124" s="149"/>
      <c r="N124" s="149"/>
      <c r="O124" s="149"/>
      <c r="P124" s="188">
        <f t="shared" si="40"/>
        <v>0</v>
      </c>
      <c r="Q124" s="132">
        <f t="shared" si="31"/>
        <v>0</v>
      </c>
      <c r="R124" s="133">
        <f t="shared" si="32"/>
        <v>0</v>
      </c>
      <c r="S124" s="121" t="str">
        <f t="shared" si="41"/>
        <v/>
      </c>
    </row>
    <row r="125" hidden="1" outlineLevel="1">
      <c r="A125" s="142" t="str">
        <f>IFERROR(VLOOKUP(B125,'Статьи'!$A$2:C147,3,0)," ")</f>
        <v> </v>
      </c>
      <c r="B125" s="125"/>
      <c r="C125" s="170"/>
      <c r="D125" s="149"/>
      <c r="E125" s="149"/>
      <c r="F125" s="149"/>
      <c r="G125" s="149"/>
      <c r="H125" s="149"/>
      <c r="I125" s="188">
        <f t="shared" si="39"/>
        <v>0</v>
      </c>
      <c r="J125" s="170"/>
      <c r="K125" s="149"/>
      <c r="L125" s="149"/>
      <c r="M125" s="149"/>
      <c r="N125" s="149"/>
      <c r="O125" s="149"/>
      <c r="P125" s="188">
        <f t="shared" si="40"/>
        <v>0</v>
      </c>
      <c r="Q125" s="132">
        <f t="shared" si="31"/>
        <v>0</v>
      </c>
      <c r="R125" s="133">
        <f t="shared" si="32"/>
        <v>0</v>
      </c>
      <c r="S125" s="121" t="str">
        <f t="shared" si="41"/>
        <v/>
      </c>
    </row>
    <row r="126" hidden="1" outlineLevel="1">
      <c r="A126" s="142" t="str">
        <f>IFERROR(VLOOKUP(B126,'Статьи'!$A$2:C148,3,0)," ")</f>
        <v> </v>
      </c>
      <c r="B126" s="125"/>
      <c r="C126" s="170"/>
      <c r="D126" s="149"/>
      <c r="E126" s="149"/>
      <c r="F126" s="149"/>
      <c r="G126" s="149"/>
      <c r="H126" s="149"/>
      <c r="I126" s="188">
        <f t="shared" si="39"/>
        <v>0</v>
      </c>
      <c r="J126" s="170"/>
      <c r="K126" s="149"/>
      <c r="L126" s="149"/>
      <c r="M126" s="149"/>
      <c r="N126" s="149"/>
      <c r="O126" s="149"/>
      <c r="P126" s="188">
        <f t="shared" si="40"/>
        <v>0</v>
      </c>
      <c r="Q126" s="132">
        <f t="shared" si="31"/>
        <v>0</v>
      </c>
      <c r="R126" s="133">
        <f t="shared" si="32"/>
        <v>0</v>
      </c>
      <c r="S126" s="121" t="str">
        <f t="shared" si="41"/>
        <v/>
      </c>
    </row>
    <row r="127" hidden="1" outlineLevel="1">
      <c r="A127" s="142" t="str">
        <f>IFERROR(VLOOKUP(B127,'Статьи'!$A$2:C149,3,0)," ")</f>
        <v> </v>
      </c>
      <c r="B127" s="125"/>
      <c r="C127" s="170"/>
      <c r="D127" s="149"/>
      <c r="E127" s="149"/>
      <c r="F127" s="149"/>
      <c r="G127" s="149"/>
      <c r="H127" s="149"/>
      <c r="I127" s="188">
        <f t="shared" si="39"/>
        <v>0</v>
      </c>
      <c r="J127" s="170"/>
      <c r="K127" s="149"/>
      <c r="L127" s="149"/>
      <c r="M127" s="149"/>
      <c r="N127" s="149"/>
      <c r="O127" s="149"/>
      <c r="P127" s="188">
        <f t="shared" si="40"/>
        <v>0</v>
      </c>
      <c r="Q127" s="132">
        <f t="shared" si="31"/>
        <v>0</v>
      </c>
      <c r="R127" s="133">
        <f t="shared" si="32"/>
        <v>0</v>
      </c>
      <c r="S127" s="121" t="str">
        <f t="shared" si="41"/>
        <v/>
      </c>
    </row>
    <row r="128" hidden="1" outlineLevel="1">
      <c r="A128" s="142" t="str">
        <f>IFERROR(VLOOKUP(B128,'Статьи'!$A$2:C150,3,0)," ")</f>
        <v> </v>
      </c>
      <c r="B128" s="125"/>
      <c r="C128" s="170"/>
      <c r="D128" s="149"/>
      <c r="E128" s="149"/>
      <c r="F128" s="149"/>
      <c r="G128" s="149"/>
      <c r="H128" s="149"/>
      <c r="I128" s="188">
        <f t="shared" si="39"/>
        <v>0</v>
      </c>
      <c r="J128" s="170"/>
      <c r="K128" s="149"/>
      <c r="L128" s="149"/>
      <c r="M128" s="149"/>
      <c r="N128" s="149"/>
      <c r="O128" s="149"/>
      <c r="P128" s="188">
        <f t="shared" si="40"/>
        <v>0</v>
      </c>
      <c r="Q128" s="132">
        <f t="shared" si="31"/>
        <v>0</v>
      </c>
      <c r="R128" s="133">
        <f t="shared" si="32"/>
        <v>0</v>
      </c>
      <c r="S128" s="121" t="str">
        <f t="shared" si="41"/>
        <v/>
      </c>
    </row>
    <row r="129" hidden="1" outlineLevel="1">
      <c r="A129" s="142" t="str">
        <f>IFERROR(VLOOKUP(B129,'Статьи'!$A$2:C151,3,0)," ")</f>
        <v> </v>
      </c>
      <c r="B129" s="125"/>
      <c r="C129" s="170"/>
      <c r="D129" s="149"/>
      <c r="E129" s="149"/>
      <c r="F129" s="149"/>
      <c r="G129" s="149"/>
      <c r="H129" s="149"/>
      <c r="I129" s="188">
        <f t="shared" si="39"/>
        <v>0</v>
      </c>
      <c r="J129" s="170"/>
      <c r="K129" s="149"/>
      <c r="L129" s="149"/>
      <c r="M129" s="149"/>
      <c r="N129" s="149"/>
      <c r="O129" s="149"/>
      <c r="P129" s="188">
        <f t="shared" si="40"/>
        <v>0</v>
      </c>
      <c r="Q129" s="132">
        <f t="shared" si="31"/>
        <v>0</v>
      </c>
      <c r="R129" s="133">
        <f t="shared" si="32"/>
        <v>0</v>
      </c>
      <c r="S129" s="121" t="str">
        <f t="shared" si="41"/>
        <v/>
      </c>
    </row>
    <row r="130" hidden="1" outlineLevel="1">
      <c r="A130" s="142" t="str">
        <f>IFERROR(VLOOKUP(B130,'Статьи'!$A$2:C152,3,0)," ")</f>
        <v> </v>
      </c>
      <c r="B130" s="125"/>
      <c r="C130" s="170"/>
      <c r="D130" s="149"/>
      <c r="E130" s="149"/>
      <c r="F130" s="149"/>
      <c r="G130" s="149"/>
      <c r="H130" s="149"/>
      <c r="I130" s="188">
        <f t="shared" si="39"/>
        <v>0</v>
      </c>
      <c r="J130" s="170"/>
      <c r="K130" s="149"/>
      <c r="L130" s="149"/>
      <c r="M130" s="149"/>
      <c r="N130" s="149"/>
      <c r="O130" s="149"/>
      <c r="P130" s="188">
        <f t="shared" si="40"/>
        <v>0</v>
      </c>
      <c r="Q130" s="132">
        <f t="shared" si="31"/>
        <v>0</v>
      </c>
      <c r="R130" s="133">
        <f t="shared" si="32"/>
        <v>0</v>
      </c>
      <c r="S130" s="121" t="str">
        <f t="shared" si="41"/>
        <v/>
      </c>
    </row>
    <row r="131">
      <c r="A131" s="142" t="str">
        <f>IFERROR(VLOOKUP(B131,'Статьи'!$A$2:C153,3,0)," ")</f>
        <v> </v>
      </c>
      <c r="B131" s="125"/>
      <c r="C131" s="170"/>
      <c r="D131" s="149"/>
      <c r="E131" s="149"/>
      <c r="F131" s="149"/>
      <c r="G131" s="149"/>
      <c r="H131" s="149"/>
      <c r="I131" s="188">
        <f t="shared" si="39"/>
        <v>0</v>
      </c>
      <c r="J131" s="170"/>
      <c r="K131" s="149"/>
      <c r="L131" s="149"/>
      <c r="M131" s="149"/>
      <c r="N131" s="149"/>
      <c r="O131" s="149"/>
      <c r="P131" s="188">
        <f t="shared" si="40"/>
        <v>0</v>
      </c>
      <c r="Q131" s="132">
        <f t="shared" si="31"/>
        <v>0</v>
      </c>
      <c r="R131" s="133">
        <f t="shared" si="32"/>
        <v>0</v>
      </c>
      <c r="S131" s="121" t="str">
        <f t="shared" si="41"/>
        <v/>
      </c>
    </row>
    <row r="132">
      <c r="A132" s="135"/>
      <c r="B132" s="136" t="s">
        <v>107</v>
      </c>
      <c r="C132" s="137">
        <f t="shared" ref="C132:H132" si="42">SUM(C133:C141)</f>
        <v>-20</v>
      </c>
      <c r="D132" s="138">
        <f t="shared" si="42"/>
        <v>0</v>
      </c>
      <c r="E132" s="138">
        <f t="shared" si="42"/>
        <v>0</v>
      </c>
      <c r="F132" s="138">
        <f t="shared" si="42"/>
        <v>0</v>
      </c>
      <c r="G132" s="138">
        <f t="shared" si="42"/>
        <v>0</v>
      </c>
      <c r="H132" s="138">
        <f t="shared" si="42"/>
        <v>0</v>
      </c>
      <c r="I132" s="139">
        <f t="shared" si="39"/>
        <v>-20</v>
      </c>
      <c r="J132" s="137">
        <f t="shared" ref="J132:P132" si="43">SUM(J133:J141)</f>
        <v>-40</v>
      </c>
      <c r="K132" s="138">
        <f t="shared" si="43"/>
        <v>0</v>
      </c>
      <c r="L132" s="138">
        <f t="shared" si="43"/>
        <v>0</v>
      </c>
      <c r="M132" s="138">
        <f t="shared" si="43"/>
        <v>0</v>
      </c>
      <c r="N132" s="138">
        <f t="shared" si="43"/>
        <v>0</v>
      </c>
      <c r="O132" s="138">
        <f t="shared" si="43"/>
        <v>0</v>
      </c>
      <c r="P132" s="140">
        <f t="shared" si="43"/>
        <v>-40</v>
      </c>
      <c r="Q132" s="138">
        <f t="shared" si="31"/>
        <v>20</v>
      </c>
      <c r="R132" s="187">
        <f t="shared" si="32"/>
        <v>0.5</v>
      </c>
      <c r="S132" s="141" t="str">
        <f>IF(Q132=0,"",IF(R132&gt;1,"план не выполнен","выполнение"))</f>
        <v>выполнение</v>
      </c>
    </row>
    <row r="133" collapsed="1">
      <c r="A133" s="142" t="str">
        <f>IFERROR(VLOOKUP(B133,'Статьи'!$A$2:C155,3,0)," ")</f>
        <v>ДДС отчетного месяца. Без НДС!</v>
      </c>
      <c r="B133" s="125" t="str">
        <f>IFERROR(__xludf.DUMMYFUNCTION("iferror(filter('Статьи'!$A$1:$A182,'Статьи'!$B$1:$B182=$B$132))"),"Подписка на сайты по поиску клиентов")</f>
        <v>Подписка на сайты по поиску клиентов</v>
      </c>
      <c r="C133" s="170">
        <v>-20.0</v>
      </c>
      <c r="D133" s="149"/>
      <c r="E133" s="149"/>
      <c r="F133" s="149"/>
      <c r="G133" s="149"/>
      <c r="H133" s="149"/>
      <c r="I133" s="188">
        <f t="shared" si="39"/>
        <v>-20</v>
      </c>
      <c r="J133" s="170">
        <v>-40.0</v>
      </c>
      <c r="K133" s="149"/>
      <c r="L133" s="149"/>
      <c r="M133" s="149"/>
      <c r="N133" s="149"/>
      <c r="O133" s="149"/>
      <c r="P133" s="188">
        <f t="shared" ref="P133:P140" si="44">SUM(J133:K133)</f>
        <v>-40</v>
      </c>
      <c r="Q133" s="132">
        <f t="shared" si="31"/>
        <v>20</v>
      </c>
      <c r="R133" s="133">
        <f t="shared" si="32"/>
        <v>0.5</v>
      </c>
      <c r="S133" s="121" t="str">
        <f t="shared" ref="S133:S141" si="45">IF(Q133=0,"",IF(R133=0,"обратить внимание",IF(R133&gt;1,"перерасход","экономия")))</f>
        <v>экономия</v>
      </c>
    </row>
    <row r="134" hidden="1" outlineLevel="1">
      <c r="A134" s="142" t="str">
        <f>IFERROR(VLOOKUP(B134,'Статьи'!$A$2:C156,3,0)," ")</f>
        <v> </v>
      </c>
      <c r="B134" s="125"/>
      <c r="C134" s="170"/>
      <c r="D134" s="149"/>
      <c r="E134" s="149"/>
      <c r="F134" s="149"/>
      <c r="G134" s="149"/>
      <c r="H134" s="149"/>
      <c r="I134" s="188">
        <f t="shared" si="39"/>
        <v>0</v>
      </c>
      <c r="J134" s="170"/>
      <c r="K134" s="149"/>
      <c r="L134" s="149"/>
      <c r="M134" s="149"/>
      <c r="N134" s="149"/>
      <c r="O134" s="149"/>
      <c r="P134" s="188">
        <f t="shared" si="44"/>
        <v>0</v>
      </c>
      <c r="Q134" s="132">
        <f t="shared" si="31"/>
        <v>0</v>
      </c>
      <c r="R134" s="133">
        <f t="shared" si="32"/>
        <v>0</v>
      </c>
      <c r="S134" s="121" t="str">
        <f t="shared" si="45"/>
        <v/>
      </c>
    </row>
    <row r="135" hidden="1" outlineLevel="1">
      <c r="A135" s="175" t="str">
        <f>IFERROR(VLOOKUP(B135,'Статьи'!$A$2:C157,3,0)," ")</f>
        <v> </v>
      </c>
      <c r="B135" s="175"/>
      <c r="C135" s="170"/>
      <c r="D135" s="149"/>
      <c r="E135" s="149"/>
      <c r="F135" s="149"/>
      <c r="G135" s="149"/>
      <c r="H135" s="149"/>
      <c r="I135" s="188">
        <f t="shared" si="39"/>
        <v>0</v>
      </c>
      <c r="J135" s="170"/>
      <c r="K135" s="149"/>
      <c r="L135" s="149"/>
      <c r="M135" s="149"/>
      <c r="N135" s="149"/>
      <c r="O135" s="149"/>
      <c r="P135" s="188">
        <f t="shared" si="44"/>
        <v>0</v>
      </c>
      <c r="Q135" s="132">
        <f t="shared" si="31"/>
        <v>0</v>
      </c>
      <c r="R135" s="133">
        <f t="shared" si="32"/>
        <v>0</v>
      </c>
      <c r="S135" s="121" t="str">
        <f t="shared" si="45"/>
        <v/>
      </c>
    </row>
    <row r="136" hidden="1" outlineLevel="1">
      <c r="A136" s="175" t="str">
        <f>IFERROR(VLOOKUP(B136,'Статьи'!$A$2:C158,3,0)," ")</f>
        <v> </v>
      </c>
      <c r="B136" s="175"/>
      <c r="C136" s="170"/>
      <c r="D136" s="149"/>
      <c r="E136" s="149"/>
      <c r="F136" s="149"/>
      <c r="G136" s="149"/>
      <c r="H136" s="149"/>
      <c r="I136" s="188">
        <f t="shared" si="39"/>
        <v>0</v>
      </c>
      <c r="J136" s="170"/>
      <c r="K136" s="149"/>
      <c r="L136" s="149"/>
      <c r="M136" s="149"/>
      <c r="N136" s="149"/>
      <c r="O136" s="149"/>
      <c r="P136" s="188">
        <f t="shared" si="44"/>
        <v>0</v>
      </c>
      <c r="Q136" s="132">
        <f t="shared" si="31"/>
        <v>0</v>
      </c>
      <c r="R136" s="133">
        <f t="shared" si="32"/>
        <v>0</v>
      </c>
      <c r="S136" s="121" t="str">
        <f t="shared" si="45"/>
        <v/>
      </c>
    </row>
    <row r="137" hidden="1" outlineLevel="1">
      <c r="A137" s="175" t="str">
        <f>IFERROR(VLOOKUP(B137,'Статьи'!$A$2:C159,3,0)," ")</f>
        <v> </v>
      </c>
      <c r="B137" s="175"/>
      <c r="C137" s="170"/>
      <c r="D137" s="149"/>
      <c r="E137" s="149"/>
      <c r="F137" s="149"/>
      <c r="G137" s="149"/>
      <c r="H137" s="149"/>
      <c r="I137" s="188">
        <f t="shared" si="39"/>
        <v>0</v>
      </c>
      <c r="J137" s="170"/>
      <c r="K137" s="149"/>
      <c r="L137" s="149"/>
      <c r="M137" s="149"/>
      <c r="N137" s="149"/>
      <c r="O137" s="149"/>
      <c r="P137" s="188">
        <f t="shared" si="44"/>
        <v>0</v>
      </c>
      <c r="Q137" s="132">
        <f t="shared" si="31"/>
        <v>0</v>
      </c>
      <c r="R137" s="133">
        <f t="shared" si="32"/>
        <v>0</v>
      </c>
      <c r="S137" s="121" t="str">
        <f t="shared" si="45"/>
        <v/>
      </c>
    </row>
    <row r="138" hidden="1" outlineLevel="1">
      <c r="A138" s="175" t="str">
        <f>IFERROR(VLOOKUP(B138,'Статьи'!$A$2:C160,3,0)," ")</f>
        <v> </v>
      </c>
      <c r="B138" s="175"/>
      <c r="C138" s="170"/>
      <c r="D138" s="149"/>
      <c r="E138" s="149"/>
      <c r="F138" s="149"/>
      <c r="G138" s="149"/>
      <c r="H138" s="149"/>
      <c r="I138" s="188">
        <f t="shared" si="39"/>
        <v>0</v>
      </c>
      <c r="J138" s="170"/>
      <c r="K138" s="149"/>
      <c r="L138" s="149"/>
      <c r="M138" s="149"/>
      <c r="N138" s="149"/>
      <c r="O138" s="149"/>
      <c r="P138" s="188">
        <f t="shared" si="44"/>
        <v>0</v>
      </c>
      <c r="Q138" s="132">
        <f t="shared" si="31"/>
        <v>0</v>
      </c>
      <c r="R138" s="133">
        <f t="shared" si="32"/>
        <v>0</v>
      </c>
      <c r="S138" s="121" t="str">
        <f t="shared" si="45"/>
        <v/>
      </c>
    </row>
    <row r="139" hidden="1" outlineLevel="1">
      <c r="A139" s="175" t="str">
        <f>IFERROR(VLOOKUP(B139,'Статьи'!$A$2:C161,3,0)," ")</f>
        <v> </v>
      </c>
      <c r="B139" s="175"/>
      <c r="C139" s="170"/>
      <c r="D139" s="149"/>
      <c r="E139" s="149"/>
      <c r="F139" s="149"/>
      <c r="G139" s="149"/>
      <c r="H139" s="149"/>
      <c r="I139" s="188">
        <f t="shared" si="39"/>
        <v>0</v>
      </c>
      <c r="J139" s="170"/>
      <c r="K139" s="149"/>
      <c r="L139" s="149"/>
      <c r="M139" s="149"/>
      <c r="N139" s="149"/>
      <c r="O139" s="149"/>
      <c r="P139" s="188">
        <f t="shared" si="44"/>
        <v>0</v>
      </c>
      <c r="Q139" s="132">
        <f t="shared" si="31"/>
        <v>0</v>
      </c>
      <c r="R139" s="133">
        <f t="shared" si="32"/>
        <v>0</v>
      </c>
      <c r="S139" s="121" t="str">
        <f t="shared" si="45"/>
        <v/>
      </c>
    </row>
    <row r="140" hidden="1" outlineLevel="1">
      <c r="A140" s="175" t="str">
        <f>IFERROR(VLOOKUP(B140,'Статьи'!$A$2:C162,3,0)," ")</f>
        <v> </v>
      </c>
      <c r="B140" s="175"/>
      <c r="C140" s="170"/>
      <c r="D140" s="149"/>
      <c r="E140" s="149"/>
      <c r="F140" s="149"/>
      <c r="G140" s="149"/>
      <c r="H140" s="149"/>
      <c r="I140" s="188">
        <f t="shared" si="39"/>
        <v>0</v>
      </c>
      <c r="J140" s="170"/>
      <c r="K140" s="149"/>
      <c r="L140" s="149"/>
      <c r="M140" s="149"/>
      <c r="N140" s="149"/>
      <c r="O140" s="149"/>
      <c r="P140" s="188">
        <f t="shared" si="44"/>
        <v>0</v>
      </c>
      <c r="Q140" s="132">
        <f t="shared" si="31"/>
        <v>0</v>
      </c>
      <c r="R140" s="133">
        <f t="shared" si="32"/>
        <v>0</v>
      </c>
      <c r="S140" s="121" t="str">
        <f t="shared" si="45"/>
        <v/>
      </c>
    </row>
    <row r="141">
      <c r="A141" s="175" t="str">
        <f>IFERROR(VLOOKUP(B141,'Статьи'!$A$2:C163,3,0)," ")</f>
        <v> </v>
      </c>
      <c r="B141" s="175"/>
      <c r="C141" s="170"/>
      <c r="D141" s="149"/>
      <c r="E141" s="149"/>
      <c r="F141" s="149"/>
      <c r="G141" s="149"/>
      <c r="H141" s="149"/>
      <c r="I141" s="188">
        <f t="shared" si="39"/>
        <v>0</v>
      </c>
      <c r="J141" s="170"/>
      <c r="K141" s="149"/>
      <c r="L141" s="149"/>
      <c r="M141" s="149"/>
      <c r="N141" s="149"/>
      <c r="O141" s="149"/>
      <c r="P141" s="188">
        <f>sum(F141:J141)</f>
        <v>0</v>
      </c>
      <c r="Q141" s="132">
        <f t="shared" si="31"/>
        <v>0</v>
      </c>
      <c r="R141" s="133">
        <f t="shared" si="32"/>
        <v>0</v>
      </c>
      <c r="S141" s="121" t="str">
        <f t="shared" si="45"/>
        <v/>
      </c>
    </row>
    <row r="142">
      <c r="A142" s="152"/>
      <c r="B142" s="153" t="s">
        <v>142</v>
      </c>
      <c r="C142" s="154">
        <f t="shared" ref="C142:K142" si="46">C85+C88</f>
        <v>142769</v>
      </c>
      <c r="D142" s="155">
        <f t="shared" si="46"/>
        <v>653</v>
      </c>
      <c r="E142" s="155">
        <f t="shared" si="46"/>
        <v>0</v>
      </c>
      <c r="F142" s="155">
        <f t="shared" si="46"/>
        <v>0</v>
      </c>
      <c r="G142" s="155">
        <f t="shared" si="46"/>
        <v>0</v>
      </c>
      <c r="H142" s="155">
        <f t="shared" si="46"/>
        <v>0</v>
      </c>
      <c r="I142" s="157">
        <f t="shared" si="46"/>
        <v>143422</v>
      </c>
      <c r="J142" s="154">
        <f t="shared" si="46"/>
        <v>141897.03</v>
      </c>
      <c r="K142" s="155">
        <f t="shared" si="46"/>
        <v>0</v>
      </c>
      <c r="L142" s="155"/>
      <c r="M142" s="155"/>
      <c r="N142" s="155"/>
      <c r="O142" s="155"/>
      <c r="P142" s="157">
        <f>P85+P88</f>
        <v>141897.03</v>
      </c>
      <c r="Q142" s="155">
        <f t="shared" si="31"/>
        <v>1524.97</v>
      </c>
      <c r="R142" s="158">
        <f t="shared" si="32"/>
        <v>1.010747018</v>
      </c>
      <c r="S142" s="159" t="str">
        <f>IF(Q142=0,"",IF(R142&gt;1,"выполнение","план не выполнен"))</f>
        <v>выполнение</v>
      </c>
    </row>
    <row r="143">
      <c r="A143" s="160"/>
      <c r="B143" s="161" t="s">
        <v>143</v>
      </c>
      <c r="C143" s="162">
        <f t="shared" ref="C143:K143" si="47">IFERROR(C142/C$3,"")</f>
        <v>0.6331219512</v>
      </c>
      <c r="D143" s="163">
        <f t="shared" si="47"/>
        <v>0.310952381</v>
      </c>
      <c r="E143" s="163" t="str">
        <f t="shared" si="47"/>
        <v/>
      </c>
      <c r="F143" s="163" t="str">
        <f t="shared" si="47"/>
        <v/>
      </c>
      <c r="G143" s="163" t="str">
        <f t="shared" si="47"/>
        <v/>
      </c>
      <c r="H143" s="163" t="str">
        <f t="shared" si="47"/>
        <v/>
      </c>
      <c r="I143" s="164">
        <f t="shared" si="47"/>
        <v>0.6301493849</v>
      </c>
      <c r="J143" s="162">
        <f t="shared" si="47"/>
        <v>0.615872526</v>
      </c>
      <c r="K143" s="163" t="str">
        <f t="shared" si="47"/>
        <v/>
      </c>
      <c r="L143" s="163"/>
      <c r="M143" s="163"/>
      <c r="N143" s="163"/>
      <c r="O143" s="163"/>
      <c r="P143" s="164">
        <f>IFERROR(P142/P$3,"")</f>
        <v>0.615872526</v>
      </c>
      <c r="Q143" s="133"/>
      <c r="R143" s="133"/>
      <c r="S143" s="121" t="str">
        <f t="shared" ref="S143:S144" si="48">IF(Q143=0,"",IF(Q143=0,0,IF(R143&gt;1,"перерасход","экономия")))</f>
        <v/>
      </c>
    </row>
    <row r="144">
      <c r="A144" s="142"/>
      <c r="B144" s="125"/>
      <c r="C144" s="199"/>
      <c r="D144" s="200"/>
      <c r="E144" s="200"/>
      <c r="F144" s="200"/>
      <c r="G144" s="200"/>
      <c r="H144" s="200"/>
      <c r="I144" s="116"/>
      <c r="J144" s="123"/>
      <c r="K144" s="118"/>
      <c r="L144" s="118"/>
      <c r="M144" s="118"/>
      <c r="N144" s="118"/>
      <c r="O144" s="118"/>
      <c r="P144" s="116"/>
      <c r="Q144" s="132"/>
      <c r="R144" s="133"/>
      <c r="S144" s="121" t="str">
        <f t="shared" si="48"/>
        <v/>
      </c>
    </row>
    <row r="145">
      <c r="A145" s="201"/>
      <c r="B145" s="202" t="s">
        <v>111</v>
      </c>
      <c r="C145" s="203">
        <f t="shared" ref="C145:H145" si="49">SUM(C146:C154)</f>
        <v>3</v>
      </c>
      <c r="D145" s="204">
        <f t="shared" si="49"/>
        <v>0</v>
      </c>
      <c r="E145" s="204">
        <f t="shared" si="49"/>
        <v>0</v>
      </c>
      <c r="F145" s="204">
        <f t="shared" si="49"/>
        <v>0</v>
      </c>
      <c r="G145" s="204">
        <f t="shared" si="49"/>
        <v>0</v>
      </c>
      <c r="H145" s="204">
        <f t="shared" si="49"/>
        <v>0</v>
      </c>
      <c r="I145" s="205">
        <f>SUM(C145:H145)</f>
        <v>3</v>
      </c>
      <c r="J145" s="206">
        <f t="shared" ref="J145:P145" si="50">SUM(J146:J154)</f>
        <v>10</v>
      </c>
      <c r="K145" s="207">
        <f t="shared" si="50"/>
        <v>0</v>
      </c>
      <c r="L145" s="207">
        <f t="shared" si="50"/>
        <v>0</v>
      </c>
      <c r="M145" s="207">
        <f t="shared" si="50"/>
        <v>0</v>
      </c>
      <c r="N145" s="207">
        <f t="shared" si="50"/>
        <v>0</v>
      </c>
      <c r="O145" s="207">
        <f t="shared" si="50"/>
        <v>0</v>
      </c>
      <c r="P145" s="208">
        <f t="shared" si="50"/>
        <v>10</v>
      </c>
      <c r="Q145" s="204">
        <f t="shared" ref="Q145:Q173" si="51">I145-P145</f>
        <v>-7</v>
      </c>
      <c r="R145" s="209">
        <f t="shared" ref="R145:R173" si="52">IFERROR(I145/P145,0)</f>
        <v>0.3</v>
      </c>
      <c r="S145" s="210" t="str">
        <f>IF(Q145=0,"",IF(R145&gt;1,"выполнение","план не выполнен"))</f>
        <v>план не выполнен</v>
      </c>
    </row>
    <row r="146">
      <c r="A146" s="142" t="str">
        <f>IFERROR(VLOOKUP(B146,'Статьи'!$A$2:C168,3,0)," ")</f>
        <v>ДДС отчетного месяца. Без НДС!</v>
      </c>
      <c r="B146" s="125" t="str">
        <f>IFERROR(__xludf.DUMMYFUNCTION("iferror(filter('Статьи'!$A$1:$A182,'Статьи'!$B$1:$B182=B145))"),"Поступления прочие")</f>
        <v>Поступления прочие</v>
      </c>
      <c r="C146" s="170">
        <v>3.0</v>
      </c>
      <c r="D146" s="149"/>
      <c r="E146" s="149"/>
      <c r="F146" s="149"/>
      <c r="G146" s="149"/>
      <c r="H146" s="149"/>
      <c r="I146" s="211">
        <f t="shared" ref="I146:I172" si="53">sum(C146:H146)</f>
        <v>3</v>
      </c>
      <c r="J146" s="122">
        <v>10.0</v>
      </c>
      <c r="K146" s="114"/>
      <c r="L146" s="114"/>
      <c r="M146" s="114"/>
      <c r="N146" s="114"/>
      <c r="O146" s="114"/>
      <c r="P146" s="211">
        <f t="shared" ref="P146:P153" si="54">SUM(J146:K146)</f>
        <v>10</v>
      </c>
      <c r="Q146" s="132">
        <f t="shared" si="51"/>
        <v>-7</v>
      </c>
      <c r="R146" s="133">
        <f t="shared" si="52"/>
        <v>0.3</v>
      </c>
      <c r="S146" s="121" t="str">
        <f t="shared" ref="S146:S154" si="55">IF(Q146=0,"",IF(R146=0,"обратить внимание",IF(R146&gt;1,"выполнение","план не выполнен")))</f>
        <v>план не выполнен</v>
      </c>
    </row>
    <row r="147">
      <c r="A147" s="142" t="str">
        <f>IFERROR(VLOOKUP(B147,'Статьи'!$A$2:C169,3,0)," ")</f>
        <v>ДДС отчетного месяца. Без НДС!</v>
      </c>
      <c r="B147" s="125" t="str">
        <f>IFERROR(__xludf.DUMMYFUNCTION("""COMPUTED_VALUE"""),"Поступления страховые выплаты")</f>
        <v>Поступления страховые выплаты</v>
      </c>
      <c r="C147" s="170"/>
      <c r="D147" s="149"/>
      <c r="E147" s="149"/>
      <c r="F147" s="149"/>
      <c r="G147" s="149"/>
      <c r="H147" s="149"/>
      <c r="I147" s="211">
        <f t="shared" si="53"/>
        <v>0</v>
      </c>
      <c r="J147" s="122"/>
      <c r="K147" s="114"/>
      <c r="L147" s="114"/>
      <c r="M147" s="114"/>
      <c r="N147" s="114"/>
      <c r="O147" s="114"/>
      <c r="P147" s="211">
        <f t="shared" si="54"/>
        <v>0</v>
      </c>
      <c r="Q147" s="132">
        <f t="shared" si="51"/>
        <v>0</v>
      </c>
      <c r="R147" s="133">
        <f t="shared" si="52"/>
        <v>0</v>
      </c>
      <c r="S147" s="121" t="str">
        <f t="shared" si="55"/>
        <v/>
      </c>
    </row>
    <row r="148">
      <c r="A148" s="142" t="str">
        <f>IFERROR(VLOOKUP(B148,'Статьи'!$A$2:C170,3,0)," ")</f>
        <v>отчет Учета ОС Вкладка Свод строка 37</v>
      </c>
      <c r="B148" s="125" t="str">
        <f>IFERROR(__xludf.DUMMYFUNCTION("""COMPUTED_VALUE"""),"Продажа ОС")</f>
        <v>Продажа ОС</v>
      </c>
      <c r="C148" s="170"/>
      <c r="D148" s="149"/>
      <c r="E148" s="149"/>
      <c r="F148" s="149"/>
      <c r="G148" s="149"/>
      <c r="H148" s="149"/>
      <c r="I148" s="211">
        <f t="shared" si="53"/>
        <v>0</v>
      </c>
      <c r="J148" s="122"/>
      <c r="K148" s="114"/>
      <c r="L148" s="114"/>
      <c r="M148" s="114"/>
      <c r="N148" s="114"/>
      <c r="O148" s="114"/>
      <c r="P148" s="211">
        <f t="shared" si="54"/>
        <v>0</v>
      </c>
      <c r="Q148" s="132">
        <f t="shared" si="51"/>
        <v>0</v>
      </c>
      <c r="R148" s="133">
        <f t="shared" si="52"/>
        <v>0</v>
      </c>
      <c r="S148" s="121" t="str">
        <f t="shared" si="55"/>
        <v/>
      </c>
    </row>
    <row r="149">
      <c r="A149" s="142" t="str">
        <f>IFERROR(VLOOKUP(B149,'Статьи'!$A$2:C171,3,0)," ")</f>
        <v>ДДС отчетного месяца. Без НДС!</v>
      </c>
      <c r="B149" s="125" t="str">
        <f>IFERROR(__xludf.DUMMYFUNCTION("""COMPUTED_VALUE"""),"Прочие поступления от фин. операций")</f>
        <v>Прочие поступления от фин. операций</v>
      </c>
      <c r="C149" s="170"/>
      <c r="D149" s="149"/>
      <c r="E149" s="149"/>
      <c r="F149" s="149"/>
      <c r="G149" s="149"/>
      <c r="H149" s="149"/>
      <c r="I149" s="211">
        <f t="shared" si="53"/>
        <v>0</v>
      </c>
      <c r="J149" s="122"/>
      <c r="K149" s="114"/>
      <c r="L149" s="114"/>
      <c r="M149" s="114"/>
      <c r="N149" s="114"/>
      <c r="O149" s="114"/>
      <c r="P149" s="211">
        <f t="shared" si="54"/>
        <v>0</v>
      </c>
      <c r="Q149" s="132">
        <f t="shared" si="51"/>
        <v>0</v>
      </c>
      <c r="R149" s="133">
        <f t="shared" si="52"/>
        <v>0</v>
      </c>
      <c r="S149" s="121" t="str">
        <f t="shared" si="55"/>
        <v/>
      </c>
    </row>
    <row r="150">
      <c r="A150" s="142" t="str">
        <f>IFERROR(VLOOKUP(B150,'Статьи'!$A$2:C172,3,0)," ")</f>
        <v> </v>
      </c>
      <c r="B150" s="125"/>
      <c r="C150" s="170"/>
      <c r="D150" s="149"/>
      <c r="E150" s="149"/>
      <c r="F150" s="149"/>
      <c r="G150" s="149"/>
      <c r="H150" s="149"/>
      <c r="I150" s="211">
        <f t="shared" si="53"/>
        <v>0</v>
      </c>
      <c r="J150" s="122" t="str">
        <f>C150</f>
        <v/>
      </c>
      <c r="K150" s="114"/>
      <c r="L150" s="114"/>
      <c r="M150" s="114"/>
      <c r="N150" s="114"/>
      <c r="O150" s="114"/>
      <c r="P150" s="211">
        <f t="shared" si="54"/>
        <v>0</v>
      </c>
      <c r="Q150" s="132">
        <f t="shared" si="51"/>
        <v>0</v>
      </c>
      <c r="R150" s="133">
        <f t="shared" si="52"/>
        <v>0</v>
      </c>
      <c r="S150" s="121" t="str">
        <f t="shared" si="55"/>
        <v/>
      </c>
    </row>
    <row r="151" collapsed="1">
      <c r="A151" s="142" t="str">
        <f>IFERROR(VLOOKUP(B151,'Статьи'!$A$2:C173,3,0)," ")</f>
        <v> </v>
      </c>
      <c r="B151" s="125"/>
      <c r="C151" s="170"/>
      <c r="D151" s="149"/>
      <c r="E151" s="149"/>
      <c r="F151" s="149"/>
      <c r="G151" s="149"/>
      <c r="H151" s="149"/>
      <c r="I151" s="211">
        <f t="shared" si="53"/>
        <v>0</v>
      </c>
      <c r="J151" s="122"/>
      <c r="K151" s="114"/>
      <c r="L151" s="114"/>
      <c r="M151" s="114"/>
      <c r="N151" s="114"/>
      <c r="O151" s="114"/>
      <c r="P151" s="211">
        <f t="shared" si="54"/>
        <v>0</v>
      </c>
      <c r="Q151" s="132">
        <f t="shared" si="51"/>
        <v>0</v>
      </c>
      <c r="R151" s="133">
        <f t="shared" si="52"/>
        <v>0</v>
      </c>
      <c r="S151" s="121" t="str">
        <f t="shared" si="55"/>
        <v/>
      </c>
    </row>
    <row r="152" hidden="1" outlineLevel="1">
      <c r="A152" s="142" t="str">
        <f>IFERROR(VLOOKUP(B152,'Статьи'!$A$2:C174,3,0)," ")</f>
        <v> </v>
      </c>
      <c r="B152" s="125"/>
      <c r="C152" s="170"/>
      <c r="D152" s="149"/>
      <c r="E152" s="149"/>
      <c r="F152" s="149"/>
      <c r="G152" s="149"/>
      <c r="H152" s="149"/>
      <c r="I152" s="211">
        <f t="shared" si="53"/>
        <v>0</v>
      </c>
      <c r="J152" s="122"/>
      <c r="K152" s="114"/>
      <c r="L152" s="114"/>
      <c r="M152" s="114"/>
      <c r="N152" s="114"/>
      <c r="O152" s="114"/>
      <c r="P152" s="211">
        <f t="shared" si="54"/>
        <v>0</v>
      </c>
      <c r="Q152" s="132">
        <f t="shared" si="51"/>
        <v>0</v>
      </c>
      <c r="R152" s="133">
        <f t="shared" si="52"/>
        <v>0</v>
      </c>
      <c r="S152" s="121" t="str">
        <f t="shared" si="55"/>
        <v/>
      </c>
    </row>
    <row r="153" hidden="1" outlineLevel="1">
      <c r="A153" s="142" t="str">
        <f>IFERROR(VLOOKUP(B153,'Статьи'!$A$2:C175,3,0)," ")</f>
        <v> </v>
      </c>
      <c r="B153" s="125"/>
      <c r="C153" s="170"/>
      <c r="D153" s="149"/>
      <c r="E153" s="149"/>
      <c r="F153" s="149"/>
      <c r="G153" s="149"/>
      <c r="H153" s="149"/>
      <c r="I153" s="211">
        <f t="shared" si="53"/>
        <v>0</v>
      </c>
      <c r="J153" s="122"/>
      <c r="K153" s="114"/>
      <c r="L153" s="114"/>
      <c r="M153" s="114"/>
      <c r="N153" s="114"/>
      <c r="O153" s="114"/>
      <c r="P153" s="211">
        <f t="shared" si="54"/>
        <v>0</v>
      </c>
      <c r="Q153" s="132">
        <f t="shared" si="51"/>
        <v>0</v>
      </c>
      <c r="R153" s="133">
        <f t="shared" si="52"/>
        <v>0</v>
      </c>
      <c r="S153" s="121" t="str">
        <f t="shared" si="55"/>
        <v/>
      </c>
    </row>
    <row r="154">
      <c r="A154" s="142" t="str">
        <f>IFERROR(VLOOKUP(B154,'Статьи'!$A$2:C176,3,0)," ")</f>
        <v> </v>
      </c>
      <c r="B154" s="125"/>
      <c r="C154" s="170"/>
      <c r="D154" s="149"/>
      <c r="E154" s="149"/>
      <c r="F154" s="149"/>
      <c r="G154" s="149"/>
      <c r="H154" s="149"/>
      <c r="I154" s="211">
        <f t="shared" si="53"/>
        <v>0</v>
      </c>
      <c r="J154" s="122"/>
      <c r="K154" s="114"/>
      <c r="L154" s="114"/>
      <c r="M154" s="114"/>
      <c r="N154" s="114"/>
      <c r="O154" s="114"/>
      <c r="P154" s="211">
        <f>sum(F154:J154)</f>
        <v>0</v>
      </c>
      <c r="Q154" s="132">
        <f t="shared" si="51"/>
        <v>0</v>
      </c>
      <c r="R154" s="133">
        <f t="shared" si="52"/>
        <v>0</v>
      </c>
      <c r="S154" s="121" t="str">
        <f t="shared" si="55"/>
        <v/>
      </c>
    </row>
    <row r="155">
      <c r="A155" s="212"/>
      <c r="B155" s="213" t="s">
        <v>101</v>
      </c>
      <c r="C155" s="203">
        <f t="shared" ref="C155:H155" si="56">SUM(C156:C172)</f>
        <v>-45100</v>
      </c>
      <c r="D155" s="204">
        <f t="shared" si="56"/>
        <v>0</v>
      </c>
      <c r="E155" s="204">
        <f t="shared" si="56"/>
        <v>0</v>
      </c>
      <c r="F155" s="204">
        <f t="shared" si="56"/>
        <v>0</v>
      </c>
      <c r="G155" s="204">
        <f t="shared" si="56"/>
        <v>0</v>
      </c>
      <c r="H155" s="204">
        <f t="shared" si="56"/>
        <v>0</v>
      </c>
      <c r="I155" s="208">
        <f t="shared" si="53"/>
        <v>-45100</v>
      </c>
      <c r="J155" s="206">
        <f t="shared" ref="J155:K155" si="57">SUM(J156:J172)</f>
        <v>-44750</v>
      </c>
      <c r="K155" s="207">
        <f t="shared" si="57"/>
        <v>0</v>
      </c>
      <c r="L155" s="207"/>
      <c r="M155" s="207"/>
      <c r="N155" s="207"/>
      <c r="O155" s="207"/>
      <c r="P155" s="208">
        <f>SUM(P156:P172)</f>
        <v>-44750</v>
      </c>
      <c r="Q155" s="207">
        <f t="shared" si="51"/>
        <v>-350</v>
      </c>
      <c r="R155" s="214">
        <f t="shared" si="52"/>
        <v>1.007821229</v>
      </c>
      <c r="S155" s="210" t="str">
        <f>IF(Q155=0,"",IF(R155&gt;1,"план не выполнен","выполнение"))</f>
        <v>план не выполнен</v>
      </c>
    </row>
    <row r="156">
      <c r="A156" s="142" t="str">
        <f>IFERROR(VLOOKUP(B156,'Статьи'!$A$2:C178,3,0)," ")</f>
        <v>ДДС отчетного месяца. Без НДС!</v>
      </c>
      <c r="B156" s="125" t="str">
        <f>IFERROR(__xludf.DUMMYFUNCTION("iferror(filter('Статьи'!$A$1:$A182,'Статьи'!$B$1:$B182=B155))"),"Курсовые разницы")</f>
        <v>Курсовые разницы</v>
      </c>
      <c r="C156" s="171"/>
      <c r="D156" s="149"/>
      <c r="E156" s="149"/>
      <c r="F156" s="149"/>
      <c r="G156" s="149"/>
      <c r="H156" s="149"/>
      <c r="I156" s="211">
        <f t="shared" si="53"/>
        <v>0</v>
      </c>
      <c r="J156" s="122"/>
      <c r="K156" s="114"/>
      <c r="L156" s="114"/>
      <c r="M156" s="114"/>
      <c r="N156" s="114"/>
      <c r="O156" s="114"/>
      <c r="P156" s="211">
        <f t="shared" ref="P156:P171" si="58">SUM(J156:K156)</f>
        <v>0</v>
      </c>
      <c r="Q156" s="132">
        <f t="shared" si="51"/>
        <v>0</v>
      </c>
      <c r="R156" s="133">
        <f t="shared" si="52"/>
        <v>0</v>
      </c>
      <c r="S156" s="121" t="str">
        <f t="shared" ref="S156:S172" si="59">IF(Q156=0,"",IF(R156=0,"обратить внимание",IF(R156&gt;1,"перерасход","экономия")))</f>
        <v/>
      </c>
    </row>
    <row r="157">
      <c r="A157" s="142" t="str">
        <f>IFERROR(VLOOKUP(B157,'Статьи'!$A$2:C179,3,0)," ")</f>
        <v>1С</v>
      </c>
      <c r="B157" s="125" t="str">
        <f>IFERROR(__xludf.DUMMYFUNCTION("""COMPUTED_VALUE"""),"Налог  на прибыль УСН 6%")</f>
        <v>Налог  на прибыль УСН 6%</v>
      </c>
      <c r="C157" s="171">
        <v>-5900.0</v>
      </c>
      <c r="D157" s="149"/>
      <c r="E157" s="149"/>
      <c r="F157" s="149"/>
      <c r="G157" s="149"/>
      <c r="H157" s="149"/>
      <c r="I157" s="211">
        <f t="shared" si="53"/>
        <v>-5900</v>
      </c>
      <c r="J157" s="122">
        <v>-6000.0</v>
      </c>
      <c r="K157" s="114"/>
      <c r="L157" s="114"/>
      <c r="M157" s="114"/>
      <c r="N157" s="114"/>
      <c r="O157" s="114"/>
      <c r="P157" s="211">
        <f t="shared" si="58"/>
        <v>-6000</v>
      </c>
      <c r="Q157" s="132">
        <f t="shared" si="51"/>
        <v>100</v>
      </c>
      <c r="R157" s="133">
        <f t="shared" si="52"/>
        <v>0.9833333333</v>
      </c>
      <c r="S157" s="121" t="str">
        <f t="shared" si="59"/>
        <v>экономия</v>
      </c>
    </row>
    <row r="158">
      <c r="A158" s="142" t="str">
        <f>IFERROR(VLOOKUP(B158,'Статьи'!$A$2:C180,3,0)," ")</f>
        <v>1С</v>
      </c>
      <c r="B158" s="125" t="str">
        <f>IFERROR(__xludf.DUMMYFUNCTION("""COMPUTED_VALUE"""),"Налог на прибыль 20%")</f>
        <v>Налог на прибыль 20%</v>
      </c>
      <c r="C158" s="171"/>
      <c r="D158" s="149"/>
      <c r="E158" s="149"/>
      <c r="F158" s="149"/>
      <c r="G158" s="149"/>
      <c r="H158" s="149"/>
      <c r="I158" s="211">
        <f t="shared" si="53"/>
        <v>0</v>
      </c>
      <c r="J158" s="122"/>
      <c r="K158" s="114"/>
      <c r="L158" s="114"/>
      <c r="M158" s="114"/>
      <c r="N158" s="114"/>
      <c r="O158" s="114"/>
      <c r="P158" s="211">
        <f t="shared" si="58"/>
        <v>0</v>
      </c>
      <c r="Q158" s="132">
        <f t="shared" si="51"/>
        <v>0</v>
      </c>
      <c r="R158" s="133">
        <f t="shared" si="52"/>
        <v>0</v>
      </c>
      <c r="S158" s="121" t="str">
        <f t="shared" si="59"/>
        <v/>
      </c>
    </row>
    <row r="159">
      <c r="A159" s="142" t="str">
        <f>IFERROR(VLOOKUP(B159,'Статьи'!$A$2:C181,3,0)," ")</f>
        <v>отчет Учет ОС</v>
      </c>
      <c r="B159" s="125" t="str">
        <f>IFERROR(__xludf.DUMMYFUNCTION("""COMPUTED_VALUE"""),"Амортизация ОС")</f>
        <v>Амортизация ОС</v>
      </c>
      <c r="C159" s="215">
        <v>-36000.0</v>
      </c>
      <c r="D159" s="149"/>
      <c r="E159" s="149"/>
      <c r="F159" s="149"/>
      <c r="G159" s="149"/>
      <c r="H159" s="149"/>
      <c r="I159" s="211">
        <f t="shared" si="53"/>
        <v>-36000</v>
      </c>
      <c r="J159" s="122">
        <f>C159</f>
        <v>-36000</v>
      </c>
      <c r="K159" s="114"/>
      <c r="L159" s="114"/>
      <c r="M159" s="114"/>
      <c r="N159" s="114"/>
      <c r="O159" s="114"/>
      <c r="P159" s="211">
        <f t="shared" si="58"/>
        <v>-36000</v>
      </c>
      <c r="Q159" s="132">
        <f t="shared" si="51"/>
        <v>0</v>
      </c>
      <c r="R159" s="133">
        <f t="shared" si="52"/>
        <v>1</v>
      </c>
      <c r="S159" s="121" t="str">
        <f t="shared" si="59"/>
        <v/>
      </c>
    </row>
    <row r="160">
      <c r="A160" s="142" t="str">
        <f>IFERROR(VLOOKUP(B160,'Статьи'!$A$2:C182,3,0)," ")</f>
        <v>ДДС отчетного месяца. Без НДС!</v>
      </c>
      <c r="B160" s="125" t="str">
        <f>IFERROR(__xludf.DUMMYFUNCTION("""COMPUTED_VALUE"""),"Прочие расходы")</f>
        <v>Прочие расходы</v>
      </c>
      <c r="C160" s="171"/>
      <c r="D160" s="149"/>
      <c r="E160" s="149"/>
      <c r="F160" s="149"/>
      <c r="G160" s="149"/>
      <c r="H160" s="149"/>
      <c r="I160" s="211">
        <f t="shared" si="53"/>
        <v>0</v>
      </c>
      <c r="J160" s="122"/>
      <c r="K160" s="114"/>
      <c r="L160" s="114"/>
      <c r="M160" s="114"/>
      <c r="N160" s="114"/>
      <c r="O160" s="114"/>
      <c r="P160" s="211">
        <f t="shared" si="58"/>
        <v>0</v>
      </c>
      <c r="Q160" s="132">
        <f t="shared" si="51"/>
        <v>0</v>
      </c>
      <c r="R160" s="133">
        <f t="shared" si="52"/>
        <v>0</v>
      </c>
      <c r="S160" s="121" t="str">
        <f t="shared" si="59"/>
        <v/>
      </c>
    </row>
    <row r="161">
      <c r="A161" s="142" t="str">
        <f>IFERROR(VLOOKUP(B161,'Статьи'!$A$2:C183,3,0)," ")</f>
        <v>ДДС отчетного месяца. Без НДС!</v>
      </c>
      <c r="B161" s="111" t="str">
        <f>IFERROR(__xludf.DUMMYFUNCTION("""COMPUTED_VALUE"""),"Ремонт ОС")</f>
        <v>Ремонт ОС</v>
      </c>
      <c r="C161" s="171"/>
      <c r="D161" s="149"/>
      <c r="E161" s="149"/>
      <c r="F161" s="149"/>
      <c r="G161" s="149"/>
      <c r="H161" s="149"/>
      <c r="I161" s="211">
        <f t="shared" si="53"/>
        <v>0</v>
      </c>
      <c r="J161" s="122"/>
      <c r="K161" s="114"/>
      <c r="L161" s="114"/>
      <c r="M161" s="114"/>
      <c r="N161" s="114"/>
      <c r="O161" s="114"/>
      <c r="P161" s="211">
        <f t="shared" si="58"/>
        <v>0</v>
      </c>
      <c r="Q161" s="132">
        <f t="shared" si="51"/>
        <v>0</v>
      </c>
      <c r="R161" s="133">
        <f t="shared" si="52"/>
        <v>0</v>
      </c>
      <c r="S161" s="121" t="str">
        <f t="shared" si="59"/>
        <v/>
      </c>
    </row>
    <row r="162">
      <c r="A162" s="142" t="str">
        <f>IFERROR(VLOOKUP(B162,'Статьи'!$A$2:C184,3,0)," ")</f>
        <v>отчет Учет ФД</v>
      </c>
      <c r="B162" s="111" t="str">
        <f>IFERROR(__xludf.DUMMYFUNCTION("""COMPUTED_VALUE"""),"Оплаты %  кредиты")</f>
        <v>Оплаты %  кредиты</v>
      </c>
      <c r="C162" s="171">
        <v>-3200.0</v>
      </c>
      <c r="D162" s="149"/>
      <c r="E162" s="149"/>
      <c r="F162" s="149"/>
      <c r="G162" s="149"/>
      <c r="H162" s="149"/>
      <c r="I162" s="211">
        <f t="shared" si="53"/>
        <v>-3200</v>
      </c>
      <c r="J162" s="122">
        <v>-2750.0</v>
      </c>
      <c r="K162" s="114"/>
      <c r="L162" s="114"/>
      <c r="M162" s="114"/>
      <c r="N162" s="114"/>
      <c r="O162" s="114"/>
      <c r="P162" s="211">
        <f t="shared" si="58"/>
        <v>-2750</v>
      </c>
      <c r="Q162" s="132">
        <f t="shared" si="51"/>
        <v>-450</v>
      </c>
      <c r="R162" s="133">
        <f t="shared" si="52"/>
        <v>1.163636364</v>
      </c>
      <c r="S162" s="121" t="str">
        <f t="shared" si="59"/>
        <v>перерасход</v>
      </c>
    </row>
    <row r="163" collapsed="1">
      <c r="A163" s="110" t="str">
        <f>IFERROR(VLOOKUP(B163,'Статьи'!$A$2:C185,3,0)," ")</f>
        <v> </v>
      </c>
      <c r="B163" s="111"/>
      <c r="C163" s="171"/>
      <c r="D163" s="149"/>
      <c r="E163" s="149"/>
      <c r="F163" s="149"/>
      <c r="G163" s="149"/>
      <c r="H163" s="149"/>
      <c r="I163" s="211">
        <f t="shared" si="53"/>
        <v>0</v>
      </c>
      <c r="J163" s="122"/>
      <c r="K163" s="114"/>
      <c r="L163" s="114"/>
      <c r="M163" s="114"/>
      <c r="N163" s="114"/>
      <c r="O163" s="114"/>
      <c r="P163" s="211">
        <f t="shared" si="58"/>
        <v>0</v>
      </c>
      <c r="Q163" s="132">
        <f t="shared" si="51"/>
        <v>0</v>
      </c>
      <c r="R163" s="133">
        <f t="shared" si="52"/>
        <v>0</v>
      </c>
      <c r="S163" s="121" t="str">
        <f t="shared" si="59"/>
        <v/>
      </c>
    </row>
    <row r="164" hidden="1" outlineLevel="1">
      <c r="A164" s="110" t="str">
        <f>IFERROR(VLOOKUP(B164,'Статьи'!$A$2:C186,3,0)," ")</f>
        <v> </v>
      </c>
      <c r="B164" s="111"/>
      <c r="C164" s="170"/>
      <c r="I164" s="211">
        <f t="shared" si="53"/>
        <v>0</v>
      </c>
      <c r="J164" s="122"/>
      <c r="K164" s="114"/>
      <c r="L164" s="114"/>
      <c r="M164" s="114"/>
      <c r="N164" s="114"/>
      <c r="O164" s="114"/>
      <c r="P164" s="211">
        <f t="shared" si="58"/>
        <v>0</v>
      </c>
      <c r="Q164" s="132">
        <f t="shared" si="51"/>
        <v>0</v>
      </c>
      <c r="R164" s="133">
        <f t="shared" si="52"/>
        <v>0</v>
      </c>
      <c r="S164" s="121" t="str">
        <f t="shared" si="59"/>
        <v/>
      </c>
    </row>
    <row r="165" hidden="1" outlineLevel="1">
      <c r="A165" s="110" t="str">
        <f>IFERROR(VLOOKUP(B165,'Статьи'!$A$2:C187,3,0)," ")</f>
        <v> </v>
      </c>
      <c r="B165" s="111"/>
      <c r="C165" s="170"/>
      <c r="I165" s="211">
        <f t="shared" si="53"/>
        <v>0</v>
      </c>
      <c r="J165" s="122"/>
      <c r="K165" s="114"/>
      <c r="L165" s="114"/>
      <c r="M165" s="114"/>
      <c r="N165" s="114"/>
      <c r="O165" s="114"/>
      <c r="P165" s="211">
        <f t="shared" si="58"/>
        <v>0</v>
      </c>
      <c r="Q165" s="132">
        <f t="shared" si="51"/>
        <v>0</v>
      </c>
      <c r="R165" s="133">
        <f t="shared" si="52"/>
        <v>0</v>
      </c>
      <c r="S165" s="121" t="str">
        <f t="shared" si="59"/>
        <v/>
      </c>
    </row>
    <row r="166" hidden="1" outlineLevel="1">
      <c r="A166" s="110" t="str">
        <f>IFERROR(VLOOKUP(B166,'Статьи'!$A$2:C188,3,0)," ")</f>
        <v> </v>
      </c>
      <c r="B166" s="111"/>
      <c r="C166" s="170"/>
      <c r="I166" s="211">
        <f t="shared" si="53"/>
        <v>0</v>
      </c>
      <c r="J166" s="122"/>
      <c r="K166" s="114"/>
      <c r="L166" s="114"/>
      <c r="M166" s="114"/>
      <c r="N166" s="114"/>
      <c r="O166" s="114"/>
      <c r="P166" s="211">
        <f t="shared" si="58"/>
        <v>0</v>
      </c>
      <c r="Q166" s="132">
        <f t="shared" si="51"/>
        <v>0</v>
      </c>
      <c r="R166" s="133">
        <f t="shared" si="52"/>
        <v>0</v>
      </c>
      <c r="S166" s="121" t="str">
        <f t="shared" si="59"/>
        <v/>
      </c>
    </row>
    <row r="167" hidden="1" outlineLevel="1">
      <c r="A167" s="110" t="str">
        <f>IFERROR(VLOOKUP(B167,'Статьи'!$A$2:C189,3,0)," ")</f>
        <v> </v>
      </c>
      <c r="B167" s="111"/>
      <c r="C167" s="170"/>
      <c r="I167" s="211">
        <f t="shared" si="53"/>
        <v>0</v>
      </c>
      <c r="J167" s="122"/>
      <c r="K167" s="114"/>
      <c r="L167" s="114"/>
      <c r="M167" s="114"/>
      <c r="N167" s="114"/>
      <c r="O167" s="114"/>
      <c r="P167" s="211">
        <f t="shared" si="58"/>
        <v>0</v>
      </c>
      <c r="Q167" s="132">
        <f t="shared" si="51"/>
        <v>0</v>
      </c>
      <c r="R167" s="133">
        <f t="shared" si="52"/>
        <v>0</v>
      </c>
      <c r="S167" s="121" t="str">
        <f t="shared" si="59"/>
        <v/>
      </c>
    </row>
    <row r="168" hidden="1" outlineLevel="1">
      <c r="A168" s="110" t="str">
        <f>IFERROR(VLOOKUP(B168,'Статьи'!$A$2:C190,3,0)," ")</f>
        <v> </v>
      </c>
      <c r="B168" s="111"/>
      <c r="C168" s="170"/>
      <c r="I168" s="211">
        <f t="shared" si="53"/>
        <v>0</v>
      </c>
      <c r="J168" s="122"/>
      <c r="K168" s="114"/>
      <c r="L168" s="114"/>
      <c r="M168" s="114"/>
      <c r="N168" s="114"/>
      <c r="O168" s="114"/>
      <c r="P168" s="211">
        <f t="shared" si="58"/>
        <v>0</v>
      </c>
      <c r="Q168" s="132">
        <f t="shared" si="51"/>
        <v>0</v>
      </c>
      <c r="R168" s="133">
        <f t="shared" si="52"/>
        <v>0</v>
      </c>
      <c r="S168" s="121" t="str">
        <f t="shared" si="59"/>
        <v/>
      </c>
    </row>
    <row r="169" hidden="1" outlineLevel="1">
      <c r="A169" s="110" t="str">
        <f>IFERROR(VLOOKUP(B169,'Статьи'!$A$2:C191,3,0)," ")</f>
        <v> </v>
      </c>
      <c r="B169" s="111"/>
      <c r="C169" s="170"/>
      <c r="I169" s="211">
        <f t="shared" si="53"/>
        <v>0</v>
      </c>
      <c r="J169" s="122"/>
      <c r="K169" s="114"/>
      <c r="L169" s="114"/>
      <c r="M169" s="114"/>
      <c r="N169" s="114"/>
      <c r="O169" s="114"/>
      <c r="P169" s="211">
        <f t="shared" si="58"/>
        <v>0</v>
      </c>
      <c r="Q169" s="132">
        <f t="shared" si="51"/>
        <v>0</v>
      </c>
      <c r="R169" s="133">
        <f t="shared" si="52"/>
        <v>0</v>
      </c>
      <c r="S169" s="121" t="str">
        <f t="shared" si="59"/>
        <v/>
      </c>
    </row>
    <row r="170" hidden="1" outlineLevel="1">
      <c r="A170" s="110" t="str">
        <f>IFERROR(VLOOKUP(B170,'Статьи'!$A$2:C192,3,0)," ")</f>
        <v> </v>
      </c>
      <c r="B170" s="111"/>
      <c r="C170" s="170"/>
      <c r="I170" s="211">
        <f t="shared" si="53"/>
        <v>0</v>
      </c>
      <c r="J170" s="122"/>
      <c r="K170" s="114"/>
      <c r="L170" s="114"/>
      <c r="M170" s="114"/>
      <c r="N170" s="114"/>
      <c r="O170" s="114"/>
      <c r="P170" s="211">
        <f t="shared" si="58"/>
        <v>0</v>
      </c>
      <c r="Q170" s="132">
        <f t="shared" si="51"/>
        <v>0</v>
      </c>
      <c r="R170" s="133">
        <f t="shared" si="52"/>
        <v>0</v>
      </c>
      <c r="S170" s="121" t="str">
        <f t="shared" si="59"/>
        <v/>
      </c>
    </row>
    <row r="171" hidden="1" outlineLevel="1">
      <c r="A171" s="110" t="str">
        <f>IFERROR(VLOOKUP(B171,'Статьи'!$A$2:C193,3,0)," ")</f>
        <v> </v>
      </c>
      <c r="B171" s="111"/>
      <c r="C171" s="170"/>
      <c r="I171" s="211">
        <f t="shared" si="53"/>
        <v>0</v>
      </c>
      <c r="J171" s="122"/>
      <c r="K171" s="114"/>
      <c r="L171" s="114"/>
      <c r="M171" s="114"/>
      <c r="N171" s="114"/>
      <c r="O171" s="114"/>
      <c r="P171" s="211">
        <f t="shared" si="58"/>
        <v>0</v>
      </c>
      <c r="Q171" s="132">
        <f t="shared" si="51"/>
        <v>0</v>
      </c>
      <c r="R171" s="133">
        <f t="shared" si="52"/>
        <v>0</v>
      </c>
      <c r="S171" s="121" t="str">
        <f t="shared" si="59"/>
        <v/>
      </c>
    </row>
    <row r="172">
      <c r="A172" s="110" t="str">
        <f>IFERROR(VLOOKUP(B172,'Статьи'!$A$2:C194,3,0)," ")</f>
        <v> </v>
      </c>
      <c r="B172" s="111"/>
      <c r="C172" s="170"/>
      <c r="D172" s="149"/>
      <c r="E172" s="149"/>
      <c r="F172" s="149"/>
      <c r="G172" s="149"/>
      <c r="H172" s="149"/>
      <c r="I172" s="211">
        <f t="shared" si="53"/>
        <v>0</v>
      </c>
      <c r="J172" s="122"/>
      <c r="K172" s="114"/>
      <c r="L172" s="114"/>
      <c r="M172" s="114"/>
      <c r="N172" s="114"/>
      <c r="O172" s="114"/>
      <c r="P172" s="211">
        <f>sum(F172:J172)</f>
        <v>0</v>
      </c>
      <c r="Q172" s="132">
        <f t="shared" si="51"/>
        <v>0</v>
      </c>
      <c r="R172" s="133">
        <f t="shared" si="52"/>
        <v>0</v>
      </c>
      <c r="S172" s="121" t="str">
        <f t="shared" si="59"/>
        <v/>
      </c>
    </row>
    <row r="173">
      <c r="A173" s="152"/>
      <c r="B173" s="153" t="s">
        <v>144</v>
      </c>
      <c r="C173" s="154">
        <f t="shared" ref="C173:K173" si="60">C142+C155+C145</f>
        <v>97672</v>
      </c>
      <c r="D173" s="155">
        <f t="shared" si="60"/>
        <v>653</v>
      </c>
      <c r="E173" s="155">
        <f t="shared" si="60"/>
        <v>0</v>
      </c>
      <c r="F173" s="155">
        <f t="shared" si="60"/>
        <v>0</v>
      </c>
      <c r="G173" s="155">
        <f t="shared" si="60"/>
        <v>0</v>
      </c>
      <c r="H173" s="155">
        <f t="shared" si="60"/>
        <v>0</v>
      </c>
      <c r="I173" s="157">
        <f t="shared" si="60"/>
        <v>98325</v>
      </c>
      <c r="J173" s="154">
        <f t="shared" si="60"/>
        <v>97157.03</v>
      </c>
      <c r="K173" s="155">
        <f t="shared" si="60"/>
        <v>0</v>
      </c>
      <c r="L173" s="155"/>
      <c r="M173" s="155"/>
      <c r="N173" s="155"/>
      <c r="O173" s="155"/>
      <c r="P173" s="157">
        <f>P142+P155+P145</f>
        <v>97157.03</v>
      </c>
      <c r="Q173" s="155">
        <f t="shared" si="51"/>
        <v>1167.97</v>
      </c>
      <c r="R173" s="158">
        <f t="shared" si="52"/>
        <v>1.012021467</v>
      </c>
      <c r="S173" s="159" t="str">
        <f>IF(Q173=0,"",IF(R173&gt;1,"выполнение","план не выполнен"))</f>
        <v>выполнение</v>
      </c>
    </row>
    <row r="174">
      <c r="A174" s="160"/>
      <c r="B174" s="161" t="s">
        <v>145</v>
      </c>
      <c r="C174" s="216">
        <f t="shared" ref="C174:K174" si="61">IFERROR(C173/C$3,0)</f>
        <v>0.433135255</v>
      </c>
      <c r="D174" s="217">
        <f t="shared" si="61"/>
        <v>0.310952381</v>
      </c>
      <c r="E174" s="217">
        <f t="shared" si="61"/>
        <v>0</v>
      </c>
      <c r="F174" s="217">
        <f t="shared" si="61"/>
        <v>0</v>
      </c>
      <c r="G174" s="217">
        <f t="shared" si="61"/>
        <v>0</v>
      </c>
      <c r="H174" s="217">
        <f t="shared" si="61"/>
        <v>0</v>
      </c>
      <c r="I174" s="218">
        <f t="shared" si="61"/>
        <v>0.4320079086</v>
      </c>
      <c r="J174" s="216">
        <f t="shared" si="61"/>
        <v>0.4216884983</v>
      </c>
      <c r="K174" s="217">
        <f t="shared" si="61"/>
        <v>0</v>
      </c>
      <c r="L174" s="217"/>
      <c r="M174" s="217"/>
      <c r="N174" s="217"/>
      <c r="O174" s="217"/>
      <c r="P174" s="218">
        <f>IFERROR(P173/P$3,0)</f>
        <v>0.4216884983</v>
      </c>
      <c r="Q174" s="219"/>
      <c r="R174" s="219"/>
      <c r="S174" s="219"/>
    </row>
    <row r="175">
      <c r="A175" s="110"/>
      <c r="B175" s="111"/>
      <c r="C175" s="115"/>
      <c r="D175" s="115"/>
      <c r="E175" s="115"/>
      <c r="F175" s="115"/>
      <c r="G175" s="115"/>
      <c r="H175" s="115"/>
      <c r="I175" s="118"/>
      <c r="J175" s="118"/>
      <c r="K175" s="118"/>
      <c r="L175" s="118"/>
      <c r="M175" s="118"/>
      <c r="N175" s="118"/>
      <c r="O175" s="118"/>
      <c r="P175" s="118"/>
      <c r="Q175" s="118"/>
      <c r="R175" s="220"/>
      <c r="S175" s="220"/>
    </row>
    <row r="176">
      <c r="A176" s="142"/>
      <c r="B176" s="125"/>
      <c r="C176" s="115"/>
      <c r="D176" s="115"/>
      <c r="E176" s="115"/>
      <c r="F176" s="114"/>
      <c r="G176" s="115"/>
      <c r="H176" s="115"/>
      <c r="I176" s="118"/>
      <c r="J176" s="118"/>
      <c r="K176" s="118"/>
      <c r="L176" s="118"/>
      <c r="M176" s="118"/>
      <c r="N176" s="118"/>
      <c r="O176" s="118"/>
      <c r="P176" s="118"/>
      <c r="Q176" s="221" t="s">
        <v>146</v>
      </c>
    </row>
    <row r="177">
      <c r="A177" s="110"/>
      <c r="B177" s="111"/>
      <c r="C177" s="115"/>
      <c r="D177" s="115"/>
      <c r="E177" s="115"/>
      <c r="F177" s="115"/>
      <c r="G177" s="115"/>
      <c r="H177" s="115"/>
      <c r="I177" s="118"/>
      <c r="J177" s="118"/>
      <c r="K177" s="118"/>
      <c r="L177" s="118"/>
      <c r="M177" s="118"/>
      <c r="N177" s="118"/>
      <c r="O177" s="118"/>
      <c r="P177" s="118"/>
      <c r="Q177" s="222" t="s">
        <v>147</v>
      </c>
      <c r="R177" s="223" t="s">
        <v>148</v>
      </c>
      <c r="S177" s="224" t="s">
        <v>149</v>
      </c>
    </row>
    <row r="178">
      <c r="A178" s="110"/>
      <c r="B178" s="111"/>
      <c r="C178" s="115"/>
      <c r="D178" s="115"/>
      <c r="E178" s="115"/>
      <c r="F178" s="115"/>
      <c r="G178" s="115"/>
      <c r="H178" s="115"/>
      <c r="I178" s="118"/>
      <c r="J178" s="118"/>
      <c r="K178" s="118"/>
      <c r="L178" s="118"/>
      <c r="M178" s="118"/>
      <c r="N178" s="118"/>
      <c r="O178" s="118"/>
      <c r="P178" s="118"/>
      <c r="Q178" s="225" t="s">
        <v>150</v>
      </c>
      <c r="R178" s="226">
        <f t="shared" ref="R178:S178" si="62">Q3</f>
        <v>-2800</v>
      </c>
      <c r="S178" s="227">
        <f t="shared" si="62"/>
        <v>0.9878472222</v>
      </c>
    </row>
    <row r="179">
      <c r="A179" s="110"/>
      <c r="B179" s="111"/>
      <c r="C179" s="115"/>
      <c r="D179" s="115"/>
      <c r="E179" s="115"/>
      <c r="F179" s="115"/>
      <c r="G179" s="115"/>
      <c r="H179" s="115"/>
      <c r="I179" s="118"/>
      <c r="J179" s="118"/>
      <c r="K179" s="118"/>
      <c r="L179" s="118"/>
      <c r="M179" s="118"/>
      <c r="N179" s="118"/>
      <c r="O179" s="118"/>
      <c r="P179" s="118"/>
      <c r="Q179" s="228" t="s">
        <v>151</v>
      </c>
      <c r="R179" s="226">
        <f t="shared" ref="R179:S179" si="63">Q11</f>
        <v>11540</v>
      </c>
      <c r="S179" s="227">
        <f t="shared" si="63"/>
        <v>0.8430465828</v>
      </c>
    </row>
    <row r="180">
      <c r="A180" s="110"/>
      <c r="B180" s="111"/>
      <c r="C180" s="115"/>
      <c r="D180" s="115"/>
      <c r="E180" s="115"/>
      <c r="F180" s="115"/>
      <c r="G180" s="115"/>
      <c r="H180" s="115"/>
      <c r="I180" s="118"/>
      <c r="J180" s="118"/>
      <c r="K180" s="118"/>
      <c r="L180" s="118"/>
      <c r="M180" s="118"/>
      <c r="N180" s="118"/>
      <c r="O180" s="118"/>
      <c r="P180" s="118"/>
      <c r="Q180" s="228" t="s">
        <v>152</v>
      </c>
      <c r="R180" s="226">
        <f t="shared" ref="R180:S180" si="64">Q88</f>
        <v>-7215.03</v>
      </c>
      <c r="S180" s="227">
        <f t="shared" si="64"/>
        <v>1.481709471</v>
      </c>
    </row>
    <row r="181">
      <c r="A181" s="110"/>
      <c r="B181" s="111"/>
      <c r="C181" s="115"/>
      <c r="D181" s="115"/>
      <c r="E181" s="115"/>
      <c r="F181" s="115"/>
      <c r="G181" s="115"/>
      <c r="H181" s="115"/>
      <c r="I181" s="118"/>
      <c r="J181" s="118"/>
      <c r="K181" s="118"/>
      <c r="L181" s="118"/>
      <c r="M181" s="118"/>
      <c r="N181" s="118"/>
      <c r="O181" s="118"/>
      <c r="P181" s="118"/>
      <c r="Q181" s="225" t="s">
        <v>153</v>
      </c>
      <c r="R181" s="226">
        <f t="shared" ref="R181:S181" si="65">Q173</f>
        <v>1167.97</v>
      </c>
      <c r="S181" s="227">
        <f t="shared" si="65"/>
        <v>1.012021467</v>
      </c>
    </row>
    <row r="182">
      <c r="A182" s="110"/>
      <c r="B182" s="111"/>
      <c r="C182" s="115"/>
      <c r="D182" s="115"/>
      <c r="E182" s="115"/>
      <c r="F182" s="115"/>
      <c r="G182" s="115"/>
      <c r="H182" s="115"/>
      <c r="I182" s="118"/>
      <c r="J182" s="118"/>
      <c r="K182" s="118"/>
      <c r="L182" s="118"/>
      <c r="M182" s="118"/>
      <c r="N182" s="118"/>
      <c r="O182" s="118"/>
      <c r="P182" s="118"/>
    </row>
  </sheetData>
  <mergeCells count="12">
    <mergeCell ref="C168:H168"/>
    <mergeCell ref="C169:H169"/>
    <mergeCell ref="C170:H170"/>
    <mergeCell ref="C171:H171"/>
    <mergeCell ref="Q176:S176"/>
    <mergeCell ref="C1:I1"/>
    <mergeCell ref="J1:P1"/>
    <mergeCell ref="Q1:R1"/>
    <mergeCell ref="C164:H164"/>
    <mergeCell ref="C165:H165"/>
    <mergeCell ref="C166:H166"/>
    <mergeCell ref="C167:H167"/>
  </mergeCells>
  <conditionalFormatting sqref="C13:H54">
    <cfRule type="expression" dxfId="4" priority="1">
      <formula>C$2=""</formula>
    </cfRule>
  </conditionalFormatting>
  <conditionalFormatting sqref="C13:H54">
    <cfRule type="expression" dxfId="2" priority="2">
      <formula>OR(#REF!=C$2,#REF!=C$2,#REF!=C$2,#REF!=C$2,#REF!=C$2,#REF!=C$2,#REF!=C$2,#REF!=C$2,#REF!=C$2)</formula>
    </cfRule>
  </conditionalFormatting>
  <conditionalFormatting sqref="C59:H84 C91:C93">
    <cfRule type="expression" dxfId="4" priority="3">
      <formula>C$2=""</formula>
    </cfRule>
  </conditionalFormatting>
  <conditionalFormatting sqref="C59:H84 C91:C93">
    <cfRule type="expression" dxfId="2" priority="4">
      <formula>OR(#REF!=C$2,#REF!=C$2,#REF!=C$2,#REF!=C$2,#REF!=C$2,#REF!=C$2,#REF!=C$2,#REF!=C$2,#REF!=C$2)</formula>
    </cfRule>
  </conditionalFormatting>
  <conditionalFormatting sqref="A1:A2">
    <cfRule type="notContainsBlanks" dxfId="2" priority="5">
      <formula>LEN(TRIM(A1))&gt;0</formula>
    </cfRule>
  </conditionalFormatting>
  <conditionalFormatting sqref="S1:S175 S177 S182">
    <cfRule type="containsText" dxfId="2" priority="6" operator="containsText" text="выполнение">
      <formula>NOT(ISERROR(SEARCH(("выполнение"),(S1))))</formula>
    </cfRule>
  </conditionalFormatting>
  <conditionalFormatting sqref="S1:S175 S177 S182">
    <cfRule type="containsText" dxfId="3" priority="7" operator="containsText" text="план не выполнен">
      <formula>NOT(ISERROR(SEARCH(("план не выполнен"),(S1))))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7.13"/>
    <col customWidth="1" min="2" max="2" width="38.25"/>
    <col customWidth="1" min="3" max="3" width="10.63"/>
    <col collapsed="1" customWidth="1" min="4" max="4" width="10.63"/>
    <col customWidth="1" hidden="1" min="5" max="8" width="10.63" outlineLevel="1"/>
    <col customWidth="1" min="9" max="10" width="10.63"/>
    <col collapsed="1" customWidth="1" min="11" max="11" width="10.63"/>
    <col customWidth="1" hidden="1" min="12" max="15" width="10.63" outlineLevel="1"/>
    <col customWidth="1" min="16" max="16" width="10.63"/>
    <col customWidth="1" min="17" max="18" width="11.38"/>
    <col customWidth="1" min="19" max="19" width="16.88"/>
  </cols>
  <sheetData>
    <row r="1">
      <c r="A1" s="88"/>
      <c r="B1" s="89"/>
      <c r="C1" s="90" t="s">
        <v>127</v>
      </c>
      <c r="D1" s="91"/>
      <c r="E1" s="91"/>
      <c r="F1" s="91"/>
      <c r="G1" s="91"/>
      <c r="H1" s="91"/>
      <c r="I1" s="92"/>
      <c r="J1" s="93" t="s">
        <v>128</v>
      </c>
      <c r="K1" s="91"/>
      <c r="L1" s="91"/>
      <c r="M1" s="91"/>
      <c r="N1" s="91"/>
      <c r="O1" s="91"/>
      <c r="P1" s="92"/>
      <c r="Q1" s="94" t="s">
        <v>129</v>
      </c>
      <c r="S1" s="94"/>
    </row>
    <row r="2">
      <c r="A2" s="88" t="s">
        <v>130</v>
      </c>
      <c r="B2" s="89"/>
      <c r="C2" s="95" t="str">
        <f t="array" ref="C2:H2">TRANSPOSE('Справочник'!D2:D7)</f>
        <v>ООО "Весело живем"</v>
      </c>
      <c r="D2" s="96" t="s">
        <v>84</v>
      </c>
      <c r="E2" s="97">
        <v>3.0</v>
      </c>
      <c r="F2" s="97">
        <v>4.0</v>
      </c>
      <c r="G2" s="97">
        <v>5.0</v>
      </c>
      <c r="H2" s="97">
        <v>6.0</v>
      </c>
      <c r="I2" s="98" t="s">
        <v>131</v>
      </c>
      <c r="J2" s="95" t="str">
        <f t="array" ref="J2:O2">TRANSPOSE('Справочник'!D2:D7)</f>
        <v>ООО "Весело живем"</v>
      </c>
      <c r="K2" s="96" t="s">
        <v>84</v>
      </c>
      <c r="L2" s="97">
        <v>3.0</v>
      </c>
      <c r="M2" s="97">
        <v>4.0</v>
      </c>
      <c r="N2" s="97">
        <v>5.0</v>
      </c>
      <c r="O2" s="97">
        <v>6.0</v>
      </c>
      <c r="P2" s="98" t="s">
        <v>131</v>
      </c>
      <c r="Q2" s="99" t="s">
        <v>132</v>
      </c>
      <c r="R2" s="100" t="s">
        <v>133</v>
      </c>
      <c r="S2" s="101" t="s">
        <v>134</v>
      </c>
    </row>
    <row r="3">
      <c r="A3" s="102"/>
      <c r="B3" s="103" t="s">
        <v>86</v>
      </c>
      <c r="C3" s="104">
        <f t="shared" ref="C3:H3" si="1">SUM(C4:C10)</f>
        <v>0</v>
      </c>
      <c r="D3" s="105">
        <f t="shared" si="1"/>
        <v>0</v>
      </c>
      <c r="E3" s="105">
        <f t="shared" si="1"/>
        <v>0</v>
      </c>
      <c r="F3" s="105">
        <f t="shared" si="1"/>
        <v>0</v>
      </c>
      <c r="G3" s="105">
        <f t="shared" si="1"/>
        <v>0</v>
      </c>
      <c r="H3" s="105">
        <f t="shared" si="1"/>
        <v>0</v>
      </c>
      <c r="I3" s="106">
        <f>sum(C3:H3)</f>
        <v>0</v>
      </c>
      <c r="J3" s="104">
        <f t="shared" ref="J3:K3" si="2">SUM(J4:J10)</f>
        <v>0</v>
      </c>
      <c r="K3" s="105">
        <f t="shared" si="2"/>
        <v>0</v>
      </c>
      <c r="L3" s="105"/>
      <c r="M3" s="105"/>
      <c r="N3" s="105"/>
      <c r="O3" s="105"/>
      <c r="P3" s="107">
        <f>SUM(P4:P10)</f>
        <v>0</v>
      </c>
      <c r="Q3" s="105">
        <f t="shared" ref="Q3:Q55" si="3">I3-P3</f>
        <v>0</v>
      </c>
      <c r="R3" s="108">
        <f t="shared" ref="R3:R55" si="4">IFERROR(I3/P3,0)</f>
        <v>0</v>
      </c>
      <c r="S3" s="109" t="str">
        <f>IF(Q3=0,"",IF(R3&gt;1,"выполнение","план не выполнен"))</f>
        <v/>
      </c>
    </row>
    <row r="4">
      <c r="A4" s="110" t="str">
        <f>IFERROR(VLOOKUP(B4,'Статьи'!$A$2:C26,3,0)," ")</f>
        <v>1С сч 90.01 убрать НДС!</v>
      </c>
      <c r="B4" s="111" t="str">
        <f>IFERROR(__xludf.DUMMYFUNCTION("iferror(filter('Статьи'!$A$1:$A182,'Статьи'!$B$1:$B182=$B$3))"),"Выручка от аренды машиноместа")</f>
        <v>Выручка от аренды машиноместа</v>
      </c>
      <c r="C4" s="112"/>
      <c r="D4" s="113"/>
      <c r="E4" s="114"/>
      <c r="F4" s="115"/>
      <c r="G4" s="115"/>
      <c r="H4" s="115"/>
      <c r="I4" s="116">
        <f t="shared" ref="I4:I8" si="5">SUM(C4:H4)</f>
        <v>0</v>
      </c>
      <c r="J4" s="117"/>
      <c r="K4" s="118"/>
      <c r="L4" s="118"/>
      <c r="M4" s="118"/>
      <c r="N4" s="118"/>
      <c r="O4" s="118"/>
      <c r="P4" s="116">
        <f t="shared" ref="P4:P5" si="6">SUM(J4:K4)</f>
        <v>0</v>
      </c>
      <c r="Q4" s="119">
        <f t="shared" si="3"/>
        <v>0</v>
      </c>
      <c r="R4" s="120">
        <f t="shared" si="4"/>
        <v>0</v>
      </c>
      <c r="S4" s="121" t="str">
        <f t="shared" ref="S4:S10" si="7">IF(Q4=0,"",IF(R4=0,"обратить внимание",IF(R4&gt;1,"выполнение","план не выполнен")))</f>
        <v/>
      </c>
    </row>
    <row r="5" collapsed="1">
      <c r="A5" s="110" t="str">
        <f>IFERROR(VLOOKUP(B5,'Статьи'!$A$2:C27,3,0)," ")</f>
        <v>1С сч 90.01 убрать НДС!</v>
      </c>
      <c r="B5" s="111" t="str">
        <f>IFERROR(__xludf.DUMMYFUNCTION("""COMPUTED_VALUE"""),"Выручка за грузоперевозки")</f>
        <v>Выручка за грузоперевозки</v>
      </c>
      <c r="C5" s="112"/>
      <c r="D5" s="113"/>
      <c r="E5" s="114"/>
      <c r="F5" s="115"/>
      <c r="G5" s="115"/>
      <c r="H5" s="115"/>
      <c r="I5" s="116">
        <f t="shared" si="5"/>
        <v>0</v>
      </c>
      <c r="J5" s="117"/>
      <c r="K5" s="118"/>
      <c r="L5" s="118"/>
      <c r="M5" s="118"/>
      <c r="N5" s="118"/>
      <c r="O5" s="118"/>
      <c r="P5" s="116">
        <f t="shared" si="6"/>
        <v>0</v>
      </c>
      <c r="Q5" s="119">
        <f t="shared" si="3"/>
        <v>0</v>
      </c>
      <c r="R5" s="120">
        <f t="shared" si="4"/>
        <v>0</v>
      </c>
      <c r="S5" s="121" t="str">
        <f t="shared" si="7"/>
        <v/>
      </c>
    </row>
    <row r="6" hidden="1" outlineLevel="1">
      <c r="A6" s="110" t="str">
        <f>IFERROR(VLOOKUP(B6,'Статьи'!$A$2:C28,3,0)," ")</f>
        <v> </v>
      </c>
      <c r="B6" s="111"/>
      <c r="C6" s="122"/>
      <c r="D6" s="115"/>
      <c r="E6" s="115"/>
      <c r="F6" s="114"/>
      <c r="G6" s="114"/>
      <c r="H6" s="114"/>
      <c r="I6" s="116">
        <f t="shared" si="5"/>
        <v>0</v>
      </c>
      <c r="J6" s="123"/>
      <c r="K6" s="118"/>
      <c r="L6" s="118"/>
      <c r="M6" s="118"/>
      <c r="N6" s="118"/>
      <c r="O6" s="118"/>
      <c r="P6" s="116">
        <f t="shared" ref="P6:P8" si="8">SUM(F6:J6)</f>
        <v>0</v>
      </c>
      <c r="Q6" s="119">
        <f t="shared" si="3"/>
        <v>0</v>
      </c>
      <c r="R6" s="120">
        <f t="shared" si="4"/>
        <v>0</v>
      </c>
      <c r="S6" s="121" t="str">
        <f t="shared" si="7"/>
        <v/>
      </c>
    </row>
    <row r="7" hidden="1" outlineLevel="1">
      <c r="A7" s="110" t="str">
        <f>IFERROR(VLOOKUP(B7,'Статьи'!$A$2:C29,3,0)," ")</f>
        <v> </v>
      </c>
      <c r="B7" s="111"/>
      <c r="C7" s="122"/>
      <c r="D7" s="115"/>
      <c r="E7" s="115"/>
      <c r="F7" s="115"/>
      <c r="G7" s="115"/>
      <c r="H7" s="115"/>
      <c r="I7" s="116">
        <f t="shared" si="5"/>
        <v>0</v>
      </c>
      <c r="J7" s="123"/>
      <c r="K7" s="118"/>
      <c r="L7" s="118"/>
      <c r="M7" s="118"/>
      <c r="N7" s="118"/>
      <c r="O7" s="118"/>
      <c r="P7" s="116">
        <f t="shared" si="8"/>
        <v>0</v>
      </c>
      <c r="Q7" s="119">
        <f t="shared" si="3"/>
        <v>0</v>
      </c>
      <c r="R7" s="120">
        <f t="shared" si="4"/>
        <v>0</v>
      </c>
      <c r="S7" s="121" t="str">
        <f t="shared" si="7"/>
        <v/>
      </c>
    </row>
    <row r="8" hidden="1" outlineLevel="1">
      <c r="A8" s="110" t="str">
        <f>IFERROR(VLOOKUP(B8,'Статьи'!$A$2:C30,3,0)," ")</f>
        <v> </v>
      </c>
      <c r="B8" s="111"/>
      <c r="C8" s="122"/>
      <c r="D8" s="115"/>
      <c r="E8" s="115"/>
      <c r="F8" s="115"/>
      <c r="G8" s="115"/>
      <c r="H8" s="115"/>
      <c r="I8" s="116">
        <f t="shared" si="5"/>
        <v>0</v>
      </c>
      <c r="J8" s="123"/>
      <c r="K8" s="118"/>
      <c r="L8" s="118"/>
      <c r="M8" s="118"/>
      <c r="N8" s="118"/>
      <c r="O8" s="118"/>
      <c r="P8" s="116">
        <f t="shared" si="8"/>
        <v>0</v>
      </c>
      <c r="Q8" s="119">
        <f t="shared" si="3"/>
        <v>0</v>
      </c>
      <c r="R8" s="120">
        <f t="shared" si="4"/>
        <v>0</v>
      </c>
      <c r="S8" s="121" t="str">
        <f t="shared" si="7"/>
        <v/>
      </c>
    </row>
    <row r="9" hidden="1" outlineLevel="1">
      <c r="A9" s="110" t="str">
        <f>IFERROR(VLOOKUP(B9,'Статьи'!$A$2:C31,3,0)," ")</f>
        <v> </v>
      </c>
      <c r="B9" s="111"/>
      <c r="C9" s="124"/>
      <c r="D9" s="115"/>
      <c r="E9" s="115"/>
      <c r="F9" s="115"/>
      <c r="G9" s="115"/>
      <c r="H9" s="115"/>
      <c r="I9" s="116"/>
      <c r="J9" s="123"/>
      <c r="K9" s="118"/>
      <c r="L9" s="118"/>
      <c r="M9" s="118"/>
      <c r="N9" s="118"/>
      <c r="O9" s="118"/>
      <c r="P9" s="116"/>
      <c r="Q9" s="119">
        <f t="shared" si="3"/>
        <v>0</v>
      </c>
      <c r="R9" s="120">
        <f t="shared" si="4"/>
        <v>0</v>
      </c>
      <c r="S9" s="121" t="str">
        <f t="shared" si="7"/>
        <v/>
      </c>
    </row>
    <row r="10">
      <c r="A10" s="110" t="str">
        <f>IFERROR(VLOOKUP(B10,'Статьи'!$A$2:C32,3,0)," ")</f>
        <v> </v>
      </c>
      <c r="B10" s="125"/>
      <c r="C10" s="122"/>
      <c r="D10" s="115"/>
      <c r="E10" s="115"/>
      <c r="F10" s="115"/>
      <c r="G10" s="115"/>
      <c r="H10" s="115"/>
      <c r="I10" s="116"/>
      <c r="J10" s="123"/>
      <c r="K10" s="118"/>
      <c r="L10" s="118"/>
      <c r="M10" s="118"/>
      <c r="N10" s="118"/>
      <c r="O10" s="118"/>
      <c r="P10" s="116"/>
      <c r="Q10" s="119">
        <f t="shared" si="3"/>
        <v>0</v>
      </c>
      <c r="R10" s="120">
        <f t="shared" si="4"/>
        <v>0</v>
      </c>
      <c r="S10" s="121" t="str">
        <f t="shared" si="7"/>
        <v/>
      </c>
    </row>
    <row r="11">
      <c r="A11" s="126"/>
      <c r="B11" s="127" t="s">
        <v>135</v>
      </c>
      <c r="C11" s="128">
        <f t="shared" ref="C11:K11" si="9">C12+C58</f>
        <v>0</v>
      </c>
      <c r="D11" s="129">
        <f t="shared" si="9"/>
        <v>0</v>
      </c>
      <c r="E11" s="129">
        <f t="shared" si="9"/>
        <v>0</v>
      </c>
      <c r="F11" s="129">
        <f t="shared" si="9"/>
        <v>0</v>
      </c>
      <c r="G11" s="129">
        <f t="shared" si="9"/>
        <v>0</v>
      </c>
      <c r="H11" s="129">
        <f t="shared" si="9"/>
        <v>0</v>
      </c>
      <c r="I11" s="130">
        <f t="shared" si="9"/>
        <v>0</v>
      </c>
      <c r="J11" s="128">
        <f t="shared" si="9"/>
        <v>0</v>
      </c>
      <c r="K11" s="129">
        <f t="shared" si="9"/>
        <v>0</v>
      </c>
      <c r="L11" s="129"/>
      <c r="M11" s="129"/>
      <c r="N11" s="129"/>
      <c r="O11" s="129"/>
      <c r="P11" s="131">
        <f>P12+P58</f>
        <v>0</v>
      </c>
      <c r="Q11" s="132">
        <f t="shared" si="3"/>
        <v>0</v>
      </c>
      <c r="R11" s="133">
        <f t="shared" si="4"/>
        <v>0</v>
      </c>
      <c r="S11" s="134" t="str">
        <f>IF(Q11=0,"",IF(R11&gt;1,"план не выполнен","выполнение"))</f>
        <v/>
      </c>
    </row>
    <row r="12">
      <c r="A12" s="135"/>
      <c r="B12" s="136" t="s">
        <v>99</v>
      </c>
      <c r="C12" s="137">
        <f t="shared" ref="C12:K12" si="10">sum(C13:C54)</f>
        <v>0</v>
      </c>
      <c r="D12" s="138">
        <f t="shared" si="10"/>
        <v>0</v>
      </c>
      <c r="E12" s="138">
        <f t="shared" si="10"/>
        <v>0</v>
      </c>
      <c r="F12" s="138">
        <f t="shared" si="10"/>
        <v>0</v>
      </c>
      <c r="G12" s="138">
        <f t="shared" si="10"/>
        <v>0</v>
      </c>
      <c r="H12" s="138">
        <f t="shared" si="10"/>
        <v>0</v>
      </c>
      <c r="I12" s="139">
        <f t="shared" si="10"/>
        <v>0</v>
      </c>
      <c r="J12" s="137">
        <f t="shared" si="10"/>
        <v>0</v>
      </c>
      <c r="K12" s="138">
        <f t="shared" si="10"/>
        <v>0</v>
      </c>
      <c r="L12" s="138"/>
      <c r="M12" s="138"/>
      <c r="N12" s="138"/>
      <c r="O12" s="138"/>
      <c r="P12" s="140">
        <f>sum(P13:P54)</f>
        <v>0</v>
      </c>
      <c r="Q12" s="119">
        <f t="shared" si="3"/>
        <v>0</v>
      </c>
      <c r="R12" s="120">
        <f t="shared" si="4"/>
        <v>0</v>
      </c>
      <c r="S12" s="121" t="str">
        <f t="shared" ref="S12:S17" si="11">IF(Q12=0,"",IF(R12=0,"обратить внимание",IF(R12&gt;1,"перерасход","экономия")))</f>
        <v/>
      </c>
    </row>
    <row r="13">
      <c r="A13" s="142" t="str">
        <f>IFERROR(VLOOKUP(B13,'Статьи'!$A$2:C35,3,0)," ")</f>
        <v>ДДС отчетного месяца. Без НДС!</v>
      </c>
      <c r="B13" s="125" t="str">
        <f>IFERROR(__xludf.DUMMYFUNCTION("iferror(filter('Статьи'!$A$1:$A182,'Статьи'!$B$1:$B182=$B$12))"),"Комиссия топливных компаний")</f>
        <v>Комиссия топливных компаний</v>
      </c>
      <c r="C13" s="112"/>
      <c r="D13" s="113"/>
      <c r="E13" s="114"/>
      <c r="F13" s="114"/>
      <c r="G13" s="114"/>
      <c r="H13" s="143"/>
      <c r="I13" s="116">
        <f t="shared" ref="I13:I54" si="12">sum(C13:H13)</f>
        <v>0</v>
      </c>
      <c r="J13" s="117"/>
      <c r="K13" s="118"/>
      <c r="L13" s="118"/>
      <c r="M13" s="118"/>
      <c r="N13" s="118"/>
      <c r="O13" s="118"/>
      <c r="P13" s="116">
        <f t="shared" ref="P13:P16" si="13">SUM(J13:K13)</f>
        <v>0</v>
      </c>
      <c r="Q13" s="119">
        <f t="shared" si="3"/>
        <v>0</v>
      </c>
      <c r="R13" s="120">
        <f t="shared" si="4"/>
        <v>0</v>
      </c>
      <c r="S13" s="121" t="str">
        <f t="shared" si="11"/>
        <v/>
      </c>
    </row>
    <row r="14">
      <c r="A14" s="142" t="str">
        <f>IFERROR(VLOOKUP(B14,'Статьи'!$A$2:C36,3,0)," ")</f>
        <v>1С</v>
      </c>
      <c r="B14" s="125" t="str">
        <f>IFERROR(__xludf.DUMMYFUNCTION("""COMPUTED_VALUE"""),"Топливо для грузовых авто ")</f>
        <v>Топливо для грузовых авто </v>
      </c>
      <c r="C14" s="145"/>
      <c r="D14" s="113"/>
      <c r="E14" s="114"/>
      <c r="F14" s="146"/>
      <c r="G14" s="146"/>
      <c r="H14" s="143"/>
      <c r="I14" s="116">
        <f t="shared" si="12"/>
        <v>0</v>
      </c>
      <c r="J14" s="117"/>
      <c r="K14" s="118"/>
      <c r="L14" s="118"/>
      <c r="M14" s="118"/>
      <c r="N14" s="118"/>
      <c r="O14" s="118"/>
      <c r="P14" s="116">
        <f t="shared" si="13"/>
        <v>0</v>
      </c>
      <c r="Q14" s="119">
        <f t="shared" si="3"/>
        <v>0</v>
      </c>
      <c r="R14" s="120">
        <f t="shared" si="4"/>
        <v>0</v>
      </c>
      <c r="S14" s="121" t="str">
        <f t="shared" si="11"/>
        <v/>
      </c>
    </row>
    <row r="15">
      <c r="A15" s="142" t="str">
        <f>IFERROR(VLOOKUP(B15,'Статьи'!$A$2:C37,3,0)," ")</f>
        <v> </v>
      </c>
      <c r="B15" s="144"/>
      <c r="C15" s="145"/>
      <c r="D15" s="113"/>
      <c r="E15" s="114"/>
      <c r="F15" s="146"/>
      <c r="G15" s="146"/>
      <c r="H15" s="143"/>
      <c r="I15" s="116">
        <f t="shared" si="12"/>
        <v>0</v>
      </c>
      <c r="J15" s="117"/>
      <c r="K15" s="118"/>
      <c r="L15" s="118"/>
      <c r="M15" s="118"/>
      <c r="N15" s="118"/>
      <c r="O15" s="118"/>
      <c r="P15" s="116">
        <f t="shared" si="13"/>
        <v>0</v>
      </c>
      <c r="Q15" s="119">
        <f t="shared" si="3"/>
        <v>0</v>
      </c>
      <c r="R15" s="120">
        <f t="shared" si="4"/>
        <v>0</v>
      </c>
      <c r="S15" s="121" t="str">
        <f t="shared" si="11"/>
        <v/>
      </c>
    </row>
    <row r="16">
      <c r="A16" s="142" t="str">
        <f>IFERROR(VLOOKUP(B16,'Статьи'!$A$2:C38,3,0)," ")</f>
        <v> </v>
      </c>
      <c r="B16" s="144"/>
      <c r="C16" s="145"/>
      <c r="D16" s="113"/>
      <c r="E16" s="114"/>
      <c r="F16" s="146"/>
      <c r="G16" s="146"/>
      <c r="H16" s="143"/>
      <c r="I16" s="116">
        <f t="shared" si="12"/>
        <v>0</v>
      </c>
      <c r="J16" s="117"/>
      <c r="K16" s="118"/>
      <c r="L16" s="118"/>
      <c r="M16" s="118"/>
      <c r="N16" s="118"/>
      <c r="O16" s="118"/>
      <c r="P16" s="116">
        <f t="shared" si="13"/>
        <v>0</v>
      </c>
      <c r="Q16" s="119">
        <f t="shared" si="3"/>
        <v>0</v>
      </c>
      <c r="R16" s="120">
        <f t="shared" si="4"/>
        <v>0</v>
      </c>
      <c r="S16" s="121" t="str">
        <f t="shared" si="11"/>
        <v/>
      </c>
    </row>
    <row r="17" collapsed="1">
      <c r="A17" s="147" t="str">
        <f>IFERROR(VLOOKUP(B17,'Статьи'!$A$2:C39,3,0)," ")</f>
        <v> </v>
      </c>
      <c r="B17" s="144"/>
      <c r="C17" s="145"/>
      <c r="D17" s="114"/>
      <c r="E17" s="114"/>
      <c r="F17" s="146"/>
      <c r="G17" s="146"/>
      <c r="H17" s="143"/>
      <c r="I17" s="116">
        <f t="shared" si="12"/>
        <v>0</v>
      </c>
      <c r="J17" s="123"/>
      <c r="K17" s="118"/>
      <c r="L17" s="118"/>
      <c r="M17" s="118"/>
      <c r="N17" s="118"/>
      <c r="O17" s="118"/>
      <c r="P17" s="116">
        <f t="shared" ref="P17:P54" si="14">sum(F17:J17)</f>
        <v>0</v>
      </c>
      <c r="Q17" s="119">
        <f t="shared" si="3"/>
        <v>0</v>
      </c>
      <c r="R17" s="120">
        <f t="shared" si="4"/>
        <v>0</v>
      </c>
      <c r="S17" s="121" t="str">
        <f t="shared" si="11"/>
        <v/>
      </c>
    </row>
    <row r="18" hidden="1" outlineLevel="1">
      <c r="A18" s="147"/>
      <c r="B18" s="144"/>
      <c r="C18" s="145"/>
      <c r="D18" s="114"/>
      <c r="E18" s="114"/>
      <c r="F18" s="146"/>
      <c r="G18" s="146"/>
      <c r="H18" s="143"/>
      <c r="I18" s="116">
        <f t="shared" si="12"/>
        <v>0</v>
      </c>
      <c r="J18" s="123"/>
      <c r="K18" s="118"/>
      <c r="L18" s="118"/>
      <c r="M18" s="118"/>
      <c r="N18" s="118"/>
      <c r="O18" s="118"/>
      <c r="P18" s="116">
        <f t="shared" si="14"/>
        <v>0</v>
      </c>
      <c r="Q18" s="132">
        <f t="shared" si="3"/>
        <v>0</v>
      </c>
      <c r="R18" s="133">
        <f t="shared" si="4"/>
        <v>0</v>
      </c>
      <c r="S18" s="133">
        <f t="shared" ref="S18:S54" si="15">IF(Q18=0,0,IF(R18&gt;1,"перерасход","экономия"))</f>
        <v>0</v>
      </c>
    </row>
    <row r="19" hidden="1" outlineLevel="1">
      <c r="A19" s="147"/>
      <c r="B19" s="144"/>
      <c r="C19" s="148"/>
      <c r="D19" s="114"/>
      <c r="E19" s="114"/>
      <c r="F19" s="146"/>
      <c r="G19" s="146"/>
      <c r="H19" s="143"/>
      <c r="I19" s="116">
        <f t="shared" si="12"/>
        <v>0</v>
      </c>
      <c r="J19" s="123"/>
      <c r="K19" s="118"/>
      <c r="L19" s="118"/>
      <c r="M19" s="118"/>
      <c r="N19" s="118"/>
      <c r="O19" s="118"/>
      <c r="P19" s="116">
        <f t="shared" si="14"/>
        <v>0</v>
      </c>
      <c r="Q19" s="132">
        <f t="shared" si="3"/>
        <v>0</v>
      </c>
      <c r="R19" s="133">
        <f t="shared" si="4"/>
        <v>0</v>
      </c>
      <c r="S19" s="133">
        <f t="shared" si="15"/>
        <v>0</v>
      </c>
    </row>
    <row r="20" hidden="1" outlineLevel="1">
      <c r="A20" s="147"/>
      <c r="B20" s="144"/>
      <c r="C20" s="148"/>
      <c r="D20" s="114"/>
      <c r="E20" s="114"/>
      <c r="F20" s="146"/>
      <c r="G20" s="146"/>
      <c r="H20" s="143"/>
      <c r="I20" s="116">
        <f t="shared" si="12"/>
        <v>0</v>
      </c>
      <c r="J20" s="123"/>
      <c r="K20" s="118"/>
      <c r="L20" s="118"/>
      <c r="M20" s="118"/>
      <c r="N20" s="118"/>
      <c r="O20" s="118"/>
      <c r="P20" s="116">
        <f t="shared" si="14"/>
        <v>0</v>
      </c>
      <c r="Q20" s="132">
        <f t="shared" si="3"/>
        <v>0</v>
      </c>
      <c r="R20" s="133">
        <f t="shared" si="4"/>
        <v>0</v>
      </c>
      <c r="S20" s="133">
        <f t="shared" si="15"/>
        <v>0</v>
      </c>
    </row>
    <row r="21" hidden="1" outlineLevel="1">
      <c r="A21" s="147"/>
      <c r="B21" s="144"/>
      <c r="C21" s="148"/>
      <c r="D21" s="114"/>
      <c r="E21" s="114"/>
      <c r="F21" s="146"/>
      <c r="G21" s="146"/>
      <c r="H21" s="143"/>
      <c r="I21" s="116">
        <f t="shared" si="12"/>
        <v>0</v>
      </c>
      <c r="J21" s="123"/>
      <c r="K21" s="118"/>
      <c r="L21" s="118"/>
      <c r="M21" s="118"/>
      <c r="N21" s="118"/>
      <c r="O21" s="118"/>
      <c r="P21" s="116">
        <f t="shared" si="14"/>
        <v>0</v>
      </c>
      <c r="Q21" s="132">
        <f t="shared" si="3"/>
        <v>0</v>
      </c>
      <c r="R21" s="133">
        <f t="shared" si="4"/>
        <v>0</v>
      </c>
      <c r="S21" s="133">
        <f t="shared" si="15"/>
        <v>0</v>
      </c>
    </row>
    <row r="22" hidden="1" outlineLevel="1">
      <c r="A22" s="147"/>
      <c r="B22" s="144"/>
      <c r="C22" s="145"/>
      <c r="D22" s="114"/>
      <c r="E22" s="114"/>
      <c r="F22" s="146"/>
      <c r="G22" s="146"/>
      <c r="H22" s="149"/>
      <c r="I22" s="116">
        <f t="shared" si="12"/>
        <v>0</v>
      </c>
      <c r="J22" s="123"/>
      <c r="K22" s="118"/>
      <c r="L22" s="118"/>
      <c r="M22" s="118"/>
      <c r="N22" s="118"/>
      <c r="O22" s="118"/>
      <c r="P22" s="116">
        <f t="shared" si="14"/>
        <v>0</v>
      </c>
      <c r="Q22" s="132">
        <f t="shared" si="3"/>
        <v>0</v>
      </c>
      <c r="R22" s="133">
        <f t="shared" si="4"/>
        <v>0</v>
      </c>
      <c r="S22" s="133">
        <f t="shared" si="15"/>
        <v>0</v>
      </c>
    </row>
    <row r="23" hidden="1" outlineLevel="1">
      <c r="A23" s="150"/>
      <c r="B23" s="151"/>
      <c r="C23" s="148"/>
      <c r="D23" s="114"/>
      <c r="E23" s="114"/>
      <c r="F23" s="146"/>
      <c r="G23" s="146"/>
      <c r="H23" s="143"/>
      <c r="I23" s="116">
        <f t="shared" si="12"/>
        <v>0</v>
      </c>
      <c r="J23" s="123"/>
      <c r="K23" s="118"/>
      <c r="L23" s="118"/>
      <c r="M23" s="118"/>
      <c r="N23" s="118"/>
      <c r="O23" s="118"/>
      <c r="P23" s="116">
        <f t="shared" si="14"/>
        <v>0</v>
      </c>
      <c r="Q23" s="132">
        <f t="shared" si="3"/>
        <v>0</v>
      </c>
      <c r="R23" s="133">
        <f t="shared" si="4"/>
        <v>0</v>
      </c>
      <c r="S23" s="133">
        <f t="shared" si="15"/>
        <v>0</v>
      </c>
    </row>
    <row r="24" hidden="1" outlineLevel="1">
      <c r="A24" s="142"/>
      <c r="B24" s="125"/>
      <c r="C24" s="148"/>
      <c r="D24" s="114"/>
      <c r="E24" s="114"/>
      <c r="F24" s="146"/>
      <c r="G24" s="146"/>
      <c r="H24" s="143"/>
      <c r="I24" s="116">
        <f t="shared" si="12"/>
        <v>0</v>
      </c>
      <c r="J24" s="123"/>
      <c r="K24" s="118"/>
      <c r="L24" s="118"/>
      <c r="M24" s="118"/>
      <c r="N24" s="118"/>
      <c r="O24" s="118"/>
      <c r="P24" s="116">
        <f t="shared" si="14"/>
        <v>0</v>
      </c>
      <c r="Q24" s="132">
        <f t="shared" si="3"/>
        <v>0</v>
      </c>
      <c r="R24" s="133">
        <f t="shared" si="4"/>
        <v>0</v>
      </c>
      <c r="S24" s="133">
        <f t="shared" si="15"/>
        <v>0</v>
      </c>
    </row>
    <row r="25" hidden="1" outlineLevel="1">
      <c r="A25" s="142"/>
      <c r="B25" s="125"/>
      <c r="C25" s="123"/>
      <c r="D25" s="114"/>
      <c r="E25" s="114"/>
      <c r="F25" s="114"/>
      <c r="G25" s="114"/>
      <c r="H25" s="143"/>
      <c r="I25" s="116">
        <f t="shared" si="12"/>
        <v>0</v>
      </c>
      <c r="J25" s="123"/>
      <c r="K25" s="118"/>
      <c r="L25" s="118"/>
      <c r="M25" s="118"/>
      <c r="N25" s="118"/>
      <c r="O25" s="118"/>
      <c r="P25" s="116">
        <f t="shared" si="14"/>
        <v>0</v>
      </c>
      <c r="Q25" s="132">
        <f t="shared" si="3"/>
        <v>0</v>
      </c>
      <c r="R25" s="133">
        <f t="shared" si="4"/>
        <v>0</v>
      </c>
      <c r="S25" s="133">
        <f t="shared" si="15"/>
        <v>0</v>
      </c>
    </row>
    <row r="26" hidden="1" outlineLevel="1">
      <c r="A26" s="142"/>
      <c r="B26" s="125"/>
      <c r="C26" s="123"/>
      <c r="D26" s="114"/>
      <c r="E26" s="114"/>
      <c r="F26" s="114"/>
      <c r="G26" s="114"/>
      <c r="H26" s="143"/>
      <c r="I26" s="116">
        <f t="shared" si="12"/>
        <v>0</v>
      </c>
      <c r="J26" s="123"/>
      <c r="K26" s="118"/>
      <c r="L26" s="118"/>
      <c r="M26" s="118"/>
      <c r="N26" s="118"/>
      <c r="O26" s="118"/>
      <c r="P26" s="116">
        <f t="shared" si="14"/>
        <v>0</v>
      </c>
      <c r="Q26" s="132">
        <f t="shared" si="3"/>
        <v>0</v>
      </c>
      <c r="R26" s="133">
        <f t="shared" si="4"/>
        <v>0</v>
      </c>
      <c r="S26" s="133">
        <f t="shared" si="15"/>
        <v>0</v>
      </c>
    </row>
    <row r="27" hidden="1" outlineLevel="1">
      <c r="A27" s="142"/>
      <c r="B27" s="125"/>
      <c r="C27" s="123"/>
      <c r="D27" s="114"/>
      <c r="E27" s="114"/>
      <c r="F27" s="114"/>
      <c r="G27" s="114"/>
      <c r="H27" s="143"/>
      <c r="I27" s="116">
        <f t="shared" si="12"/>
        <v>0</v>
      </c>
      <c r="J27" s="123"/>
      <c r="K27" s="118"/>
      <c r="L27" s="118"/>
      <c r="M27" s="118"/>
      <c r="N27" s="118"/>
      <c r="O27" s="118"/>
      <c r="P27" s="116">
        <f t="shared" si="14"/>
        <v>0</v>
      </c>
      <c r="Q27" s="132">
        <f t="shared" si="3"/>
        <v>0</v>
      </c>
      <c r="R27" s="133">
        <f t="shared" si="4"/>
        <v>0</v>
      </c>
      <c r="S27" s="133">
        <f t="shared" si="15"/>
        <v>0</v>
      </c>
    </row>
    <row r="28" hidden="1" outlineLevel="1">
      <c r="A28" s="142"/>
      <c r="B28" s="125"/>
      <c r="C28" s="123"/>
      <c r="D28" s="114"/>
      <c r="E28" s="114"/>
      <c r="F28" s="114"/>
      <c r="G28" s="114"/>
      <c r="H28" s="143"/>
      <c r="I28" s="116">
        <f t="shared" si="12"/>
        <v>0</v>
      </c>
      <c r="J28" s="123"/>
      <c r="K28" s="118"/>
      <c r="L28" s="118"/>
      <c r="M28" s="118"/>
      <c r="N28" s="118"/>
      <c r="O28" s="118"/>
      <c r="P28" s="116">
        <f t="shared" si="14"/>
        <v>0</v>
      </c>
      <c r="Q28" s="132">
        <f t="shared" si="3"/>
        <v>0</v>
      </c>
      <c r="R28" s="133">
        <f t="shared" si="4"/>
        <v>0</v>
      </c>
      <c r="S28" s="133">
        <f t="shared" si="15"/>
        <v>0</v>
      </c>
    </row>
    <row r="29" hidden="1" outlineLevel="1">
      <c r="A29" s="142"/>
      <c r="B29" s="125"/>
      <c r="C29" s="123"/>
      <c r="D29" s="114"/>
      <c r="E29" s="114"/>
      <c r="F29" s="114"/>
      <c r="G29" s="114"/>
      <c r="H29" s="143"/>
      <c r="I29" s="116">
        <f t="shared" si="12"/>
        <v>0</v>
      </c>
      <c r="J29" s="123"/>
      <c r="K29" s="118"/>
      <c r="L29" s="118"/>
      <c r="M29" s="118"/>
      <c r="N29" s="118"/>
      <c r="O29" s="118"/>
      <c r="P29" s="116">
        <f t="shared" si="14"/>
        <v>0</v>
      </c>
      <c r="Q29" s="132">
        <f t="shared" si="3"/>
        <v>0</v>
      </c>
      <c r="R29" s="133">
        <f t="shared" si="4"/>
        <v>0</v>
      </c>
      <c r="S29" s="133">
        <f t="shared" si="15"/>
        <v>0</v>
      </c>
    </row>
    <row r="30" hidden="1" outlineLevel="1">
      <c r="A30" s="142"/>
      <c r="B30" s="125"/>
      <c r="C30" s="123"/>
      <c r="D30" s="114"/>
      <c r="E30" s="114"/>
      <c r="F30" s="114"/>
      <c r="G30" s="114"/>
      <c r="H30" s="143"/>
      <c r="I30" s="116">
        <f t="shared" si="12"/>
        <v>0</v>
      </c>
      <c r="J30" s="123"/>
      <c r="K30" s="118"/>
      <c r="L30" s="118"/>
      <c r="M30" s="118"/>
      <c r="N30" s="118"/>
      <c r="O30" s="118"/>
      <c r="P30" s="116">
        <f t="shared" si="14"/>
        <v>0</v>
      </c>
      <c r="Q30" s="132">
        <f t="shared" si="3"/>
        <v>0</v>
      </c>
      <c r="R30" s="133">
        <f t="shared" si="4"/>
        <v>0</v>
      </c>
      <c r="S30" s="133">
        <f t="shared" si="15"/>
        <v>0</v>
      </c>
    </row>
    <row r="31" hidden="1" outlineLevel="1">
      <c r="A31" s="142"/>
      <c r="B31" s="125"/>
      <c r="C31" s="123"/>
      <c r="D31" s="114"/>
      <c r="E31" s="114"/>
      <c r="F31" s="114"/>
      <c r="G31" s="114"/>
      <c r="H31" s="143"/>
      <c r="I31" s="116">
        <f t="shared" si="12"/>
        <v>0</v>
      </c>
      <c r="J31" s="123"/>
      <c r="K31" s="118"/>
      <c r="L31" s="118"/>
      <c r="M31" s="118"/>
      <c r="N31" s="118"/>
      <c r="O31" s="118"/>
      <c r="P31" s="116">
        <f t="shared" si="14"/>
        <v>0</v>
      </c>
      <c r="Q31" s="132">
        <f t="shared" si="3"/>
        <v>0</v>
      </c>
      <c r="R31" s="133">
        <f t="shared" si="4"/>
        <v>0</v>
      </c>
      <c r="S31" s="133">
        <f t="shared" si="15"/>
        <v>0</v>
      </c>
    </row>
    <row r="32" hidden="1" outlineLevel="1">
      <c r="A32" s="142"/>
      <c r="B32" s="125"/>
      <c r="C32" s="123"/>
      <c r="D32" s="114"/>
      <c r="E32" s="114"/>
      <c r="F32" s="114"/>
      <c r="G32" s="114"/>
      <c r="H32" s="143"/>
      <c r="I32" s="116">
        <f t="shared" si="12"/>
        <v>0</v>
      </c>
      <c r="J32" s="123"/>
      <c r="K32" s="118"/>
      <c r="L32" s="118"/>
      <c r="M32" s="118"/>
      <c r="N32" s="118"/>
      <c r="O32" s="118"/>
      <c r="P32" s="116">
        <f t="shared" si="14"/>
        <v>0</v>
      </c>
      <c r="Q32" s="132">
        <f t="shared" si="3"/>
        <v>0</v>
      </c>
      <c r="R32" s="133">
        <f t="shared" si="4"/>
        <v>0</v>
      </c>
      <c r="S32" s="133">
        <f t="shared" si="15"/>
        <v>0</v>
      </c>
    </row>
    <row r="33" hidden="1" outlineLevel="1">
      <c r="A33" s="142"/>
      <c r="B33" s="125"/>
      <c r="C33" s="123"/>
      <c r="D33" s="114"/>
      <c r="E33" s="114"/>
      <c r="F33" s="114"/>
      <c r="G33" s="114"/>
      <c r="H33" s="143"/>
      <c r="I33" s="116">
        <f t="shared" si="12"/>
        <v>0</v>
      </c>
      <c r="J33" s="123"/>
      <c r="K33" s="118"/>
      <c r="L33" s="118"/>
      <c r="M33" s="118"/>
      <c r="N33" s="118"/>
      <c r="O33" s="118"/>
      <c r="P33" s="116">
        <f t="shared" si="14"/>
        <v>0</v>
      </c>
      <c r="Q33" s="132">
        <f t="shared" si="3"/>
        <v>0</v>
      </c>
      <c r="R33" s="133">
        <f t="shared" si="4"/>
        <v>0</v>
      </c>
      <c r="S33" s="133">
        <f t="shared" si="15"/>
        <v>0</v>
      </c>
    </row>
    <row r="34" hidden="1" outlineLevel="1">
      <c r="A34" s="142"/>
      <c r="B34" s="125"/>
      <c r="C34" s="123"/>
      <c r="D34" s="114"/>
      <c r="E34" s="114"/>
      <c r="F34" s="114"/>
      <c r="G34" s="114"/>
      <c r="H34" s="143"/>
      <c r="I34" s="116">
        <f t="shared" si="12"/>
        <v>0</v>
      </c>
      <c r="J34" s="123"/>
      <c r="K34" s="118"/>
      <c r="L34" s="118"/>
      <c r="M34" s="118"/>
      <c r="N34" s="118"/>
      <c r="O34" s="118"/>
      <c r="P34" s="116">
        <f t="shared" si="14"/>
        <v>0</v>
      </c>
      <c r="Q34" s="132">
        <f t="shared" si="3"/>
        <v>0</v>
      </c>
      <c r="R34" s="133">
        <f t="shared" si="4"/>
        <v>0</v>
      </c>
      <c r="S34" s="133">
        <f t="shared" si="15"/>
        <v>0</v>
      </c>
    </row>
    <row r="35" hidden="1" outlineLevel="1">
      <c r="A35" s="142"/>
      <c r="B35" s="125"/>
      <c r="C35" s="123"/>
      <c r="D35" s="114"/>
      <c r="E35" s="114"/>
      <c r="F35" s="114"/>
      <c r="G35" s="114"/>
      <c r="H35" s="143"/>
      <c r="I35" s="116">
        <f t="shared" si="12"/>
        <v>0</v>
      </c>
      <c r="J35" s="123"/>
      <c r="K35" s="118"/>
      <c r="L35" s="118"/>
      <c r="M35" s="118"/>
      <c r="N35" s="118"/>
      <c r="O35" s="118"/>
      <c r="P35" s="116">
        <f t="shared" si="14"/>
        <v>0</v>
      </c>
      <c r="Q35" s="132">
        <f t="shared" si="3"/>
        <v>0</v>
      </c>
      <c r="R35" s="133">
        <f t="shared" si="4"/>
        <v>0</v>
      </c>
      <c r="S35" s="133">
        <f t="shared" si="15"/>
        <v>0</v>
      </c>
    </row>
    <row r="36" hidden="1" outlineLevel="1">
      <c r="A36" s="142"/>
      <c r="B36" s="125"/>
      <c r="C36" s="123"/>
      <c r="D36" s="114"/>
      <c r="E36" s="114"/>
      <c r="F36" s="114"/>
      <c r="G36" s="114"/>
      <c r="H36" s="143"/>
      <c r="I36" s="116">
        <f t="shared" si="12"/>
        <v>0</v>
      </c>
      <c r="J36" s="123"/>
      <c r="K36" s="118"/>
      <c r="L36" s="118"/>
      <c r="M36" s="118"/>
      <c r="N36" s="118"/>
      <c r="O36" s="118"/>
      <c r="P36" s="116">
        <f t="shared" si="14"/>
        <v>0</v>
      </c>
      <c r="Q36" s="132">
        <f t="shared" si="3"/>
        <v>0</v>
      </c>
      <c r="R36" s="133">
        <f t="shared" si="4"/>
        <v>0</v>
      </c>
      <c r="S36" s="133">
        <f t="shared" si="15"/>
        <v>0</v>
      </c>
    </row>
    <row r="37" hidden="1" outlineLevel="1">
      <c r="A37" s="142"/>
      <c r="B37" s="125"/>
      <c r="C37" s="123"/>
      <c r="D37" s="114"/>
      <c r="E37" s="114"/>
      <c r="F37" s="114"/>
      <c r="G37" s="114"/>
      <c r="H37" s="143"/>
      <c r="I37" s="116">
        <f t="shared" si="12"/>
        <v>0</v>
      </c>
      <c r="J37" s="123"/>
      <c r="K37" s="118"/>
      <c r="L37" s="118"/>
      <c r="M37" s="118"/>
      <c r="N37" s="118"/>
      <c r="O37" s="118"/>
      <c r="P37" s="116">
        <f t="shared" si="14"/>
        <v>0</v>
      </c>
      <c r="Q37" s="132">
        <f t="shared" si="3"/>
        <v>0</v>
      </c>
      <c r="R37" s="133">
        <f t="shared" si="4"/>
        <v>0</v>
      </c>
      <c r="S37" s="133">
        <f t="shared" si="15"/>
        <v>0</v>
      </c>
    </row>
    <row r="38" hidden="1" outlineLevel="1">
      <c r="A38" s="142"/>
      <c r="B38" s="125"/>
      <c r="C38" s="123"/>
      <c r="D38" s="114"/>
      <c r="E38" s="114"/>
      <c r="F38" s="114"/>
      <c r="G38" s="114"/>
      <c r="H38" s="143"/>
      <c r="I38" s="116">
        <f t="shared" si="12"/>
        <v>0</v>
      </c>
      <c r="J38" s="123"/>
      <c r="K38" s="118"/>
      <c r="L38" s="118"/>
      <c r="M38" s="118"/>
      <c r="N38" s="118"/>
      <c r="O38" s="118"/>
      <c r="P38" s="116">
        <f t="shared" si="14"/>
        <v>0</v>
      </c>
      <c r="Q38" s="132">
        <f t="shared" si="3"/>
        <v>0</v>
      </c>
      <c r="R38" s="133">
        <f t="shared" si="4"/>
        <v>0</v>
      </c>
      <c r="S38" s="133">
        <f t="shared" si="15"/>
        <v>0</v>
      </c>
    </row>
    <row r="39" hidden="1" outlineLevel="1">
      <c r="A39" s="142"/>
      <c r="B39" s="125"/>
      <c r="C39" s="123"/>
      <c r="D39" s="114"/>
      <c r="E39" s="114"/>
      <c r="F39" s="114"/>
      <c r="G39" s="114"/>
      <c r="H39" s="143"/>
      <c r="I39" s="116">
        <f t="shared" si="12"/>
        <v>0</v>
      </c>
      <c r="J39" s="123"/>
      <c r="K39" s="118"/>
      <c r="L39" s="118"/>
      <c r="M39" s="118"/>
      <c r="N39" s="118"/>
      <c r="O39" s="118"/>
      <c r="P39" s="116">
        <f t="shared" si="14"/>
        <v>0</v>
      </c>
      <c r="Q39" s="132">
        <f t="shared" si="3"/>
        <v>0</v>
      </c>
      <c r="R39" s="133">
        <f t="shared" si="4"/>
        <v>0</v>
      </c>
      <c r="S39" s="133">
        <f t="shared" si="15"/>
        <v>0</v>
      </c>
    </row>
    <row r="40" hidden="1" outlineLevel="1">
      <c r="A40" s="142"/>
      <c r="B40" s="125"/>
      <c r="C40" s="123"/>
      <c r="D40" s="114"/>
      <c r="E40" s="114"/>
      <c r="F40" s="114"/>
      <c r="G40" s="114"/>
      <c r="H40" s="143"/>
      <c r="I40" s="116">
        <f t="shared" si="12"/>
        <v>0</v>
      </c>
      <c r="J40" s="123"/>
      <c r="K40" s="118"/>
      <c r="L40" s="118"/>
      <c r="M40" s="118"/>
      <c r="N40" s="118"/>
      <c r="O40" s="118"/>
      <c r="P40" s="116">
        <f t="shared" si="14"/>
        <v>0</v>
      </c>
      <c r="Q40" s="132">
        <f t="shared" si="3"/>
        <v>0</v>
      </c>
      <c r="R40" s="133">
        <f t="shared" si="4"/>
        <v>0</v>
      </c>
      <c r="S40" s="133">
        <f t="shared" si="15"/>
        <v>0</v>
      </c>
    </row>
    <row r="41" hidden="1" outlineLevel="1">
      <c r="A41" s="142"/>
      <c r="B41" s="125"/>
      <c r="C41" s="123"/>
      <c r="D41" s="114"/>
      <c r="E41" s="114"/>
      <c r="F41" s="114"/>
      <c r="G41" s="114"/>
      <c r="H41" s="143"/>
      <c r="I41" s="116">
        <f t="shared" si="12"/>
        <v>0</v>
      </c>
      <c r="J41" s="123"/>
      <c r="K41" s="118"/>
      <c r="L41" s="118"/>
      <c r="M41" s="118"/>
      <c r="N41" s="118"/>
      <c r="O41" s="118"/>
      <c r="P41" s="116">
        <f t="shared" si="14"/>
        <v>0</v>
      </c>
      <c r="Q41" s="132">
        <f t="shared" si="3"/>
        <v>0</v>
      </c>
      <c r="R41" s="133">
        <f t="shared" si="4"/>
        <v>0</v>
      </c>
      <c r="S41" s="133">
        <f t="shared" si="15"/>
        <v>0</v>
      </c>
    </row>
    <row r="42" hidden="1" outlineLevel="1">
      <c r="A42" s="142"/>
      <c r="B42" s="125"/>
      <c r="C42" s="123"/>
      <c r="D42" s="114"/>
      <c r="E42" s="114"/>
      <c r="F42" s="114"/>
      <c r="G42" s="114"/>
      <c r="H42" s="143"/>
      <c r="I42" s="116">
        <f t="shared" si="12"/>
        <v>0</v>
      </c>
      <c r="J42" s="123"/>
      <c r="K42" s="118"/>
      <c r="L42" s="118"/>
      <c r="M42" s="118"/>
      <c r="N42" s="118"/>
      <c r="O42" s="118"/>
      <c r="P42" s="116">
        <f t="shared" si="14"/>
        <v>0</v>
      </c>
      <c r="Q42" s="132">
        <f t="shared" si="3"/>
        <v>0</v>
      </c>
      <c r="R42" s="133">
        <f t="shared" si="4"/>
        <v>0</v>
      </c>
      <c r="S42" s="133">
        <f t="shared" si="15"/>
        <v>0</v>
      </c>
    </row>
    <row r="43" hidden="1" outlineLevel="1">
      <c r="A43" s="142"/>
      <c r="B43" s="125"/>
      <c r="C43" s="123"/>
      <c r="D43" s="114"/>
      <c r="E43" s="114"/>
      <c r="F43" s="114"/>
      <c r="G43" s="114"/>
      <c r="H43" s="143"/>
      <c r="I43" s="116">
        <f t="shared" si="12"/>
        <v>0</v>
      </c>
      <c r="J43" s="123"/>
      <c r="K43" s="118"/>
      <c r="L43" s="118"/>
      <c r="M43" s="118"/>
      <c r="N43" s="118"/>
      <c r="O43" s="118"/>
      <c r="P43" s="116">
        <f t="shared" si="14"/>
        <v>0</v>
      </c>
      <c r="Q43" s="132">
        <f t="shared" si="3"/>
        <v>0</v>
      </c>
      <c r="R43" s="133">
        <f t="shared" si="4"/>
        <v>0</v>
      </c>
      <c r="S43" s="133">
        <f t="shared" si="15"/>
        <v>0</v>
      </c>
    </row>
    <row r="44" hidden="1" outlineLevel="1">
      <c r="A44" s="142"/>
      <c r="B44" s="125"/>
      <c r="C44" s="123"/>
      <c r="D44" s="114"/>
      <c r="E44" s="114"/>
      <c r="F44" s="114"/>
      <c r="G44" s="114"/>
      <c r="H44" s="143"/>
      <c r="I44" s="116">
        <f t="shared" si="12"/>
        <v>0</v>
      </c>
      <c r="J44" s="123"/>
      <c r="K44" s="118"/>
      <c r="L44" s="118"/>
      <c r="M44" s="118"/>
      <c r="N44" s="118"/>
      <c r="O44" s="118"/>
      <c r="P44" s="116">
        <f t="shared" si="14"/>
        <v>0</v>
      </c>
      <c r="Q44" s="132">
        <f t="shared" si="3"/>
        <v>0</v>
      </c>
      <c r="R44" s="133">
        <f t="shared" si="4"/>
        <v>0</v>
      </c>
      <c r="S44" s="133">
        <f t="shared" si="15"/>
        <v>0</v>
      </c>
    </row>
    <row r="45" hidden="1" outlineLevel="1">
      <c r="A45" s="142"/>
      <c r="B45" s="125"/>
      <c r="C45" s="123"/>
      <c r="D45" s="114"/>
      <c r="E45" s="114"/>
      <c r="F45" s="114"/>
      <c r="G45" s="114"/>
      <c r="H45" s="143"/>
      <c r="I45" s="116">
        <f t="shared" si="12"/>
        <v>0</v>
      </c>
      <c r="J45" s="123"/>
      <c r="K45" s="118"/>
      <c r="L45" s="118"/>
      <c r="M45" s="118"/>
      <c r="N45" s="118"/>
      <c r="O45" s="118"/>
      <c r="P45" s="116">
        <f t="shared" si="14"/>
        <v>0</v>
      </c>
      <c r="Q45" s="132">
        <f t="shared" si="3"/>
        <v>0</v>
      </c>
      <c r="R45" s="133">
        <f t="shared" si="4"/>
        <v>0</v>
      </c>
      <c r="S45" s="133">
        <f t="shared" si="15"/>
        <v>0</v>
      </c>
    </row>
    <row r="46" hidden="1" outlineLevel="1">
      <c r="A46" s="142"/>
      <c r="B46" s="125"/>
      <c r="C46" s="123"/>
      <c r="D46" s="114"/>
      <c r="E46" s="114"/>
      <c r="F46" s="114"/>
      <c r="G46" s="114"/>
      <c r="H46" s="143"/>
      <c r="I46" s="116">
        <f t="shared" si="12"/>
        <v>0</v>
      </c>
      <c r="J46" s="123"/>
      <c r="K46" s="118"/>
      <c r="L46" s="118"/>
      <c r="M46" s="118"/>
      <c r="N46" s="118"/>
      <c r="O46" s="118"/>
      <c r="P46" s="116">
        <f t="shared" si="14"/>
        <v>0</v>
      </c>
      <c r="Q46" s="132">
        <f t="shared" si="3"/>
        <v>0</v>
      </c>
      <c r="R46" s="133">
        <f t="shared" si="4"/>
        <v>0</v>
      </c>
      <c r="S46" s="133">
        <f t="shared" si="15"/>
        <v>0</v>
      </c>
    </row>
    <row r="47" hidden="1" outlineLevel="1">
      <c r="A47" s="142"/>
      <c r="B47" s="125"/>
      <c r="C47" s="123"/>
      <c r="D47" s="114"/>
      <c r="E47" s="114"/>
      <c r="F47" s="114"/>
      <c r="G47" s="114"/>
      <c r="H47" s="143"/>
      <c r="I47" s="116">
        <f t="shared" si="12"/>
        <v>0</v>
      </c>
      <c r="J47" s="123"/>
      <c r="K47" s="118"/>
      <c r="L47" s="118"/>
      <c r="M47" s="118"/>
      <c r="N47" s="118"/>
      <c r="O47" s="118"/>
      <c r="P47" s="116">
        <f t="shared" si="14"/>
        <v>0</v>
      </c>
      <c r="Q47" s="132">
        <f t="shared" si="3"/>
        <v>0</v>
      </c>
      <c r="R47" s="133">
        <f t="shared" si="4"/>
        <v>0</v>
      </c>
      <c r="S47" s="133">
        <f t="shared" si="15"/>
        <v>0</v>
      </c>
    </row>
    <row r="48" hidden="1" outlineLevel="1">
      <c r="A48" s="142"/>
      <c r="B48" s="125"/>
      <c r="C48" s="123"/>
      <c r="D48" s="114"/>
      <c r="E48" s="114"/>
      <c r="F48" s="114"/>
      <c r="G48" s="114"/>
      <c r="H48" s="143"/>
      <c r="I48" s="116">
        <f t="shared" si="12"/>
        <v>0</v>
      </c>
      <c r="J48" s="123"/>
      <c r="K48" s="118"/>
      <c r="L48" s="118"/>
      <c r="M48" s="118"/>
      <c r="N48" s="118"/>
      <c r="O48" s="118"/>
      <c r="P48" s="116">
        <f t="shared" si="14"/>
        <v>0</v>
      </c>
      <c r="Q48" s="132">
        <f t="shared" si="3"/>
        <v>0</v>
      </c>
      <c r="R48" s="133">
        <f t="shared" si="4"/>
        <v>0</v>
      </c>
      <c r="S48" s="133">
        <f t="shared" si="15"/>
        <v>0</v>
      </c>
    </row>
    <row r="49" hidden="1" outlineLevel="1">
      <c r="A49" s="142"/>
      <c r="B49" s="125"/>
      <c r="C49" s="123"/>
      <c r="D49" s="143"/>
      <c r="E49" s="114"/>
      <c r="F49" s="114"/>
      <c r="G49" s="114"/>
      <c r="H49" s="143"/>
      <c r="I49" s="116">
        <f t="shared" si="12"/>
        <v>0</v>
      </c>
      <c r="J49" s="123"/>
      <c r="K49" s="118"/>
      <c r="L49" s="118"/>
      <c r="M49" s="118"/>
      <c r="N49" s="118"/>
      <c r="O49" s="118"/>
      <c r="P49" s="116">
        <f t="shared" si="14"/>
        <v>0</v>
      </c>
      <c r="Q49" s="132">
        <f t="shared" si="3"/>
        <v>0</v>
      </c>
      <c r="R49" s="133">
        <f t="shared" si="4"/>
        <v>0</v>
      </c>
      <c r="S49" s="133">
        <f t="shared" si="15"/>
        <v>0</v>
      </c>
    </row>
    <row r="50" hidden="1" outlineLevel="1">
      <c r="A50" s="142"/>
      <c r="B50" s="125"/>
      <c r="C50" s="123"/>
      <c r="D50" s="114"/>
      <c r="E50" s="114"/>
      <c r="F50" s="114"/>
      <c r="G50" s="114"/>
      <c r="H50" s="143"/>
      <c r="I50" s="116">
        <f t="shared" si="12"/>
        <v>0</v>
      </c>
      <c r="J50" s="123"/>
      <c r="K50" s="118"/>
      <c r="L50" s="118"/>
      <c r="M50" s="118"/>
      <c r="N50" s="118"/>
      <c r="O50" s="118"/>
      <c r="P50" s="116">
        <f t="shared" si="14"/>
        <v>0</v>
      </c>
      <c r="Q50" s="132">
        <f t="shared" si="3"/>
        <v>0</v>
      </c>
      <c r="R50" s="133">
        <f t="shared" si="4"/>
        <v>0</v>
      </c>
      <c r="S50" s="133">
        <f t="shared" si="15"/>
        <v>0</v>
      </c>
    </row>
    <row r="51" hidden="1" outlineLevel="1">
      <c r="A51" s="142"/>
      <c r="B51" s="125"/>
      <c r="C51" s="123"/>
      <c r="D51" s="114"/>
      <c r="E51" s="114"/>
      <c r="F51" s="114"/>
      <c r="G51" s="114"/>
      <c r="H51" s="143"/>
      <c r="I51" s="116">
        <f t="shared" si="12"/>
        <v>0</v>
      </c>
      <c r="J51" s="123"/>
      <c r="K51" s="118"/>
      <c r="L51" s="118"/>
      <c r="M51" s="118"/>
      <c r="N51" s="118"/>
      <c r="O51" s="118"/>
      <c r="P51" s="116">
        <f t="shared" si="14"/>
        <v>0</v>
      </c>
      <c r="Q51" s="132">
        <f t="shared" si="3"/>
        <v>0</v>
      </c>
      <c r="R51" s="133">
        <f t="shared" si="4"/>
        <v>0</v>
      </c>
      <c r="S51" s="133">
        <f t="shared" si="15"/>
        <v>0</v>
      </c>
    </row>
    <row r="52" hidden="1" outlineLevel="1">
      <c r="A52" s="142"/>
      <c r="B52" s="125"/>
      <c r="C52" s="123"/>
      <c r="D52" s="114"/>
      <c r="E52" s="114"/>
      <c r="F52" s="114"/>
      <c r="G52" s="114"/>
      <c r="H52" s="149"/>
      <c r="I52" s="116">
        <f t="shared" si="12"/>
        <v>0</v>
      </c>
      <c r="J52" s="123"/>
      <c r="K52" s="118"/>
      <c r="L52" s="118"/>
      <c r="M52" s="118"/>
      <c r="N52" s="118"/>
      <c r="O52" s="118"/>
      <c r="P52" s="116">
        <f t="shared" si="14"/>
        <v>0</v>
      </c>
      <c r="Q52" s="132">
        <f t="shared" si="3"/>
        <v>0</v>
      </c>
      <c r="R52" s="133">
        <f t="shared" si="4"/>
        <v>0</v>
      </c>
      <c r="S52" s="133">
        <f t="shared" si="15"/>
        <v>0</v>
      </c>
    </row>
    <row r="53" hidden="1" outlineLevel="1">
      <c r="A53" s="142"/>
      <c r="B53" s="125"/>
      <c r="C53" s="123"/>
      <c r="D53" s="114"/>
      <c r="E53" s="114"/>
      <c r="F53" s="114"/>
      <c r="G53" s="114"/>
      <c r="H53" s="143"/>
      <c r="I53" s="116">
        <f t="shared" si="12"/>
        <v>0</v>
      </c>
      <c r="J53" s="123"/>
      <c r="K53" s="118"/>
      <c r="L53" s="118"/>
      <c r="M53" s="118"/>
      <c r="N53" s="118"/>
      <c r="O53" s="118"/>
      <c r="P53" s="116">
        <f t="shared" si="14"/>
        <v>0</v>
      </c>
      <c r="Q53" s="132">
        <f t="shared" si="3"/>
        <v>0</v>
      </c>
      <c r="R53" s="133">
        <f t="shared" si="4"/>
        <v>0</v>
      </c>
      <c r="S53" s="133">
        <f t="shared" si="15"/>
        <v>0</v>
      </c>
    </row>
    <row r="54" hidden="1" outlineLevel="1">
      <c r="A54" s="142"/>
      <c r="B54" s="125"/>
      <c r="C54" s="122"/>
      <c r="D54" s="114"/>
      <c r="E54" s="114"/>
      <c r="F54" s="114"/>
      <c r="G54" s="114"/>
      <c r="H54" s="143"/>
      <c r="I54" s="116">
        <f t="shared" si="12"/>
        <v>0</v>
      </c>
      <c r="J54" s="123"/>
      <c r="K54" s="118"/>
      <c r="L54" s="118"/>
      <c r="M54" s="118"/>
      <c r="N54" s="118"/>
      <c r="O54" s="118"/>
      <c r="P54" s="116">
        <f t="shared" si="14"/>
        <v>0</v>
      </c>
      <c r="Q54" s="132">
        <f t="shared" si="3"/>
        <v>0</v>
      </c>
      <c r="R54" s="133">
        <f t="shared" si="4"/>
        <v>0</v>
      </c>
      <c r="S54" s="133">
        <f t="shared" si="15"/>
        <v>0</v>
      </c>
    </row>
    <row r="55">
      <c r="A55" s="152"/>
      <c r="B55" s="153" t="s">
        <v>136</v>
      </c>
      <c r="C55" s="154">
        <f t="shared" ref="C55:K55" si="16">C3+C12</f>
        <v>0</v>
      </c>
      <c r="D55" s="155">
        <f t="shared" si="16"/>
        <v>0</v>
      </c>
      <c r="E55" s="155">
        <f t="shared" si="16"/>
        <v>0</v>
      </c>
      <c r="F55" s="155">
        <f t="shared" si="16"/>
        <v>0</v>
      </c>
      <c r="G55" s="155">
        <f t="shared" si="16"/>
        <v>0</v>
      </c>
      <c r="H55" s="156">
        <f t="shared" si="16"/>
        <v>0</v>
      </c>
      <c r="I55" s="157">
        <f t="shared" si="16"/>
        <v>0</v>
      </c>
      <c r="J55" s="154">
        <f t="shared" si="16"/>
        <v>0</v>
      </c>
      <c r="K55" s="155">
        <f t="shared" si="16"/>
        <v>0</v>
      </c>
      <c r="L55" s="155"/>
      <c r="M55" s="155"/>
      <c r="N55" s="155"/>
      <c r="O55" s="155"/>
      <c r="P55" s="157">
        <f>P3+P12</f>
        <v>0</v>
      </c>
      <c r="Q55" s="155">
        <f t="shared" si="3"/>
        <v>0</v>
      </c>
      <c r="R55" s="158">
        <f t="shared" si="4"/>
        <v>0</v>
      </c>
      <c r="S55" s="159" t="str">
        <f>IF(Q55=0,"",IF(R55&gt;1,"выполнение","план не выполнен"))</f>
        <v/>
      </c>
    </row>
    <row r="56">
      <c r="A56" s="160"/>
      <c r="B56" s="161" t="s">
        <v>137</v>
      </c>
      <c r="C56" s="162" t="str">
        <f t="shared" ref="C56:K56" si="17">IFERROR(C55/C$3,"")</f>
        <v/>
      </c>
      <c r="D56" s="163" t="str">
        <f t="shared" si="17"/>
        <v/>
      </c>
      <c r="E56" s="163" t="str">
        <f t="shared" si="17"/>
        <v/>
      </c>
      <c r="F56" s="163" t="str">
        <f t="shared" si="17"/>
        <v/>
      </c>
      <c r="G56" s="163" t="str">
        <f t="shared" si="17"/>
        <v/>
      </c>
      <c r="H56" s="163" t="str">
        <f t="shared" si="17"/>
        <v/>
      </c>
      <c r="I56" s="164" t="str">
        <f t="shared" si="17"/>
        <v/>
      </c>
      <c r="J56" s="163" t="str">
        <f t="shared" si="17"/>
        <v/>
      </c>
      <c r="K56" s="163" t="str">
        <f t="shared" si="17"/>
        <v/>
      </c>
      <c r="L56" s="163"/>
      <c r="M56" s="163"/>
      <c r="N56" s="163"/>
      <c r="O56" s="163"/>
      <c r="P56" s="164" t="str">
        <f>IFERROR(P55/P$3,"")</f>
        <v/>
      </c>
      <c r="Q56" s="121"/>
      <c r="R56" s="121"/>
      <c r="S56" s="121"/>
    </row>
    <row r="57">
      <c r="A57" s="142"/>
      <c r="B57" s="125"/>
      <c r="C57" s="122"/>
      <c r="D57" s="114"/>
      <c r="E57" s="114"/>
      <c r="F57" s="114"/>
      <c r="G57" s="114"/>
      <c r="H57" s="114"/>
      <c r="I57" s="116"/>
      <c r="J57" s="123"/>
      <c r="K57" s="118"/>
      <c r="L57" s="118"/>
      <c r="M57" s="118"/>
      <c r="N57" s="118"/>
      <c r="O57" s="118"/>
      <c r="P57" s="116"/>
      <c r="Q57" s="121"/>
      <c r="R57" s="121"/>
      <c r="S57" s="121"/>
    </row>
    <row r="58">
      <c r="A58" s="135"/>
      <c r="B58" s="136" t="s">
        <v>94</v>
      </c>
      <c r="C58" s="165">
        <f t="shared" ref="C58:H58" si="18">sum(C59:C79)</f>
        <v>0</v>
      </c>
      <c r="D58" s="166">
        <f t="shared" si="18"/>
        <v>0</v>
      </c>
      <c r="E58" s="166">
        <f t="shared" si="18"/>
        <v>0</v>
      </c>
      <c r="F58" s="166">
        <f t="shared" si="18"/>
        <v>0</v>
      </c>
      <c r="G58" s="166">
        <f t="shared" si="18"/>
        <v>0</v>
      </c>
      <c r="H58" s="166">
        <f t="shared" si="18"/>
        <v>0</v>
      </c>
      <c r="I58" s="167">
        <f t="shared" ref="I58:K58" si="19">SUM(I59:I84)</f>
        <v>0</v>
      </c>
      <c r="J58" s="165">
        <f t="shared" si="19"/>
        <v>0</v>
      </c>
      <c r="K58" s="166">
        <f t="shared" si="19"/>
        <v>0</v>
      </c>
      <c r="L58" s="166"/>
      <c r="M58" s="166"/>
      <c r="N58" s="166"/>
      <c r="O58" s="166"/>
      <c r="P58" s="168">
        <f>SUM(P59:P84)</f>
        <v>0</v>
      </c>
      <c r="Q58" s="166">
        <f t="shared" ref="Q58:Q85" si="20">I58-P58</f>
        <v>0</v>
      </c>
      <c r="R58" s="169">
        <f t="shared" ref="R58:R85" si="21">IFERROR(I58/P58,0)</f>
        <v>0</v>
      </c>
      <c r="S58" s="141" t="str">
        <f>IF(Q58=0,"",IF(R58&gt;1,"план не выполнен","выполнение"))</f>
        <v/>
      </c>
    </row>
    <row r="59">
      <c r="A59" s="142" t="str">
        <f>IFERROR(VLOOKUP(B59,'Статьи'!$A$2:C81,3,0)," ")</f>
        <v>1С</v>
      </c>
      <c r="B59" s="125" t="str">
        <f>IFERROR(__xludf.DUMMYFUNCTION("iferror(filter('Статьи'!$A$1:$A182,'Статьи'!$B$1:$B182=$B$58))"),"Зарплата производственного персонала")</f>
        <v>Зарплата производственного персонала</v>
      </c>
      <c r="C59" s="170"/>
      <c r="D59" s="149"/>
      <c r="E59" s="143"/>
      <c r="F59" s="143"/>
      <c r="G59" s="143"/>
      <c r="H59" s="143"/>
      <c r="I59" s="116">
        <f t="shared" ref="I59:I84" si="22">SUM(C59:H59)</f>
        <v>0</v>
      </c>
      <c r="J59" s="117"/>
      <c r="K59" s="118"/>
      <c r="L59" s="118"/>
      <c r="M59" s="118"/>
      <c r="N59" s="118"/>
      <c r="O59" s="118"/>
      <c r="P59" s="116">
        <f t="shared" ref="P59:P84" si="23">SUM(J59:K59)</f>
        <v>0</v>
      </c>
      <c r="Q59" s="119">
        <f t="shared" si="20"/>
        <v>0</v>
      </c>
      <c r="R59" s="120">
        <f t="shared" si="21"/>
        <v>0</v>
      </c>
      <c r="S59" s="121" t="str">
        <f t="shared" ref="S59:S84" si="24">IF(Q59=0,"",IF(R59=0,"обратить внимание",IF(R59&gt;1,"перерасход","экономия")))</f>
        <v/>
      </c>
    </row>
    <row r="60" collapsed="1">
      <c r="A60" s="142" t="str">
        <f>IFERROR(VLOOKUP(B60,'Статьи'!$A$2:C82,3,0)," ")</f>
        <v>ДДС отчетного месяца. Без НДС!</v>
      </c>
      <c r="B60" s="125" t="str">
        <f>IFERROR(__xludf.DUMMYFUNCTION("""COMPUTED_VALUE"""),"Таможенные расходы")</f>
        <v>Таможенные расходы</v>
      </c>
      <c r="C60" s="171"/>
      <c r="D60" s="149"/>
      <c r="E60" s="143"/>
      <c r="F60" s="143"/>
      <c r="G60" s="143"/>
      <c r="H60" s="149"/>
      <c r="I60" s="116">
        <f t="shared" si="22"/>
        <v>0</v>
      </c>
      <c r="J60" s="117"/>
      <c r="K60" s="118"/>
      <c r="L60" s="118"/>
      <c r="M60" s="118"/>
      <c r="N60" s="118"/>
      <c r="O60" s="118"/>
      <c r="P60" s="116">
        <f t="shared" si="23"/>
        <v>0</v>
      </c>
      <c r="Q60" s="119">
        <f t="shared" si="20"/>
        <v>0</v>
      </c>
      <c r="R60" s="120">
        <f t="shared" si="21"/>
        <v>0</v>
      </c>
      <c r="S60" s="121" t="str">
        <f t="shared" si="24"/>
        <v/>
      </c>
    </row>
    <row r="61" hidden="1" outlineLevel="1">
      <c r="A61" s="142" t="str">
        <f>IFERROR(VLOOKUP(B61,'Статьи'!$A$2:C83,3,0)," ")</f>
        <v> </v>
      </c>
      <c r="B61" s="125"/>
      <c r="C61" s="171"/>
      <c r="D61" s="172"/>
      <c r="E61" s="143"/>
      <c r="F61" s="143"/>
      <c r="G61" s="143"/>
      <c r="H61" s="149"/>
      <c r="I61" s="116">
        <f t="shared" si="22"/>
        <v>0</v>
      </c>
      <c r="J61" s="117"/>
      <c r="K61" s="118"/>
      <c r="L61" s="118"/>
      <c r="M61" s="118"/>
      <c r="N61" s="118"/>
      <c r="O61" s="118"/>
      <c r="P61" s="116">
        <f t="shared" si="23"/>
        <v>0</v>
      </c>
      <c r="Q61" s="119">
        <f t="shared" si="20"/>
        <v>0</v>
      </c>
      <c r="R61" s="120">
        <f t="shared" si="21"/>
        <v>0</v>
      </c>
      <c r="S61" s="121" t="str">
        <f t="shared" si="24"/>
        <v/>
      </c>
    </row>
    <row r="62" hidden="1" outlineLevel="1">
      <c r="A62" s="142" t="str">
        <f>IFERROR(VLOOKUP(B62,'Статьи'!$A$2:C84,3,0)," ")</f>
        <v> </v>
      </c>
      <c r="B62" s="125"/>
      <c r="C62" s="171"/>
      <c r="D62" s="172"/>
      <c r="E62" s="143"/>
      <c r="F62" s="143"/>
      <c r="G62" s="143"/>
      <c r="H62" s="149"/>
      <c r="I62" s="116">
        <f t="shared" si="22"/>
        <v>0</v>
      </c>
      <c r="J62" s="123"/>
      <c r="K62" s="118"/>
      <c r="L62" s="118"/>
      <c r="M62" s="118"/>
      <c r="N62" s="118"/>
      <c r="O62" s="118"/>
      <c r="P62" s="116">
        <f t="shared" si="23"/>
        <v>0</v>
      </c>
      <c r="Q62" s="119">
        <f t="shared" si="20"/>
        <v>0</v>
      </c>
      <c r="R62" s="120">
        <f t="shared" si="21"/>
        <v>0</v>
      </c>
      <c r="S62" s="121" t="str">
        <f t="shared" si="24"/>
        <v/>
      </c>
    </row>
    <row r="63" hidden="1" outlineLevel="1">
      <c r="A63" s="142" t="str">
        <f>IFERROR(VLOOKUP(B63,'Статьи'!$A$2:C85,3,0)," ")</f>
        <v> </v>
      </c>
      <c r="B63" s="125"/>
      <c r="C63" s="171"/>
      <c r="D63" s="172"/>
      <c r="E63" s="143"/>
      <c r="F63" s="143"/>
      <c r="G63" s="143"/>
      <c r="H63" s="149"/>
      <c r="I63" s="116">
        <f t="shared" si="22"/>
        <v>0</v>
      </c>
      <c r="J63" s="117"/>
      <c r="K63" s="118"/>
      <c r="L63" s="118"/>
      <c r="M63" s="118"/>
      <c r="N63" s="118"/>
      <c r="O63" s="118"/>
      <c r="P63" s="116">
        <f t="shared" si="23"/>
        <v>0</v>
      </c>
      <c r="Q63" s="119">
        <f t="shared" si="20"/>
        <v>0</v>
      </c>
      <c r="R63" s="120">
        <f t="shared" si="21"/>
        <v>0</v>
      </c>
      <c r="S63" s="121" t="str">
        <f t="shared" si="24"/>
        <v/>
      </c>
    </row>
    <row r="64" hidden="1" outlineLevel="1">
      <c r="A64" s="142" t="str">
        <f>IFERROR(VLOOKUP(B64,'Статьи'!$A$2:C86,3,0)," ")</f>
        <v> </v>
      </c>
      <c r="B64" s="125"/>
      <c r="C64" s="171"/>
      <c r="D64" s="172"/>
      <c r="E64" s="143"/>
      <c r="F64" s="143"/>
      <c r="G64" s="143"/>
      <c r="H64" s="149"/>
      <c r="I64" s="116">
        <f t="shared" si="22"/>
        <v>0</v>
      </c>
      <c r="J64" s="117"/>
      <c r="K64" s="118"/>
      <c r="L64" s="118"/>
      <c r="M64" s="118"/>
      <c r="N64" s="118"/>
      <c r="O64" s="118"/>
      <c r="P64" s="116">
        <f t="shared" si="23"/>
        <v>0</v>
      </c>
      <c r="Q64" s="119">
        <f t="shared" si="20"/>
        <v>0</v>
      </c>
      <c r="R64" s="120">
        <f t="shared" si="21"/>
        <v>0</v>
      </c>
      <c r="S64" s="121" t="str">
        <f t="shared" si="24"/>
        <v/>
      </c>
    </row>
    <row r="65" hidden="1" outlineLevel="1">
      <c r="A65" s="142" t="str">
        <f>IFERROR(VLOOKUP(B65,'Статьи'!$A$2:C87,3,0)," ")</f>
        <v> </v>
      </c>
      <c r="B65" s="125"/>
      <c r="C65" s="171"/>
      <c r="D65" s="172"/>
      <c r="E65" s="143"/>
      <c r="F65" s="143"/>
      <c r="G65" s="143"/>
      <c r="H65" s="149"/>
      <c r="I65" s="116">
        <f t="shared" si="22"/>
        <v>0</v>
      </c>
      <c r="J65" s="117"/>
      <c r="K65" s="118"/>
      <c r="L65" s="118"/>
      <c r="M65" s="118"/>
      <c r="N65" s="118"/>
      <c r="O65" s="118"/>
      <c r="P65" s="116">
        <f t="shared" si="23"/>
        <v>0</v>
      </c>
      <c r="Q65" s="119">
        <f t="shared" si="20"/>
        <v>0</v>
      </c>
      <c r="R65" s="120">
        <f t="shared" si="21"/>
        <v>0</v>
      </c>
      <c r="S65" s="121" t="str">
        <f t="shared" si="24"/>
        <v/>
      </c>
    </row>
    <row r="66" hidden="1" outlineLevel="1">
      <c r="A66" s="142" t="str">
        <f>IFERROR(VLOOKUP(B66,'Статьи'!$A$2:C88,3,0)," ")</f>
        <v> </v>
      </c>
      <c r="B66" s="125"/>
      <c r="C66" s="171"/>
      <c r="D66" s="172"/>
      <c r="E66" s="143"/>
      <c r="F66" s="143"/>
      <c r="G66" s="143"/>
      <c r="H66" s="149"/>
      <c r="I66" s="116">
        <f t="shared" si="22"/>
        <v>0</v>
      </c>
      <c r="J66" s="117"/>
      <c r="K66" s="118"/>
      <c r="L66" s="118"/>
      <c r="M66" s="118"/>
      <c r="N66" s="118"/>
      <c r="O66" s="118"/>
      <c r="P66" s="116">
        <f t="shared" si="23"/>
        <v>0</v>
      </c>
      <c r="Q66" s="119">
        <f t="shared" si="20"/>
        <v>0</v>
      </c>
      <c r="R66" s="120">
        <f t="shared" si="21"/>
        <v>0</v>
      </c>
      <c r="S66" s="121" t="str">
        <f t="shared" si="24"/>
        <v/>
      </c>
    </row>
    <row r="67" hidden="1" outlineLevel="1">
      <c r="A67" s="142" t="str">
        <f>IFERROR(VLOOKUP(B67,'Статьи'!$A$2:C89,3,0)," ")</f>
        <v> </v>
      </c>
      <c r="B67" s="125"/>
      <c r="C67" s="171"/>
      <c r="D67" s="172"/>
      <c r="E67" s="143"/>
      <c r="F67" s="143"/>
      <c r="G67" s="143"/>
      <c r="H67" s="149"/>
      <c r="I67" s="116">
        <f t="shared" si="22"/>
        <v>0</v>
      </c>
      <c r="J67" s="117"/>
      <c r="K67" s="118"/>
      <c r="L67" s="118"/>
      <c r="M67" s="118"/>
      <c r="N67" s="118"/>
      <c r="O67" s="118"/>
      <c r="P67" s="116">
        <f t="shared" si="23"/>
        <v>0</v>
      </c>
      <c r="Q67" s="119">
        <f t="shared" si="20"/>
        <v>0</v>
      </c>
      <c r="R67" s="120">
        <f t="shared" si="21"/>
        <v>0</v>
      </c>
      <c r="S67" s="121" t="str">
        <f t="shared" si="24"/>
        <v/>
      </c>
    </row>
    <row r="68" hidden="1" outlineLevel="1">
      <c r="A68" s="142" t="str">
        <f>IFERROR(VLOOKUP(B68,'Статьи'!$A$2:C90,3,0)," ")</f>
        <v> </v>
      </c>
      <c r="B68" s="125"/>
      <c r="C68" s="171"/>
      <c r="D68" s="172"/>
      <c r="E68" s="143"/>
      <c r="F68" s="143"/>
      <c r="G68" s="143"/>
      <c r="H68" s="149"/>
      <c r="I68" s="116">
        <f t="shared" si="22"/>
        <v>0</v>
      </c>
      <c r="J68" s="123"/>
      <c r="K68" s="118"/>
      <c r="L68" s="118"/>
      <c r="M68" s="118"/>
      <c r="N68" s="118"/>
      <c r="O68" s="118"/>
      <c r="P68" s="116">
        <f t="shared" si="23"/>
        <v>0</v>
      </c>
      <c r="Q68" s="119">
        <f t="shared" si="20"/>
        <v>0</v>
      </c>
      <c r="R68" s="120">
        <f t="shared" si="21"/>
        <v>0</v>
      </c>
      <c r="S68" s="121" t="str">
        <f t="shared" si="24"/>
        <v/>
      </c>
    </row>
    <row r="69" hidden="1" outlineLevel="1">
      <c r="A69" s="142" t="str">
        <f>IFERROR(VLOOKUP(B69,'Статьи'!$A$2:C91,3,0)," ")</f>
        <v> </v>
      </c>
      <c r="B69" s="125"/>
      <c r="C69" s="171"/>
      <c r="D69" s="172"/>
      <c r="E69" s="143"/>
      <c r="F69" s="143"/>
      <c r="G69" s="143"/>
      <c r="H69" s="149"/>
      <c r="I69" s="116">
        <f t="shared" si="22"/>
        <v>0</v>
      </c>
      <c r="J69" s="117"/>
      <c r="K69" s="118"/>
      <c r="L69" s="118"/>
      <c r="M69" s="118"/>
      <c r="N69" s="118"/>
      <c r="O69" s="118"/>
      <c r="P69" s="116">
        <f t="shared" si="23"/>
        <v>0</v>
      </c>
      <c r="Q69" s="119">
        <f t="shared" si="20"/>
        <v>0</v>
      </c>
      <c r="R69" s="120">
        <f t="shared" si="21"/>
        <v>0</v>
      </c>
      <c r="S69" s="121" t="str">
        <f t="shared" si="24"/>
        <v/>
      </c>
    </row>
    <row r="70" hidden="1" outlineLevel="1">
      <c r="A70" s="142" t="str">
        <f>IFERROR(VLOOKUP(B70,'Статьи'!$A$2:C92,3,0)," ")</f>
        <v> </v>
      </c>
      <c r="B70" s="125"/>
      <c r="C70" s="171"/>
      <c r="D70" s="172"/>
      <c r="E70" s="143"/>
      <c r="F70" s="143"/>
      <c r="G70" s="143"/>
      <c r="H70" s="149"/>
      <c r="I70" s="116">
        <f t="shared" si="22"/>
        <v>0</v>
      </c>
      <c r="J70" s="117"/>
      <c r="K70" s="118"/>
      <c r="L70" s="118"/>
      <c r="M70" s="118"/>
      <c r="N70" s="118"/>
      <c r="O70" s="118"/>
      <c r="P70" s="116">
        <f t="shared" si="23"/>
        <v>0</v>
      </c>
      <c r="Q70" s="119">
        <f t="shared" si="20"/>
        <v>0</v>
      </c>
      <c r="R70" s="120">
        <f t="shared" si="21"/>
        <v>0</v>
      </c>
      <c r="S70" s="121" t="str">
        <f t="shared" si="24"/>
        <v/>
      </c>
    </row>
    <row r="71" hidden="1" outlineLevel="1">
      <c r="A71" s="142" t="str">
        <f>IFERROR(VLOOKUP(B71,'Статьи'!$A$2:C93,3,0)," ")</f>
        <v> </v>
      </c>
      <c r="B71" s="125"/>
      <c r="C71" s="171"/>
      <c r="D71" s="172"/>
      <c r="E71" s="143"/>
      <c r="F71" s="143"/>
      <c r="G71" s="143"/>
      <c r="H71" s="149"/>
      <c r="I71" s="116">
        <f t="shared" si="22"/>
        <v>0</v>
      </c>
      <c r="J71" s="117"/>
      <c r="K71" s="118"/>
      <c r="L71" s="118"/>
      <c r="M71" s="118"/>
      <c r="N71" s="118"/>
      <c r="O71" s="118"/>
      <c r="P71" s="116">
        <f t="shared" si="23"/>
        <v>0</v>
      </c>
      <c r="Q71" s="119">
        <f t="shared" si="20"/>
        <v>0</v>
      </c>
      <c r="R71" s="120">
        <f t="shared" si="21"/>
        <v>0</v>
      </c>
      <c r="S71" s="121" t="str">
        <f t="shared" si="24"/>
        <v/>
      </c>
    </row>
    <row r="72" hidden="1" outlineLevel="1">
      <c r="A72" s="142" t="str">
        <f>IFERROR(VLOOKUP(B72,'Статьи'!$A$2:C94,3,0)," ")</f>
        <v> </v>
      </c>
      <c r="B72" s="125"/>
      <c r="C72" s="170"/>
      <c r="D72" s="149"/>
      <c r="E72" s="143"/>
      <c r="F72" s="143"/>
      <c r="G72" s="143"/>
      <c r="H72" s="149"/>
      <c r="I72" s="116">
        <f t="shared" si="22"/>
        <v>0</v>
      </c>
      <c r="J72" s="123"/>
      <c r="K72" s="118"/>
      <c r="L72" s="118"/>
      <c r="M72" s="118"/>
      <c r="N72" s="118"/>
      <c r="O72" s="118"/>
      <c r="P72" s="116">
        <f t="shared" si="23"/>
        <v>0</v>
      </c>
      <c r="Q72" s="119">
        <f t="shared" si="20"/>
        <v>0</v>
      </c>
      <c r="R72" s="120">
        <f t="shared" si="21"/>
        <v>0</v>
      </c>
      <c r="S72" s="121" t="str">
        <f t="shared" si="24"/>
        <v/>
      </c>
    </row>
    <row r="73" hidden="1" outlineLevel="1">
      <c r="A73" s="142" t="str">
        <f>IFERROR(VLOOKUP(B73,'Статьи'!$A$2:C95,3,0)," ")</f>
        <v> </v>
      </c>
      <c r="B73" s="125"/>
      <c r="C73" s="170"/>
      <c r="D73" s="149"/>
      <c r="E73" s="143"/>
      <c r="F73" s="143"/>
      <c r="G73" s="143"/>
      <c r="H73" s="149"/>
      <c r="I73" s="116">
        <f t="shared" si="22"/>
        <v>0</v>
      </c>
      <c r="J73" s="123"/>
      <c r="K73" s="118"/>
      <c r="L73" s="118"/>
      <c r="M73" s="118"/>
      <c r="N73" s="118"/>
      <c r="O73" s="118"/>
      <c r="P73" s="116">
        <f t="shared" si="23"/>
        <v>0</v>
      </c>
      <c r="Q73" s="119">
        <f t="shared" si="20"/>
        <v>0</v>
      </c>
      <c r="R73" s="120">
        <f t="shared" si="21"/>
        <v>0</v>
      </c>
      <c r="S73" s="121" t="str">
        <f t="shared" si="24"/>
        <v/>
      </c>
    </row>
    <row r="74" hidden="1" outlineLevel="1">
      <c r="A74" s="142" t="str">
        <f>IFERROR(VLOOKUP(B74,'Статьи'!$A$2:C96,3,0)," ")</f>
        <v> </v>
      </c>
      <c r="B74" s="125"/>
      <c r="C74" s="170"/>
      <c r="D74" s="149"/>
      <c r="E74" s="143"/>
      <c r="F74" s="143"/>
      <c r="G74" s="143"/>
      <c r="H74" s="149"/>
      <c r="I74" s="116">
        <f t="shared" si="22"/>
        <v>0</v>
      </c>
      <c r="J74" s="123"/>
      <c r="K74" s="118"/>
      <c r="L74" s="118"/>
      <c r="M74" s="118"/>
      <c r="N74" s="118"/>
      <c r="O74" s="118"/>
      <c r="P74" s="116">
        <f t="shared" si="23"/>
        <v>0</v>
      </c>
      <c r="Q74" s="119">
        <f t="shared" si="20"/>
        <v>0</v>
      </c>
      <c r="R74" s="120">
        <f t="shared" si="21"/>
        <v>0</v>
      </c>
      <c r="S74" s="121" t="str">
        <f t="shared" si="24"/>
        <v/>
      </c>
    </row>
    <row r="75" hidden="1" outlineLevel="1">
      <c r="A75" s="142" t="str">
        <f>IFERROR(VLOOKUP(B75,'Статьи'!$A$2:C97,3,0)," ")</f>
        <v> </v>
      </c>
      <c r="B75" s="125"/>
      <c r="C75" s="170"/>
      <c r="D75" s="149"/>
      <c r="E75" s="143"/>
      <c r="F75" s="143"/>
      <c r="G75" s="143"/>
      <c r="H75" s="149"/>
      <c r="I75" s="116">
        <f t="shared" si="22"/>
        <v>0</v>
      </c>
      <c r="J75" s="123"/>
      <c r="K75" s="118"/>
      <c r="L75" s="118"/>
      <c r="M75" s="118"/>
      <c r="N75" s="118"/>
      <c r="O75" s="118"/>
      <c r="P75" s="116">
        <f t="shared" si="23"/>
        <v>0</v>
      </c>
      <c r="Q75" s="119">
        <f t="shared" si="20"/>
        <v>0</v>
      </c>
      <c r="R75" s="120">
        <f t="shared" si="21"/>
        <v>0</v>
      </c>
      <c r="S75" s="121" t="str">
        <f t="shared" si="24"/>
        <v/>
      </c>
    </row>
    <row r="76" hidden="1" outlineLevel="1">
      <c r="A76" s="142" t="str">
        <f>IFERROR(VLOOKUP(B76,'Статьи'!$A$2:C98,3,0)," ")</f>
        <v> </v>
      </c>
      <c r="B76" s="125"/>
      <c r="C76" s="173"/>
      <c r="D76" s="143"/>
      <c r="E76" s="149"/>
      <c r="F76" s="143"/>
      <c r="G76" s="143"/>
      <c r="H76" s="143"/>
      <c r="I76" s="116">
        <f t="shared" si="22"/>
        <v>0</v>
      </c>
      <c r="J76" s="123"/>
      <c r="K76" s="118"/>
      <c r="L76" s="118"/>
      <c r="M76" s="118"/>
      <c r="N76" s="118"/>
      <c r="O76" s="118"/>
      <c r="P76" s="116">
        <f t="shared" si="23"/>
        <v>0</v>
      </c>
      <c r="Q76" s="119">
        <f t="shared" si="20"/>
        <v>0</v>
      </c>
      <c r="R76" s="120">
        <f t="shared" si="21"/>
        <v>0</v>
      </c>
      <c r="S76" s="121" t="str">
        <f t="shared" si="24"/>
        <v/>
      </c>
    </row>
    <row r="77" hidden="1" outlineLevel="1">
      <c r="A77" s="142" t="str">
        <f>IFERROR(VLOOKUP(B77,'Статьи'!$A$2:C99,3,0)," ")</f>
        <v> </v>
      </c>
      <c r="B77" s="125"/>
      <c r="C77" s="170"/>
      <c r="D77" s="174"/>
      <c r="E77" s="174"/>
      <c r="F77" s="174"/>
      <c r="G77" s="174"/>
      <c r="H77" s="174"/>
      <c r="I77" s="116">
        <f t="shared" si="22"/>
        <v>0</v>
      </c>
      <c r="J77" s="123"/>
      <c r="K77" s="118"/>
      <c r="L77" s="118"/>
      <c r="M77" s="118"/>
      <c r="N77" s="118"/>
      <c r="O77" s="118"/>
      <c r="P77" s="116">
        <f t="shared" si="23"/>
        <v>0</v>
      </c>
      <c r="Q77" s="119">
        <f t="shared" si="20"/>
        <v>0</v>
      </c>
      <c r="R77" s="120">
        <f t="shared" si="21"/>
        <v>0</v>
      </c>
      <c r="S77" s="121" t="str">
        <f t="shared" si="24"/>
        <v/>
      </c>
    </row>
    <row r="78" hidden="1" outlineLevel="1">
      <c r="A78" s="175" t="str">
        <f>IFERROR(VLOOKUP(B78,'Статьи'!$A$2:C100,3,0)," ")</f>
        <v> </v>
      </c>
      <c r="B78" s="176"/>
      <c r="C78" s="122"/>
      <c r="D78" s="114"/>
      <c r="E78" s="114"/>
      <c r="F78" s="114"/>
      <c r="G78" s="114"/>
      <c r="H78" s="149"/>
      <c r="I78" s="116">
        <f t="shared" si="22"/>
        <v>0</v>
      </c>
      <c r="J78" s="123"/>
      <c r="K78" s="118"/>
      <c r="L78" s="118"/>
      <c r="M78" s="118"/>
      <c r="N78" s="118"/>
      <c r="O78" s="118"/>
      <c r="P78" s="116">
        <f t="shared" si="23"/>
        <v>0</v>
      </c>
      <c r="Q78" s="119">
        <f t="shared" si="20"/>
        <v>0</v>
      </c>
      <c r="R78" s="120">
        <f t="shared" si="21"/>
        <v>0</v>
      </c>
      <c r="S78" s="121" t="str">
        <f t="shared" si="24"/>
        <v/>
      </c>
    </row>
    <row r="79" hidden="1" outlineLevel="1">
      <c r="A79" s="110" t="str">
        <f>IFERROR(VLOOKUP(B79,'Статьи'!$A$2:C101,3,0)," ")</f>
        <v> </v>
      </c>
      <c r="B79" s="111"/>
      <c r="C79" s="122"/>
      <c r="D79" s="115"/>
      <c r="E79" s="115"/>
      <c r="F79" s="115"/>
      <c r="G79" s="115"/>
      <c r="H79" s="115"/>
      <c r="I79" s="116">
        <f t="shared" si="22"/>
        <v>0</v>
      </c>
      <c r="J79" s="123"/>
      <c r="K79" s="118"/>
      <c r="L79" s="118"/>
      <c r="M79" s="118"/>
      <c r="N79" s="118"/>
      <c r="O79" s="118"/>
      <c r="P79" s="116">
        <f t="shared" si="23"/>
        <v>0</v>
      </c>
      <c r="Q79" s="119">
        <f t="shared" si="20"/>
        <v>0</v>
      </c>
      <c r="R79" s="120">
        <f t="shared" si="21"/>
        <v>0</v>
      </c>
      <c r="S79" s="121" t="str">
        <f t="shared" si="24"/>
        <v/>
      </c>
    </row>
    <row r="80" hidden="1" outlineLevel="1">
      <c r="A80" s="110" t="str">
        <f>IFERROR(VLOOKUP(B80,'Статьи'!$A$2:C102,3,0)," ")</f>
        <v> </v>
      </c>
      <c r="B80" s="111"/>
      <c r="C80" s="122"/>
      <c r="D80" s="115"/>
      <c r="E80" s="115"/>
      <c r="F80" s="115"/>
      <c r="G80" s="115"/>
      <c r="H80" s="115"/>
      <c r="I80" s="116">
        <f t="shared" si="22"/>
        <v>0</v>
      </c>
      <c r="J80" s="123"/>
      <c r="K80" s="118"/>
      <c r="L80" s="118"/>
      <c r="M80" s="118"/>
      <c r="N80" s="118"/>
      <c r="O80" s="118"/>
      <c r="P80" s="116">
        <f t="shared" si="23"/>
        <v>0</v>
      </c>
      <c r="Q80" s="119">
        <f t="shared" si="20"/>
        <v>0</v>
      </c>
      <c r="R80" s="120">
        <f t="shared" si="21"/>
        <v>0</v>
      </c>
      <c r="S80" s="121" t="str">
        <f t="shared" si="24"/>
        <v/>
      </c>
    </row>
    <row r="81" hidden="1" outlineLevel="1">
      <c r="A81" s="110" t="str">
        <f>IFERROR(VLOOKUP(B81,'Статьи'!$A$2:C103,3,0)," ")</f>
        <v> </v>
      </c>
      <c r="B81" s="111"/>
      <c r="C81" s="122"/>
      <c r="D81" s="115"/>
      <c r="E81" s="115"/>
      <c r="F81" s="115"/>
      <c r="G81" s="115"/>
      <c r="H81" s="115"/>
      <c r="I81" s="116">
        <f t="shared" si="22"/>
        <v>0</v>
      </c>
      <c r="J81" s="123"/>
      <c r="K81" s="118"/>
      <c r="L81" s="118"/>
      <c r="M81" s="118"/>
      <c r="N81" s="118"/>
      <c r="O81" s="118"/>
      <c r="P81" s="116">
        <f t="shared" si="23"/>
        <v>0</v>
      </c>
      <c r="Q81" s="119">
        <f t="shared" si="20"/>
        <v>0</v>
      </c>
      <c r="R81" s="120">
        <f t="shared" si="21"/>
        <v>0</v>
      </c>
      <c r="S81" s="121" t="str">
        <f t="shared" si="24"/>
        <v/>
      </c>
    </row>
    <row r="82" hidden="1" outlineLevel="1">
      <c r="A82" s="110" t="str">
        <f>IFERROR(VLOOKUP(B82,'Статьи'!$A$2:C104,3,0)," ")</f>
        <v> </v>
      </c>
      <c r="B82" s="111"/>
      <c r="C82" s="122"/>
      <c r="D82" s="115"/>
      <c r="E82" s="115"/>
      <c r="F82" s="115"/>
      <c r="G82" s="115"/>
      <c r="H82" s="115"/>
      <c r="I82" s="116">
        <f t="shared" si="22"/>
        <v>0</v>
      </c>
      <c r="J82" s="123"/>
      <c r="K82" s="118"/>
      <c r="L82" s="118"/>
      <c r="M82" s="118"/>
      <c r="N82" s="118"/>
      <c r="O82" s="118"/>
      <c r="P82" s="116">
        <f t="shared" si="23"/>
        <v>0</v>
      </c>
      <c r="Q82" s="119">
        <f t="shared" si="20"/>
        <v>0</v>
      </c>
      <c r="R82" s="120">
        <f t="shared" si="21"/>
        <v>0</v>
      </c>
      <c r="S82" s="121" t="str">
        <f t="shared" si="24"/>
        <v/>
      </c>
    </row>
    <row r="83" hidden="1" outlineLevel="1">
      <c r="A83" s="110" t="str">
        <f>IFERROR(VLOOKUP(B83,'Статьи'!$A$2:C105,3,0)," ")</f>
        <v> </v>
      </c>
      <c r="B83" s="111"/>
      <c r="C83" s="122"/>
      <c r="D83" s="115"/>
      <c r="E83" s="115"/>
      <c r="F83" s="115"/>
      <c r="G83" s="115"/>
      <c r="H83" s="115"/>
      <c r="I83" s="116">
        <f t="shared" si="22"/>
        <v>0</v>
      </c>
      <c r="J83" s="123"/>
      <c r="K83" s="118"/>
      <c r="L83" s="118"/>
      <c r="M83" s="118"/>
      <c r="N83" s="118"/>
      <c r="O83" s="118"/>
      <c r="P83" s="116">
        <f t="shared" si="23"/>
        <v>0</v>
      </c>
      <c r="Q83" s="119">
        <f t="shared" si="20"/>
        <v>0</v>
      </c>
      <c r="R83" s="120">
        <f t="shared" si="21"/>
        <v>0</v>
      </c>
      <c r="S83" s="121" t="str">
        <f t="shared" si="24"/>
        <v/>
      </c>
    </row>
    <row r="84">
      <c r="A84" s="110" t="str">
        <f>IFERROR(VLOOKUP(B84,'Статьи'!$A$2:C106,3,0)," ")</f>
        <v> </v>
      </c>
      <c r="B84" s="111"/>
      <c r="C84" s="122"/>
      <c r="D84" s="115"/>
      <c r="E84" s="115"/>
      <c r="F84" s="115"/>
      <c r="G84" s="115"/>
      <c r="H84" s="115"/>
      <c r="I84" s="116">
        <f t="shared" si="22"/>
        <v>0</v>
      </c>
      <c r="J84" s="123"/>
      <c r="K84" s="118"/>
      <c r="L84" s="118"/>
      <c r="M84" s="118"/>
      <c r="N84" s="118"/>
      <c r="O84" s="118"/>
      <c r="P84" s="116">
        <f t="shared" si="23"/>
        <v>0</v>
      </c>
      <c r="Q84" s="119">
        <f t="shared" si="20"/>
        <v>0</v>
      </c>
      <c r="R84" s="120">
        <f t="shared" si="21"/>
        <v>0</v>
      </c>
      <c r="S84" s="121" t="str">
        <f t="shared" si="24"/>
        <v/>
      </c>
    </row>
    <row r="85">
      <c r="A85" s="152"/>
      <c r="B85" s="153" t="s">
        <v>138</v>
      </c>
      <c r="C85" s="154">
        <f t="shared" ref="C85:K85" si="25">C55+C58</f>
        <v>0</v>
      </c>
      <c r="D85" s="155">
        <f t="shared" si="25"/>
        <v>0</v>
      </c>
      <c r="E85" s="155">
        <f t="shared" si="25"/>
        <v>0</v>
      </c>
      <c r="F85" s="155">
        <f t="shared" si="25"/>
        <v>0</v>
      </c>
      <c r="G85" s="155">
        <f t="shared" si="25"/>
        <v>0</v>
      </c>
      <c r="H85" s="155">
        <f t="shared" si="25"/>
        <v>0</v>
      </c>
      <c r="I85" s="157">
        <f t="shared" si="25"/>
        <v>0</v>
      </c>
      <c r="J85" s="154">
        <f t="shared" si="25"/>
        <v>0</v>
      </c>
      <c r="K85" s="155">
        <f t="shared" si="25"/>
        <v>0</v>
      </c>
      <c r="L85" s="155"/>
      <c r="M85" s="155"/>
      <c r="N85" s="155"/>
      <c r="O85" s="155"/>
      <c r="P85" s="157">
        <f>P55+P58</f>
        <v>0</v>
      </c>
      <c r="Q85" s="155">
        <f t="shared" si="20"/>
        <v>0</v>
      </c>
      <c r="R85" s="158">
        <f t="shared" si="21"/>
        <v>0</v>
      </c>
      <c r="S85" s="177" t="str">
        <f>IF(Q85=0,"",IF(R85&gt;1,"выполнение","план не выполнен"))</f>
        <v/>
      </c>
    </row>
    <row r="86">
      <c r="A86" s="160"/>
      <c r="B86" s="161" t="s">
        <v>139</v>
      </c>
      <c r="C86" s="162" t="str">
        <f t="shared" ref="C86:K86" si="26">IFERROR(C85/C$3,"")</f>
        <v/>
      </c>
      <c r="D86" s="163" t="str">
        <f t="shared" si="26"/>
        <v/>
      </c>
      <c r="E86" s="163" t="str">
        <f t="shared" si="26"/>
        <v/>
      </c>
      <c r="F86" s="163" t="str">
        <f t="shared" si="26"/>
        <v/>
      </c>
      <c r="G86" s="163" t="str">
        <f t="shared" si="26"/>
        <v/>
      </c>
      <c r="H86" s="163" t="str">
        <f t="shared" si="26"/>
        <v/>
      </c>
      <c r="I86" s="164" t="str">
        <f t="shared" si="26"/>
        <v/>
      </c>
      <c r="J86" s="162" t="str">
        <f t="shared" si="26"/>
        <v/>
      </c>
      <c r="K86" s="163" t="str">
        <f t="shared" si="26"/>
        <v/>
      </c>
      <c r="L86" s="163"/>
      <c r="M86" s="163"/>
      <c r="N86" s="163"/>
      <c r="O86" s="163"/>
      <c r="P86" s="164" t="str">
        <f>IFERROR(P85/P$3,"")</f>
        <v/>
      </c>
      <c r="Q86" s="121"/>
      <c r="R86" s="121"/>
      <c r="S86" s="121" t="str">
        <f t="shared" ref="S86:S87" si="27">IF(Q86=0,"",IF(Q86=0,0,IF(R86&gt;1,"перерасход","экономия")))</f>
        <v/>
      </c>
    </row>
    <row r="87">
      <c r="A87" s="178"/>
      <c r="B87" s="179"/>
      <c r="C87" s="124"/>
      <c r="D87" s="115"/>
      <c r="E87" s="115"/>
      <c r="F87" s="115"/>
      <c r="G87" s="115"/>
      <c r="H87" s="115"/>
      <c r="I87" s="116"/>
      <c r="J87" s="123"/>
      <c r="K87" s="118"/>
      <c r="L87" s="118"/>
      <c r="M87" s="118"/>
      <c r="N87" s="118"/>
      <c r="O87" s="118"/>
      <c r="P87" s="116"/>
      <c r="Q87" s="180"/>
      <c r="R87" s="121"/>
      <c r="S87" s="121" t="str">
        <f t="shared" si="27"/>
        <v/>
      </c>
    </row>
    <row r="88">
      <c r="A88" s="181"/>
      <c r="B88" s="127" t="s">
        <v>140</v>
      </c>
      <c r="C88" s="182">
        <f t="shared" ref="C88:K88" si="28">C101+C132+C89</f>
        <v>0</v>
      </c>
      <c r="D88" s="183">
        <f t="shared" si="28"/>
        <v>0</v>
      </c>
      <c r="E88" s="183">
        <f t="shared" si="28"/>
        <v>0</v>
      </c>
      <c r="F88" s="183">
        <f t="shared" si="28"/>
        <v>0</v>
      </c>
      <c r="G88" s="183">
        <f t="shared" si="28"/>
        <v>0</v>
      </c>
      <c r="H88" s="183">
        <f t="shared" si="28"/>
        <v>0</v>
      </c>
      <c r="I88" s="184">
        <f t="shared" si="28"/>
        <v>0</v>
      </c>
      <c r="J88" s="182">
        <f t="shared" si="28"/>
        <v>0</v>
      </c>
      <c r="K88" s="183">
        <f t="shared" si="28"/>
        <v>0</v>
      </c>
      <c r="L88" s="183"/>
      <c r="M88" s="183"/>
      <c r="N88" s="183"/>
      <c r="O88" s="183"/>
      <c r="P88" s="185">
        <f>P101+P132+P89</f>
        <v>0</v>
      </c>
      <c r="Q88" s="183">
        <f t="shared" ref="Q88:Q142" si="30">I88-P88</f>
        <v>0</v>
      </c>
      <c r="R88" s="186">
        <f t="shared" ref="R88:R142" si="31">IFERROR(I88/P88,0)</f>
        <v>0</v>
      </c>
      <c r="S88" s="134" t="str">
        <f>IF(Q88=0,"",IF(R88&gt;1,"план не выполнен","выполнение"))</f>
        <v/>
      </c>
    </row>
    <row r="89">
      <c r="A89" s="135"/>
      <c r="B89" s="136" t="s">
        <v>141</v>
      </c>
      <c r="C89" s="137">
        <f t="shared" ref="C89:K89" si="29">SUM(C90:C100)</f>
        <v>0</v>
      </c>
      <c r="D89" s="138">
        <f t="shared" si="29"/>
        <v>0</v>
      </c>
      <c r="E89" s="138">
        <f t="shared" si="29"/>
        <v>0</v>
      </c>
      <c r="F89" s="138">
        <f t="shared" si="29"/>
        <v>0</v>
      </c>
      <c r="G89" s="138">
        <f t="shared" si="29"/>
        <v>0</v>
      </c>
      <c r="H89" s="138">
        <f t="shared" si="29"/>
        <v>0</v>
      </c>
      <c r="I89" s="139">
        <f t="shared" si="29"/>
        <v>0</v>
      </c>
      <c r="J89" s="137">
        <f t="shared" si="29"/>
        <v>0</v>
      </c>
      <c r="K89" s="138">
        <f t="shared" si="29"/>
        <v>0</v>
      </c>
      <c r="L89" s="138"/>
      <c r="M89" s="138"/>
      <c r="N89" s="138"/>
      <c r="O89" s="138"/>
      <c r="P89" s="140">
        <f>SUM(P90:P100)</f>
        <v>0</v>
      </c>
      <c r="Q89" s="138">
        <f t="shared" si="30"/>
        <v>0</v>
      </c>
      <c r="R89" s="187">
        <f t="shared" si="31"/>
        <v>0</v>
      </c>
      <c r="S89" s="141" t="str">
        <f>IF(Q89=0,"",IF(Q89=0,0,IF(R89&gt;1,"перерасход","экономия")))</f>
        <v/>
      </c>
    </row>
    <row r="90">
      <c r="A90" s="142" t="str">
        <f>IFERROR(VLOOKUP(B90,'Статьи'!$A$2:C112,3,0)," ")</f>
        <v> </v>
      </c>
      <c r="B90" s="125" t="str">
        <f>IFERROR(__xludf.DUMMYFUNCTION("iferror(filter('Статьи'!$A$1:$A182,'Статьи'!$B$1:$B182=$B$89))"),"")</f>
        <v/>
      </c>
      <c r="C90" s="171"/>
      <c r="D90" s="172"/>
      <c r="E90" s="149"/>
      <c r="F90" s="149"/>
      <c r="G90" s="149"/>
      <c r="H90" s="149"/>
      <c r="I90" s="188">
        <f t="shared" ref="I90:I100" si="32">sum(C90:H90)</f>
        <v>0</v>
      </c>
      <c r="J90" s="170"/>
      <c r="K90" s="149"/>
      <c r="L90" s="149"/>
      <c r="M90" s="149"/>
      <c r="N90" s="149"/>
      <c r="O90" s="149"/>
      <c r="P90" s="188">
        <f t="shared" ref="P90:P94" si="33">SUM(J90:K90)</f>
        <v>0</v>
      </c>
      <c r="Q90" s="132">
        <f t="shared" si="30"/>
        <v>0</v>
      </c>
      <c r="R90" s="133">
        <f t="shared" si="31"/>
        <v>0</v>
      </c>
      <c r="S90" s="121" t="str">
        <f t="shared" ref="S90:S94" si="34">IF(Q90=0,"",IF(R90=0,"обратить внимание",IF(R90&gt;1,"перерасход","экономия")))</f>
        <v/>
      </c>
    </row>
    <row r="91">
      <c r="A91" s="142" t="str">
        <f>IFERROR(VLOOKUP(B91,'Статьи'!$A$2:C113,3,0)," ")</f>
        <v> </v>
      </c>
      <c r="B91" s="125"/>
      <c r="C91" s="171"/>
      <c r="D91" s="172"/>
      <c r="E91" s="149"/>
      <c r="F91" s="149"/>
      <c r="G91" s="149"/>
      <c r="H91" s="149"/>
      <c r="I91" s="188">
        <f t="shared" si="32"/>
        <v>0</v>
      </c>
      <c r="J91" s="189"/>
      <c r="K91" s="149"/>
      <c r="L91" s="149"/>
      <c r="M91" s="149"/>
      <c r="N91" s="149"/>
      <c r="O91" s="149"/>
      <c r="P91" s="188">
        <f t="shared" si="33"/>
        <v>0</v>
      </c>
      <c r="Q91" s="132">
        <f t="shared" si="30"/>
        <v>0</v>
      </c>
      <c r="R91" s="133">
        <f t="shared" si="31"/>
        <v>0</v>
      </c>
      <c r="S91" s="121" t="str">
        <f t="shared" si="34"/>
        <v/>
      </c>
    </row>
    <row r="92">
      <c r="A92" s="142" t="str">
        <f>IFERROR(VLOOKUP(B92,'Статьи'!$A$2:C114,3,0)," ")</f>
        <v> </v>
      </c>
      <c r="B92" s="125"/>
      <c r="C92" s="171"/>
      <c r="D92" s="172"/>
      <c r="E92" s="149"/>
      <c r="F92" s="149"/>
      <c r="G92" s="149"/>
      <c r="H92" s="149"/>
      <c r="I92" s="188">
        <f t="shared" si="32"/>
        <v>0</v>
      </c>
      <c r="J92" s="189"/>
      <c r="K92" s="149"/>
      <c r="L92" s="149"/>
      <c r="M92" s="149"/>
      <c r="N92" s="149"/>
      <c r="O92" s="149"/>
      <c r="P92" s="188">
        <f t="shared" si="33"/>
        <v>0</v>
      </c>
      <c r="Q92" s="132">
        <f t="shared" si="30"/>
        <v>0</v>
      </c>
      <c r="R92" s="133">
        <f t="shared" si="31"/>
        <v>0</v>
      </c>
      <c r="S92" s="121" t="str">
        <f t="shared" si="34"/>
        <v/>
      </c>
    </row>
    <row r="93">
      <c r="A93" s="142" t="str">
        <f>IFERROR(VLOOKUP(B93,'Статьи'!$A$2:C115,3,0)," ")</f>
        <v> </v>
      </c>
      <c r="B93" s="125"/>
      <c r="C93" s="171"/>
      <c r="D93" s="172"/>
      <c r="E93" s="149"/>
      <c r="F93" s="149"/>
      <c r="G93" s="149"/>
      <c r="H93" s="149"/>
      <c r="I93" s="188">
        <f t="shared" si="32"/>
        <v>0</v>
      </c>
      <c r="J93" s="170"/>
      <c r="K93" s="149"/>
      <c r="L93" s="149"/>
      <c r="M93" s="149"/>
      <c r="N93" s="149"/>
      <c r="O93" s="149"/>
      <c r="P93" s="188">
        <f t="shared" si="33"/>
        <v>0</v>
      </c>
      <c r="Q93" s="132">
        <f t="shared" si="30"/>
        <v>0</v>
      </c>
      <c r="R93" s="133">
        <f t="shared" si="31"/>
        <v>0</v>
      </c>
      <c r="S93" s="121" t="str">
        <f t="shared" si="34"/>
        <v/>
      </c>
    </row>
    <row r="94" collapsed="1">
      <c r="A94" s="190" t="str">
        <f>IFERROR(VLOOKUP(B94,'Статьи'!$A$2:C116,3,0)," ")</f>
        <v> </v>
      </c>
      <c r="B94" s="125"/>
      <c r="C94" s="170"/>
      <c r="D94" s="149"/>
      <c r="E94" s="149"/>
      <c r="F94" s="149"/>
      <c r="G94" s="149"/>
      <c r="H94" s="149"/>
      <c r="I94" s="188">
        <f t="shared" si="32"/>
        <v>0</v>
      </c>
      <c r="J94" s="170"/>
      <c r="K94" s="149"/>
      <c r="L94" s="149"/>
      <c r="M94" s="149"/>
      <c r="N94" s="149"/>
      <c r="O94" s="149"/>
      <c r="P94" s="188">
        <f t="shared" si="33"/>
        <v>0</v>
      </c>
      <c r="Q94" s="132">
        <f t="shared" si="30"/>
        <v>0</v>
      </c>
      <c r="R94" s="133">
        <f t="shared" si="31"/>
        <v>0</v>
      </c>
      <c r="S94" s="121" t="str">
        <f t="shared" si="34"/>
        <v/>
      </c>
    </row>
    <row r="95" hidden="1" outlineLevel="1">
      <c r="A95" s="190"/>
      <c r="B95" s="125"/>
      <c r="C95" s="170"/>
      <c r="D95" s="149"/>
      <c r="E95" s="149"/>
      <c r="F95" s="149"/>
      <c r="G95" s="149"/>
      <c r="H95" s="149"/>
      <c r="I95" s="188">
        <f t="shared" si="32"/>
        <v>0</v>
      </c>
      <c r="J95" s="170"/>
      <c r="K95" s="149"/>
      <c r="L95" s="149"/>
      <c r="M95" s="149"/>
      <c r="N95" s="149"/>
      <c r="O95" s="149"/>
      <c r="P95" s="188">
        <f t="shared" ref="P95:P100" si="35">sum(F95:J95)</f>
        <v>0</v>
      </c>
      <c r="Q95" s="132">
        <f t="shared" si="30"/>
        <v>0</v>
      </c>
      <c r="R95" s="133">
        <f t="shared" si="31"/>
        <v>0</v>
      </c>
      <c r="S95" s="121" t="str">
        <f t="shared" ref="S95:S100" si="36">IF(Q95=0,"",IF(Q95=0,0,IF(R95&gt;1,"перерасход","экономия")))</f>
        <v/>
      </c>
    </row>
    <row r="96" hidden="1" outlineLevel="1">
      <c r="A96" s="190"/>
      <c r="B96" s="125"/>
      <c r="C96" s="170"/>
      <c r="D96" s="149"/>
      <c r="E96" s="149"/>
      <c r="F96" s="149"/>
      <c r="G96" s="149"/>
      <c r="H96" s="149"/>
      <c r="I96" s="188">
        <f t="shared" si="32"/>
        <v>0</v>
      </c>
      <c r="J96" s="170"/>
      <c r="K96" s="149"/>
      <c r="L96" s="149"/>
      <c r="M96" s="149"/>
      <c r="N96" s="149"/>
      <c r="O96" s="149"/>
      <c r="P96" s="188">
        <f t="shared" si="35"/>
        <v>0</v>
      </c>
      <c r="Q96" s="132">
        <f t="shared" si="30"/>
        <v>0</v>
      </c>
      <c r="R96" s="133">
        <f t="shared" si="31"/>
        <v>0</v>
      </c>
      <c r="S96" s="121" t="str">
        <f t="shared" si="36"/>
        <v/>
      </c>
    </row>
    <row r="97" hidden="1" outlineLevel="1">
      <c r="A97" s="190"/>
      <c r="B97" s="125"/>
      <c r="C97" s="170"/>
      <c r="D97" s="149"/>
      <c r="E97" s="149"/>
      <c r="F97" s="149"/>
      <c r="G97" s="149"/>
      <c r="H97" s="149"/>
      <c r="I97" s="188">
        <f t="shared" si="32"/>
        <v>0</v>
      </c>
      <c r="J97" s="170"/>
      <c r="K97" s="149"/>
      <c r="L97" s="149"/>
      <c r="M97" s="149"/>
      <c r="N97" s="149"/>
      <c r="O97" s="149"/>
      <c r="P97" s="188">
        <f t="shared" si="35"/>
        <v>0</v>
      </c>
      <c r="Q97" s="132">
        <f t="shared" si="30"/>
        <v>0</v>
      </c>
      <c r="R97" s="133">
        <f t="shared" si="31"/>
        <v>0</v>
      </c>
      <c r="S97" s="121" t="str">
        <f t="shared" si="36"/>
        <v/>
      </c>
    </row>
    <row r="98" hidden="1" outlineLevel="1">
      <c r="A98" s="190"/>
      <c r="B98" s="125"/>
      <c r="C98" s="170"/>
      <c r="D98" s="149"/>
      <c r="E98" s="149"/>
      <c r="F98" s="149"/>
      <c r="G98" s="149"/>
      <c r="H98" s="149"/>
      <c r="I98" s="188">
        <f t="shared" si="32"/>
        <v>0</v>
      </c>
      <c r="J98" s="170"/>
      <c r="K98" s="149"/>
      <c r="L98" s="149"/>
      <c r="M98" s="149"/>
      <c r="N98" s="149"/>
      <c r="O98" s="149"/>
      <c r="P98" s="188">
        <f t="shared" si="35"/>
        <v>0</v>
      </c>
      <c r="Q98" s="132">
        <f t="shared" si="30"/>
        <v>0</v>
      </c>
      <c r="R98" s="133">
        <f t="shared" si="31"/>
        <v>0</v>
      </c>
      <c r="S98" s="121" t="str">
        <f t="shared" si="36"/>
        <v/>
      </c>
    </row>
    <row r="99" hidden="1" outlineLevel="1">
      <c r="A99" s="190"/>
      <c r="B99" s="125"/>
      <c r="C99" s="170"/>
      <c r="D99" s="149"/>
      <c r="E99" s="149"/>
      <c r="F99" s="149"/>
      <c r="G99" s="149"/>
      <c r="H99" s="149"/>
      <c r="I99" s="188">
        <f t="shared" si="32"/>
        <v>0</v>
      </c>
      <c r="J99" s="170"/>
      <c r="K99" s="149"/>
      <c r="L99" s="149"/>
      <c r="M99" s="149"/>
      <c r="N99" s="149"/>
      <c r="O99" s="149"/>
      <c r="P99" s="188">
        <f t="shared" si="35"/>
        <v>0</v>
      </c>
      <c r="Q99" s="132">
        <f t="shared" si="30"/>
        <v>0</v>
      </c>
      <c r="R99" s="133">
        <f t="shared" si="31"/>
        <v>0</v>
      </c>
      <c r="S99" s="121" t="str">
        <f t="shared" si="36"/>
        <v/>
      </c>
    </row>
    <row r="100" hidden="1" outlineLevel="1">
      <c r="A100" s="190"/>
      <c r="B100" s="125"/>
      <c r="C100" s="170"/>
      <c r="D100" s="149"/>
      <c r="E100" s="149"/>
      <c r="F100" s="149"/>
      <c r="G100" s="149"/>
      <c r="H100" s="149"/>
      <c r="I100" s="188">
        <f t="shared" si="32"/>
        <v>0</v>
      </c>
      <c r="J100" s="170"/>
      <c r="K100" s="149"/>
      <c r="L100" s="149"/>
      <c r="M100" s="149"/>
      <c r="N100" s="149"/>
      <c r="O100" s="149"/>
      <c r="P100" s="188">
        <f t="shared" si="35"/>
        <v>0</v>
      </c>
      <c r="Q100" s="132">
        <f t="shared" si="30"/>
        <v>0</v>
      </c>
      <c r="R100" s="133">
        <f t="shared" si="31"/>
        <v>0</v>
      </c>
      <c r="S100" s="121" t="str">
        <f t="shared" si="36"/>
        <v/>
      </c>
    </row>
    <row r="101">
      <c r="A101" s="135"/>
      <c r="B101" s="136" t="s">
        <v>90</v>
      </c>
      <c r="C101" s="137">
        <f t="shared" ref="C101:K101" si="37">SUM(C102:C131)</f>
        <v>0</v>
      </c>
      <c r="D101" s="138">
        <f t="shared" si="37"/>
        <v>0</v>
      </c>
      <c r="E101" s="138">
        <f t="shared" si="37"/>
        <v>0</v>
      </c>
      <c r="F101" s="138">
        <f t="shared" si="37"/>
        <v>0</v>
      </c>
      <c r="G101" s="138">
        <f t="shared" si="37"/>
        <v>0</v>
      </c>
      <c r="H101" s="138">
        <f t="shared" si="37"/>
        <v>0</v>
      </c>
      <c r="I101" s="139">
        <f t="shared" si="37"/>
        <v>0</v>
      </c>
      <c r="J101" s="137">
        <f t="shared" si="37"/>
        <v>0</v>
      </c>
      <c r="K101" s="138">
        <f t="shared" si="37"/>
        <v>0</v>
      </c>
      <c r="L101" s="138"/>
      <c r="M101" s="138"/>
      <c r="N101" s="138"/>
      <c r="O101" s="138"/>
      <c r="P101" s="140">
        <f>SUM(P102:P131)</f>
        <v>0</v>
      </c>
      <c r="Q101" s="138">
        <f t="shared" si="30"/>
        <v>0</v>
      </c>
      <c r="R101" s="187">
        <f t="shared" si="31"/>
        <v>0</v>
      </c>
      <c r="S101" s="141" t="str">
        <f>IF(Q101=0,"",IF(R101&gt;1,"план не выполнен","выполнение"))</f>
        <v/>
      </c>
    </row>
    <row r="102">
      <c r="A102" s="142" t="str">
        <f>IFERROR(VLOOKUP(B102,'Статьи'!$A$2:C124,3,0)," ")</f>
        <v>1С</v>
      </c>
      <c r="B102" s="125" t="str">
        <f>IFERROR(__xludf.DUMMYFUNCTION("iferror(filter('Статьи'!$A$1:$A182,'Статьи'!$B$1:$B182=$B$101))"),"Аренда, коммунальные услуги")</f>
        <v>Аренда, коммунальные услуги</v>
      </c>
      <c r="C102" s="171"/>
      <c r="D102" s="172"/>
      <c r="E102" s="149"/>
      <c r="F102" s="149"/>
      <c r="G102" s="149"/>
      <c r="H102" s="149"/>
      <c r="I102" s="188">
        <f t="shared" ref="I102:I141" si="38">sum(C102:H102)</f>
        <v>0</v>
      </c>
      <c r="J102" s="170"/>
      <c r="K102" s="149"/>
      <c r="L102" s="149"/>
      <c r="M102" s="149"/>
      <c r="N102" s="149"/>
      <c r="O102" s="149"/>
      <c r="P102" s="188">
        <f t="shared" ref="P102:P131" si="39">SUM(J102:K102)</f>
        <v>0</v>
      </c>
      <c r="Q102" s="132">
        <f t="shared" si="30"/>
        <v>0</v>
      </c>
      <c r="R102" s="133">
        <f t="shared" si="31"/>
        <v>0</v>
      </c>
      <c r="S102" s="121" t="str">
        <f t="shared" ref="S102:S131" si="40">IF(Q102=0,"",IF(R102=0,"обратить внимание",IF(R102&gt;1,"перерасход","экономия")))</f>
        <v/>
      </c>
    </row>
    <row r="103">
      <c r="A103" s="191" t="str">
        <f>IFERROR(VLOOKUP(B103,'Статьи'!$A$2:C125,3,0)," ")</f>
        <v>1С</v>
      </c>
      <c r="B103" s="192" t="str">
        <f>IFERROR(__xludf.DUMMYFUNCTION("""COMPUTED_VALUE"""),"Аутсорсинг и прочие услуги")</f>
        <v>Аутсорсинг и прочие услуги</v>
      </c>
      <c r="C103" s="171"/>
      <c r="D103" s="172"/>
      <c r="E103" s="149"/>
      <c r="F103" s="149"/>
      <c r="G103" s="149"/>
      <c r="H103" s="149"/>
      <c r="I103" s="188">
        <f t="shared" si="38"/>
        <v>0</v>
      </c>
      <c r="J103" s="170"/>
      <c r="K103" s="149"/>
      <c r="L103" s="149"/>
      <c r="M103" s="149"/>
      <c r="N103" s="149"/>
      <c r="O103" s="149"/>
      <c r="P103" s="188">
        <f t="shared" si="39"/>
        <v>0</v>
      </c>
      <c r="Q103" s="132">
        <f t="shared" si="30"/>
        <v>0</v>
      </c>
      <c r="R103" s="133">
        <f t="shared" si="31"/>
        <v>0</v>
      </c>
      <c r="S103" s="121" t="str">
        <f t="shared" si="40"/>
        <v/>
      </c>
    </row>
    <row r="104">
      <c r="A104" s="193" t="str">
        <f>IFERROR(VLOOKUP(B104,'Статьи'!$A$2:C126,3,0)," ")</f>
        <v>1С</v>
      </c>
      <c r="B104" s="194" t="str">
        <f>IFERROR(__xludf.DUMMYFUNCTION("""COMPUTED_VALUE"""),"Командировочные расходы")</f>
        <v>Командировочные расходы</v>
      </c>
      <c r="C104" s="171"/>
      <c r="D104" s="172"/>
      <c r="E104" s="149"/>
      <c r="F104" s="149"/>
      <c r="G104" s="149"/>
      <c r="H104" s="149"/>
      <c r="I104" s="188">
        <f t="shared" si="38"/>
        <v>0</v>
      </c>
      <c r="J104" s="170"/>
      <c r="K104" s="149"/>
      <c r="L104" s="149"/>
      <c r="M104" s="149"/>
      <c r="N104" s="149"/>
      <c r="O104" s="149"/>
      <c r="P104" s="188">
        <f t="shared" si="39"/>
        <v>0</v>
      </c>
      <c r="Q104" s="132">
        <f t="shared" si="30"/>
        <v>0</v>
      </c>
      <c r="R104" s="133">
        <f t="shared" si="31"/>
        <v>0</v>
      </c>
      <c r="S104" s="121" t="str">
        <f t="shared" si="40"/>
        <v/>
      </c>
    </row>
    <row r="105">
      <c r="A105" s="195" t="str">
        <f>IFERROR(VLOOKUP(B105,'Статьи'!$A$2:C127,3,0)," ")</f>
        <v>ДДС отчетного месяца. Без НДС!</v>
      </c>
      <c r="B105" s="196" t="str">
        <f>IFERROR(__xludf.DUMMYFUNCTION("""COMPUTED_VALUE"""),"Комиссии банка")</f>
        <v>Комиссии банка</v>
      </c>
      <c r="C105" s="171"/>
      <c r="D105" s="172"/>
      <c r="E105" s="149"/>
      <c r="F105" s="149"/>
      <c r="G105" s="149"/>
      <c r="H105" s="149"/>
      <c r="I105" s="188">
        <f t="shared" si="38"/>
        <v>0</v>
      </c>
      <c r="J105" s="170"/>
      <c r="K105" s="149"/>
      <c r="L105" s="149"/>
      <c r="M105" s="149"/>
      <c r="N105" s="149"/>
      <c r="O105" s="149"/>
      <c r="P105" s="188">
        <f t="shared" si="39"/>
        <v>0</v>
      </c>
      <c r="Q105" s="132">
        <f t="shared" si="30"/>
        <v>0</v>
      </c>
      <c r="R105" s="133">
        <f t="shared" si="31"/>
        <v>0</v>
      </c>
      <c r="S105" s="121" t="str">
        <f t="shared" si="40"/>
        <v/>
      </c>
    </row>
    <row r="106">
      <c r="A106" s="191" t="str">
        <f>IFERROR(VLOOKUP(B106,'Статьи'!$A$2:C128,3,0)," ")</f>
        <v>ДДС отчетного месяца. Без НДС!</v>
      </c>
      <c r="B106" s="192" t="str">
        <f>IFERROR(__xludf.DUMMYFUNCTION("""COMPUTED_VALUE"""),"Обучение сотрудников")</f>
        <v>Обучение сотрудников</v>
      </c>
      <c r="C106" s="171"/>
      <c r="D106" s="172"/>
      <c r="E106" s="149"/>
      <c r="F106" s="149"/>
      <c r="G106" s="149"/>
      <c r="H106" s="149"/>
      <c r="I106" s="188">
        <f t="shared" si="38"/>
        <v>0</v>
      </c>
      <c r="J106" s="170"/>
      <c r="K106" s="149"/>
      <c r="L106" s="149"/>
      <c r="M106" s="149"/>
      <c r="N106" s="149"/>
      <c r="O106" s="149"/>
      <c r="P106" s="188">
        <f t="shared" si="39"/>
        <v>0</v>
      </c>
      <c r="Q106" s="132">
        <f t="shared" si="30"/>
        <v>0</v>
      </c>
      <c r="R106" s="133">
        <f t="shared" si="31"/>
        <v>0</v>
      </c>
      <c r="S106" s="121" t="str">
        <f t="shared" si="40"/>
        <v/>
      </c>
    </row>
    <row r="107">
      <c r="A107" s="142" t="str">
        <f>IFERROR(VLOOKUP(B107,'Статьи'!$A$2:C129,3,0)," ")</f>
        <v>ДДС отчетного месяца. Без НДС!</v>
      </c>
      <c r="B107" s="125" t="str">
        <f>IFERROR(__xludf.DUMMYFUNCTION("""COMPUTED_VALUE"""),"Подбор персонала")</f>
        <v>Подбор персонала</v>
      </c>
      <c r="C107" s="171"/>
      <c r="D107" s="172"/>
      <c r="E107" s="149"/>
      <c r="F107" s="149"/>
      <c r="G107" s="149"/>
      <c r="H107" s="149"/>
      <c r="I107" s="188">
        <f t="shared" si="38"/>
        <v>0</v>
      </c>
      <c r="J107" s="189"/>
      <c r="K107" s="149"/>
      <c r="L107" s="149"/>
      <c r="M107" s="149"/>
      <c r="N107" s="149"/>
      <c r="O107" s="149"/>
      <c r="P107" s="188">
        <f t="shared" si="39"/>
        <v>0</v>
      </c>
      <c r="Q107" s="132">
        <f t="shared" si="30"/>
        <v>0</v>
      </c>
      <c r="R107" s="133">
        <f t="shared" si="31"/>
        <v>0</v>
      </c>
      <c r="S107" s="121" t="str">
        <f t="shared" si="40"/>
        <v/>
      </c>
    </row>
    <row r="108">
      <c r="A108" s="142" t="str">
        <f>IFERROR(VLOOKUP(B108,'Статьи'!$A$2:C130,3,0)," ")</f>
        <v>ДДС отчетного месяца. Без НДС!</v>
      </c>
      <c r="B108" s="125" t="str">
        <f>IFERROR(__xludf.DUMMYFUNCTION("""COMPUTED_VALUE"""),"Почтовые расходы")</f>
        <v>Почтовые расходы</v>
      </c>
      <c r="C108" s="171"/>
      <c r="D108" s="172"/>
      <c r="E108" s="149"/>
      <c r="F108" s="149"/>
      <c r="G108" s="149"/>
      <c r="H108" s="149"/>
      <c r="I108" s="188">
        <f t="shared" si="38"/>
        <v>0</v>
      </c>
      <c r="J108" s="170"/>
      <c r="K108" s="149"/>
      <c r="L108" s="149"/>
      <c r="M108" s="149"/>
      <c r="N108" s="149"/>
      <c r="O108" s="149"/>
      <c r="P108" s="188">
        <f t="shared" si="39"/>
        <v>0</v>
      </c>
      <c r="Q108" s="132">
        <f t="shared" si="30"/>
        <v>0</v>
      </c>
      <c r="R108" s="133">
        <f t="shared" si="31"/>
        <v>0</v>
      </c>
      <c r="S108" s="121" t="str">
        <f t="shared" si="40"/>
        <v/>
      </c>
    </row>
    <row r="109">
      <c r="A109" s="142" t="str">
        <f>IFERROR(VLOOKUP(B109,'Статьи'!$A$2:C131,3,0)," ")</f>
        <v>ДДС отчетного месяца. Без НДС!</v>
      </c>
      <c r="B109" s="125" t="str">
        <f>IFERROR(__xludf.DUMMYFUNCTION("""COMPUTED_VALUE"""),"Представительские расходы")</f>
        <v>Представительские расходы</v>
      </c>
      <c r="C109" s="171"/>
      <c r="D109" s="172"/>
      <c r="E109" s="149"/>
      <c r="F109" s="149"/>
      <c r="G109" s="149"/>
      <c r="H109" s="149"/>
      <c r="I109" s="188">
        <f t="shared" si="38"/>
        <v>0</v>
      </c>
      <c r="J109" s="170"/>
      <c r="K109" s="149"/>
      <c r="L109" s="149"/>
      <c r="M109" s="149"/>
      <c r="N109" s="149"/>
      <c r="O109" s="149"/>
      <c r="P109" s="188">
        <f t="shared" si="39"/>
        <v>0</v>
      </c>
      <c r="Q109" s="132">
        <f t="shared" si="30"/>
        <v>0</v>
      </c>
      <c r="R109" s="133">
        <f t="shared" si="31"/>
        <v>0</v>
      </c>
      <c r="S109" s="121" t="str">
        <f t="shared" si="40"/>
        <v/>
      </c>
    </row>
    <row r="110">
      <c r="A110" s="142" t="str">
        <f>IFERROR(VLOOKUP(B110,'Статьи'!$A$2:C132,3,0)," ")</f>
        <v>ДДС отчетного месяца. Без НДС!</v>
      </c>
      <c r="B110" s="125" t="str">
        <f>IFERROR(__xludf.DUMMYFUNCTION("""COMPUTED_VALUE"""),"Содержание офиса")</f>
        <v>Содержание офиса</v>
      </c>
      <c r="C110" s="171"/>
      <c r="D110" s="172"/>
      <c r="E110" s="149"/>
      <c r="F110" s="149"/>
      <c r="G110" s="149"/>
      <c r="H110" s="149"/>
      <c r="I110" s="188">
        <f t="shared" si="38"/>
        <v>0</v>
      </c>
      <c r="J110" s="189"/>
      <c r="K110" s="149"/>
      <c r="L110" s="149"/>
      <c r="M110" s="149"/>
      <c r="N110" s="149"/>
      <c r="O110" s="149"/>
      <c r="P110" s="188">
        <f t="shared" si="39"/>
        <v>0</v>
      </c>
      <c r="Q110" s="132">
        <f t="shared" si="30"/>
        <v>0</v>
      </c>
      <c r="R110" s="133">
        <f t="shared" si="31"/>
        <v>0</v>
      </c>
      <c r="S110" s="121" t="str">
        <f t="shared" si="40"/>
        <v/>
      </c>
    </row>
    <row r="111">
      <c r="A111" s="142" t="str">
        <f>IFERROR(VLOOKUP(B111,'Статьи'!$A$2:C133,3,0)," ")</f>
        <v>ДДС отчетного месяца. Без НДС!</v>
      </c>
      <c r="B111" s="125" t="str">
        <f>IFERROR(__xludf.DUMMYFUNCTION("""COMPUTED_VALUE"""),"Услуги связи + Интернет")</f>
        <v>Услуги связи + Интернет</v>
      </c>
      <c r="C111" s="171"/>
      <c r="D111" s="172"/>
      <c r="E111" s="149"/>
      <c r="F111" s="149"/>
      <c r="G111" s="149"/>
      <c r="H111" s="149"/>
      <c r="I111" s="188">
        <f t="shared" si="38"/>
        <v>0</v>
      </c>
      <c r="J111" s="189"/>
      <c r="K111" s="149"/>
      <c r="L111" s="149"/>
      <c r="M111" s="149"/>
      <c r="N111" s="149"/>
      <c r="O111" s="149"/>
      <c r="P111" s="188">
        <f t="shared" si="39"/>
        <v>0</v>
      </c>
      <c r="Q111" s="132">
        <f t="shared" si="30"/>
        <v>0</v>
      </c>
      <c r="R111" s="133">
        <f t="shared" si="31"/>
        <v>0</v>
      </c>
      <c r="S111" s="121" t="str">
        <f t="shared" si="40"/>
        <v/>
      </c>
    </row>
    <row r="112">
      <c r="A112" s="142" t="str">
        <f>IFERROR(VLOOKUP(B112,'Статьи'!$A$2:C134,3,0)," ")</f>
        <v>ДДС отчетного месяца. Без НДС!</v>
      </c>
      <c r="B112" s="125" t="str">
        <f>IFERROR(__xludf.DUMMYFUNCTION("""COMPUTED_VALUE"""),"Штрафы")</f>
        <v>Штрафы</v>
      </c>
      <c r="C112" s="171"/>
      <c r="D112" s="172"/>
      <c r="E112" s="149"/>
      <c r="F112" s="149"/>
      <c r="G112" s="149"/>
      <c r="H112" s="149"/>
      <c r="I112" s="188">
        <f t="shared" si="38"/>
        <v>0</v>
      </c>
      <c r="J112" s="189"/>
      <c r="K112" s="149"/>
      <c r="L112" s="149"/>
      <c r="M112" s="149"/>
      <c r="N112" s="149"/>
      <c r="O112" s="149"/>
      <c r="P112" s="188">
        <f t="shared" si="39"/>
        <v>0</v>
      </c>
      <c r="Q112" s="132">
        <f t="shared" si="30"/>
        <v>0</v>
      </c>
      <c r="R112" s="133">
        <f t="shared" si="31"/>
        <v>0</v>
      </c>
      <c r="S112" s="121" t="str">
        <f t="shared" si="40"/>
        <v/>
      </c>
    </row>
    <row r="113" collapsed="1">
      <c r="A113" s="142" t="str">
        <f>IFERROR(VLOOKUP(B113,'Статьи'!$A$2:C135,3,0)," ")</f>
        <v> </v>
      </c>
      <c r="B113" s="125"/>
      <c r="C113" s="197"/>
      <c r="D113" s="149"/>
      <c r="E113" s="149"/>
      <c r="F113" s="149"/>
      <c r="G113" s="149"/>
      <c r="H113" s="149"/>
      <c r="I113" s="188">
        <f t="shared" si="38"/>
        <v>0</v>
      </c>
      <c r="J113" s="189"/>
      <c r="K113" s="149"/>
      <c r="L113" s="149"/>
      <c r="M113" s="149"/>
      <c r="N113" s="149"/>
      <c r="O113" s="149"/>
      <c r="P113" s="188">
        <f t="shared" si="39"/>
        <v>0</v>
      </c>
      <c r="Q113" s="132">
        <f t="shared" si="30"/>
        <v>0</v>
      </c>
      <c r="R113" s="133">
        <f t="shared" si="31"/>
        <v>0</v>
      </c>
      <c r="S113" s="121" t="str">
        <f t="shared" si="40"/>
        <v/>
      </c>
    </row>
    <row r="114" hidden="1" outlineLevel="1">
      <c r="A114" s="142" t="str">
        <f>IFERROR(VLOOKUP(B114,'Статьи'!$A$2:C136,3,0)," ")</f>
        <v> </v>
      </c>
      <c r="B114" s="125"/>
      <c r="C114" s="197"/>
      <c r="D114" s="149"/>
      <c r="E114" s="149"/>
      <c r="F114" s="149"/>
      <c r="G114" s="149"/>
      <c r="H114" s="149"/>
      <c r="I114" s="188">
        <f t="shared" si="38"/>
        <v>0</v>
      </c>
      <c r="J114" s="170"/>
      <c r="K114" s="149"/>
      <c r="L114" s="149"/>
      <c r="M114" s="149"/>
      <c r="N114" s="149"/>
      <c r="O114" s="149"/>
      <c r="P114" s="188">
        <f t="shared" si="39"/>
        <v>0</v>
      </c>
      <c r="Q114" s="132">
        <f t="shared" si="30"/>
        <v>0</v>
      </c>
      <c r="R114" s="133">
        <f t="shared" si="31"/>
        <v>0</v>
      </c>
      <c r="S114" s="121" t="str">
        <f t="shared" si="40"/>
        <v/>
      </c>
    </row>
    <row r="115" hidden="1" outlineLevel="1">
      <c r="A115" s="142" t="str">
        <f>IFERROR(VLOOKUP(B115,'Статьи'!$A$2:C137,3,0)," ")</f>
        <v> </v>
      </c>
      <c r="B115" s="125"/>
      <c r="C115" s="197"/>
      <c r="D115" s="149"/>
      <c r="E115" s="198"/>
      <c r="F115" s="198"/>
      <c r="G115" s="198"/>
      <c r="H115" s="198"/>
      <c r="I115" s="188">
        <f t="shared" si="38"/>
        <v>0</v>
      </c>
      <c r="J115" s="189"/>
      <c r="K115" s="149"/>
      <c r="L115" s="149"/>
      <c r="M115" s="149"/>
      <c r="N115" s="149"/>
      <c r="O115" s="149"/>
      <c r="P115" s="188">
        <f t="shared" si="39"/>
        <v>0</v>
      </c>
      <c r="Q115" s="132">
        <f t="shared" si="30"/>
        <v>0</v>
      </c>
      <c r="R115" s="133">
        <f t="shared" si="31"/>
        <v>0</v>
      </c>
      <c r="S115" s="121" t="str">
        <f t="shared" si="40"/>
        <v/>
      </c>
    </row>
    <row r="116" hidden="1" outlineLevel="1">
      <c r="A116" s="142" t="str">
        <f>IFERROR(VLOOKUP(B116,'Статьи'!$A$2:C138,3,0)," ")</f>
        <v> </v>
      </c>
      <c r="B116" s="125"/>
      <c r="C116" s="197"/>
      <c r="D116" s="149"/>
      <c r="E116" s="149"/>
      <c r="F116" s="149"/>
      <c r="G116" s="149"/>
      <c r="H116" s="149"/>
      <c r="I116" s="188">
        <f t="shared" si="38"/>
        <v>0</v>
      </c>
      <c r="J116" s="189"/>
      <c r="K116" s="149"/>
      <c r="L116" s="149"/>
      <c r="M116" s="149"/>
      <c r="N116" s="149"/>
      <c r="O116" s="149"/>
      <c r="P116" s="188">
        <f t="shared" si="39"/>
        <v>0</v>
      </c>
      <c r="Q116" s="132">
        <f t="shared" si="30"/>
        <v>0</v>
      </c>
      <c r="R116" s="133">
        <f t="shared" si="31"/>
        <v>0</v>
      </c>
      <c r="S116" s="121" t="str">
        <f t="shared" si="40"/>
        <v/>
      </c>
    </row>
    <row r="117" hidden="1" outlineLevel="1">
      <c r="A117" s="142" t="str">
        <f>IFERROR(VLOOKUP(B117,'Статьи'!$A$2:C139,3,0)," ")</f>
        <v> </v>
      </c>
      <c r="B117" s="125"/>
      <c r="C117" s="197"/>
      <c r="D117" s="149"/>
      <c r="E117" s="149"/>
      <c r="F117" s="149"/>
      <c r="G117" s="149"/>
      <c r="H117" s="149"/>
      <c r="I117" s="188">
        <f t="shared" si="38"/>
        <v>0</v>
      </c>
      <c r="J117" s="189"/>
      <c r="K117" s="149"/>
      <c r="L117" s="149"/>
      <c r="M117" s="149"/>
      <c r="N117" s="149"/>
      <c r="O117" s="149"/>
      <c r="P117" s="188">
        <f t="shared" si="39"/>
        <v>0</v>
      </c>
      <c r="Q117" s="132">
        <f t="shared" si="30"/>
        <v>0</v>
      </c>
      <c r="R117" s="133">
        <f t="shared" si="31"/>
        <v>0</v>
      </c>
      <c r="S117" s="121" t="str">
        <f t="shared" si="40"/>
        <v/>
      </c>
    </row>
    <row r="118" hidden="1" outlineLevel="1">
      <c r="A118" s="142" t="str">
        <f>IFERROR(VLOOKUP(B118,'Статьи'!$A$2:C140,3,0)," ")</f>
        <v> </v>
      </c>
      <c r="B118" s="125"/>
      <c r="C118" s="197"/>
      <c r="D118" s="149"/>
      <c r="E118" s="149"/>
      <c r="F118" s="149"/>
      <c r="G118" s="149"/>
      <c r="H118" s="149"/>
      <c r="I118" s="188">
        <f t="shared" si="38"/>
        <v>0</v>
      </c>
      <c r="J118" s="170"/>
      <c r="K118" s="149"/>
      <c r="L118" s="149"/>
      <c r="M118" s="149"/>
      <c r="N118" s="149"/>
      <c r="O118" s="149"/>
      <c r="P118" s="188">
        <f t="shared" si="39"/>
        <v>0</v>
      </c>
      <c r="Q118" s="132">
        <f t="shared" si="30"/>
        <v>0</v>
      </c>
      <c r="R118" s="133">
        <f t="shared" si="31"/>
        <v>0</v>
      </c>
      <c r="S118" s="121" t="str">
        <f t="shared" si="40"/>
        <v/>
      </c>
    </row>
    <row r="119" hidden="1" outlineLevel="1">
      <c r="A119" s="142" t="str">
        <f>IFERROR(VLOOKUP(B119,'Статьи'!$A$2:C141,3,0)," ")</f>
        <v> </v>
      </c>
      <c r="B119" s="125"/>
      <c r="C119" s="197"/>
      <c r="D119" s="149"/>
      <c r="E119" s="149"/>
      <c r="F119" s="149"/>
      <c r="G119" s="149"/>
      <c r="H119" s="149"/>
      <c r="I119" s="188">
        <f t="shared" si="38"/>
        <v>0</v>
      </c>
      <c r="J119" s="189"/>
      <c r="K119" s="149"/>
      <c r="L119" s="149"/>
      <c r="M119" s="149"/>
      <c r="N119" s="149"/>
      <c r="O119" s="149"/>
      <c r="P119" s="188">
        <f t="shared" si="39"/>
        <v>0</v>
      </c>
      <c r="Q119" s="132">
        <f t="shared" si="30"/>
        <v>0</v>
      </c>
      <c r="R119" s="133">
        <f t="shared" si="31"/>
        <v>0</v>
      </c>
      <c r="S119" s="121" t="str">
        <f t="shared" si="40"/>
        <v/>
      </c>
    </row>
    <row r="120" hidden="1" outlineLevel="1">
      <c r="A120" s="142" t="str">
        <f>IFERROR(VLOOKUP(B120,'Статьи'!$A$2:C142,3,0)," ")</f>
        <v> </v>
      </c>
      <c r="B120" s="125"/>
      <c r="C120" s="197"/>
      <c r="D120" s="149"/>
      <c r="E120" s="149"/>
      <c r="F120" s="149"/>
      <c r="G120" s="149"/>
      <c r="H120" s="149"/>
      <c r="I120" s="188">
        <f t="shared" si="38"/>
        <v>0</v>
      </c>
      <c r="J120" s="189"/>
      <c r="K120" s="149"/>
      <c r="L120" s="149"/>
      <c r="M120" s="149"/>
      <c r="N120" s="149"/>
      <c r="O120" s="149"/>
      <c r="P120" s="188">
        <f t="shared" si="39"/>
        <v>0</v>
      </c>
      <c r="Q120" s="132">
        <f t="shared" si="30"/>
        <v>0</v>
      </c>
      <c r="R120" s="133">
        <f t="shared" si="31"/>
        <v>0</v>
      </c>
      <c r="S120" s="121" t="str">
        <f t="shared" si="40"/>
        <v/>
      </c>
    </row>
    <row r="121" hidden="1" outlineLevel="1">
      <c r="A121" s="142" t="str">
        <f>IFERROR(VLOOKUP(B121,'Статьи'!$A$2:C143,3,0)," ")</f>
        <v> </v>
      </c>
      <c r="B121" s="125"/>
      <c r="C121" s="197"/>
      <c r="D121" s="149"/>
      <c r="E121" s="149"/>
      <c r="F121" s="149"/>
      <c r="G121" s="149"/>
      <c r="H121" s="149"/>
      <c r="I121" s="188">
        <f t="shared" si="38"/>
        <v>0</v>
      </c>
      <c r="J121" s="170"/>
      <c r="K121" s="149"/>
      <c r="L121" s="149"/>
      <c r="M121" s="149"/>
      <c r="N121" s="149"/>
      <c r="O121" s="149"/>
      <c r="P121" s="188">
        <f t="shared" si="39"/>
        <v>0</v>
      </c>
      <c r="Q121" s="132">
        <f t="shared" si="30"/>
        <v>0</v>
      </c>
      <c r="R121" s="133">
        <f t="shared" si="31"/>
        <v>0</v>
      </c>
      <c r="S121" s="121" t="str">
        <f t="shared" si="40"/>
        <v/>
      </c>
    </row>
    <row r="122" hidden="1" outlineLevel="1">
      <c r="A122" s="142" t="str">
        <f>IFERROR(VLOOKUP(B122,'Статьи'!$A$2:C144,3,0)," ")</f>
        <v> </v>
      </c>
      <c r="B122" s="125"/>
      <c r="C122" s="197"/>
      <c r="D122" s="149"/>
      <c r="E122" s="149"/>
      <c r="F122" s="149"/>
      <c r="G122" s="149"/>
      <c r="H122" s="149"/>
      <c r="I122" s="188">
        <f t="shared" si="38"/>
        <v>0</v>
      </c>
      <c r="J122" s="189"/>
      <c r="K122" s="149"/>
      <c r="L122" s="149"/>
      <c r="M122" s="149"/>
      <c r="N122" s="149"/>
      <c r="O122" s="149"/>
      <c r="P122" s="188">
        <f t="shared" si="39"/>
        <v>0</v>
      </c>
      <c r="Q122" s="132">
        <f t="shared" si="30"/>
        <v>0</v>
      </c>
      <c r="R122" s="133">
        <f t="shared" si="31"/>
        <v>0</v>
      </c>
      <c r="S122" s="121" t="str">
        <f t="shared" si="40"/>
        <v/>
      </c>
    </row>
    <row r="123" hidden="1" outlineLevel="1">
      <c r="A123" s="142" t="str">
        <f>IFERROR(VLOOKUP(B123,'Статьи'!$A$2:C145,3,0)," ")</f>
        <v> </v>
      </c>
      <c r="B123" s="125"/>
      <c r="C123" s="197"/>
      <c r="D123" s="149"/>
      <c r="E123" s="149"/>
      <c r="F123" s="149"/>
      <c r="G123" s="149"/>
      <c r="H123" s="149"/>
      <c r="I123" s="188">
        <f t="shared" si="38"/>
        <v>0</v>
      </c>
      <c r="J123" s="170"/>
      <c r="K123" s="149"/>
      <c r="L123" s="149"/>
      <c r="M123" s="149"/>
      <c r="N123" s="149"/>
      <c r="O123" s="149"/>
      <c r="P123" s="188">
        <f t="shared" si="39"/>
        <v>0</v>
      </c>
      <c r="Q123" s="132">
        <f t="shared" si="30"/>
        <v>0</v>
      </c>
      <c r="R123" s="133">
        <f t="shared" si="31"/>
        <v>0</v>
      </c>
      <c r="S123" s="121" t="str">
        <f t="shared" si="40"/>
        <v/>
      </c>
    </row>
    <row r="124" hidden="1" outlineLevel="1">
      <c r="A124" s="142" t="str">
        <f>IFERROR(VLOOKUP(B124,'Статьи'!$A$2:C146,3,0)," ")</f>
        <v> </v>
      </c>
      <c r="B124" s="125"/>
      <c r="C124" s="170"/>
      <c r="D124" s="149"/>
      <c r="E124" s="149"/>
      <c r="F124" s="149"/>
      <c r="G124" s="149"/>
      <c r="H124" s="149"/>
      <c r="I124" s="188">
        <f t="shared" si="38"/>
        <v>0</v>
      </c>
      <c r="J124" s="170"/>
      <c r="K124" s="149"/>
      <c r="L124" s="149"/>
      <c r="M124" s="149"/>
      <c r="N124" s="149"/>
      <c r="O124" s="149"/>
      <c r="P124" s="188">
        <f t="shared" si="39"/>
        <v>0</v>
      </c>
      <c r="Q124" s="132">
        <f t="shared" si="30"/>
        <v>0</v>
      </c>
      <c r="R124" s="133">
        <f t="shared" si="31"/>
        <v>0</v>
      </c>
      <c r="S124" s="121" t="str">
        <f t="shared" si="40"/>
        <v/>
      </c>
    </row>
    <row r="125" hidden="1" outlineLevel="1">
      <c r="A125" s="142" t="str">
        <f>IFERROR(VLOOKUP(B125,'Статьи'!$A$2:C147,3,0)," ")</f>
        <v> </v>
      </c>
      <c r="B125" s="125"/>
      <c r="C125" s="170"/>
      <c r="D125" s="149"/>
      <c r="E125" s="149"/>
      <c r="F125" s="149"/>
      <c r="G125" s="149"/>
      <c r="H125" s="149"/>
      <c r="I125" s="188">
        <f t="shared" si="38"/>
        <v>0</v>
      </c>
      <c r="J125" s="170"/>
      <c r="K125" s="149"/>
      <c r="L125" s="149"/>
      <c r="M125" s="149"/>
      <c r="N125" s="149"/>
      <c r="O125" s="149"/>
      <c r="P125" s="188">
        <f t="shared" si="39"/>
        <v>0</v>
      </c>
      <c r="Q125" s="132">
        <f t="shared" si="30"/>
        <v>0</v>
      </c>
      <c r="R125" s="133">
        <f t="shared" si="31"/>
        <v>0</v>
      </c>
      <c r="S125" s="121" t="str">
        <f t="shared" si="40"/>
        <v/>
      </c>
    </row>
    <row r="126" hidden="1" outlineLevel="1">
      <c r="A126" s="142" t="str">
        <f>IFERROR(VLOOKUP(B126,'Статьи'!$A$2:C148,3,0)," ")</f>
        <v> </v>
      </c>
      <c r="B126" s="125"/>
      <c r="C126" s="170"/>
      <c r="D126" s="149"/>
      <c r="E126" s="149"/>
      <c r="F126" s="149"/>
      <c r="G126" s="149"/>
      <c r="H126" s="149"/>
      <c r="I126" s="188">
        <f t="shared" si="38"/>
        <v>0</v>
      </c>
      <c r="J126" s="170"/>
      <c r="K126" s="149"/>
      <c r="L126" s="149"/>
      <c r="M126" s="149"/>
      <c r="N126" s="149"/>
      <c r="O126" s="149"/>
      <c r="P126" s="188">
        <f t="shared" si="39"/>
        <v>0</v>
      </c>
      <c r="Q126" s="132">
        <f t="shared" si="30"/>
        <v>0</v>
      </c>
      <c r="R126" s="133">
        <f t="shared" si="31"/>
        <v>0</v>
      </c>
      <c r="S126" s="121" t="str">
        <f t="shared" si="40"/>
        <v/>
      </c>
    </row>
    <row r="127" hidden="1" outlineLevel="1">
      <c r="A127" s="142" t="str">
        <f>IFERROR(VLOOKUP(B127,'Статьи'!$A$2:C149,3,0)," ")</f>
        <v> </v>
      </c>
      <c r="B127" s="125"/>
      <c r="C127" s="170"/>
      <c r="D127" s="149"/>
      <c r="E127" s="149"/>
      <c r="F127" s="149"/>
      <c r="G127" s="149"/>
      <c r="H127" s="149"/>
      <c r="I127" s="188">
        <f t="shared" si="38"/>
        <v>0</v>
      </c>
      <c r="J127" s="170"/>
      <c r="K127" s="149"/>
      <c r="L127" s="149"/>
      <c r="M127" s="149"/>
      <c r="N127" s="149"/>
      <c r="O127" s="149"/>
      <c r="P127" s="188">
        <f t="shared" si="39"/>
        <v>0</v>
      </c>
      <c r="Q127" s="132">
        <f t="shared" si="30"/>
        <v>0</v>
      </c>
      <c r="R127" s="133">
        <f t="shared" si="31"/>
        <v>0</v>
      </c>
      <c r="S127" s="121" t="str">
        <f t="shared" si="40"/>
        <v/>
      </c>
    </row>
    <row r="128" hidden="1" outlineLevel="1">
      <c r="A128" s="142" t="str">
        <f>IFERROR(VLOOKUP(B128,'Статьи'!$A$2:C150,3,0)," ")</f>
        <v> </v>
      </c>
      <c r="B128" s="125"/>
      <c r="C128" s="170"/>
      <c r="D128" s="149"/>
      <c r="E128" s="149"/>
      <c r="F128" s="149"/>
      <c r="G128" s="149"/>
      <c r="H128" s="149"/>
      <c r="I128" s="188">
        <f t="shared" si="38"/>
        <v>0</v>
      </c>
      <c r="J128" s="170"/>
      <c r="K128" s="149"/>
      <c r="L128" s="149"/>
      <c r="M128" s="149"/>
      <c r="N128" s="149"/>
      <c r="O128" s="149"/>
      <c r="P128" s="188">
        <f t="shared" si="39"/>
        <v>0</v>
      </c>
      <c r="Q128" s="132">
        <f t="shared" si="30"/>
        <v>0</v>
      </c>
      <c r="R128" s="133">
        <f t="shared" si="31"/>
        <v>0</v>
      </c>
      <c r="S128" s="121" t="str">
        <f t="shared" si="40"/>
        <v/>
      </c>
    </row>
    <row r="129" hidden="1" outlineLevel="1">
      <c r="A129" s="142" t="str">
        <f>IFERROR(VLOOKUP(B129,'Статьи'!$A$2:C151,3,0)," ")</f>
        <v> </v>
      </c>
      <c r="B129" s="125"/>
      <c r="C129" s="170"/>
      <c r="D129" s="149"/>
      <c r="E129" s="149"/>
      <c r="F129" s="149"/>
      <c r="G129" s="149"/>
      <c r="H129" s="149"/>
      <c r="I129" s="188">
        <f t="shared" si="38"/>
        <v>0</v>
      </c>
      <c r="J129" s="170"/>
      <c r="K129" s="149"/>
      <c r="L129" s="149"/>
      <c r="M129" s="149"/>
      <c r="N129" s="149"/>
      <c r="O129" s="149"/>
      <c r="P129" s="188">
        <f t="shared" si="39"/>
        <v>0</v>
      </c>
      <c r="Q129" s="132">
        <f t="shared" si="30"/>
        <v>0</v>
      </c>
      <c r="R129" s="133">
        <f t="shared" si="31"/>
        <v>0</v>
      </c>
      <c r="S129" s="121" t="str">
        <f t="shared" si="40"/>
        <v/>
      </c>
    </row>
    <row r="130" hidden="1" outlineLevel="1">
      <c r="A130" s="142" t="str">
        <f>IFERROR(VLOOKUP(B130,'Статьи'!$A$2:C152,3,0)," ")</f>
        <v> </v>
      </c>
      <c r="B130" s="125"/>
      <c r="C130" s="170"/>
      <c r="D130" s="149"/>
      <c r="E130" s="149"/>
      <c r="F130" s="149"/>
      <c r="G130" s="149"/>
      <c r="H130" s="149"/>
      <c r="I130" s="188">
        <f t="shared" si="38"/>
        <v>0</v>
      </c>
      <c r="J130" s="170"/>
      <c r="K130" s="149"/>
      <c r="L130" s="149"/>
      <c r="M130" s="149"/>
      <c r="N130" s="149"/>
      <c r="O130" s="149"/>
      <c r="P130" s="188">
        <f t="shared" si="39"/>
        <v>0</v>
      </c>
      <c r="Q130" s="132">
        <f t="shared" si="30"/>
        <v>0</v>
      </c>
      <c r="R130" s="133">
        <f t="shared" si="31"/>
        <v>0</v>
      </c>
      <c r="S130" s="121" t="str">
        <f t="shared" si="40"/>
        <v/>
      </c>
    </row>
    <row r="131">
      <c r="A131" s="142" t="str">
        <f>IFERROR(VLOOKUP(B131,'Статьи'!$A$2:C153,3,0)," ")</f>
        <v> </v>
      </c>
      <c r="B131" s="125"/>
      <c r="C131" s="170"/>
      <c r="D131" s="149"/>
      <c r="E131" s="149"/>
      <c r="F131" s="149"/>
      <c r="G131" s="149"/>
      <c r="H131" s="149"/>
      <c r="I131" s="188">
        <f t="shared" si="38"/>
        <v>0</v>
      </c>
      <c r="J131" s="170"/>
      <c r="K131" s="149"/>
      <c r="L131" s="149"/>
      <c r="M131" s="149"/>
      <c r="N131" s="149"/>
      <c r="O131" s="149"/>
      <c r="P131" s="188">
        <f t="shared" si="39"/>
        <v>0</v>
      </c>
      <c r="Q131" s="132">
        <f t="shared" si="30"/>
        <v>0</v>
      </c>
      <c r="R131" s="133">
        <f t="shared" si="31"/>
        <v>0</v>
      </c>
      <c r="S131" s="121" t="str">
        <f t="shared" si="40"/>
        <v/>
      </c>
    </row>
    <row r="132">
      <c r="A132" s="135"/>
      <c r="B132" s="136" t="s">
        <v>107</v>
      </c>
      <c r="C132" s="137">
        <f t="shared" ref="C132:H132" si="41">SUM(C133:C141)</f>
        <v>0</v>
      </c>
      <c r="D132" s="138">
        <f t="shared" si="41"/>
        <v>0</v>
      </c>
      <c r="E132" s="138">
        <f t="shared" si="41"/>
        <v>0</v>
      </c>
      <c r="F132" s="138">
        <f t="shared" si="41"/>
        <v>0</v>
      </c>
      <c r="G132" s="138">
        <f t="shared" si="41"/>
        <v>0</v>
      </c>
      <c r="H132" s="138">
        <f t="shared" si="41"/>
        <v>0</v>
      </c>
      <c r="I132" s="139">
        <f t="shared" si="38"/>
        <v>0</v>
      </c>
      <c r="J132" s="137">
        <f t="shared" ref="J132:P132" si="42">SUM(J133:J141)</f>
        <v>0</v>
      </c>
      <c r="K132" s="138">
        <f t="shared" si="42"/>
        <v>0</v>
      </c>
      <c r="L132" s="138">
        <f t="shared" si="42"/>
        <v>0</v>
      </c>
      <c r="M132" s="138">
        <f t="shared" si="42"/>
        <v>0</v>
      </c>
      <c r="N132" s="138">
        <f t="shared" si="42"/>
        <v>0</v>
      </c>
      <c r="O132" s="138">
        <f t="shared" si="42"/>
        <v>0</v>
      </c>
      <c r="P132" s="140">
        <f t="shared" si="42"/>
        <v>0</v>
      </c>
      <c r="Q132" s="138">
        <f t="shared" si="30"/>
        <v>0</v>
      </c>
      <c r="R132" s="187">
        <f t="shared" si="31"/>
        <v>0</v>
      </c>
      <c r="S132" s="229" t="str">
        <f>IF(Q132=0,"",IF(R132&gt;1,"план не выполнен","выполнение"))</f>
        <v/>
      </c>
    </row>
    <row r="133" collapsed="1">
      <c r="A133" s="142" t="str">
        <f>IFERROR(VLOOKUP(B133,'Статьи'!$A$2:C155,3,0)," ")</f>
        <v>ДДС отчетного месяца. Без НДС!</v>
      </c>
      <c r="B133" s="125" t="str">
        <f>IFERROR(__xludf.DUMMYFUNCTION("iferror(filter('Статьи'!$A$1:$A182,'Статьи'!$B$1:$B182=$B$132))"),"Подписка на сайты по поиску клиентов")</f>
        <v>Подписка на сайты по поиску клиентов</v>
      </c>
      <c r="C133" s="170"/>
      <c r="D133" s="149"/>
      <c r="E133" s="149"/>
      <c r="F133" s="149"/>
      <c r="G133" s="149"/>
      <c r="H133" s="149"/>
      <c r="I133" s="188">
        <f t="shared" si="38"/>
        <v>0</v>
      </c>
      <c r="J133" s="170"/>
      <c r="K133" s="149"/>
      <c r="L133" s="149"/>
      <c r="M133" s="149"/>
      <c r="N133" s="149"/>
      <c r="O133" s="149"/>
      <c r="P133" s="188">
        <f t="shared" ref="P133:P140" si="43">SUM(J133:K133)</f>
        <v>0</v>
      </c>
      <c r="Q133" s="132">
        <f t="shared" si="30"/>
        <v>0</v>
      </c>
      <c r="R133" s="133">
        <f t="shared" si="31"/>
        <v>0</v>
      </c>
      <c r="S133" s="121" t="str">
        <f t="shared" ref="S133:S141" si="44">IF(Q133=0,"",IF(R133=0,"обратить внимание",IF(R133&gt;1,"перерасход","экономия")))</f>
        <v/>
      </c>
    </row>
    <row r="134" hidden="1" outlineLevel="1">
      <c r="A134" s="142" t="str">
        <f>IFERROR(VLOOKUP(B134,'Статьи'!$A$2:C156,3,0)," ")</f>
        <v> </v>
      </c>
      <c r="B134" s="125"/>
      <c r="C134" s="170"/>
      <c r="D134" s="149"/>
      <c r="E134" s="149"/>
      <c r="F134" s="149"/>
      <c r="G134" s="149"/>
      <c r="H134" s="149"/>
      <c r="I134" s="188">
        <f t="shared" si="38"/>
        <v>0</v>
      </c>
      <c r="J134" s="170"/>
      <c r="K134" s="149"/>
      <c r="L134" s="149"/>
      <c r="M134" s="149"/>
      <c r="N134" s="149"/>
      <c r="O134" s="149"/>
      <c r="P134" s="188">
        <f t="shared" si="43"/>
        <v>0</v>
      </c>
      <c r="Q134" s="132">
        <f t="shared" si="30"/>
        <v>0</v>
      </c>
      <c r="R134" s="133">
        <f t="shared" si="31"/>
        <v>0</v>
      </c>
      <c r="S134" s="121" t="str">
        <f t="shared" si="44"/>
        <v/>
      </c>
    </row>
    <row r="135" hidden="1" outlineLevel="1">
      <c r="A135" s="175" t="str">
        <f>IFERROR(VLOOKUP(B135,'Статьи'!$A$2:C157,3,0)," ")</f>
        <v> </v>
      </c>
      <c r="B135" s="175"/>
      <c r="C135" s="170"/>
      <c r="D135" s="149"/>
      <c r="E135" s="149"/>
      <c r="F135" s="149"/>
      <c r="G135" s="149"/>
      <c r="H135" s="149"/>
      <c r="I135" s="188">
        <f t="shared" si="38"/>
        <v>0</v>
      </c>
      <c r="J135" s="170"/>
      <c r="K135" s="149"/>
      <c r="L135" s="149"/>
      <c r="M135" s="149"/>
      <c r="N135" s="149"/>
      <c r="O135" s="149"/>
      <c r="P135" s="188">
        <f t="shared" si="43"/>
        <v>0</v>
      </c>
      <c r="Q135" s="132">
        <f t="shared" si="30"/>
        <v>0</v>
      </c>
      <c r="R135" s="133">
        <f t="shared" si="31"/>
        <v>0</v>
      </c>
      <c r="S135" s="121" t="str">
        <f t="shared" si="44"/>
        <v/>
      </c>
    </row>
    <row r="136" hidden="1" outlineLevel="1">
      <c r="A136" s="175" t="str">
        <f>IFERROR(VLOOKUP(B136,'Статьи'!$A$2:C158,3,0)," ")</f>
        <v> </v>
      </c>
      <c r="B136" s="175"/>
      <c r="C136" s="170"/>
      <c r="D136" s="149"/>
      <c r="E136" s="149"/>
      <c r="F136" s="149"/>
      <c r="G136" s="149"/>
      <c r="H136" s="149"/>
      <c r="I136" s="188">
        <f t="shared" si="38"/>
        <v>0</v>
      </c>
      <c r="J136" s="170"/>
      <c r="K136" s="149"/>
      <c r="L136" s="149"/>
      <c r="M136" s="149"/>
      <c r="N136" s="149"/>
      <c r="O136" s="149"/>
      <c r="P136" s="188">
        <f t="shared" si="43"/>
        <v>0</v>
      </c>
      <c r="Q136" s="132">
        <f t="shared" si="30"/>
        <v>0</v>
      </c>
      <c r="R136" s="133">
        <f t="shared" si="31"/>
        <v>0</v>
      </c>
      <c r="S136" s="121" t="str">
        <f t="shared" si="44"/>
        <v/>
      </c>
    </row>
    <row r="137" hidden="1" outlineLevel="1">
      <c r="A137" s="175" t="str">
        <f>IFERROR(VLOOKUP(B137,'Статьи'!$A$2:C159,3,0)," ")</f>
        <v> </v>
      </c>
      <c r="B137" s="175"/>
      <c r="C137" s="170"/>
      <c r="D137" s="149"/>
      <c r="E137" s="149"/>
      <c r="F137" s="149"/>
      <c r="G137" s="149"/>
      <c r="H137" s="149"/>
      <c r="I137" s="188">
        <f t="shared" si="38"/>
        <v>0</v>
      </c>
      <c r="J137" s="170"/>
      <c r="K137" s="149"/>
      <c r="L137" s="149"/>
      <c r="M137" s="149"/>
      <c r="N137" s="149"/>
      <c r="O137" s="149"/>
      <c r="P137" s="188">
        <f t="shared" si="43"/>
        <v>0</v>
      </c>
      <c r="Q137" s="132">
        <f t="shared" si="30"/>
        <v>0</v>
      </c>
      <c r="R137" s="133">
        <f t="shared" si="31"/>
        <v>0</v>
      </c>
      <c r="S137" s="121" t="str">
        <f t="shared" si="44"/>
        <v/>
      </c>
    </row>
    <row r="138" hidden="1" outlineLevel="1">
      <c r="A138" s="175" t="str">
        <f>IFERROR(VLOOKUP(B138,'Статьи'!$A$2:C160,3,0)," ")</f>
        <v> </v>
      </c>
      <c r="B138" s="175"/>
      <c r="C138" s="170"/>
      <c r="D138" s="149"/>
      <c r="E138" s="149"/>
      <c r="F138" s="149"/>
      <c r="G138" s="149"/>
      <c r="H138" s="149"/>
      <c r="I138" s="188">
        <f t="shared" si="38"/>
        <v>0</v>
      </c>
      <c r="J138" s="170"/>
      <c r="K138" s="149"/>
      <c r="L138" s="149"/>
      <c r="M138" s="149"/>
      <c r="N138" s="149"/>
      <c r="O138" s="149"/>
      <c r="P138" s="188">
        <f t="shared" si="43"/>
        <v>0</v>
      </c>
      <c r="Q138" s="132">
        <f t="shared" si="30"/>
        <v>0</v>
      </c>
      <c r="R138" s="133">
        <f t="shared" si="31"/>
        <v>0</v>
      </c>
      <c r="S138" s="121" t="str">
        <f t="shared" si="44"/>
        <v/>
      </c>
    </row>
    <row r="139" hidden="1" outlineLevel="1">
      <c r="A139" s="175" t="str">
        <f>IFERROR(VLOOKUP(B139,'Статьи'!$A$2:C161,3,0)," ")</f>
        <v> </v>
      </c>
      <c r="B139" s="175"/>
      <c r="C139" s="170"/>
      <c r="D139" s="149"/>
      <c r="E139" s="149"/>
      <c r="F139" s="149"/>
      <c r="G139" s="149"/>
      <c r="H139" s="149"/>
      <c r="I139" s="188">
        <f t="shared" si="38"/>
        <v>0</v>
      </c>
      <c r="J139" s="170"/>
      <c r="K139" s="149"/>
      <c r="L139" s="149"/>
      <c r="M139" s="149"/>
      <c r="N139" s="149"/>
      <c r="O139" s="149"/>
      <c r="P139" s="188">
        <f t="shared" si="43"/>
        <v>0</v>
      </c>
      <c r="Q139" s="132">
        <f t="shared" si="30"/>
        <v>0</v>
      </c>
      <c r="R139" s="133">
        <f t="shared" si="31"/>
        <v>0</v>
      </c>
      <c r="S139" s="121" t="str">
        <f t="shared" si="44"/>
        <v/>
      </c>
    </row>
    <row r="140" hidden="1" outlineLevel="1">
      <c r="A140" s="175" t="str">
        <f>IFERROR(VLOOKUP(B140,'Статьи'!$A$2:C162,3,0)," ")</f>
        <v> </v>
      </c>
      <c r="B140" s="175"/>
      <c r="C140" s="170"/>
      <c r="D140" s="149"/>
      <c r="E140" s="149"/>
      <c r="F140" s="149"/>
      <c r="G140" s="149"/>
      <c r="H140" s="149"/>
      <c r="I140" s="188">
        <f t="shared" si="38"/>
        <v>0</v>
      </c>
      <c r="J140" s="170"/>
      <c r="K140" s="149"/>
      <c r="L140" s="149"/>
      <c r="M140" s="149"/>
      <c r="N140" s="149"/>
      <c r="O140" s="149"/>
      <c r="P140" s="188">
        <f t="shared" si="43"/>
        <v>0</v>
      </c>
      <c r="Q140" s="132">
        <f t="shared" si="30"/>
        <v>0</v>
      </c>
      <c r="R140" s="133">
        <f t="shared" si="31"/>
        <v>0</v>
      </c>
      <c r="S140" s="121" t="str">
        <f t="shared" si="44"/>
        <v/>
      </c>
    </row>
    <row r="141">
      <c r="A141" s="175" t="str">
        <f>IFERROR(VLOOKUP(B141,'Статьи'!$A$2:C163,3,0)," ")</f>
        <v> </v>
      </c>
      <c r="B141" s="175"/>
      <c r="C141" s="170"/>
      <c r="D141" s="149"/>
      <c r="E141" s="149"/>
      <c r="F141" s="149"/>
      <c r="G141" s="149"/>
      <c r="H141" s="149"/>
      <c r="I141" s="188">
        <f t="shared" si="38"/>
        <v>0</v>
      </c>
      <c r="J141" s="170"/>
      <c r="K141" s="149"/>
      <c r="L141" s="149"/>
      <c r="M141" s="149"/>
      <c r="N141" s="149"/>
      <c r="O141" s="149"/>
      <c r="P141" s="188">
        <f>sum(F141:J141)</f>
        <v>0</v>
      </c>
      <c r="Q141" s="132">
        <f t="shared" si="30"/>
        <v>0</v>
      </c>
      <c r="R141" s="133">
        <f t="shared" si="31"/>
        <v>0</v>
      </c>
      <c r="S141" s="121" t="str">
        <f t="shared" si="44"/>
        <v/>
      </c>
    </row>
    <row r="142">
      <c r="A142" s="152"/>
      <c r="B142" s="153" t="s">
        <v>142</v>
      </c>
      <c r="C142" s="154">
        <f t="shared" ref="C142:K142" si="45">C85+C88</f>
        <v>0</v>
      </c>
      <c r="D142" s="155">
        <f t="shared" si="45"/>
        <v>0</v>
      </c>
      <c r="E142" s="155">
        <f t="shared" si="45"/>
        <v>0</v>
      </c>
      <c r="F142" s="155">
        <f t="shared" si="45"/>
        <v>0</v>
      </c>
      <c r="G142" s="155">
        <f t="shared" si="45"/>
        <v>0</v>
      </c>
      <c r="H142" s="155">
        <f t="shared" si="45"/>
        <v>0</v>
      </c>
      <c r="I142" s="157">
        <f t="shared" si="45"/>
        <v>0</v>
      </c>
      <c r="J142" s="154">
        <f t="shared" si="45"/>
        <v>0</v>
      </c>
      <c r="K142" s="155">
        <f t="shared" si="45"/>
        <v>0</v>
      </c>
      <c r="L142" s="155"/>
      <c r="M142" s="155"/>
      <c r="N142" s="155"/>
      <c r="O142" s="155"/>
      <c r="P142" s="157">
        <f>P85+P88</f>
        <v>0</v>
      </c>
      <c r="Q142" s="155">
        <f t="shared" si="30"/>
        <v>0</v>
      </c>
      <c r="R142" s="158">
        <f t="shared" si="31"/>
        <v>0</v>
      </c>
      <c r="S142" s="159" t="str">
        <f>IF(Q142=0,"",IF(R142&gt;1,"выполнение","план не выполнен"))</f>
        <v/>
      </c>
    </row>
    <row r="143">
      <c r="A143" s="160"/>
      <c r="B143" s="161" t="s">
        <v>143</v>
      </c>
      <c r="C143" s="162" t="str">
        <f t="shared" ref="C143:K143" si="46">IFERROR(C142/C$3,"")</f>
        <v/>
      </c>
      <c r="D143" s="163" t="str">
        <f t="shared" si="46"/>
        <v/>
      </c>
      <c r="E143" s="163" t="str">
        <f t="shared" si="46"/>
        <v/>
      </c>
      <c r="F143" s="163" t="str">
        <f t="shared" si="46"/>
        <v/>
      </c>
      <c r="G143" s="163" t="str">
        <f t="shared" si="46"/>
        <v/>
      </c>
      <c r="H143" s="163" t="str">
        <f t="shared" si="46"/>
        <v/>
      </c>
      <c r="I143" s="164" t="str">
        <f t="shared" si="46"/>
        <v/>
      </c>
      <c r="J143" s="162" t="str">
        <f t="shared" si="46"/>
        <v/>
      </c>
      <c r="K143" s="163" t="str">
        <f t="shared" si="46"/>
        <v/>
      </c>
      <c r="L143" s="163"/>
      <c r="M143" s="163"/>
      <c r="N143" s="163"/>
      <c r="O143" s="163"/>
      <c r="P143" s="164" t="str">
        <f>IFERROR(P142/P$3,"")</f>
        <v/>
      </c>
      <c r="Q143" s="133"/>
      <c r="R143" s="133"/>
      <c r="S143" s="121" t="str">
        <f t="shared" ref="S143:S144" si="47">IF(Q143=0,"",IF(Q143=0,0,IF(R143&gt;1,"перерасход","экономия")))</f>
        <v/>
      </c>
    </row>
    <row r="144">
      <c r="A144" s="142"/>
      <c r="B144" s="125"/>
      <c r="C144" s="199"/>
      <c r="D144" s="200"/>
      <c r="E144" s="200"/>
      <c r="F144" s="200"/>
      <c r="G144" s="200"/>
      <c r="H144" s="200"/>
      <c r="I144" s="116"/>
      <c r="J144" s="123"/>
      <c r="K144" s="118"/>
      <c r="L144" s="118"/>
      <c r="M144" s="118"/>
      <c r="N144" s="118"/>
      <c r="O144" s="118"/>
      <c r="P144" s="116"/>
      <c r="Q144" s="132"/>
      <c r="R144" s="133"/>
      <c r="S144" s="121" t="str">
        <f t="shared" si="47"/>
        <v/>
      </c>
    </row>
    <row r="145">
      <c r="A145" s="201"/>
      <c r="B145" s="202" t="s">
        <v>111</v>
      </c>
      <c r="C145" s="203">
        <f t="shared" ref="C145:H145" si="48">SUM(C146:C154)</f>
        <v>0</v>
      </c>
      <c r="D145" s="204">
        <f t="shared" si="48"/>
        <v>0</v>
      </c>
      <c r="E145" s="204">
        <f t="shared" si="48"/>
        <v>0</v>
      </c>
      <c r="F145" s="204">
        <f t="shared" si="48"/>
        <v>0</v>
      </c>
      <c r="G145" s="204">
        <f t="shared" si="48"/>
        <v>0</v>
      </c>
      <c r="H145" s="204">
        <f t="shared" si="48"/>
        <v>0</v>
      </c>
      <c r="I145" s="205">
        <f>SUM(C145:H145)</f>
        <v>0</v>
      </c>
      <c r="J145" s="206">
        <f t="shared" ref="J145:P145" si="49">SUM(J146:J154)</f>
        <v>0</v>
      </c>
      <c r="K145" s="207">
        <f t="shared" si="49"/>
        <v>0</v>
      </c>
      <c r="L145" s="207">
        <f t="shared" si="49"/>
        <v>0</v>
      </c>
      <c r="M145" s="207">
        <f t="shared" si="49"/>
        <v>0</v>
      </c>
      <c r="N145" s="207">
        <f t="shared" si="49"/>
        <v>0</v>
      </c>
      <c r="O145" s="207">
        <f t="shared" si="49"/>
        <v>0</v>
      </c>
      <c r="P145" s="208">
        <f t="shared" si="49"/>
        <v>0</v>
      </c>
      <c r="Q145" s="204">
        <f t="shared" ref="Q145:Q173" si="50">I145-P145</f>
        <v>0</v>
      </c>
      <c r="R145" s="209">
        <f t="shared" ref="R145:R173" si="51">IFERROR(I145/P145,0)</f>
        <v>0</v>
      </c>
      <c r="S145" s="210" t="str">
        <f>IF(Q145=0,"",IF(R145&gt;1,"выполнение","план не выполнен"))</f>
        <v/>
      </c>
    </row>
    <row r="146">
      <c r="A146" s="142" t="str">
        <f>IFERROR(VLOOKUP(B146,'Статьи'!$A$2:C168,3,0)," ")</f>
        <v>ДДС отчетного месяца. Без НДС!</v>
      </c>
      <c r="B146" s="125" t="str">
        <f>IFERROR(__xludf.DUMMYFUNCTION("iferror(filter('Статьи'!$A$1:$A182,'Статьи'!$B$1:$B182=B145))"),"Поступления прочие")</f>
        <v>Поступления прочие</v>
      </c>
      <c r="C146" s="170"/>
      <c r="D146" s="149"/>
      <c r="E146" s="149"/>
      <c r="F146" s="149"/>
      <c r="G146" s="149"/>
      <c r="H146" s="149"/>
      <c r="I146" s="211">
        <f t="shared" ref="I146:I172" si="52">sum(C146:H146)</f>
        <v>0</v>
      </c>
      <c r="J146" s="122"/>
      <c r="K146" s="114"/>
      <c r="L146" s="114"/>
      <c r="M146" s="114"/>
      <c r="N146" s="114"/>
      <c r="O146" s="114"/>
      <c r="P146" s="211">
        <f t="shared" ref="P146:P153" si="53">SUM(J146:K146)</f>
        <v>0</v>
      </c>
      <c r="Q146" s="132">
        <f t="shared" si="50"/>
        <v>0</v>
      </c>
      <c r="R146" s="133">
        <f t="shared" si="51"/>
        <v>0</v>
      </c>
      <c r="S146" s="121" t="str">
        <f t="shared" ref="S146:S154" si="54">IF(Q146=0,"",IF(R146=0,"обратить внимание",IF(R146&gt;1,"выполнение","план не выполнен")))</f>
        <v/>
      </c>
    </row>
    <row r="147">
      <c r="A147" s="142" t="str">
        <f>IFERROR(VLOOKUP(B147,'Статьи'!$A$2:C169,3,0)," ")</f>
        <v>ДДС отчетного месяца. Без НДС!</v>
      </c>
      <c r="B147" s="125" t="str">
        <f>IFERROR(__xludf.DUMMYFUNCTION("""COMPUTED_VALUE"""),"Поступления страховые выплаты")</f>
        <v>Поступления страховые выплаты</v>
      </c>
      <c r="C147" s="170"/>
      <c r="D147" s="149"/>
      <c r="E147" s="149"/>
      <c r="F147" s="149"/>
      <c r="G147" s="149"/>
      <c r="H147" s="149"/>
      <c r="I147" s="211">
        <f t="shared" si="52"/>
        <v>0</v>
      </c>
      <c r="J147" s="122"/>
      <c r="K147" s="114"/>
      <c r="L147" s="114"/>
      <c r="M147" s="114"/>
      <c r="N147" s="114"/>
      <c r="O147" s="114"/>
      <c r="P147" s="211">
        <f t="shared" si="53"/>
        <v>0</v>
      </c>
      <c r="Q147" s="132">
        <f t="shared" si="50"/>
        <v>0</v>
      </c>
      <c r="R147" s="133">
        <f t="shared" si="51"/>
        <v>0</v>
      </c>
      <c r="S147" s="121" t="str">
        <f t="shared" si="54"/>
        <v/>
      </c>
    </row>
    <row r="148">
      <c r="A148" s="142" t="str">
        <f>IFERROR(VLOOKUP(B148,'Статьи'!$A$2:C170,3,0)," ")</f>
        <v>отчет Учета ОС Вкладка Свод строка 37</v>
      </c>
      <c r="B148" s="125" t="str">
        <f>IFERROR(__xludf.DUMMYFUNCTION("""COMPUTED_VALUE"""),"Продажа ОС")</f>
        <v>Продажа ОС</v>
      </c>
      <c r="C148" s="170"/>
      <c r="D148" s="149"/>
      <c r="E148" s="149"/>
      <c r="F148" s="149"/>
      <c r="G148" s="149"/>
      <c r="H148" s="149"/>
      <c r="I148" s="211">
        <f t="shared" si="52"/>
        <v>0</v>
      </c>
      <c r="J148" s="122"/>
      <c r="K148" s="114"/>
      <c r="L148" s="114"/>
      <c r="M148" s="114"/>
      <c r="N148" s="114"/>
      <c r="O148" s="114"/>
      <c r="P148" s="211">
        <f t="shared" si="53"/>
        <v>0</v>
      </c>
      <c r="Q148" s="132">
        <f t="shared" si="50"/>
        <v>0</v>
      </c>
      <c r="R148" s="133">
        <f t="shared" si="51"/>
        <v>0</v>
      </c>
      <c r="S148" s="121" t="str">
        <f t="shared" si="54"/>
        <v/>
      </c>
    </row>
    <row r="149">
      <c r="A149" s="142" t="str">
        <f>IFERROR(VLOOKUP(B149,'Статьи'!$A$2:C171,3,0)," ")</f>
        <v>ДДС отчетного месяца. Без НДС!</v>
      </c>
      <c r="B149" s="125" t="str">
        <f>IFERROR(__xludf.DUMMYFUNCTION("""COMPUTED_VALUE"""),"Прочие поступления от фин. операций")</f>
        <v>Прочие поступления от фин. операций</v>
      </c>
      <c r="C149" s="170"/>
      <c r="D149" s="149"/>
      <c r="E149" s="149"/>
      <c r="F149" s="149"/>
      <c r="G149" s="149"/>
      <c r="H149" s="149"/>
      <c r="I149" s="211">
        <f t="shared" si="52"/>
        <v>0</v>
      </c>
      <c r="J149" s="122"/>
      <c r="K149" s="114"/>
      <c r="L149" s="114"/>
      <c r="M149" s="114"/>
      <c r="N149" s="114"/>
      <c r="O149" s="114"/>
      <c r="P149" s="211">
        <f t="shared" si="53"/>
        <v>0</v>
      </c>
      <c r="Q149" s="132">
        <f t="shared" si="50"/>
        <v>0</v>
      </c>
      <c r="R149" s="133">
        <f t="shared" si="51"/>
        <v>0</v>
      </c>
      <c r="S149" s="121" t="str">
        <f t="shared" si="54"/>
        <v/>
      </c>
    </row>
    <row r="150">
      <c r="A150" s="142" t="str">
        <f>IFERROR(VLOOKUP(B150,'Статьи'!$A$2:C172,3,0)," ")</f>
        <v> </v>
      </c>
      <c r="B150" s="125"/>
      <c r="C150" s="170"/>
      <c r="D150" s="149"/>
      <c r="E150" s="149"/>
      <c r="F150" s="149"/>
      <c r="G150" s="149"/>
      <c r="H150" s="149"/>
      <c r="I150" s="211">
        <f t="shared" si="52"/>
        <v>0</v>
      </c>
      <c r="J150" s="122" t="str">
        <f>C150</f>
        <v/>
      </c>
      <c r="K150" s="114"/>
      <c r="L150" s="114"/>
      <c r="M150" s="114"/>
      <c r="N150" s="114"/>
      <c r="O150" s="114"/>
      <c r="P150" s="211">
        <f t="shared" si="53"/>
        <v>0</v>
      </c>
      <c r="Q150" s="132">
        <f t="shared" si="50"/>
        <v>0</v>
      </c>
      <c r="R150" s="133">
        <f t="shared" si="51"/>
        <v>0</v>
      </c>
      <c r="S150" s="121" t="str">
        <f t="shared" si="54"/>
        <v/>
      </c>
    </row>
    <row r="151" collapsed="1">
      <c r="A151" s="142" t="str">
        <f>IFERROR(VLOOKUP(B151,'Статьи'!$A$2:C173,3,0)," ")</f>
        <v> </v>
      </c>
      <c r="B151" s="125"/>
      <c r="C151" s="170"/>
      <c r="D151" s="149"/>
      <c r="E151" s="149"/>
      <c r="F151" s="149"/>
      <c r="G151" s="149"/>
      <c r="H151" s="149"/>
      <c r="I151" s="211">
        <f t="shared" si="52"/>
        <v>0</v>
      </c>
      <c r="J151" s="122"/>
      <c r="K151" s="114"/>
      <c r="L151" s="114"/>
      <c r="M151" s="114"/>
      <c r="N151" s="114"/>
      <c r="O151" s="114"/>
      <c r="P151" s="211">
        <f t="shared" si="53"/>
        <v>0</v>
      </c>
      <c r="Q151" s="132">
        <f t="shared" si="50"/>
        <v>0</v>
      </c>
      <c r="R151" s="133">
        <f t="shared" si="51"/>
        <v>0</v>
      </c>
      <c r="S151" s="121" t="str">
        <f t="shared" si="54"/>
        <v/>
      </c>
    </row>
    <row r="152" hidden="1" outlineLevel="1">
      <c r="A152" s="142" t="str">
        <f>IFERROR(VLOOKUP(B152,'Статьи'!$A$2:C174,3,0)," ")</f>
        <v> </v>
      </c>
      <c r="B152" s="125"/>
      <c r="C152" s="170"/>
      <c r="D152" s="149"/>
      <c r="E152" s="149"/>
      <c r="F152" s="149"/>
      <c r="G152" s="149"/>
      <c r="H152" s="149"/>
      <c r="I152" s="211">
        <f t="shared" si="52"/>
        <v>0</v>
      </c>
      <c r="J152" s="122"/>
      <c r="K152" s="114"/>
      <c r="L152" s="114"/>
      <c r="M152" s="114"/>
      <c r="N152" s="114"/>
      <c r="O152" s="114"/>
      <c r="P152" s="211">
        <f t="shared" si="53"/>
        <v>0</v>
      </c>
      <c r="Q152" s="132">
        <f t="shared" si="50"/>
        <v>0</v>
      </c>
      <c r="R152" s="133">
        <f t="shared" si="51"/>
        <v>0</v>
      </c>
      <c r="S152" s="121" t="str">
        <f t="shared" si="54"/>
        <v/>
      </c>
    </row>
    <row r="153" hidden="1" outlineLevel="1">
      <c r="A153" s="142" t="str">
        <f>IFERROR(VLOOKUP(B153,'Статьи'!$A$2:C175,3,0)," ")</f>
        <v> </v>
      </c>
      <c r="B153" s="125"/>
      <c r="C153" s="170"/>
      <c r="D153" s="149"/>
      <c r="E153" s="149"/>
      <c r="F153" s="149"/>
      <c r="G153" s="149"/>
      <c r="H153" s="149"/>
      <c r="I153" s="211">
        <f t="shared" si="52"/>
        <v>0</v>
      </c>
      <c r="J153" s="122"/>
      <c r="K153" s="114"/>
      <c r="L153" s="114"/>
      <c r="M153" s="114"/>
      <c r="N153" s="114"/>
      <c r="O153" s="114"/>
      <c r="P153" s="211">
        <f t="shared" si="53"/>
        <v>0</v>
      </c>
      <c r="Q153" s="132">
        <f t="shared" si="50"/>
        <v>0</v>
      </c>
      <c r="R153" s="133">
        <f t="shared" si="51"/>
        <v>0</v>
      </c>
      <c r="S153" s="121" t="str">
        <f t="shared" si="54"/>
        <v/>
      </c>
    </row>
    <row r="154">
      <c r="A154" s="142" t="str">
        <f>IFERROR(VLOOKUP(B154,'Статьи'!$A$2:C176,3,0)," ")</f>
        <v> </v>
      </c>
      <c r="B154" s="125"/>
      <c r="C154" s="170"/>
      <c r="D154" s="149"/>
      <c r="E154" s="149"/>
      <c r="F154" s="149"/>
      <c r="G154" s="149"/>
      <c r="H154" s="149"/>
      <c r="I154" s="211">
        <f t="shared" si="52"/>
        <v>0</v>
      </c>
      <c r="J154" s="122"/>
      <c r="K154" s="114"/>
      <c r="L154" s="114"/>
      <c r="M154" s="114"/>
      <c r="N154" s="114"/>
      <c r="O154" s="114"/>
      <c r="P154" s="211">
        <f>sum(F154:J154)</f>
        <v>0</v>
      </c>
      <c r="Q154" s="132">
        <f t="shared" si="50"/>
        <v>0</v>
      </c>
      <c r="R154" s="133">
        <f t="shared" si="51"/>
        <v>0</v>
      </c>
      <c r="S154" s="121" t="str">
        <f t="shared" si="54"/>
        <v/>
      </c>
    </row>
    <row r="155">
      <c r="A155" s="212"/>
      <c r="B155" s="213" t="s">
        <v>101</v>
      </c>
      <c r="C155" s="203">
        <f t="shared" ref="C155:H155" si="55">SUM(C156:C172)</f>
        <v>0</v>
      </c>
      <c r="D155" s="204">
        <f t="shared" si="55"/>
        <v>0</v>
      </c>
      <c r="E155" s="204">
        <f t="shared" si="55"/>
        <v>0</v>
      </c>
      <c r="F155" s="204">
        <f t="shared" si="55"/>
        <v>0</v>
      </c>
      <c r="G155" s="204">
        <f t="shared" si="55"/>
        <v>0</v>
      </c>
      <c r="H155" s="204">
        <f t="shared" si="55"/>
        <v>0</v>
      </c>
      <c r="I155" s="208">
        <f t="shared" si="52"/>
        <v>0</v>
      </c>
      <c r="J155" s="206">
        <f t="shared" ref="J155:K155" si="56">SUM(J156:J172)</f>
        <v>0</v>
      </c>
      <c r="K155" s="207">
        <f t="shared" si="56"/>
        <v>0</v>
      </c>
      <c r="L155" s="207"/>
      <c r="M155" s="207"/>
      <c r="N155" s="207"/>
      <c r="O155" s="207"/>
      <c r="P155" s="208">
        <f>SUM(P156:P172)</f>
        <v>0</v>
      </c>
      <c r="Q155" s="207">
        <f t="shared" si="50"/>
        <v>0</v>
      </c>
      <c r="R155" s="214">
        <f t="shared" si="51"/>
        <v>0</v>
      </c>
      <c r="S155" s="210" t="str">
        <f>IF(Q155=0,"",IF(R155&gt;1,"план не выполнен","выполнение"))</f>
        <v/>
      </c>
    </row>
    <row r="156">
      <c r="A156" s="142" t="str">
        <f>IFERROR(VLOOKUP(B156,'Статьи'!$A$2:C178,3,0)," ")</f>
        <v>ДДС отчетного месяца. Без НДС!</v>
      </c>
      <c r="B156" s="125" t="str">
        <f>IFERROR(__xludf.DUMMYFUNCTION("iferror(filter('Статьи'!$A$1:$A182,'Статьи'!$B$1:$B182=B155))"),"Курсовые разницы")</f>
        <v>Курсовые разницы</v>
      </c>
      <c r="C156" s="171"/>
      <c r="D156" s="149"/>
      <c r="E156" s="149"/>
      <c r="F156" s="149"/>
      <c r="G156" s="149"/>
      <c r="H156" s="149"/>
      <c r="I156" s="211">
        <f t="shared" si="52"/>
        <v>0</v>
      </c>
      <c r="J156" s="122"/>
      <c r="K156" s="114"/>
      <c r="L156" s="114"/>
      <c r="M156" s="114"/>
      <c r="N156" s="114"/>
      <c r="O156" s="114"/>
      <c r="P156" s="211">
        <f t="shared" ref="P156:P171" si="57">SUM(J156:K156)</f>
        <v>0</v>
      </c>
      <c r="Q156" s="132">
        <f t="shared" si="50"/>
        <v>0</v>
      </c>
      <c r="R156" s="133">
        <f t="shared" si="51"/>
        <v>0</v>
      </c>
      <c r="S156" s="121" t="str">
        <f t="shared" ref="S156:S172" si="58">IF(Q156=0,"",IF(R156=0,"обратить внимание",IF(R156&gt;1,"перерасход","экономия")))</f>
        <v/>
      </c>
    </row>
    <row r="157">
      <c r="A157" s="142" t="str">
        <f>IFERROR(VLOOKUP(B157,'Статьи'!$A$2:C179,3,0)," ")</f>
        <v>1С</v>
      </c>
      <c r="B157" s="125" t="str">
        <f>IFERROR(__xludf.DUMMYFUNCTION("""COMPUTED_VALUE"""),"Налог  на прибыль УСН 6%")</f>
        <v>Налог  на прибыль УСН 6%</v>
      </c>
      <c r="C157" s="171"/>
      <c r="D157" s="149"/>
      <c r="E157" s="149"/>
      <c r="F157" s="149"/>
      <c r="G157" s="149"/>
      <c r="H157" s="149"/>
      <c r="I157" s="211">
        <f t="shared" si="52"/>
        <v>0</v>
      </c>
      <c r="J157" s="122"/>
      <c r="K157" s="114"/>
      <c r="L157" s="114"/>
      <c r="M157" s="114"/>
      <c r="N157" s="114"/>
      <c r="O157" s="114"/>
      <c r="P157" s="211">
        <f t="shared" si="57"/>
        <v>0</v>
      </c>
      <c r="Q157" s="132">
        <f t="shared" si="50"/>
        <v>0</v>
      </c>
      <c r="R157" s="133">
        <f t="shared" si="51"/>
        <v>0</v>
      </c>
      <c r="S157" s="121" t="str">
        <f t="shared" si="58"/>
        <v/>
      </c>
    </row>
    <row r="158">
      <c r="A158" s="142" t="str">
        <f>IFERROR(VLOOKUP(B158,'Статьи'!$A$2:C180,3,0)," ")</f>
        <v>1С</v>
      </c>
      <c r="B158" s="125" t="str">
        <f>IFERROR(__xludf.DUMMYFUNCTION("""COMPUTED_VALUE"""),"Налог на прибыль 20%")</f>
        <v>Налог на прибыль 20%</v>
      </c>
      <c r="C158" s="171"/>
      <c r="D158" s="149"/>
      <c r="E158" s="149"/>
      <c r="F158" s="149"/>
      <c r="G158" s="149"/>
      <c r="H158" s="149"/>
      <c r="I158" s="211">
        <f t="shared" si="52"/>
        <v>0</v>
      </c>
      <c r="J158" s="122"/>
      <c r="K158" s="114"/>
      <c r="L158" s="114"/>
      <c r="M158" s="114"/>
      <c r="N158" s="114"/>
      <c r="O158" s="114"/>
      <c r="P158" s="211">
        <f t="shared" si="57"/>
        <v>0</v>
      </c>
      <c r="Q158" s="132">
        <f t="shared" si="50"/>
        <v>0</v>
      </c>
      <c r="R158" s="133">
        <f t="shared" si="51"/>
        <v>0</v>
      </c>
      <c r="S158" s="121" t="str">
        <f t="shared" si="58"/>
        <v/>
      </c>
    </row>
    <row r="159">
      <c r="A159" s="142" t="str">
        <f>IFERROR(VLOOKUP(B159,'Статьи'!$A$2:C181,3,0)," ")</f>
        <v>отчет Учет ОС</v>
      </c>
      <c r="B159" s="125" t="str">
        <f>IFERROR(__xludf.DUMMYFUNCTION("""COMPUTED_VALUE"""),"Амортизация ОС")</f>
        <v>Амортизация ОС</v>
      </c>
      <c r="C159" s="215"/>
      <c r="D159" s="149"/>
      <c r="E159" s="149"/>
      <c r="F159" s="149"/>
      <c r="G159" s="149"/>
      <c r="H159" s="149"/>
      <c r="I159" s="211">
        <f t="shared" si="52"/>
        <v>0</v>
      </c>
      <c r="J159" s="122"/>
      <c r="K159" s="114"/>
      <c r="L159" s="114"/>
      <c r="M159" s="114"/>
      <c r="N159" s="114"/>
      <c r="O159" s="114"/>
      <c r="P159" s="211">
        <f t="shared" si="57"/>
        <v>0</v>
      </c>
      <c r="Q159" s="132">
        <f t="shared" si="50"/>
        <v>0</v>
      </c>
      <c r="R159" s="133">
        <f t="shared" si="51"/>
        <v>0</v>
      </c>
      <c r="S159" s="121" t="str">
        <f t="shared" si="58"/>
        <v/>
      </c>
    </row>
    <row r="160">
      <c r="A160" s="142" t="str">
        <f>IFERROR(VLOOKUP(B160,'Статьи'!$A$2:C182,3,0)," ")</f>
        <v>ДДС отчетного месяца. Без НДС!</v>
      </c>
      <c r="B160" s="125" t="str">
        <f>IFERROR(__xludf.DUMMYFUNCTION("""COMPUTED_VALUE"""),"Прочие расходы")</f>
        <v>Прочие расходы</v>
      </c>
      <c r="C160" s="171"/>
      <c r="D160" s="149"/>
      <c r="E160" s="149"/>
      <c r="F160" s="149"/>
      <c r="G160" s="149"/>
      <c r="H160" s="149"/>
      <c r="I160" s="211">
        <f t="shared" si="52"/>
        <v>0</v>
      </c>
      <c r="J160" s="122"/>
      <c r="K160" s="114"/>
      <c r="L160" s="114"/>
      <c r="M160" s="114"/>
      <c r="N160" s="114"/>
      <c r="O160" s="114"/>
      <c r="P160" s="211">
        <f t="shared" si="57"/>
        <v>0</v>
      </c>
      <c r="Q160" s="132">
        <f t="shared" si="50"/>
        <v>0</v>
      </c>
      <c r="R160" s="133">
        <f t="shared" si="51"/>
        <v>0</v>
      </c>
      <c r="S160" s="121" t="str">
        <f t="shared" si="58"/>
        <v/>
      </c>
    </row>
    <row r="161">
      <c r="A161" s="142" t="str">
        <f>IFERROR(VLOOKUP(B161,'Статьи'!$A$2:C183,3,0)," ")</f>
        <v>ДДС отчетного месяца. Без НДС!</v>
      </c>
      <c r="B161" s="111" t="str">
        <f>IFERROR(__xludf.DUMMYFUNCTION("""COMPUTED_VALUE"""),"Ремонт ОС")</f>
        <v>Ремонт ОС</v>
      </c>
      <c r="C161" s="171"/>
      <c r="D161" s="149"/>
      <c r="E161" s="149"/>
      <c r="F161" s="149"/>
      <c r="G161" s="149"/>
      <c r="H161" s="149"/>
      <c r="I161" s="211">
        <f t="shared" si="52"/>
        <v>0</v>
      </c>
      <c r="J161" s="122"/>
      <c r="K161" s="114"/>
      <c r="L161" s="114"/>
      <c r="M161" s="114"/>
      <c r="N161" s="114"/>
      <c r="O161" s="114"/>
      <c r="P161" s="211">
        <f t="shared" si="57"/>
        <v>0</v>
      </c>
      <c r="Q161" s="132">
        <f t="shared" si="50"/>
        <v>0</v>
      </c>
      <c r="R161" s="133">
        <f t="shared" si="51"/>
        <v>0</v>
      </c>
      <c r="S161" s="121" t="str">
        <f t="shared" si="58"/>
        <v/>
      </c>
    </row>
    <row r="162">
      <c r="A162" s="142" t="str">
        <f>IFERROR(VLOOKUP(B162,'Статьи'!$A$2:C184,3,0)," ")</f>
        <v>отчет Учет ФД</v>
      </c>
      <c r="B162" s="111" t="str">
        <f>IFERROR(__xludf.DUMMYFUNCTION("""COMPUTED_VALUE"""),"Оплаты %  кредиты")</f>
        <v>Оплаты %  кредиты</v>
      </c>
      <c r="C162" s="171"/>
      <c r="D162" s="149"/>
      <c r="E162" s="149"/>
      <c r="F162" s="149"/>
      <c r="G162" s="149"/>
      <c r="H162" s="149"/>
      <c r="I162" s="211">
        <f t="shared" si="52"/>
        <v>0</v>
      </c>
      <c r="J162" s="122"/>
      <c r="K162" s="114"/>
      <c r="L162" s="114"/>
      <c r="M162" s="114"/>
      <c r="N162" s="114"/>
      <c r="O162" s="114"/>
      <c r="P162" s="211">
        <f t="shared" si="57"/>
        <v>0</v>
      </c>
      <c r="Q162" s="132">
        <f t="shared" si="50"/>
        <v>0</v>
      </c>
      <c r="R162" s="133">
        <f t="shared" si="51"/>
        <v>0</v>
      </c>
      <c r="S162" s="121" t="str">
        <f t="shared" si="58"/>
        <v/>
      </c>
    </row>
    <row r="163" collapsed="1">
      <c r="A163" s="110" t="str">
        <f>IFERROR(VLOOKUP(B163,'Статьи'!$A$2:C185,3,0)," ")</f>
        <v> </v>
      </c>
      <c r="B163" s="111"/>
      <c r="C163" s="171"/>
      <c r="D163" s="149"/>
      <c r="E163" s="149"/>
      <c r="F163" s="149"/>
      <c r="G163" s="149"/>
      <c r="H163" s="149"/>
      <c r="I163" s="211">
        <f t="shared" si="52"/>
        <v>0</v>
      </c>
      <c r="J163" s="122"/>
      <c r="K163" s="114"/>
      <c r="L163" s="114"/>
      <c r="M163" s="114"/>
      <c r="N163" s="114"/>
      <c r="O163" s="114"/>
      <c r="P163" s="211">
        <f t="shared" si="57"/>
        <v>0</v>
      </c>
      <c r="Q163" s="132">
        <f t="shared" si="50"/>
        <v>0</v>
      </c>
      <c r="R163" s="133">
        <f t="shared" si="51"/>
        <v>0</v>
      </c>
      <c r="S163" s="121" t="str">
        <f t="shared" si="58"/>
        <v/>
      </c>
    </row>
    <row r="164" hidden="1" outlineLevel="1">
      <c r="A164" s="110" t="str">
        <f>IFERROR(VLOOKUP(B164,'Статьи'!$A$2:C186,3,0)," ")</f>
        <v> </v>
      </c>
      <c r="B164" s="111"/>
      <c r="C164" s="170"/>
      <c r="I164" s="211">
        <f t="shared" si="52"/>
        <v>0</v>
      </c>
      <c r="J164" s="122"/>
      <c r="K164" s="114"/>
      <c r="L164" s="114"/>
      <c r="M164" s="114"/>
      <c r="N164" s="114"/>
      <c r="O164" s="114"/>
      <c r="P164" s="211">
        <f t="shared" si="57"/>
        <v>0</v>
      </c>
      <c r="Q164" s="132">
        <f t="shared" si="50"/>
        <v>0</v>
      </c>
      <c r="R164" s="133">
        <f t="shared" si="51"/>
        <v>0</v>
      </c>
      <c r="S164" s="121" t="str">
        <f t="shared" si="58"/>
        <v/>
      </c>
    </row>
    <row r="165" hidden="1" outlineLevel="1">
      <c r="A165" s="110" t="str">
        <f>IFERROR(VLOOKUP(B165,'Статьи'!$A$2:C187,3,0)," ")</f>
        <v> </v>
      </c>
      <c r="B165" s="111"/>
      <c r="C165" s="170"/>
      <c r="I165" s="211">
        <f t="shared" si="52"/>
        <v>0</v>
      </c>
      <c r="J165" s="122"/>
      <c r="K165" s="114"/>
      <c r="L165" s="114"/>
      <c r="M165" s="114"/>
      <c r="N165" s="114"/>
      <c r="O165" s="114"/>
      <c r="P165" s="211">
        <f t="shared" si="57"/>
        <v>0</v>
      </c>
      <c r="Q165" s="132">
        <f t="shared" si="50"/>
        <v>0</v>
      </c>
      <c r="R165" s="133">
        <f t="shared" si="51"/>
        <v>0</v>
      </c>
      <c r="S165" s="121" t="str">
        <f t="shared" si="58"/>
        <v/>
      </c>
    </row>
    <row r="166" hidden="1" outlineLevel="1">
      <c r="A166" s="110" t="str">
        <f>IFERROR(VLOOKUP(B166,'Статьи'!$A$2:C188,3,0)," ")</f>
        <v> </v>
      </c>
      <c r="B166" s="111"/>
      <c r="C166" s="170"/>
      <c r="I166" s="211">
        <f t="shared" si="52"/>
        <v>0</v>
      </c>
      <c r="J166" s="122"/>
      <c r="K166" s="114"/>
      <c r="L166" s="114"/>
      <c r="M166" s="114"/>
      <c r="N166" s="114"/>
      <c r="O166" s="114"/>
      <c r="P166" s="211">
        <f t="shared" si="57"/>
        <v>0</v>
      </c>
      <c r="Q166" s="132">
        <f t="shared" si="50"/>
        <v>0</v>
      </c>
      <c r="R166" s="133">
        <f t="shared" si="51"/>
        <v>0</v>
      </c>
      <c r="S166" s="121" t="str">
        <f t="shared" si="58"/>
        <v/>
      </c>
    </row>
    <row r="167" hidden="1" outlineLevel="1">
      <c r="A167" s="110" t="str">
        <f>IFERROR(VLOOKUP(B167,'Статьи'!$A$2:C189,3,0)," ")</f>
        <v> </v>
      </c>
      <c r="B167" s="111"/>
      <c r="C167" s="170"/>
      <c r="I167" s="211">
        <f t="shared" si="52"/>
        <v>0</v>
      </c>
      <c r="J167" s="122"/>
      <c r="K167" s="114"/>
      <c r="L167" s="114"/>
      <c r="M167" s="114"/>
      <c r="N167" s="114"/>
      <c r="O167" s="114"/>
      <c r="P167" s="211">
        <f t="shared" si="57"/>
        <v>0</v>
      </c>
      <c r="Q167" s="132">
        <f t="shared" si="50"/>
        <v>0</v>
      </c>
      <c r="R167" s="133">
        <f t="shared" si="51"/>
        <v>0</v>
      </c>
      <c r="S167" s="121" t="str">
        <f t="shared" si="58"/>
        <v/>
      </c>
    </row>
    <row r="168" hidden="1" outlineLevel="1">
      <c r="A168" s="110" t="str">
        <f>IFERROR(VLOOKUP(B168,'Статьи'!$A$2:C190,3,0)," ")</f>
        <v> </v>
      </c>
      <c r="B168" s="111"/>
      <c r="C168" s="170"/>
      <c r="I168" s="211">
        <f t="shared" si="52"/>
        <v>0</v>
      </c>
      <c r="J168" s="122"/>
      <c r="K168" s="114"/>
      <c r="L168" s="114"/>
      <c r="M168" s="114"/>
      <c r="N168" s="114"/>
      <c r="O168" s="114"/>
      <c r="P168" s="211">
        <f t="shared" si="57"/>
        <v>0</v>
      </c>
      <c r="Q168" s="132">
        <f t="shared" si="50"/>
        <v>0</v>
      </c>
      <c r="R168" s="133">
        <f t="shared" si="51"/>
        <v>0</v>
      </c>
      <c r="S168" s="121" t="str">
        <f t="shared" si="58"/>
        <v/>
      </c>
    </row>
    <row r="169" hidden="1" outlineLevel="1">
      <c r="A169" s="110" t="str">
        <f>IFERROR(VLOOKUP(B169,'Статьи'!$A$2:C191,3,0)," ")</f>
        <v> </v>
      </c>
      <c r="B169" s="111"/>
      <c r="C169" s="170"/>
      <c r="I169" s="211">
        <f t="shared" si="52"/>
        <v>0</v>
      </c>
      <c r="J169" s="122"/>
      <c r="K169" s="114"/>
      <c r="L169" s="114"/>
      <c r="M169" s="114"/>
      <c r="N169" s="114"/>
      <c r="O169" s="114"/>
      <c r="P169" s="211">
        <f t="shared" si="57"/>
        <v>0</v>
      </c>
      <c r="Q169" s="132">
        <f t="shared" si="50"/>
        <v>0</v>
      </c>
      <c r="R169" s="133">
        <f t="shared" si="51"/>
        <v>0</v>
      </c>
      <c r="S169" s="121" t="str">
        <f t="shared" si="58"/>
        <v/>
      </c>
    </row>
    <row r="170" hidden="1" outlineLevel="1">
      <c r="A170" s="110" t="str">
        <f>IFERROR(VLOOKUP(B170,'Статьи'!$A$2:C192,3,0)," ")</f>
        <v> </v>
      </c>
      <c r="B170" s="111"/>
      <c r="C170" s="170"/>
      <c r="I170" s="211">
        <f t="shared" si="52"/>
        <v>0</v>
      </c>
      <c r="J170" s="122"/>
      <c r="K170" s="114"/>
      <c r="L170" s="114"/>
      <c r="M170" s="114"/>
      <c r="N170" s="114"/>
      <c r="O170" s="114"/>
      <c r="P170" s="211">
        <f t="shared" si="57"/>
        <v>0</v>
      </c>
      <c r="Q170" s="132">
        <f t="shared" si="50"/>
        <v>0</v>
      </c>
      <c r="R170" s="133">
        <f t="shared" si="51"/>
        <v>0</v>
      </c>
      <c r="S170" s="121" t="str">
        <f t="shared" si="58"/>
        <v/>
      </c>
    </row>
    <row r="171" hidden="1" outlineLevel="1">
      <c r="A171" s="110" t="str">
        <f>IFERROR(VLOOKUP(B171,'Статьи'!$A$2:C193,3,0)," ")</f>
        <v> </v>
      </c>
      <c r="B171" s="111"/>
      <c r="C171" s="170"/>
      <c r="I171" s="211">
        <f t="shared" si="52"/>
        <v>0</v>
      </c>
      <c r="J171" s="122"/>
      <c r="K171" s="114"/>
      <c r="L171" s="114"/>
      <c r="M171" s="114"/>
      <c r="N171" s="114"/>
      <c r="O171" s="114"/>
      <c r="P171" s="211">
        <f t="shared" si="57"/>
        <v>0</v>
      </c>
      <c r="Q171" s="132">
        <f t="shared" si="50"/>
        <v>0</v>
      </c>
      <c r="R171" s="133">
        <f t="shared" si="51"/>
        <v>0</v>
      </c>
      <c r="S171" s="121" t="str">
        <f t="shared" si="58"/>
        <v/>
      </c>
    </row>
    <row r="172">
      <c r="A172" s="110" t="str">
        <f>IFERROR(VLOOKUP(B172,'Статьи'!$A$2:C194,3,0)," ")</f>
        <v> </v>
      </c>
      <c r="B172" s="111"/>
      <c r="C172" s="170"/>
      <c r="D172" s="149"/>
      <c r="E172" s="149"/>
      <c r="F172" s="149"/>
      <c r="G172" s="149"/>
      <c r="H172" s="149"/>
      <c r="I172" s="211">
        <f t="shared" si="52"/>
        <v>0</v>
      </c>
      <c r="J172" s="122"/>
      <c r="K172" s="114"/>
      <c r="L172" s="114"/>
      <c r="M172" s="114"/>
      <c r="N172" s="114"/>
      <c r="O172" s="114"/>
      <c r="P172" s="211">
        <f>sum(F172:J172)</f>
        <v>0</v>
      </c>
      <c r="Q172" s="132">
        <f t="shared" si="50"/>
        <v>0</v>
      </c>
      <c r="R172" s="133">
        <f t="shared" si="51"/>
        <v>0</v>
      </c>
      <c r="S172" s="121" t="str">
        <f t="shared" si="58"/>
        <v/>
      </c>
    </row>
    <row r="173">
      <c r="A173" s="152"/>
      <c r="B173" s="153" t="s">
        <v>144</v>
      </c>
      <c r="C173" s="154">
        <f t="shared" ref="C173:K173" si="59">C142+C155+C145</f>
        <v>0</v>
      </c>
      <c r="D173" s="155">
        <f t="shared" si="59"/>
        <v>0</v>
      </c>
      <c r="E173" s="155">
        <f t="shared" si="59"/>
        <v>0</v>
      </c>
      <c r="F173" s="155">
        <f t="shared" si="59"/>
        <v>0</v>
      </c>
      <c r="G173" s="155">
        <f t="shared" si="59"/>
        <v>0</v>
      </c>
      <c r="H173" s="155">
        <f t="shared" si="59"/>
        <v>0</v>
      </c>
      <c r="I173" s="157">
        <f t="shared" si="59"/>
        <v>0</v>
      </c>
      <c r="J173" s="154">
        <f t="shared" si="59"/>
        <v>0</v>
      </c>
      <c r="K173" s="155">
        <f t="shared" si="59"/>
        <v>0</v>
      </c>
      <c r="L173" s="155"/>
      <c r="M173" s="155"/>
      <c r="N173" s="155"/>
      <c r="O173" s="155"/>
      <c r="P173" s="157">
        <f>P142+P155+P145</f>
        <v>0</v>
      </c>
      <c r="Q173" s="155">
        <f t="shared" si="50"/>
        <v>0</v>
      </c>
      <c r="R173" s="158">
        <f t="shared" si="51"/>
        <v>0</v>
      </c>
      <c r="S173" s="159" t="str">
        <f>IF(Q173=0,"",IF(R173&gt;1,"выполнение","план не выполнен"))</f>
        <v/>
      </c>
    </row>
    <row r="174">
      <c r="A174" s="160"/>
      <c r="B174" s="161" t="s">
        <v>145</v>
      </c>
      <c r="C174" s="216">
        <f t="shared" ref="C174:K174" si="60">IFERROR(C173/C$3,0)</f>
        <v>0</v>
      </c>
      <c r="D174" s="217">
        <f t="shared" si="60"/>
        <v>0</v>
      </c>
      <c r="E174" s="217">
        <f t="shared" si="60"/>
        <v>0</v>
      </c>
      <c r="F174" s="217">
        <f t="shared" si="60"/>
        <v>0</v>
      </c>
      <c r="G174" s="217">
        <f t="shared" si="60"/>
        <v>0</v>
      </c>
      <c r="H174" s="217">
        <f t="shared" si="60"/>
        <v>0</v>
      </c>
      <c r="I174" s="218">
        <f t="shared" si="60"/>
        <v>0</v>
      </c>
      <c r="J174" s="216">
        <f t="shared" si="60"/>
        <v>0</v>
      </c>
      <c r="K174" s="217">
        <f t="shared" si="60"/>
        <v>0</v>
      </c>
      <c r="L174" s="217"/>
      <c r="M174" s="217"/>
      <c r="N174" s="217"/>
      <c r="O174" s="217"/>
      <c r="P174" s="218">
        <f>IFERROR(P173/P$3,0)</f>
        <v>0</v>
      </c>
      <c r="Q174" s="219"/>
      <c r="R174" s="219"/>
      <c r="S174" s="219"/>
    </row>
    <row r="175">
      <c r="A175" s="110"/>
      <c r="B175" s="111"/>
      <c r="C175" s="115"/>
      <c r="D175" s="115"/>
      <c r="E175" s="115"/>
      <c r="F175" s="115"/>
      <c r="G175" s="115"/>
      <c r="H175" s="115"/>
      <c r="I175" s="118"/>
      <c r="J175" s="118"/>
      <c r="K175" s="118"/>
      <c r="L175" s="118"/>
      <c r="M175" s="118"/>
      <c r="N175" s="118"/>
      <c r="O175" s="118"/>
      <c r="P175" s="118"/>
      <c r="Q175" s="118"/>
      <c r="R175" s="220"/>
      <c r="S175" s="220"/>
    </row>
    <row r="176">
      <c r="A176" s="142"/>
      <c r="B176" s="125"/>
      <c r="C176" s="115"/>
      <c r="D176" s="115"/>
      <c r="E176" s="115"/>
      <c r="F176" s="114"/>
      <c r="G176" s="115"/>
      <c r="H176" s="115"/>
      <c r="I176" s="118"/>
      <c r="J176" s="118"/>
      <c r="K176" s="118"/>
      <c r="L176" s="118"/>
      <c r="M176" s="118"/>
      <c r="N176" s="118"/>
      <c r="O176" s="118"/>
      <c r="P176" s="118"/>
      <c r="Q176" s="221" t="s">
        <v>146</v>
      </c>
    </row>
    <row r="177">
      <c r="A177" s="110"/>
      <c r="B177" s="111"/>
      <c r="C177" s="115"/>
      <c r="D177" s="115"/>
      <c r="E177" s="115"/>
      <c r="F177" s="115"/>
      <c r="G177" s="115"/>
      <c r="H177" s="115"/>
      <c r="I177" s="118"/>
      <c r="J177" s="118"/>
      <c r="K177" s="118"/>
      <c r="L177" s="118"/>
      <c r="M177" s="118"/>
      <c r="N177" s="118"/>
      <c r="O177" s="118"/>
      <c r="P177" s="118"/>
      <c r="Q177" s="222" t="s">
        <v>147</v>
      </c>
      <c r="R177" s="223" t="s">
        <v>148</v>
      </c>
      <c r="S177" s="224" t="s">
        <v>149</v>
      </c>
    </row>
    <row r="178">
      <c r="A178" s="110"/>
      <c r="B178" s="111"/>
      <c r="C178" s="115"/>
      <c r="D178" s="115"/>
      <c r="E178" s="115"/>
      <c r="F178" s="115"/>
      <c r="G178" s="115"/>
      <c r="H178" s="115"/>
      <c r="I178" s="118"/>
      <c r="J178" s="118"/>
      <c r="K178" s="118"/>
      <c r="L178" s="118"/>
      <c r="M178" s="118"/>
      <c r="N178" s="118"/>
      <c r="O178" s="118"/>
      <c r="P178" s="118"/>
      <c r="Q178" s="225" t="s">
        <v>150</v>
      </c>
      <c r="R178" s="226">
        <f t="shared" ref="R178:S178" si="61">Q3</f>
        <v>0</v>
      </c>
      <c r="S178" s="227">
        <f t="shared" si="61"/>
        <v>0</v>
      </c>
    </row>
    <row r="179">
      <c r="A179" s="110"/>
      <c r="B179" s="111"/>
      <c r="C179" s="115"/>
      <c r="D179" s="115"/>
      <c r="E179" s="115"/>
      <c r="F179" s="115"/>
      <c r="G179" s="115"/>
      <c r="H179" s="115"/>
      <c r="I179" s="118"/>
      <c r="J179" s="118"/>
      <c r="K179" s="118"/>
      <c r="L179" s="118"/>
      <c r="M179" s="118"/>
      <c r="N179" s="118"/>
      <c r="O179" s="118"/>
      <c r="P179" s="118"/>
      <c r="Q179" s="228" t="s">
        <v>151</v>
      </c>
      <c r="R179" s="226">
        <f t="shared" ref="R179:S179" si="62">Q11</f>
        <v>0</v>
      </c>
      <c r="S179" s="227">
        <f t="shared" si="62"/>
        <v>0</v>
      </c>
    </row>
    <row r="180">
      <c r="A180" s="110"/>
      <c r="B180" s="111"/>
      <c r="C180" s="115"/>
      <c r="D180" s="115"/>
      <c r="E180" s="115"/>
      <c r="F180" s="115"/>
      <c r="G180" s="115"/>
      <c r="H180" s="115"/>
      <c r="I180" s="118"/>
      <c r="J180" s="118"/>
      <c r="K180" s="118"/>
      <c r="L180" s="118"/>
      <c r="M180" s="118"/>
      <c r="N180" s="118"/>
      <c r="O180" s="118"/>
      <c r="P180" s="118"/>
      <c r="Q180" s="228" t="s">
        <v>152</v>
      </c>
      <c r="R180" s="226">
        <f t="shared" ref="R180:S180" si="63">Q88</f>
        <v>0</v>
      </c>
      <c r="S180" s="227">
        <f t="shared" si="63"/>
        <v>0</v>
      </c>
    </row>
    <row r="181">
      <c r="A181" s="110"/>
      <c r="B181" s="111"/>
      <c r="C181" s="115"/>
      <c r="D181" s="115"/>
      <c r="E181" s="115"/>
      <c r="F181" s="115"/>
      <c r="G181" s="115"/>
      <c r="H181" s="115"/>
      <c r="I181" s="118"/>
      <c r="J181" s="118"/>
      <c r="K181" s="118"/>
      <c r="L181" s="118"/>
      <c r="M181" s="118"/>
      <c r="N181" s="118"/>
      <c r="O181" s="118"/>
      <c r="P181" s="118"/>
      <c r="Q181" s="225" t="s">
        <v>153</v>
      </c>
      <c r="R181" s="226">
        <f t="shared" ref="R181:S181" si="64">Q173</f>
        <v>0</v>
      </c>
      <c r="S181" s="227">
        <f t="shared" si="64"/>
        <v>0</v>
      </c>
    </row>
    <row r="182">
      <c r="A182" s="110"/>
      <c r="B182" s="111"/>
      <c r="C182" s="115"/>
      <c r="D182" s="115"/>
      <c r="E182" s="115"/>
      <c r="F182" s="115"/>
      <c r="G182" s="115"/>
      <c r="H182" s="115"/>
      <c r="I182" s="118"/>
      <c r="J182" s="118"/>
      <c r="K182" s="118"/>
      <c r="L182" s="118"/>
      <c r="M182" s="118"/>
      <c r="N182" s="118"/>
      <c r="O182" s="118"/>
      <c r="P182" s="118"/>
      <c r="Q182" s="118"/>
      <c r="R182" s="220"/>
      <c r="S182" s="220"/>
    </row>
  </sheetData>
  <mergeCells count="12">
    <mergeCell ref="C168:H168"/>
    <mergeCell ref="C169:H169"/>
    <mergeCell ref="C170:H170"/>
    <mergeCell ref="C171:H171"/>
    <mergeCell ref="Q176:S176"/>
    <mergeCell ref="C1:I1"/>
    <mergeCell ref="J1:P1"/>
    <mergeCell ref="Q1:R1"/>
    <mergeCell ref="C164:H164"/>
    <mergeCell ref="C165:H165"/>
    <mergeCell ref="C166:H166"/>
    <mergeCell ref="C167:H167"/>
  </mergeCells>
  <conditionalFormatting sqref="C13:H54">
    <cfRule type="expression" dxfId="4" priority="1">
      <formula>C$2=""</formula>
    </cfRule>
  </conditionalFormatting>
  <conditionalFormatting sqref="C13:H54">
    <cfRule type="expression" dxfId="2" priority="2">
      <formula>OR(#REF!=C$2,#REF!=C$2,#REF!=C$2,#REF!=C$2,#REF!=C$2,#REF!=C$2,#REF!=C$2,#REF!=C$2,#REF!=C$2)</formula>
    </cfRule>
  </conditionalFormatting>
  <conditionalFormatting sqref="C59:H84 C91:C93">
    <cfRule type="expression" dxfId="4" priority="3">
      <formula>C$2=""</formula>
    </cfRule>
  </conditionalFormatting>
  <conditionalFormatting sqref="C59:H84 C91:C93">
    <cfRule type="expression" dxfId="2" priority="4">
      <formula>OR(#REF!=C$2,#REF!=C$2,#REF!=C$2,#REF!=C$2,#REF!=C$2,#REF!=C$2,#REF!=C$2,#REF!=C$2,#REF!=C$2)</formula>
    </cfRule>
  </conditionalFormatting>
  <conditionalFormatting sqref="A1:A2">
    <cfRule type="notContainsBlanks" dxfId="2" priority="5">
      <formula>LEN(TRIM(A1))&gt;0</formula>
    </cfRule>
  </conditionalFormatting>
  <conditionalFormatting sqref="S1:S175 S177:S182">
    <cfRule type="containsText" dxfId="2" priority="6" operator="containsText" text="выполнение">
      <formula>NOT(ISERROR(SEARCH(("выполнение"),(S1))))</formula>
    </cfRule>
  </conditionalFormatting>
  <conditionalFormatting sqref="S1:S175 S177:S182">
    <cfRule type="containsText" dxfId="3" priority="7" operator="containsText" text="план не выполнен">
      <formula>NOT(ISERROR(SEARCH(("план не выполнен"),(S1))))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7.13"/>
    <col customWidth="1" min="2" max="2" width="38.25"/>
    <col customWidth="1" min="3" max="3" width="10.63"/>
    <col collapsed="1" customWidth="1" min="4" max="4" width="10.63"/>
    <col customWidth="1" hidden="1" min="5" max="8" width="10.63" outlineLevel="1"/>
    <col customWidth="1" min="9" max="10" width="10.63"/>
    <col collapsed="1" customWidth="1" min="11" max="11" width="10.63"/>
    <col customWidth="1" hidden="1" min="12" max="15" width="10.63" outlineLevel="1"/>
    <col customWidth="1" min="16" max="16" width="10.63"/>
    <col customWidth="1" min="17" max="18" width="11.38"/>
    <col customWidth="1" min="19" max="19" width="16.88"/>
  </cols>
  <sheetData>
    <row r="1">
      <c r="A1" s="88"/>
      <c r="B1" s="89"/>
      <c r="C1" s="90" t="s">
        <v>127</v>
      </c>
      <c r="D1" s="91"/>
      <c r="E1" s="91"/>
      <c r="F1" s="91"/>
      <c r="G1" s="91"/>
      <c r="H1" s="91"/>
      <c r="I1" s="92"/>
      <c r="J1" s="93" t="s">
        <v>128</v>
      </c>
      <c r="K1" s="91"/>
      <c r="L1" s="91"/>
      <c r="M1" s="91"/>
      <c r="N1" s="91"/>
      <c r="O1" s="91"/>
      <c r="P1" s="92"/>
      <c r="Q1" s="94" t="s">
        <v>129</v>
      </c>
      <c r="S1" s="94"/>
    </row>
    <row r="2">
      <c r="A2" s="88" t="s">
        <v>130</v>
      </c>
      <c r="B2" s="89"/>
      <c r="C2" s="95" t="str">
        <f t="array" ref="C2:H2">TRANSPOSE('Справочник'!D2:D7)</f>
        <v>ООО "Весело живем"</v>
      </c>
      <c r="D2" s="96" t="s">
        <v>84</v>
      </c>
      <c r="E2" s="97">
        <v>3.0</v>
      </c>
      <c r="F2" s="97">
        <v>4.0</v>
      </c>
      <c r="G2" s="97">
        <v>5.0</v>
      </c>
      <c r="H2" s="97">
        <v>6.0</v>
      </c>
      <c r="I2" s="98" t="s">
        <v>131</v>
      </c>
      <c r="J2" s="95" t="str">
        <f t="array" ref="J2:O2">TRANSPOSE('Справочник'!D2:D7)</f>
        <v>ООО "Весело живем"</v>
      </c>
      <c r="K2" s="96" t="s">
        <v>84</v>
      </c>
      <c r="L2" s="97">
        <v>3.0</v>
      </c>
      <c r="M2" s="97">
        <v>4.0</v>
      </c>
      <c r="N2" s="97">
        <v>5.0</v>
      </c>
      <c r="O2" s="97">
        <v>6.0</v>
      </c>
      <c r="P2" s="98" t="s">
        <v>131</v>
      </c>
      <c r="Q2" s="99" t="s">
        <v>132</v>
      </c>
      <c r="R2" s="100" t="s">
        <v>133</v>
      </c>
      <c r="S2" s="101" t="s">
        <v>134</v>
      </c>
    </row>
    <row r="3">
      <c r="A3" s="102"/>
      <c r="B3" s="103" t="s">
        <v>86</v>
      </c>
      <c r="C3" s="104">
        <f t="shared" ref="C3:H3" si="1">SUM(C4:C10)</f>
        <v>0</v>
      </c>
      <c r="D3" s="105">
        <f t="shared" si="1"/>
        <v>0</v>
      </c>
      <c r="E3" s="105">
        <f t="shared" si="1"/>
        <v>0</v>
      </c>
      <c r="F3" s="105">
        <f t="shared" si="1"/>
        <v>0</v>
      </c>
      <c r="G3" s="105">
        <f t="shared" si="1"/>
        <v>0</v>
      </c>
      <c r="H3" s="105">
        <f t="shared" si="1"/>
        <v>0</v>
      </c>
      <c r="I3" s="106">
        <f>sum(C3:H3)</f>
        <v>0</v>
      </c>
      <c r="J3" s="104">
        <f t="shared" ref="J3:K3" si="2">SUM(J4:J10)</f>
        <v>0</v>
      </c>
      <c r="K3" s="105">
        <f t="shared" si="2"/>
        <v>0</v>
      </c>
      <c r="L3" s="105"/>
      <c r="M3" s="105"/>
      <c r="N3" s="105"/>
      <c r="O3" s="105"/>
      <c r="P3" s="107">
        <f>SUM(P4:P10)</f>
        <v>0</v>
      </c>
      <c r="Q3" s="105">
        <f t="shared" ref="Q3:Q55" si="3">I3-P3</f>
        <v>0</v>
      </c>
      <c r="R3" s="108">
        <f t="shared" ref="R3:R55" si="4">IFERROR(I3/P3,0)</f>
        <v>0</v>
      </c>
      <c r="S3" s="109" t="str">
        <f>IF(Q3=0,"",IF(R3&gt;1,"выполнение","план не выполнен"))</f>
        <v/>
      </c>
    </row>
    <row r="4">
      <c r="A4" s="110" t="str">
        <f>IFERROR(VLOOKUP(B4,'Статьи'!$A$2:C26,3,0)," ")</f>
        <v>1С сч 90.01 убрать НДС!</v>
      </c>
      <c r="B4" s="111" t="str">
        <f>IFERROR(__xludf.DUMMYFUNCTION("iferror(filter('Статьи'!$A$1:$A182,'Статьи'!$B$1:$B182=$B$3))"),"Выручка от аренды машиноместа")</f>
        <v>Выручка от аренды машиноместа</v>
      </c>
      <c r="C4" s="112"/>
      <c r="D4" s="113"/>
      <c r="E4" s="114"/>
      <c r="F4" s="115"/>
      <c r="G4" s="115"/>
      <c r="H4" s="115"/>
      <c r="I4" s="116">
        <f t="shared" ref="I4:I8" si="5">SUM(C4:H4)</f>
        <v>0</v>
      </c>
      <c r="J4" s="117"/>
      <c r="K4" s="118"/>
      <c r="L4" s="118"/>
      <c r="M4" s="118"/>
      <c r="N4" s="118"/>
      <c r="O4" s="118"/>
      <c r="P4" s="116">
        <f t="shared" ref="P4:P5" si="6">SUM(J4:K4)</f>
        <v>0</v>
      </c>
      <c r="Q4" s="119">
        <f t="shared" si="3"/>
        <v>0</v>
      </c>
      <c r="R4" s="120">
        <f t="shared" si="4"/>
        <v>0</v>
      </c>
      <c r="S4" s="121" t="str">
        <f t="shared" ref="S4:S10" si="7">IF(Q4=0,"",IF(R4=0,"обратить внимание",IF(R4&gt;1,"выполнение","план не выполнен")))</f>
        <v/>
      </c>
    </row>
    <row r="5" collapsed="1">
      <c r="A5" s="110" t="str">
        <f>IFERROR(VLOOKUP(B5,'Статьи'!$A$2:C27,3,0)," ")</f>
        <v>1С сч 90.01 убрать НДС!</v>
      </c>
      <c r="B5" s="111" t="str">
        <f>IFERROR(__xludf.DUMMYFUNCTION("""COMPUTED_VALUE"""),"Выручка за грузоперевозки")</f>
        <v>Выручка за грузоперевозки</v>
      </c>
      <c r="C5" s="112"/>
      <c r="D5" s="113"/>
      <c r="E5" s="114"/>
      <c r="F5" s="115"/>
      <c r="G5" s="115"/>
      <c r="H5" s="115"/>
      <c r="I5" s="116">
        <f t="shared" si="5"/>
        <v>0</v>
      </c>
      <c r="J5" s="117"/>
      <c r="K5" s="118"/>
      <c r="L5" s="118"/>
      <c r="M5" s="118"/>
      <c r="N5" s="118"/>
      <c r="O5" s="118"/>
      <c r="P5" s="116">
        <f t="shared" si="6"/>
        <v>0</v>
      </c>
      <c r="Q5" s="119">
        <f t="shared" si="3"/>
        <v>0</v>
      </c>
      <c r="R5" s="120">
        <f t="shared" si="4"/>
        <v>0</v>
      </c>
      <c r="S5" s="121" t="str">
        <f t="shared" si="7"/>
        <v/>
      </c>
    </row>
    <row r="6" hidden="1" outlineLevel="1">
      <c r="A6" s="110" t="str">
        <f>IFERROR(VLOOKUP(B6,'Статьи'!$A$2:C28,3,0)," ")</f>
        <v> </v>
      </c>
      <c r="B6" s="111"/>
      <c r="C6" s="122"/>
      <c r="D6" s="115"/>
      <c r="E6" s="115"/>
      <c r="F6" s="114"/>
      <c r="G6" s="114"/>
      <c r="H6" s="114"/>
      <c r="I6" s="116">
        <f t="shared" si="5"/>
        <v>0</v>
      </c>
      <c r="J6" s="123"/>
      <c r="K6" s="118"/>
      <c r="L6" s="118"/>
      <c r="M6" s="118"/>
      <c r="N6" s="118"/>
      <c r="O6" s="118"/>
      <c r="P6" s="116">
        <f t="shared" ref="P6:P8" si="8">SUM(F6:J6)</f>
        <v>0</v>
      </c>
      <c r="Q6" s="119">
        <f t="shared" si="3"/>
        <v>0</v>
      </c>
      <c r="R6" s="120">
        <f t="shared" si="4"/>
        <v>0</v>
      </c>
      <c r="S6" s="121" t="str">
        <f t="shared" si="7"/>
        <v/>
      </c>
    </row>
    <row r="7" hidden="1" outlineLevel="1">
      <c r="A7" s="110" t="str">
        <f>IFERROR(VLOOKUP(B7,'Статьи'!$A$2:C29,3,0)," ")</f>
        <v> </v>
      </c>
      <c r="B7" s="111"/>
      <c r="C7" s="122"/>
      <c r="D7" s="115"/>
      <c r="E7" s="115"/>
      <c r="F7" s="115"/>
      <c r="G7" s="115"/>
      <c r="H7" s="115"/>
      <c r="I7" s="116">
        <f t="shared" si="5"/>
        <v>0</v>
      </c>
      <c r="J7" s="123"/>
      <c r="K7" s="118"/>
      <c r="L7" s="118"/>
      <c r="M7" s="118"/>
      <c r="N7" s="118"/>
      <c r="O7" s="118"/>
      <c r="P7" s="116">
        <f t="shared" si="8"/>
        <v>0</v>
      </c>
      <c r="Q7" s="119">
        <f t="shared" si="3"/>
        <v>0</v>
      </c>
      <c r="R7" s="120">
        <f t="shared" si="4"/>
        <v>0</v>
      </c>
      <c r="S7" s="121" t="str">
        <f t="shared" si="7"/>
        <v/>
      </c>
    </row>
    <row r="8" hidden="1" outlineLevel="1">
      <c r="A8" s="110" t="str">
        <f>IFERROR(VLOOKUP(B8,'Статьи'!$A$2:C30,3,0)," ")</f>
        <v> </v>
      </c>
      <c r="B8" s="111"/>
      <c r="C8" s="122"/>
      <c r="D8" s="115"/>
      <c r="E8" s="115"/>
      <c r="F8" s="115"/>
      <c r="G8" s="115"/>
      <c r="H8" s="115"/>
      <c r="I8" s="116">
        <f t="shared" si="5"/>
        <v>0</v>
      </c>
      <c r="J8" s="123"/>
      <c r="K8" s="118"/>
      <c r="L8" s="118"/>
      <c r="M8" s="118"/>
      <c r="N8" s="118"/>
      <c r="O8" s="118"/>
      <c r="P8" s="116">
        <f t="shared" si="8"/>
        <v>0</v>
      </c>
      <c r="Q8" s="119">
        <f t="shared" si="3"/>
        <v>0</v>
      </c>
      <c r="R8" s="120">
        <f t="shared" si="4"/>
        <v>0</v>
      </c>
      <c r="S8" s="121" t="str">
        <f t="shared" si="7"/>
        <v/>
      </c>
    </row>
    <row r="9" hidden="1" outlineLevel="1">
      <c r="A9" s="110" t="str">
        <f>IFERROR(VLOOKUP(B9,'Статьи'!$A$2:C31,3,0)," ")</f>
        <v> </v>
      </c>
      <c r="B9" s="111"/>
      <c r="C9" s="124"/>
      <c r="D9" s="115"/>
      <c r="E9" s="115"/>
      <c r="F9" s="115"/>
      <c r="G9" s="115"/>
      <c r="H9" s="115"/>
      <c r="I9" s="116"/>
      <c r="J9" s="123"/>
      <c r="K9" s="118"/>
      <c r="L9" s="118"/>
      <c r="M9" s="118"/>
      <c r="N9" s="118"/>
      <c r="O9" s="118"/>
      <c r="P9" s="116"/>
      <c r="Q9" s="119">
        <f t="shared" si="3"/>
        <v>0</v>
      </c>
      <c r="R9" s="120">
        <f t="shared" si="4"/>
        <v>0</v>
      </c>
      <c r="S9" s="121" t="str">
        <f t="shared" si="7"/>
        <v/>
      </c>
    </row>
    <row r="10">
      <c r="A10" s="110" t="str">
        <f>IFERROR(VLOOKUP(B10,'Статьи'!$A$2:C32,3,0)," ")</f>
        <v> </v>
      </c>
      <c r="B10" s="125"/>
      <c r="C10" s="122"/>
      <c r="D10" s="115"/>
      <c r="E10" s="115"/>
      <c r="F10" s="115"/>
      <c r="G10" s="115"/>
      <c r="H10" s="115"/>
      <c r="I10" s="116"/>
      <c r="J10" s="123"/>
      <c r="K10" s="118"/>
      <c r="L10" s="118"/>
      <c r="M10" s="118"/>
      <c r="N10" s="118"/>
      <c r="O10" s="118"/>
      <c r="P10" s="116"/>
      <c r="Q10" s="119">
        <f t="shared" si="3"/>
        <v>0</v>
      </c>
      <c r="R10" s="120">
        <f t="shared" si="4"/>
        <v>0</v>
      </c>
      <c r="S10" s="121" t="str">
        <f t="shared" si="7"/>
        <v/>
      </c>
    </row>
    <row r="11">
      <c r="A11" s="126"/>
      <c r="B11" s="127" t="s">
        <v>135</v>
      </c>
      <c r="C11" s="128">
        <f t="shared" ref="C11:K11" si="9">C12+C58</f>
        <v>0</v>
      </c>
      <c r="D11" s="129">
        <f t="shared" si="9"/>
        <v>0</v>
      </c>
      <c r="E11" s="129">
        <f t="shared" si="9"/>
        <v>0</v>
      </c>
      <c r="F11" s="129">
        <f t="shared" si="9"/>
        <v>0</v>
      </c>
      <c r="G11" s="129">
        <f t="shared" si="9"/>
        <v>0</v>
      </c>
      <c r="H11" s="129">
        <f t="shared" si="9"/>
        <v>0</v>
      </c>
      <c r="I11" s="130">
        <f t="shared" si="9"/>
        <v>0</v>
      </c>
      <c r="J11" s="128">
        <f t="shared" si="9"/>
        <v>0</v>
      </c>
      <c r="K11" s="129">
        <f t="shared" si="9"/>
        <v>0</v>
      </c>
      <c r="L11" s="129"/>
      <c r="M11" s="129"/>
      <c r="N11" s="129"/>
      <c r="O11" s="129"/>
      <c r="P11" s="131">
        <f>P12+P58</f>
        <v>0</v>
      </c>
      <c r="Q11" s="132">
        <f t="shared" si="3"/>
        <v>0</v>
      </c>
      <c r="R11" s="133">
        <f t="shared" si="4"/>
        <v>0</v>
      </c>
      <c r="S11" s="134" t="str">
        <f>IF(Q11=0,"",IF(R11&gt;1,"план не выполнен","выполнение"))</f>
        <v/>
      </c>
    </row>
    <row r="12">
      <c r="A12" s="135"/>
      <c r="B12" s="136" t="s">
        <v>99</v>
      </c>
      <c r="C12" s="137">
        <f t="shared" ref="C12:K12" si="10">sum(C13:C54)</f>
        <v>0</v>
      </c>
      <c r="D12" s="138">
        <f t="shared" si="10"/>
        <v>0</v>
      </c>
      <c r="E12" s="138">
        <f t="shared" si="10"/>
        <v>0</v>
      </c>
      <c r="F12" s="138">
        <f t="shared" si="10"/>
        <v>0</v>
      </c>
      <c r="G12" s="138">
        <f t="shared" si="10"/>
        <v>0</v>
      </c>
      <c r="H12" s="138">
        <f t="shared" si="10"/>
        <v>0</v>
      </c>
      <c r="I12" s="139">
        <f t="shared" si="10"/>
        <v>0</v>
      </c>
      <c r="J12" s="137">
        <f t="shared" si="10"/>
        <v>0</v>
      </c>
      <c r="K12" s="138">
        <f t="shared" si="10"/>
        <v>0</v>
      </c>
      <c r="L12" s="138"/>
      <c r="M12" s="138"/>
      <c r="N12" s="138"/>
      <c r="O12" s="138"/>
      <c r="P12" s="140">
        <f>sum(P13:P54)</f>
        <v>0</v>
      </c>
      <c r="Q12" s="119">
        <f t="shared" si="3"/>
        <v>0</v>
      </c>
      <c r="R12" s="120">
        <f t="shared" si="4"/>
        <v>0</v>
      </c>
      <c r="S12" s="121" t="str">
        <f t="shared" ref="S12:S17" si="11">IF(Q12=0,"",IF(R12=0,"обратить внимание",IF(R12&gt;1,"перерасход","экономия")))</f>
        <v/>
      </c>
    </row>
    <row r="13">
      <c r="A13" s="142" t="str">
        <f>IFERROR(VLOOKUP(B13,'Статьи'!$A$2:C35,3,0)," ")</f>
        <v>ДДС отчетного месяца. Без НДС!</v>
      </c>
      <c r="B13" s="125" t="str">
        <f>IFERROR(__xludf.DUMMYFUNCTION("iferror(filter('Статьи'!$A$1:$A182,'Статьи'!$B$1:$B182=$B$12))"),"Комиссия топливных компаний")</f>
        <v>Комиссия топливных компаний</v>
      </c>
      <c r="C13" s="112"/>
      <c r="D13" s="113"/>
      <c r="E13" s="114"/>
      <c r="F13" s="114"/>
      <c r="G13" s="114"/>
      <c r="H13" s="143"/>
      <c r="I13" s="116">
        <f t="shared" ref="I13:I54" si="12">sum(C13:H13)</f>
        <v>0</v>
      </c>
      <c r="J13" s="117"/>
      <c r="K13" s="118"/>
      <c r="L13" s="118"/>
      <c r="M13" s="118"/>
      <c r="N13" s="118"/>
      <c r="O13" s="118"/>
      <c r="P13" s="116">
        <f t="shared" ref="P13:P16" si="13">SUM(J13:K13)</f>
        <v>0</v>
      </c>
      <c r="Q13" s="119">
        <f t="shared" si="3"/>
        <v>0</v>
      </c>
      <c r="R13" s="120">
        <f t="shared" si="4"/>
        <v>0</v>
      </c>
      <c r="S13" s="121" t="str">
        <f t="shared" si="11"/>
        <v/>
      </c>
    </row>
    <row r="14">
      <c r="A14" s="142" t="str">
        <f>IFERROR(VLOOKUP(B14,'Статьи'!$A$2:C36,3,0)," ")</f>
        <v>1С</v>
      </c>
      <c r="B14" s="125" t="str">
        <f>IFERROR(__xludf.DUMMYFUNCTION("""COMPUTED_VALUE"""),"Топливо для грузовых авто ")</f>
        <v>Топливо для грузовых авто </v>
      </c>
      <c r="C14" s="145"/>
      <c r="D14" s="113"/>
      <c r="E14" s="114"/>
      <c r="F14" s="146"/>
      <c r="G14" s="146"/>
      <c r="H14" s="143"/>
      <c r="I14" s="116">
        <f t="shared" si="12"/>
        <v>0</v>
      </c>
      <c r="J14" s="117"/>
      <c r="K14" s="118"/>
      <c r="L14" s="118"/>
      <c r="M14" s="118"/>
      <c r="N14" s="118"/>
      <c r="O14" s="118"/>
      <c r="P14" s="116">
        <f t="shared" si="13"/>
        <v>0</v>
      </c>
      <c r="Q14" s="119">
        <f t="shared" si="3"/>
        <v>0</v>
      </c>
      <c r="R14" s="120">
        <f t="shared" si="4"/>
        <v>0</v>
      </c>
      <c r="S14" s="121" t="str">
        <f t="shared" si="11"/>
        <v/>
      </c>
    </row>
    <row r="15">
      <c r="A15" s="142" t="str">
        <f>IFERROR(VLOOKUP(B15,'Статьи'!$A$2:C37,3,0)," ")</f>
        <v> </v>
      </c>
      <c r="B15" s="144"/>
      <c r="C15" s="145"/>
      <c r="D15" s="113"/>
      <c r="E15" s="114"/>
      <c r="F15" s="146"/>
      <c r="G15" s="146"/>
      <c r="H15" s="143"/>
      <c r="I15" s="116">
        <f t="shared" si="12"/>
        <v>0</v>
      </c>
      <c r="J15" s="117"/>
      <c r="K15" s="118"/>
      <c r="L15" s="118"/>
      <c r="M15" s="118"/>
      <c r="N15" s="118"/>
      <c r="O15" s="118"/>
      <c r="P15" s="116">
        <f t="shared" si="13"/>
        <v>0</v>
      </c>
      <c r="Q15" s="119">
        <f t="shared" si="3"/>
        <v>0</v>
      </c>
      <c r="R15" s="120">
        <f t="shared" si="4"/>
        <v>0</v>
      </c>
      <c r="S15" s="121" t="str">
        <f t="shared" si="11"/>
        <v/>
      </c>
    </row>
    <row r="16">
      <c r="A16" s="142" t="str">
        <f>IFERROR(VLOOKUP(B16,'Статьи'!$A$2:C38,3,0)," ")</f>
        <v> </v>
      </c>
      <c r="B16" s="144"/>
      <c r="C16" s="145"/>
      <c r="D16" s="113"/>
      <c r="E16" s="114"/>
      <c r="F16" s="146"/>
      <c r="G16" s="146"/>
      <c r="H16" s="143"/>
      <c r="I16" s="116">
        <f t="shared" si="12"/>
        <v>0</v>
      </c>
      <c r="J16" s="117"/>
      <c r="K16" s="118"/>
      <c r="L16" s="118"/>
      <c r="M16" s="118"/>
      <c r="N16" s="118"/>
      <c r="O16" s="118"/>
      <c r="P16" s="116">
        <f t="shared" si="13"/>
        <v>0</v>
      </c>
      <c r="Q16" s="119">
        <f t="shared" si="3"/>
        <v>0</v>
      </c>
      <c r="R16" s="120">
        <f t="shared" si="4"/>
        <v>0</v>
      </c>
      <c r="S16" s="121" t="str">
        <f t="shared" si="11"/>
        <v/>
      </c>
    </row>
    <row r="17" collapsed="1">
      <c r="A17" s="147" t="str">
        <f>IFERROR(VLOOKUP(B17,'Статьи'!$A$2:C39,3,0)," ")</f>
        <v> </v>
      </c>
      <c r="B17" s="144"/>
      <c r="C17" s="145"/>
      <c r="D17" s="114"/>
      <c r="E17" s="114"/>
      <c r="F17" s="146"/>
      <c r="G17" s="146"/>
      <c r="H17" s="143"/>
      <c r="I17" s="116">
        <f t="shared" si="12"/>
        <v>0</v>
      </c>
      <c r="J17" s="123"/>
      <c r="K17" s="118"/>
      <c r="L17" s="118"/>
      <c r="M17" s="118"/>
      <c r="N17" s="118"/>
      <c r="O17" s="118"/>
      <c r="P17" s="116">
        <f t="shared" ref="P17:P54" si="14">sum(F17:J17)</f>
        <v>0</v>
      </c>
      <c r="Q17" s="119">
        <f t="shared" si="3"/>
        <v>0</v>
      </c>
      <c r="R17" s="120">
        <f t="shared" si="4"/>
        <v>0</v>
      </c>
      <c r="S17" s="121" t="str">
        <f t="shared" si="11"/>
        <v/>
      </c>
    </row>
    <row r="18" hidden="1" outlineLevel="1">
      <c r="A18" s="147"/>
      <c r="B18" s="144"/>
      <c r="C18" s="145"/>
      <c r="D18" s="114"/>
      <c r="E18" s="114"/>
      <c r="F18" s="146"/>
      <c r="G18" s="146"/>
      <c r="H18" s="143"/>
      <c r="I18" s="116">
        <f t="shared" si="12"/>
        <v>0</v>
      </c>
      <c r="J18" s="123"/>
      <c r="K18" s="118"/>
      <c r="L18" s="118"/>
      <c r="M18" s="118"/>
      <c r="N18" s="118"/>
      <c r="O18" s="118"/>
      <c r="P18" s="116">
        <f t="shared" si="14"/>
        <v>0</v>
      </c>
      <c r="Q18" s="132">
        <f t="shared" si="3"/>
        <v>0</v>
      </c>
      <c r="R18" s="133">
        <f t="shared" si="4"/>
        <v>0</v>
      </c>
      <c r="S18" s="133">
        <f t="shared" ref="S18:S54" si="15">IF(Q18=0,0,IF(R18&gt;1,"перерасход","экономия"))</f>
        <v>0</v>
      </c>
    </row>
    <row r="19" hidden="1" outlineLevel="1">
      <c r="A19" s="147"/>
      <c r="B19" s="144"/>
      <c r="C19" s="148"/>
      <c r="D19" s="114"/>
      <c r="E19" s="114"/>
      <c r="F19" s="146"/>
      <c r="G19" s="146"/>
      <c r="H19" s="143"/>
      <c r="I19" s="116">
        <f t="shared" si="12"/>
        <v>0</v>
      </c>
      <c r="J19" s="123"/>
      <c r="K19" s="118"/>
      <c r="L19" s="118"/>
      <c r="M19" s="118"/>
      <c r="N19" s="118"/>
      <c r="O19" s="118"/>
      <c r="P19" s="116">
        <f t="shared" si="14"/>
        <v>0</v>
      </c>
      <c r="Q19" s="132">
        <f t="shared" si="3"/>
        <v>0</v>
      </c>
      <c r="R19" s="133">
        <f t="shared" si="4"/>
        <v>0</v>
      </c>
      <c r="S19" s="133">
        <f t="shared" si="15"/>
        <v>0</v>
      </c>
    </row>
    <row r="20" hidden="1" outlineLevel="1">
      <c r="A20" s="147"/>
      <c r="B20" s="144"/>
      <c r="C20" s="148"/>
      <c r="D20" s="114"/>
      <c r="E20" s="114"/>
      <c r="F20" s="146"/>
      <c r="G20" s="146"/>
      <c r="H20" s="143"/>
      <c r="I20" s="116">
        <f t="shared" si="12"/>
        <v>0</v>
      </c>
      <c r="J20" s="123"/>
      <c r="K20" s="118"/>
      <c r="L20" s="118"/>
      <c r="M20" s="118"/>
      <c r="N20" s="118"/>
      <c r="O20" s="118"/>
      <c r="P20" s="116">
        <f t="shared" si="14"/>
        <v>0</v>
      </c>
      <c r="Q20" s="132">
        <f t="shared" si="3"/>
        <v>0</v>
      </c>
      <c r="R20" s="133">
        <f t="shared" si="4"/>
        <v>0</v>
      </c>
      <c r="S20" s="133">
        <f t="shared" si="15"/>
        <v>0</v>
      </c>
    </row>
    <row r="21" hidden="1" outlineLevel="1">
      <c r="A21" s="147"/>
      <c r="B21" s="144"/>
      <c r="C21" s="148"/>
      <c r="D21" s="114"/>
      <c r="E21" s="114"/>
      <c r="F21" s="146"/>
      <c r="G21" s="146"/>
      <c r="H21" s="143"/>
      <c r="I21" s="116">
        <f t="shared" si="12"/>
        <v>0</v>
      </c>
      <c r="J21" s="123"/>
      <c r="K21" s="118"/>
      <c r="L21" s="118"/>
      <c r="M21" s="118"/>
      <c r="N21" s="118"/>
      <c r="O21" s="118"/>
      <c r="P21" s="116">
        <f t="shared" si="14"/>
        <v>0</v>
      </c>
      <c r="Q21" s="132">
        <f t="shared" si="3"/>
        <v>0</v>
      </c>
      <c r="R21" s="133">
        <f t="shared" si="4"/>
        <v>0</v>
      </c>
      <c r="S21" s="133">
        <f t="shared" si="15"/>
        <v>0</v>
      </c>
    </row>
    <row r="22" hidden="1" outlineLevel="1">
      <c r="A22" s="147"/>
      <c r="B22" s="144"/>
      <c r="C22" s="145"/>
      <c r="D22" s="114"/>
      <c r="E22" s="114"/>
      <c r="F22" s="146"/>
      <c r="G22" s="146"/>
      <c r="H22" s="149"/>
      <c r="I22" s="116">
        <f t="shared" si="12"/>
        <v>0</v>
      </c>
      <c r="J22" s="123"/>
      <c r="K22" s="118"/>
      <c r="L22" s="118"/>
      <c r="M22" s="118"/>
      <c r="N22" s="118"/>
      <c r="O22" s="118"/>
      <c r="P22" s="116">
        <f t="shared" si="14"/>
        <v>0</v>
      </c>
      <c r="Q22" s="132">
        <f t="shared" si="3"/>
        <v>0</v>
      </c>
      <c r="R22" s="133">
        <f t="shared" si="4"/>
        <v>0</v>
      </c>
      <c r="S22" s="133">
        <f t="shared" si="15"/>
        <v>0</v>
      </c>
    </row>
    <row r="23" hidden="1" outlineLevel="1">
      <c r="A23" s="150"/>
      <c r="B23" s="151"/>
      <c r="C23" s="148"/>
      <c r="D23" s="114"/>
      <c r="E23" s="114"/>
      <c r="F23" s="146"/>
      <c r="G23" s="146"/>
      <c r="H23" s="143"/>
      <c r="I23" s="116">
        <f t="shared" si="12"/>
        <v>0</v>
      </c>
      <c r="J23" s="123"/>
      <c r="K23" s="118"/>
      <c r="L23" s="118"/>
      <c r="M23" s="118"/>
      <c r="N23" s="118"/>
      <c r="O23" s="118"/>
      <c r="P23" s="116">
        <f t="shared" si="14"/>
        <v>0</v>
      </c>
      <c r="Q23" s="132">
        <f t="shared" si="3"/>
        <v>0</v>
      </c>
      <c r="R23" s="133">
        <f t="shared" si="4"/>
        <v>0</v>
      </c>
      <c r="S23" s="133">
        <f t="shared" si="15"/>
        <v>0</v>
      </c>
    </row>
    <row r="24" hidden="1" outlineLevel="1">
      <c r="A24" s="142"/>
      <c r="B24" s="125"/>
      <c r="C24" s="148"/>
      <c r="D24" s="114"/>
      <c r="E24" s="114"/>
      <c r="F24" s="146"/>
      <c r="G24" s="146"/>
      <c r="H24" s="143"/>
      <c r="I24" s="116">
        <f t="shared" si="12"/>
        <v>0</v>
      </c>
      <c r="J24" s="123"/>
      <c r="K24" s="118"/>
      <c r="L24" s="118"/>
      <c r="M24" s="118"/>
      <c r="N24" s="118"/>
      <c r="O24" s="118"/>
      <c r="P24" s="116">
        <f t="shared" si="14"/>
        <v>0</v>
      </c>
      <c r="Q24" s="132">
        <f t="shared" si="3"/>
        <v>0</v>
      </c>
      <c r="R24" s="133">
        <f t="shared" si="4"/>
        <v>0</v>
      </c>
      <c r="S24" s="133">
        <f t="shared" si="15"/>
        <v>0</v>
      </c>
    </row>
    <row r="25" hidden="1" outlineLevel="1">
      <c r="A25" s="142"/>
      <c r="B25" s="125"/>
      <c r="C25" s="123"/>
      <c r="D25" s="114"/>
      <c r="E25" s="114"/>
      <c r="F25" s="114"/>
      <c r="G25" s="114"/>
      <c r="H25" s="143"/>
      <c r="I25" s="116">
        <f t="shared" si="12"/>
        <v>0</v>
      </c>
      <c r="J25" s="123"/>
      <c r="K25" s="118"/>
      <c r="L25" s="118"/>
      <c r="M25" s="118"/>
      <c r="N25" s="118"/>
      <c r="O25" s="118"/>
      <c r="P25" s="116">
        <f t="shared" si="14"/>
        <v>0</v>
      </c>
      <c r="Q25" s="132">
        <f t="shared" si="3"/>
        <v>0</v>
      </c>
      <c r="R25" s="133">
        <f t="shared" si="4"/>
        <v>0</v>
      </c>
      <c r="S25" s="133">
        <f t="shared" si="15"/>
        <v>0</v>
      </c>
    </row>
    <row r="26" hidden="1" outlineLevel="1">
      <c r="A26" s="142"/>
      <c r="B26" s="125"/>
      <c r="C26" s="123"/>
      <c r="D26" s="114"/>
      <c r="E26" s="114"/>
      <c r="F26" s="114"/>
      <c r="G26" s="114"/>
      <c r="H26" s="143"/>
      <c r="I26" s="116">
        <f t="shared" si="12"/>
        <v>0</v>
      </c>
      <c r="J26" s="123"/>
      <c r="K26" s="118"/>
      <c r="L26" s="118"/>
      <c r="M26" s="118"/>
      <c r="N26" s="118"/>
      <c r="O26" s="118"/>
      <c r="P26" s="116">
        <f t="shared" si="14"/>
        <v>0</v>
      </c>
      <c r="Q26" s="132">
        <f t="shared" si="3"/>
        <v>0</v>
      </c>
      <c r="R26" s="133">
        <f t="shared" si="4"/>
        <v>0</v>
      </c>
      <c r="S26" s="133">
        <f t="shared" si="15"/>
        <v>0</v>
      </c>
    </row>
    <row r="27" hidden="1" outlineLevel="1">
      <c r="A27" s="142"/>
      <c r="B27" s="125"/>
      <c r="C27" s="123"/>
      <c r="D27" s="114"/>
      <c r="E27" s="114"/>
      <c r="F27" s="114"/>
      <c r="G27" s="114"/>
      <c r="H27" s="143"/>
      <c r="I27" s="116">
        <f t="shared" si="12"/>
        <v>0</v>
      </c>
      <c r="J27" s="123"/>
      <c r="K27" s="118"/>
      <c r="L27" s="118"/>
      <c r="M27" s="118"/>
      <c r="N27" s="118"/>
      <c r="O27" s="118"/>
      <c r="P27" s="116">
        <f t="shared" si="14"/>
        <v>0</v>
      </c>
      <c r="Q27" s="132">
        <f t="shared" si="3"/>
        <v>0</v>
      </c>
      <c r="R27" s="133">
        <f t="shared" si="4"/>
        <v>0</v>
      </c>
      <c r="S27" s="133">
        <f t="shared" si="15"/>
        <v>0</v>
      </c>
    </row>
    <row r="28" hidden="1" outlineLevel="1">
      <c r="A28" s="142"/>
      <c r="B28" s="125"/>
      <c r="C28" s="123"/>
      <c r="D28" s="114"/>
      <c r="E28" s="114"/>
      <c r="F28" s="114"/>
      <c r="G28" s="114"/>
      <c r="H28" s="143"/>
      <c r="I28" s="116">
        <f t="shared" si="12"/>
        <v>0</v>
      </c>
      <c r="J28" s="123"/>
      <c r="K28" s="118"/>
      <c r="L28" s="118"/>
      <c r="M28" s="118"/>
      <c r="N28" s="118"/>
      <c r="O28" s="118"/>
      <c r="P28" s="116">
        <f t="shared" si="14"/>
        <v>0</v>
      </c>
      <c r="Q28" s="132">
        <f t="shared" si="3"/>
        <v>0</v>
      </c>
      <c r="R28" s="133">
        <f t="shared" si="4"/>
        <v>0</v>
      </c>
      <c r="S28" s="133">
        <f t="shared" si="15"/>
        <v>0</v>
      </c>
    </row>
    <row r="29" hidden="1" outlineLevel="1">
      <c r="A29" s="142"/>
      <c r="B29" s="125"/>
      <c r="C29" s="123"/>
      <c r="D29" s="114"/>
      <c r="E29" s="114"/>
      <c r="F29" s="114"/>
      <c r="G29" s="114"/>
      <c r="H29" s="143"/>
      <c r="I29" s="116">
        <f t="shared" si="12"/>
        <v>0</v>
      </c>
      <c r="J29" s="123"/>
      <c r="K29" s="118"/>
      <c r="L29" s="118"/>
      <c r="M29" s="118"/>
      <c r="N29" s="118"/>
      <c r="O29" s="118"/>
      <c r="P29" s="116">
        <f t="shared" si="14"/>
        <v>0</v>
      </c>
      <c r="Q29" s="132">
        <f t="shared" si="3"/>
        <v>0</v>
      </c>
      <c r="R29" s="133">
        <f t="shared" si="4"/>
        <v>0</v>
      </c>
      <c r="S29" s="133">
        <f t="shared" si="15"/>
        <v>0</v>
      </c>
    </row>
    <row r="30" hidden="1" outlineLevel="1">
      <c r="A30" s="142"/>
      <c r="B30" s="125"/>
      <c r="C30" s="123"/>
      <c r="D30" s="114"/>
      <c r="E30" s="114"/>
      <c r="F30" s="114"/>
      <c r="G30" s="114"/>
      <c r="H30" s="143"/>
      <c r="I30" s="116">
        <f t="shared" si="12"/>
        <v>0</v>
      </c>
      <c r="J30" s="123"/>
      <c r="K30" s="118"/>
      <c r="L30" s="118"/>
      <c r="M30" s="118"/>
      <c r="N30" s="118"/>
      <c r="O30" s="118"/>
      <c r="P30" s="116">
        <f t="shared" si="14"/>
        <v>0</v>
      </c>
      <c r="Q30" s="132">
        <f t="shared" si="3"/>
        <v>0</v>
      </c>
      <c r="R30" s="133">
        <f t="shared" si="4"/>
        <v>0</v>
      </c>
      <c r="S30" s="133">
        <f t="shared" si="15"/>
        <v>0</v>
      </c>
    </row>
    <row r="31" hidden="1" outlineLevel="1">
      <c r="A31" s="142"/>
      <c r="B31" s="125"/>
      <c r="C31" s="123"/>
      <c r="D31" s="114"/>
      <c r="E31" s="114"/>
      <c r="F31" s="114"/>
      <c r="G31" s="114"/>
      <c r="H31" s="143"/>
      <c r="I31" s="116">
        <f t="shared" si="12"/>
        <v>0</v>
      </c>
      <c r="J31" s="123"/>
      <c r="K31" s="118"/>
      <c r="L31" s="118"/>
      <c r="M31" s="118"/>
      <c r="N31" s="118"/>
      <c r="O31" s="118"/>
      <c r="P31" s="116">
        <f t="shared" si="14"/>
        <v>0</v>
      </c>
      <c r="Q31" s="132">
        <f t="shared" si="3"/>
        <v>0</v>
      </c>
      <c r="R31" s="133">
        <f t="shared" si="4"/>
        <v>0</v>
      </c>
      <c r="S31" s="133">
        <f t="shared" si="15"/>
        <v>0</v>
      </c>
    </row>
    <row r="32" hidden="1" outlineLevel="1">
      <c r="A32" s="142"/>
      <c r="B32" s="125"/>
      <c r="C32" s="123"/>
      <c r="D32" s="114"/>
      <c r="E32" s="114"/>
      <c r="F32" s="114"/>
      <c r="G32" s="114"/>
      <c r="H32" s="143"/>
      <c r="I32" s="116">
        <f t="shared" si="12"/>
        <v>0</v>
      </c>
      <c r="J32" s="123"/>
      <c r="K32" s="118"/>
      <c r="L32" s="118"/>
      <c r="M32" s="118"/>
      <c r="N32" s="118"/>
      <c r="O32" s="118"/>
      <c r="P32" s="116">
        <f t="shared" si="14"/>
        <v>0</v>
      </c>
      <c r="Q32" s="132">
        <f t="shared" si="3"/>
        <v>0</v>
      </c>
      <c r="R32" s="133">
        <f t="shared" si="4"/>
        <v>0</v>
      </c>
      <c r="S32" s="133">
        <f t="shared" si="15"/>
        <v>0</v>
      </c>
    </row>
    <row r="33" hidden="1" outlineLevel="1">
      <c r="A33" s="142"/>
      <c r="B33" s="125"/>
      <c r="C33" s="123"/>
      <c r="D33" s="114"/>
      <c r="E33" s="114"/>
      <c r="F33" s="114"/>
      <c r="G33" s="114"/>
      <c r="H33" s="143"/>
      <c r="I33" s="116">
        <f t="shared" si="12"/>
        <v>0</v>
      </c>
      <c r="J33" s="123"/>
      <c r="K33" s="118"/>
      <c r="L33" s="118"/>
      <c r="M33" s="118"/>
      <c r="N33" s="118"/>
      <c r="O33" s="118"/>
      <c r="P33" s="116">
        <f t="shared" si="14"/>
        <v>0</v>
      </c>
      <c r="Q33" s="132">
        <f t="shared" si="3"/>
        <v>0</v>
      </c>
      <c r="R33" s="133">
        <f t="shared" si="4"/>
        <v>0</v>
      </c>
      <c r="S33" s="133">
        <f t="shared" si="15"/>
        <v>0</v>
      </c>
    </row>
    <row r="34" hidden="1" outlineLevel="1">
      <c r="A34" s="142"/>
      <c r="B34" s="125"/>
      <c r="C34" s="123"/>
      <c r="D34" s="114"/>
      <c r="E34" s="114"/>
      <c r="F34" s="114"/>
      <c r="G34" s="114"/>
      <c r="H34" s="143"/>
      <c r="I34" s="116">
        <f t="shared" si="12"/>
        <v>0</v>
      </c>
      <c r="J34" s="123"/>
      <c r="K34" s="118"/>
      <c r="L34" s="118"/>
      <c r="M34" s="118"/>
      <c r="N34" s="118"/>
      <c r="O34" s="118"/>
      <c r="P34" s="116">
        <f t="shared" si="14"/>
        <v>0</v>
      </c>
      <c r="Q34" s="132">
        <f t="shared" si="3"/>
        <v>0</v>
      </c>
      <c r="R34" s="133">
        <f t="shared" si="4"/>
        <v>0</v>
      </c>
      <c r="S34" s="133">
        <f t="shared" si="15"/>
        <v>0</v>
      </c>
    </row>
    <row r="35" hidden="1" outlineLevel="1">
      <c r="A35" s="142"/>
      <c r="B35" s="125"/>
      <c r="C35" s="123"/>
      <c r="D35" s="114"/>
      <c r="E35" s="114"/>
      <c r="F35" s="114"/>
      <c r="G35" s="114"/>
      <c r="H35" s="143"/>
      <c r="I35" s="116">
        <f t="shared" si="12"/>
        <v>0</v>
      </c>
      <c r="J35" s="123"/>
      <c r="K35" s="118"/>
      <c r="L35" s="118"/>
      <c r="M35" s="118"/>
      <c r="N35" s="118"/>
      <c r="O35" s="118"/>
      <c r="P35" s="116">
        <f t="shared" si="14"/>
        <v>0</v>
      </c>
      <c r="Q35" s="132">
        <f t="shared" si="3"/>
        <v>0</v>
      </c>
      <c r="R35" s="133">
        <f t="shared" si="4"/>
        <v>0</v>
      </c>
      <c r="S35" s="133">
        <f t="shared" si="15"/>
        <v>0</v>
      </c>
    </row>
    <row r="36" hidden="1" outlineLevel="1">
      <c r="A36" s="142"/>
      <c r="B36" s="125"/>
      <c r="C36" s="123"/>
      <c r="D36" s="114"/>
      <c r="E36" s="114"/>
      <c r="F36" s="114"/>
      <c r="G36" s="114"/>
      <c r="H36" s="143"/>
      <c r="I36" s="116">
        <f t="shared" si="12"/>
        <v>0</v>
      </c>
      <c r="J36" s="123"/>
      <c r="K36" s="118"/>
      <c r="L36" s="118"/>
      <c r="M36" s="118"/>
      <c r="N36" s="118"/>
      <c r="O36" s="118"/>
      <c r="P36" s="116">
        <f t="shared" si="14"/>
        <v>0</v>
      </c>
      <c r="Q36" s="132">
        <f t="shared" si="3"/>
        <v>0</v>
      </c>
      <c r="R36" s="133">
        <f t="shared" si="4"/>
        <v>0</v>
      </c>
      <c r="S36" s="133">
        <f t="shared" si="15"/>
        <v>0</v>
      </c>
    </row>
    <row r="37" hidden="1" outlineLevel="1">
      <c r="A37" s="142"/>
      <c r="B37" s="125"/>
      <c r="C37" s="123"/>
      <c r="D37" s="114"/>
      <c r="E37" s="114"/>
      <c r="F37" s="114"/>
      <c r="G37" s="114"/>
      <c r="H37" s="143"/>
      <c r="I37" s="116">
        <f t="shared" si="12"/>
        <v>0</v>
      </c>
      <c r="J37" s="123"/>
      <c r="K37" s="118"/>
      <c r="L37" s="118"/>
      <c r="M37" s="118"/>
      <c r="N37" s="118"/>
      <c r="O37" s="118"/>
      <c r="P37" s="116">
        <f t="shared" si="14"/>
        <v>0</v>
      </c>
      <c r="Q37" s="132">
        <f t="shared" si="3"/>
        <v>0</v>
      </c>
      <c r="R37" s="133">
        <f t="shared" si="4"/>
        <v>0</v>
      </c>
      <c r="S37" s="133">
        <f t="shared" si="15"/>
        <v>0</v>
      </c>
    </row>
    <row r="38" hidden="1" outlineLevel="1">
      <c r="A38" s="142"/>
      <c r="B38" s="125"/>
      <c r="C38" s="123"/>
      <c r="D38" s="114"/>
      <c r="E38" s="114"/>
      <c r="F38" s="114"/>
      <c r="G38" s="114"/>
      <c r="H38" s="143"/>
      <c r="I38" s="116">
        <f t="shared" si="12"/>
        <v>0</v>
      </c>
      <c r="J38" s="123"/>
      <c r="K38" s="118"/>
      <c r="L38" s="118"/>
      <c r="M38" s="118"/>
      <c r="N38" s="118"/>
      <c r="O38" s="118"/>
      <c r="P38" s="116">
        <f t="shared" si="14"/>
        <v>0</v>
      </c>
      <c r="Q38" s="132">
        <f t="shared" si="3"/>
        <v>0</v>
      </c>
      <c r="R38" s="133">
        <f t="shared" si="4"/>
        <v>0</v>
      </c>
      <c r="S38" s="133">
        <f t="shared" si="15"/>
        <v>0</v>
      </c>
    </row>
    <row r="39" hidden="1" outlineLevel="1">
      <c r="A39" s="142"/>
      <c r="B39" s="125"/>
      <c r="C39" s="123"/>
      <c r="D39" s="114"/>
      <c r="E39" s="114"/>
      <c r="F39" s="114"/>
      <c r="G39" s="114"/>
      <c r="H39" s="143"/>
      <c r="I39" s="116">
        <f t="shared" si="12"/>
        <v>0</v>
      </c>
      <c r="J39" s="123"/>
      <c r="K39" s="118"/>
      <c r="L39" s="118"/>
      <c r="M39" s="118"/>
      <c r="N39" s="118"/>
      <c r="O39" s="118"/>
      <c r="P39" s="116">
        <f t="shared" si="14"/>
        <v>0</v>
      </c>
      <c r="Q39" s="132">
        <f t="shared" si="3"/>
        <v>0</v>
      </c>
      <c r="R39" s="133">
        <f t="shared" si="4"/>
        <v>0</v>
      </c>
      <c r="S39" s="133">
        <f t="shared" si="15"/>
        <v>0</v>
      </c>
    </row>
    <row r="40" hidden="1" outlineLevel="1">
      <c r="A40" s="142"/>
      <c r="B40" s="125"/>
      <c r="C40" s="123"/>
      <c r="D40" s="114"/>
      <c r="E40" s="114"/>
      <c r="F40" s="114"/>
      <c r="G40" s="114"/>
      <c r="H40" s="143"/>
      <c r="I40" s="116">
        <f t="shared" si="12"/>
        <v>0</v>
      </c>
      <c r="J40" s="123"/>
      <c r="K40" s="118"/>
      <c r="L40" s="118"/>
      <c r="M40" s="118"/>
      <c r="N40" s="118"/>
      <c r="O40" s="118"/>
      <c r="P40" s="116">
        <f t="shared" si="14"/>
        <v>0</v>
      </c>
      <c r="Q40" s="132">
        <f t="shared" si="3"/>
        <v>0</v>
      </c>
      <c r="R40" s="133">
        <f t="shared" si="4"/>
        <v>0</v>
      </c>
      <c r="S40" s="133">
        <f t="shared" si="15"/>
        <v>0</v>
      </c>
    </row>
    <row r="41" hidden="1" outlineLevel="1">
      <c r="A41" s="142"/>
      <c r="B41" s="125"/>
      <c r="C41" s="123"/>
      <c r="D41" s="114"/>
      <c r="E41" s="114"/>
      <c r="F41" s="114"/>
      <c r="G41" s="114"/>
      <c r="H41" s="143"/>
      <c r="I41" s="116">
        <f t="shared" si="12"/>
        <v>0</v>
      </c>
      <c r="J41" s="123"/>
      <c r="K41" s="118"/>
      <c r="L41" s="118"/>
      <c r="M41" s="118"/>
      <c r="N41" s="118"/>
      <c r="O41" s="118"/>
      <c r="P41" s="116">
        <f t="shared" si="14"/>
        <v>0</v>
      </c>
      <c r="Q41" s="132">
        <f t="shared" si="3"/>
        <v>0</v>
      </c>
      <c r="R41" s="133">
        <f t="shared" si="4"/>
        <v>0</v>
      </c>
      <c r="S41" s="133">
        <f t="shared" si="15"/>
        <v>0</v>
      </c>
    </row>
    <row r="42" hidden="1" outlineLevel="1">
      <c r="A42" s="142"/>
      <c r="B42" s="125"/>
      <c r="C42" s="123"/>
      <c r="D42" s="114"/>
      <c r="E42" s="114"/>
      <c r="F42" s="114"/>
      <c r="G42" s="114"/>
      <c r="H42" s="143"/>
      <c r="I42" s="116">
        <f t="shared" si="12"/>
        <v>0</v>
      </c>
      <c r="J42" s="123"/>
      <c r="K42" s="118"/>
      <c r="L42" s="118"/>
      <c r="M42" s="118"/>
      <c r="N42" s="118"/>
      <c r="O42" s="118"/>
      <c r="P42" s="116">
        <f t="shared" si="14"/>
        <v>0</v>
      </c>
      <c r="Q42" s="132">
        <f t="shared" si="3"/>
        <v>0</v>
      </c>
      <c r="R42" s="133">
        <f t="shared" si="4"/>
        <v>0</v>
      </c>
      <c r="S42" s="133">
        <f t="shared" si="15"/>
        <v>0</v>
      </c>
    </row>
    <row r="43" hidden="1" outlineLevel="1">
      <c r="A43" s="142"/>
      <c r="B43" s="125"/>
      <c r="C43" s="123"/>
      <c r="D43" s="114"/>
      <c r="E43" s="114"/>
      <c r="F43" s="114"/>
      <c r="G43" s="114"/>
      <c r="H43" s="143"/>
      <c r="I43" s="116">
        <f t="shared" si="12"/>
        <v>0</v>
      </c>
      <c r="J43" s="123"/>
      <c r="K43" s="118"/>
      <c r="L43" s="118"/>
      <c r="M43" s="118"/>
      <c r="N43" s="118"/>
      <c r="O43" s="118"/>
      <c r="P43" s="116">
        <f t="shared" si="14"/>
        <v>0</v>
      </c>
      <c r="Q43" s="132">
        <f t="shared" si="3"/>
        <v>0</v>
      </c>
      <c r="R43" s="133">
        <f t="shared" si="4"/>
        <v>0</v>
      </c>
      <c r="S43" s="133">
        <f t="shared" si="15"/>
        <v>0</v>
      </c>
    </row>
    <row r="44" hidden="1" outlineLevel="1">
      <c r="A44" s="142"/>
      <c r="B44" s="125"/>
      <c r="C44" s="123"/>
      <c r="D44" s="114"/>
      <c r="E44" s="114"/>
      <c r="F44" s="114"/>
      <c r="G44" s="114"/>
      <c r="H44" s="143"/>
      <c r="I44" s="116">
        <f t="shared" si="12"/>
        <v>0</v>
      </c>
      <c r="J44" s="123"/>
      <c r="K44" s="118"/>
      <c r="L44" s="118"/>
      <c r="M44" s="118"/>
      <c r="N44" s="118"/>
      <c r="O44" s="118"/>
      <c r="P44" s="116">
        <f t="shared" si="14"/>
        <v>0</v>
      </c>
      <c r="Q44" s="132">
        <f t="shared" si="3"/>
        <v>0</v>
      </c>
      <c r="R44" s="133">
        <f t="shared" si="4"/>
        <v>0</v>
      </c>
      <c r="S44" s="133">
        <f t="shared" si="15"/>
        <v>0</v>
      </c>
    </row>
    <row r="45" hidden="1" outlineLevel="1">
      <c r="A45" s="142"/>
      <c r="B45" s="125"/>
      <c r="C45" s="123"/>
      <c r="D45" s="114"/>
      <c r="E45" s="114"/>
      <c r="F45" s="114"/>
      <c r="G45" s="114"/>
      <c r="H45" s="143"/>
      <c r="I45" s="116">
        <f t="shared" si="12"/>
        <v>0</v>
      </c>
      <c r="J45" s="123"/>
      <c r="K45" s="118"/>
      <c r="L45" s="118"/>
      <c r="M45" s="118"/>
      <c r="N45" s="118"/>
      <c r="O45" s="118"/>
      <c r="P45" s="116">
        <f t="shared" si="14"/>
        <v>0</v>
      </c>
      <c r="Q45" s="132">
        <f t="shared" si="3"/>
        <v>0</v>
      </c>
      <c r="R45" s="133">
        <f t="shared" si="4"/>
        <v>0</v>
      </c>
      <c r="S45" s="133">
        <f t="shared" si="15"/>
        <v>0</v>
      </c>
    </row>
    <row r="46" hidden="1" outlineLevel="1">
      <c r="A46" s="142"/>
      <c r="B46" s="125"/>
      <c r="C46" s="123"/>
      <c r="D46" s="114"/>
      <c r="E46" s="114"/>
      <c r="F46" s="114"/>
      <c r="G46" s="114"/>
      <c r="H46" s="143"/>
      <c r="I46" s="116">
        <f t="shared" si="12"/>
        <v>0</v>
      </c>
      <c r="J46" s="123"/>
      <c r="K46" s="118"/>
      <c r="L46" s="118"/>
      <c r="M46" s="118"/>
      <c r="N46" s="118"/>
      <c r="O46" s="118"/>
      <c r="P46" s="116">
        <f t="shared" si="14"/>
        <v>0</v>
      </c>
      <c r="Q46" s="132">
        <f t="shared" si="3"/>
        <v>0</v>
      </c>
      <c r="R46" s="133">
        <f t="shared" si="4"/>
        <v>0</v>
      </c>
      <c r="S46" s="133">
        <f t="shared" si="15"/>
        <v>0</v>
      </c>
    </row>
    <row r="47" hidden="1" outlineLevel="1">
      <c r="A47" s="142"/>
      <c r="B47" s="125"/>
      <c r="C47" s="123"/>
      <c r="D47" s="114"/>
      <c r="E47" s="114"/>
      <c r="F47" s="114"/>
      <c r="G47" s="114"/>
      <c r="H47" s="143"/>
      <c r="I47" s="116">
        <f t="shared" si="12"/>
        <v>0</v>
      </c>
      <c r="J47" s="123"/>
      <c r="K47" s="118"/>
      <c r="L47" s="118"/>
      <c r="M47" s="118"/>
      <c r="N47" s="118"/>
      <c r="O47" s="118"/>
      <c r="P47" s="116">
        <f t="shared" si="14"/>
        <v>0</v>
      </c>
      <c r="Q47" s="132">
        <f t="shared" si="3"/>
        <v>0</v>
      </c>
      <c r="R47" s="133">
        <f t="shared" si="4"/>
        <v>0</v>
      </c>
      <c r="S47" s="133">
        <f t="shared" si="15"/>
        <v>0</v>
      </c>
    </row>
    <row r="48" hidden="1" outlineLevel="1">
      <c r="A48" s="142"/>
      <c r="B48" s="125"/>
      <c r="C48" s="123"/>
      <c r="D48" s="114"/>
      <c r="E48" s="114"/>
      <c r="F48" s="114"/>
      <c r="G48" s="114"/>
      <c r="H48" s="143"/>
      <c r="I48" s="116">
        <f t="shared" si="12"/>
        <v>0</v>
      </c>
      <c r="J48" s="123"/>
      <c r="K48" s="118"/>
      <c r="L48" s="118"/>
      <c r="M48" s="118"/>
      <c r="N48" s="118"/>
      <c r="O48" s="118"/>
      <c r="P48" s="116">
        <f t="shared" si="14"/>
        <v>0</v>
      </c>
      <c r="Q48" s="132">
        <f t="shared" si="3"/>
        <v>0</v>
      </c>
      <c r="R48" s="133">
        <f t="shared" si="4"/>
        <v>0</v>
      </c>
      <c r="S48" s="133">
        <f t="shared" si="15"/>
        <v>0</v>
      </c>
    </row>
    <row r="49" hidden="1" outlineLevel="1">
      <c r="A49" s="142"/>
      <c r="B49" s="125"/>
      <c r="C49" s="123"/>
      <c r="D49" s="143"/>
      <c r="E49" s="114"/>
      <c r="F49" s="114"/>
      <c r="G49" s="114"/>
      <c r="H49" s="143"/>
      <c r="I49" s="116">
        <f t="shared" si="12"/>
        <v>0</v>
      </c>
      <c r="J49" s="123"/>
      <c r="K49" s="118"/>
      <c r="L49" s="118"/>
      <c r="M49" s="118"/>
      <c r="N49" s="118"/>
      <c r="O49" s="118"/>
      <c r="P49" s="116">
        <f t="shared" si="14"/>
        <v>0</v>
      </c>
      <c r="Q49" s="132">
        <f t="shared" si="3"/>
        <v>0</v>
      </c>
      <c r="R49" s="133">
        <f t="shared" si="4"/>
        <v>0</v>
      </c>
      <c r="S49" s="133">
        <f t="shared" si="15"/>
        <v>0</v>
      </c>
    </row>
    <row r="50" hidden="1" outlineLevel="1">
      <c r="A50" s="142"/>
      <c r="B50" s="125"/>
      <c r="C50" s="123"/>
      <c r="D50" s="114"/>
      <c r="E50" s="114"/>
      <c r="F50" s="114"/>
      <c r="G50" s="114"/>
      <c r="H50" s="143"/>
      <c r="I50" s="116">
        <f t="shared" si="12"/>
        <v>0</v>
      </c>
      <c r="J50" s="123"/>
      <c r="K50" s="118"/>
      <c r="L50" s="118"/>
      <c r="M50" s="118"/>
      <c r="N50" s="118"/>
      <c r="O50" s="118"/>
      <c r="P50" s="116">
        <f t="shared" si="14"/>
        <v>0</v>
      </c>
      <c r="Q50" s="132">
        <f t="shared" si="3"/>
        <v>0</v>
      </c>
      <c r="R50" s="133">
        <f t="shared" si="4"/>
        <v>0</v>
      </c>
      <c r="S50" s="133">
        <f t="shared" si="15"/>
        <v>0</v>
      </c>
    </row>
    <row r="51" hidden="1" outlineLevel="1">
      <c r="A51" s="142"/>
      <c r="B51" s="125"/>
      <c r="C51" s="123"/>
      <c r="D51" s="114"/>
      <c r="E51" s="114"/>
      <c r="F51" s="114"/>
      <c r="G51" s="114"/>
      <c r="H51" s="143"/>
      <c r="I51" s="116">
        <f t="shared" si="12"/>
        <v>0</v>
      </c>
      <c r="J51" s="123"/>
      <c r="K51" s="118"/>
      <c r="L51" s="118"/>
      <c r="M51" s="118"/>
      <c r="N51" s="118"/>
      <c r="O51" s="118"/>
      <c r="P51" s="116">
        <f t="shared" si="14"/>
        <v>0</v>
      </c>
      <c r="Q51" s="132">
        <f t="shared" si="3"/>
        <v>0</v>
      </c>
      <c r="R51" s="133">
        <f t="shared" si="4"/>
        <v>0</v>
      </c>
      <c r="S51" s="133">
        <f t="shared" si="15"/>
        <v>0</v>
      </c>
    </row>
    <row r="52" hidden="1" outlineLevel="1">
      <c r="A52" s="142"/>
      <c r="B52" s="125"/>
      <c r="C52" s="123"/>
      <c r="D52" s="114"/>
      <c r="E52" s="114"/>
      <c r="F52" s="114"/>
      <c r="G52" s="114"/>
      <c r="H52" s="149"/>
      <c r="I52" s="116">
        <f t="shared" si="12"/>
        <v>0</v>
      </c>
      <c r="J52" s="123"/>
      <c r="K52" s="118"/>
      <c r="L52" s="118"/>
      <c r="M52" s="118"/>
      <c r="N52" s="118"/>
      <c r="O52" s="118"/>
      <c r="P52" s="116">
        <f t="shared" si="14"/>
        <v>0</v>
      </c>
      <c r="Q52" s="132">
        <f t="shared" si="3"/>
        <v>0</v>
      </c>
      <c r="R52" s="133">
        <f t="shared" si="4"/>
        <v>0</v>
      </c>
      <c r="S52" s="133">
        <f t="shared" si="15"/>
        <v>0</v>
      </c>
    </row>
    <row r="53" hidden="1" outlineLevel="1">
      <c r="A53" s="142"/>
      <c r="B53" s="125"/>
      <c r="C53" s="123"/>
      <c r="D53" s="114"/>
      <c r="E53" s="114"/>
      <c r="F53" s="114"/>
      <c r="G53" s="114"/>
      <c r="H53" s="143"/>
      <c r="I53" s="116">
        <f t="shared" si="12"/>
        <v>0</v>
      </c>
      <c r="J53" s="123"/>
      <c r="K53" s="118"/>
      <c r="L53" s="118"/>
      <c r="M53" s="118"/>
      <c r="N53" s="118"/>
      <c r="O53" s="118"/>
      <c r="P53" s="116">
        <f t="shared" si="14"/>
        <v>0</v>
      </c>
      <c r="Q53" s="132">
        <f t="shared" si="3"/>
        <v>0</v>
      </c>
      <c r="R53" s="133">
        <f t="shared" si="4"/>
        <v>0</v>
      </c>
      <c r="S53" s="133">
        <f t="shared" si="15"/>
        <v>0</v>
      </c>
    </row>
    <row r="54" hidden="1" outlineLevel="1">
      <c r="A54" s="142"/>
      <c r="B54" s="125"/>
      <c r="C54" s="122"/>
      <c r="D54" s="114"/>
      <c r="E54" s="114"/>
      <c r="F54" s="114"/>
      <c r="G54" s="114"/>
      <c r="H54" s="143"/>
      <c r="I54" s="116">
        <f t="shared" si="12"/>
        <v>0</v>
      </c>
      <c r="J54" s="123"/>
      <c r="K54" s="118"/>
      <c r="L54" s="118"/>
      <c r="M54" s="118"/>
      <c r="N54" s="118"/>
      <c r="O54" s="118"/>
      <c r="P54" s="116">
        <f t="shared" si="14"/>
        <v>0</v>
      </c>
      <c r="Q54" s="132">
        <f t="shared" si="3"/>
        <v>0</v>
      </c>
      <c r="R54" s="133">
        <f t="shared" si="4"/>
        <v>0</v>
      </c>
      <c r="S54" s="133">
        <f t="shared" si="15"/>
        <v>0</v>
      </c>
    </row>
    <row r="55">
      <c r="A55" s="152"/>
      <c r="B55" s="153" t="s">
        <v>136</v>
      </c>
      <c r="C55" s="154">
        <f t="shared" ref="C55:K55" si="16">C3+C12</f>
        <v>0</v>
      </c>
      <c r="D55" s="155">
        <f t="shared" si="16"/>
        <v>0</v>
      </c>
      <c r="E55" s="155">
        <f t="shared" si="16"/>
        <v>0</v>
      </c>
      <c r="F55" s="155">
        <f t="shared" si="16"/>
        <v>0</v>
      </c>
      <c r="G55" s="155">
        <f t="shared" si="16"/>
        <v>0</v>
      </c>
      <c r="H55" s="156">
        <f t="shared" si="16"/>
        <v>0</v>
      </c>
      <c r="I55" s="157">
        <f t="shared" si="16"/>
        <v>0</v>
      </c>
      <c r="J55" s="154">
        <f t="shared" si="16"/>
        <v>0</v>
      </c>
      <c r="K55" s="155">
        <f t="shared" si="16"/>
        <v>0</v>
      </c>
      <c r="L55" s="155"/>
      <c r="M55" s="155"/>
      <c r="N55" s="155"/>
      <c r="O55" s="155"/>
      <c r="P55" s="157">
        <f>P3+P12</f>
        <v>0</v>
      </c>
      <c r="Q55" s="155">
        <f t="shared" si="3"/>
        <v>0</v>
      </c>
      <c r="R55" s="158">
        <f t="shared" si="4"/>
        <v>0</v>
      </c>
      <c r="S55" s="159" t="str">
        <f>IF(Q55=0,"",IF(R55&gt;1,"выполнение","план не выполнен"))</f>
        <v/>
      </c>
    </row>
    <row r="56">
      <c r="A56" s="160"/>
      <c r="B56" s="161" t="s">
        <v>137</v>
      </c>
      <c r="C56" s="162" t="str">
        <f t="shared" ref="C56:K56" si="17">IFERROR(C55/C$3,"")</f>
        <v/>
      </c>
      <c r="D56" s="163" t="str">
        <f t="shared" si="17"/>
        <v/>
      </c>
      <c r="E56" s="163" t="str">
        <f t="shared" si="17"/>
        <v/>
      </c>
      <c r="F56" s="163" t="str">
        <f t="shared" si="17"/>
        <v/>
      </c>
      <c r="G56" s="163" t="str">
        <f t="shared" si="17"/>
        <v/>
      </c>
      <c r="H56" s="163" t="str">
        <f t="shared" si="17"/>
        <v/>
      </c>
      <c r="I56" s="164" t="str">
        <f t="shared" si="17"/>
        <v/>
      </c>
      <c r="J56" s="163" t="str">
        <f t="shared" si="17"/>
        <v/>
      </c>
      <c r="K56" s="163" t="str">
        <f t="shared" si="17"/>
        <v/>
      </c>
      <c r="L56" s="163"/>
      <c r="M56" s="163"/>
      <c r="N56" s="163"/>
      <c r="O56" s="163"/>
      <c r="P56" s="164" t="str">
        <f>IFERROR(P55/P$3,"")</f>
        <v/>
      </c>
      <c r="Q56" s="121"/>
      <c r="R56" s="121"/>
      <c r="S56" s="121"/>
    </row>
    <row r="57">
      <c r="A57" s="142"/>
      <c r="B57" s="125"/>
      <c r="C57" s="122"/>
      <c r="D57" s="114"/>
      <c r="E57" s="114"/>
      <c r="F57" s="114"/>
      <c r="G57" s="114"/>
      <c r="H57" s="114"/>
      <c r="I57" s="116"/>
      <c r="J57" s="123"/>
      <c r="K57" s="118"/>
      <c r="L57" s="118"/>
      <c r="M57" s="118"/>
      <c r="N57" s="118"/>
      <c r="O57" s="118"/>
      <c r="P57" s="116"/>
      <c r="Q57" s="121"/>
      <c r="R57" s="121"/>
      <c r="S57" s="121"/>
    </row>
    <row r="58">
      <c r="A58" s="135"/>
      <c r="B58" s="136" t="s">
        <v>94</v>
      </c>
      <c r="C58" s="165">
        <f t="shared" ref="C58:H58" si="18">sum(C59:C79)</f>
        <v>0</v>
      </c>
      <c r="D58" s="166">
        <f t="shared" si="18"/>
        <v>0</v>
      </c>
      <c r="E58" s="166">
        <f t="shared" si="18"/>
        <v>0</v>
      </c>
      <c r="F58" s="166">
        <f t="shared" si="18"/>
        <v>0</v>
      </c>
      <c r="G58" s="166">
        <f t="shared" si="18"/>
        <v>0</v>
      </c>
      <c r="H58" s="166">
        <f t="shared" si="18"/>
        <v>0</v>
      </c>
      <c r="I58" s="167">
        <f t="shared" ref="I58:K58" si="19">SUM(I59:I84)</f>
        <v>0</v>
      </c>
      <c r="J58" s="165">
        <f t="shared" si="19"/>
        <v>0</v>
      </c>
      <c r="K58" s="166">
        <f t="shared" si="19"/>
        <v>0</v>
      </c>
      <c r="L58" s="166"/>
      <c r="M58" s="166"/>
      <c r="N58" s="166"/>
      <c r="O58" s="166"/>
      <c r="P58" s="168">
        <f>SUM(P59:P84)</f>
        <v>0</v>
      </c>
      <c r="Q58" s="166">
        <f t="shared" ref="Q58:Q85" si="20">I58-P58</f>
        <v>0</v>
      </c>
      <c r="R58" s="169">
        <f t="shared" ref="R58:R85" si="21">IFERROR(I58/P58,0)</f>
        <v>0</v>
      </c>
      <c r="S58" s="141" t="str">
        <f>IF(Q58=0,"",IF(R58&gt;1,"план не выполнен","выполнение"))</f>
        <v/>
      </c>
    </row>
    <row r="59">
      <c r="A59" s="142" t="str">
        <f>IFERROR(VLOOKUP(B59,'Статьи'!$A$2:C81,3,0)," ")</f>
        <v>1С</v>
      </c>
      <c r="B59" s="125" t="str">
        <f>IFERROR(__xludf.DUMMYFUNCTION("iferror(filter('Статьи'!$A$1:$A182,'Статьи'!$B$1:$B182=$B$58))"),"Зарплата производственного персонала")</f>
        <v>Зарплата производственного персонала</v>
      </c>
      <c r="C59" s="170"/>
      <c r="D59" s="149"/>
      <c r="E59" s="143"/>
      <c r="F59" s="143"/>
      <c r="G59" s="143"/>
      <c r="H59" s="143"/>
      <c r="I59" s="116">
        <f t="shared" ref="I59:I84" si="22">SUM(C59:H59)</f>
        <v>0</v>
      </c>
      <c r="J59" s="117"/>
      <c r="K59" s="118"/>
      <c r="L59" s="118"/>
      <c r="M59" s="118"/>
      <c r="N59" s="118"/>
      <c r="O59" s="118"/>
      <c r="P59" s="116">
        <f t="shared" ref="P59:P84" si="23">SUM(J59:K59)</f>
        <v>0</v>
      </c>
      <c r="Q59" s="119">
        <f t="shared" si="20"/>
        <v>0</v>
      </c>
      <c r="R59" s="120">
        <f t="shared" si="21"/>
        <v>0</v>
      </c>
      <c r="S59" s="121" t="str">
        <f t="shared" ref="S59:S84" si="24">IF(Q59=0,"",IF(R59=0,"обратить внимание",IF(R59&gt;1,"перерасход","экономия")))</f>
        <v/>
      </c>
    </row>
    <row r="60" collapsed="1">
      <c r="A60" s="142" t="str">
        <f>IFERROR(VLOOKUP(B60,'Статьи'!$A$2:C82,3,0)," ")</f>
        <v>ДДС отчетного месяца. Без НДС!</v>
      </c>
      <c r="B60" s="125" t="str">
        <f>IFERROR(__xludf.DUMMYFUNCTION("""COMPUTED_VALUE"""),"Таможенные расходы")</f>
        <v>Таможенные расходы</v>
      </c>
      <c r="C60" s="171"/>
      <c r="D60" s="149"/>
      <c r="E60" s="143"/>
      <c r="F60" s="143"/>
      <c r="G60" s="143"/>
      <c r="H60" s="149"/>
      <c r="I60" s="116">
        <f t="shared" si="22"/>
        <v>0</v>
      </c>
      <c r="J60" s="117"/>
      <c r="K60" s="118"/>
      <c r="L60" s="118"/>
      <c r="M60" s="118"/>
      <c r="N60" s="118"/>
      <c r="O60" s="118"/>
      <c r="P60" s="116">
        <f t="shared" si="23"/>
        <v>0</v>
      </c>
      <c r="Q60" s="119">
        <f t="shared" si="20"/>
        <v>0</v>
      </c>
      <c r="R60" s="120">
        <f t="shared" si="21"/>
        <v>0</v>
      </c>
      <c r="S60" s="121" t="str">
        <f t="shared" si="24"/>
        <v/>
      </c>
    </row>
    <row r="61" hidden="1" outlineLevel="1">
      <c r="A61" s="142" t="str">
        <f>IFERROR(VLOOKUP(B61,'Статьи'!$A$2:C83,3,0)," ")</f>
        <v> </v>
      </c>
      <c r="B61" s="125"/>
      <c r="C61" s="171"/>
      <c r="D61" s="172"/>
      <c r="E61" s="143"/>
      <c r="F61" s="143"/>
      <c r="G61" s="143"/>
      <c r="H61" s="149"/>
      <c r="I61" s="116">
        <f t="shared" si="22"/>
        <v>0</v>
      </c>
      <c r="J61" s="117"/>
      <c r="K61" s="118"/>
      <c r="L61" s="118"/>
      <c r="M61" s="118"/>
      <c r="N61" s="118"/>
      <c r="O61" s="118"/>
      <c r="P61" s="116">
        <f t="shared" si="23"/>
        <v>0</v>
      </c>
      <c r="Q61" s="119">
        <f t="shared" si="20"/>
        <v>0</v>
      </c>
      <c r="R61" s="120">
        <f t="shared" si="21"/>
        <v>0</v>
      </c>
      <c r="S61" s="121" t="str">
        <f t="shared" si="24"/>
        <v/>
      </c>
    </row>
    <row r="62" hidden="1" outlineLevel="1">
      <c r="A62" s="142" t="str">
        <f>IFERROR(VLOOKUP(B62,'Статьи'!$A$2:C84,3,0)," ")</f>
        <v> </v>
      </c>
      <c r="B62" s="125"/>
      <c r="C62" s="171"/>
      <c r="D62" s="172"/>
      <c r="E62" s="143"/>
      <c r="F62" s="143"/>
      <c r="G62" s="143"/>
      <c r="H62" s="149"/>
      <c r="I62" s="116">
        <f t="shared" si="22"/>
        <v>0</v>
      </c>
      <c r="J62" s="123"/>
      <c r="K62" s="118"/>
      <c r="L62" s="118"/>
      <c r="M62" s="118"/>
      <c r="N62" s="118"/>
      <c r="O62" s="118"/>
      <c r="P62" s="116">
        <f t="shared" si="23"/>
        <v>0</v>
      </c>
      <c r="Q62" s="119">
        <f t="shared" si="20"/>
        <v>0</v>
      </c>
      <c r="R62" s="120">
        <f t="shared" si="21"/>
        <v>0</v>
      </c>
      <c r="S62" s="121" t="str">
        <f t="shared" si="24"/>
        <v/>
      </c>
    </row>
    <row r="63" hidden="1" outlineLevel="1">
      <c r="A63" s="142" t="str">
        <f>IFERROR(VLOOKUP(B63,'Статьи'!$A$2:C85,3,0)," ")</f>
        <v> </v>
      </c>
      <c r="B63" s="125"/>
      <c r="C63" s="171"/>
      <c r="D63" s="172"/>
      <c r="E63" s="143"/>
      <c r="F63" s="143"/>
      <c r="G63" s="143"/>
      <c r="H63" s="149"/>
      <c r="I63" s="116">
        <f t="shared" si="22"/>
        <v>0</v>
      </c>
      <c r="J63" s="117"/>
      <c r="K63" s="118"/>
      <c r="L63" s="118"/>
      <c r="M63" s="118"/>
      <c r="N63" s="118"/>
      <c r="O63" s="118"/>
      <c r="P63" s="116">
        <f t="shared" si="23"/>
        <v>0</v>
      </c>
      <c r="Q63" s="119">
        <f t="shared" si="20"/>
        <v>0</v>
      </c>
      <c r="R63" s="120">
        <f t="shared" si="21"/>
        <v>0</v>
      </c>
      <c r="S63" s="121" t="str">
        <f t="shared" si="24"/>
        <v/>
      </c>
    </row>
    <row r="64" hidden="1" outlineLevel="1">
      <c r="A64" s="142" t="str">
        <f>IFERROR(VLOOKUP(B64,'Статьи'!$A$2:C86,3,0)," ")</f>
        <v> </v>
      </c>
      <c r="B64" s="125"/>
      <c r="C64" s="171"/>
      <c r="D64" s="172"/>
      <c r="E64" s="143"/>
      <c r="F64" s="143"/>
      <c r="G64" s="143"/>
      <c r="H64" s="149"/>
      <c r="I64" s="116">
        <f t="shared" si="22"/>
        <v>0</v>
      </c>
      <c r="J64" s="117"/>
      <c r="K64" s="118"/>
      <c r="L64" s="118"/>
      <c r="M64" s="118"/>
      <c r="N64" s="118"/>
      <c r="O64" s="118"/>
      <c r="P64" s="116">
        <f t="shared" si="23"/>
        <v>0</v>
      </c>
      <c r="Q64" s="119">
        <f t="shared" si="20"/>
        <v>0</v>
      </c>
      <c r="R64" s="120">
        <f t="shared" si="21"/>
        <v>0</v>
      </c>
      <c r="S64" s="121" t="str">
        <f t="shared" si="24"/>
        <v/>
      </c>
    </row>
    <row r="65" hidden="1" outlineLevel="1">
      <c r="A65" s="142" t="str">
        <f>IFERROR(VLOOKUP(B65,'Статьи'!$A$2:C87,3,0)," ")</f>
        <v> </v>
      </c>
      <c r="B65" s="125"/>
      <c r="C65" s="171"/>
      <c r="D65" s="172"/>
      <c r="E65" s="143"/>
      <c r="F65" s="143"/>
      <c r="G65" s="143"/>
      <c r="H65" s="149"/>
      <c r="I65" s="116">
        <f t="shared" si="22"/>
        <v>0</v>
      </c>
      <c r="J65" s="117"/>
      <c r="K65" s="118"/>
      <c r="L65" s="118"/>
      <c r="M65" s="118"/>
      <c r="N65" s="118"/>
      <c r="O65" s="118"/>
      <c r="P65" s="116">
        <f t="shared" si="23"/>
        <v>0</v>
      </c>
      <c r="Q65" s="119">
        <f t="shared" si="20"/>
        <v>0</v>
      </c>
      <c r="R65" s="120">
        <f t="shared" si="21"/>
        <v>0</v>
      </c>
      <c r="S65" s="121" t="str">
        <f t="shared" si="24"/>
        <v/>
      </c>
    </row>
    <row r="66" hidden="1" outlineLevel="1">
      <c r="A66" s="142" t="str">
        <f>IFERROR(VLOOKUP(B66,'Статьи'!$A$2:C88,3,0)," ")</f>
        <v> </v>
      </c>
      <c r="B66" s="125"/>
      <c r="C66" s="171"/>
      <c r="D66" s="172"/>
      <c r="E66" s="143"/>
      <c r="F66" s="143"/>
      <c r="G66" s="143"/>
      <c r="H66" s="149"/>
      <c r="I66" s="116">
        <f t="shared" si="22"/>
        <v>0</v>
      </c>
      <c r="J66" s="117"/>
      <c r="K66" s="118"/>
      <c r="L66" s="118"/>
      <c r="M66" s="118"/>
      <c r="N66" s="118"/>
      <c r="O66" s="118"/>
      <c r="P66" s="116">
        <f t="shared" si="23"/>
        <v>0</v>
      </c>
      <c r="Q66" s="119">
        <f t="shared" si="20"/>
        <v>0</v>
      </c>
      <c r="R66" s="120">
        <f t="shared" si="21"/>
        <v>0</v>
      </c>
      <c r="S66" s="121" t="str">
        <f t="shared" si="24"/>
        <v/>
      </c>
    </row>
    <row r="67" hidden="1" outlineLevel="1">
      <c r="A67" s="142" t="str">
        <f>IFERROR(VLOOKUP(B67,'Статьи'!$A$2:C89,3,0)," ")</f>
        <v> </v>
      </c>
      <c r="B67" s="125"/>
      <c r="C67" s="171"/>
      <c r="D67" s="172"/>
      <c r="E67" s="143"/>
      <c r="F67" s="143"/>
      <c r="G67" s="143"/>
      <c r="H67" s="149"/>
      <c r="I67" s="116">
        <f t="shared" si="22"/>
        <v>0</v>
      </c>
      <c r="J67" s="117"/>
      <c r="K67" s="118"/>
      <c r="L67" s="118"/>
      <c r="M67" s="118"/>
      <c r="N67" s="118"/>
      <c r="O67" s="118"/>
      <c r="P67" s="116">
        <f t="shared" si="23"/>
        <v>0</v>
      </c>
      <c r="Q67" s="119">
        <f t="shared" si="20"/>
        <v>0</v>
      </c>
      <c r="R67" s="120">
        <f t="shared" si="21"/>
        <v>0</v>
      </c>
      <c r="S67" s="121" t="str">
        <f t="shared" si="24"/>
        <v/>
      </c>
    </row>
    <row r="68" hidden="1" outlineLevel="1">
      <c r="A68" s="142" t="str">
        <f>IFERROR(VLOOKUP(B68,'Статьи'!$A$2:C90,3,0)," ")</f>
        <v> </v>
      </c>
      <c r="B68" s="125"/>
      <c r="C68" s="171"/>
      <c r="D68" s="172"/>
      <c r="E68" s="143"/>
      <c r="F68" s="143"/>
      <c r="G68" s="143"/>
      <c r="H68" s="149"/>
      <c r="I68" s="116">
        <f t="shared" si="22"/>
        <v>0</v>
      </c>
      <c r="J68" s="123"/>
      <c r="K68" s="118"/>
      <c r="L68" s="118"/>
      <c r="M68" s="118"/>
      <c r="N68" s="118"/>
      <c r="O68" s="118"/>
      <c r="P68" s="116">
        <f t="shared" si="23"/>
        <v>0</v>
      </c>
      <c r="Q68" s="119">
        <f t="shared" si="20"/>
        <v>0</v>
      </c>
      <c r="R68" s="120">
        <f t="shared" si="21"/>
        <v>0</v>
      </c>
      <c r="S68" s="121" t="str">
        <f t="shared" si="24"/>
        <v/>
      </c>
    </row>
    <row r="69" hidden="1" outlineLevel="1">
      <c r="A69" s="142" t="str">
        <f>IFERROR(VLOOKUP(B69,'Статьи'!$A$2:C91,3,0)," ")</f>
        <v> </v>
      </c>
      <c r="B69" s="125"/>
      <c r="C69" s="171"/>
      <c r="D69" s="172"/>
      <c r="E69" s="143"/>
      <c r="F69" s="143"/>
      <c r="G69" s="143"/>
      <c r="H69" s="149"/>
      <c r="I69" s="116">
        <f t="shared" si="22"/>
        <v>0</v>
      </c>
      <c r="J69" s="117"/>
      <c r="K69" s="118"/>
      <c r="L69" s="118"/>
      <c r="M69" s="118"/>
      <c r="N69" s="118"/>
      <c r="O69" s="118"/>
      <c r="P69" s="116">
        <f t="shared" si="23"/>
        <v>0</v>
      </c>
      <c r="Q69" s="119">
        <f t="shared" si="20"/>
        <v>0</v>
      </c>
      <c r="R69" s="120">
        <f t="shared" si="21"/>
        <v>0</v>
      </c>
      <c r="S69" s="121" t="str">
        <f t="shared" si="24"/>
        <v/>
      </c>
    </row>
    <row r="70" hidden="1" outlineLevel="1">
      <c r="A70" s="142" t="str">
        <f>IFERROR(VLOOKUP(B70,'Статьи'!$A$2:C92,3,0)," ")</f>
        <v> </v>
      </c>
      <c r="B70" s="125"/>
      <c r="C70" s="171"/>
      <c r="D70" s="172"/>
      <c r="E70" s="143"/>
      <c r="F70" s="143"/>
      <c r="G70" s="143"/>
      <c r="H70" s="149"/>
      <c r="I70" s="116">
        <f t="shared" si="22"/>
        <v>0</v>
      </c>
      <c r="J70" s="117"/>
      <c r="K70" s="118"/>
      <c r="L70" s="118"/>
      <c r="M70" s="118"/>
      <c r="N70" s="118"/>
      <c r="O70" s="118"/>
      <c r="P70" s="116">
        <f t="shared" si="23"/>
        <v>0</v>
      </c>
      <c r="Q70" s="119">
        <f t="shared" si="20"/>
        <v>0</v>
      </c>
      <c r="R70" s="120">
        <f t="shared" si="21"/>
        <v>0</v>
      </c>
      <c r="S70" s="121" t="str">
        <f t="shared" si="24"/>
        <v/>
      </c>
    </row>
    <row r="71" hidden="1" outlineLevel="1">
      <c r="A71" s="142" t="str">
        <f>IFERROR(VLOOKUP(B71,'Статьи'!$A$2:C93,3,0)," ")</f>
        <v> </v>
      </c>
      <c r="B71" s="125"/>
      <c r="C71" s="171"/>
      <c r="D71" s="172"/>
      <c r="E71" s="143"/>
      <c r="F71" s="143"/>
      <c r="G71" s="143"/>
      <c r="H71" s="149"/>
      <c r="I71" s="116">
        <f t="shared" si="22"/>
        <v>0</v>
      </c>
      <c r="J71" s="117"/>
      <c r="K71" s="118"/>
      <c r="L71" s="118"/>
      <c r="M71" s="118"/>
      <c r="N71" s="118"/>
      <c r="O71" s="118"/>
      <c r="P71" s="116">
        <f t="shared" si="23"/>
        <v>0</v>
      </c>
      <c r="Q71" s="119">
        <f t="shared" si="20"/>
        <v>0</v>
      </c>
      <c r="R71" s="120">
        <f t="shared" si="21"/>
        <v>0</v>
      </c>
      <c r="S71" s="121" t="str">
        <f t="shared" si="24"/>
        <v/>
      </c>
    </row>
    <row r="72" hidden="1" outlineLevel="1">
      <c r="A72" s="142" t="str">
        <f>IFERROR(VLOOKUP(B72,'Статьи'!$A$2:C94,3,0)," ")</f>
        <v> </v>
      </c>
      <c r="B72" s="125"/>
      <c r="C72" s="170"/>
      <c r="D72" s="149"/>
      <c r="E72" s="143"/>
      <c r="F72" s="143"/>
      <c r="G72" s="143"/>
      <c r="H72" s="149"/>
      <c r="I72" s="116">
        <f t="shared" si="22"/>
        <v>0</v>
      </c>
      <c r="J72" s="123"/>
      <c r="K72" s="118"/>
      <c r="L72" s="118"/>
      <c r="M72" s="118"/>
      <c r="N72" s="118"/>
      <c r="O72" s="118"/>
      <c r="P72" s="116">
        <f t="shared" si="23"/>
        <v>0</v>
      </c>
      <c r="Q72" s="119">
        <f t="shared" si="20"/>
        <v>0</v>
      </c>
      <c r="R72" s="120">
        <f t="shared" si="21"/>
        <v>0</v>
      </c>
      <c r="S72" s="121" t="str">
        <f t="shared" si="24"/>
        <v/>
      </c>
    </row>
    <row r="73" hidden="1" outlineLevel="1">
      <c r="A73" s="142" t="str">
        <f>IFERROR(VLOOKUP(B73,'Статьи'!$A$2:C95,3,0)," ")</f>
        <v> </v>
      </c>
      <c r="B73" s="125"/>
      <c r="C73" s="170"/>
      <c r="D73" s="149"/>
      <c r="E73" s="143"/>
      <c r="F73" s="143"/>
      <c r="G73" s="143"/>
      <c r="H73" s="149"/>
      <c r="I73" s="116">
        <f t="shared" si="22"/>
        <v>0</v>
      </c>
      <c r="J73" s="123"/>
      <c r="K73" s="118"/>
      <c r="L73" s="118"/>
      <c r="M73" s="118"/>
      <c r="N73" s="118"/>
      <c r="O73" s="118"/>
      <c r="P73" s="116">
        <f t="shared" si="23"/>
        <v>0</v>
      </c>
      <c r="Q73" s="119">
        <f t="shared" si="20"/>
        <v>0</v>
      </c>
      <c r="R73" s="120">
        <f t="shared" si="21"/>
        <v>0</v>
      </c>
      <c r="S73" s="121" t="str">
        <f t="shared" si="24"/>
        <v/>
      </c>
    </row>
    <row r="74" hidden="1" outlineLevel="1">
      <c r="A74" s="142" t="str">
        <f>IFERROR(VLOOKUP(B74,'Статьи'!$A$2:C96,3,0)," ")</f>
        <v> </v>
      </c>
      <c r="B74" s="125"/>
      <c r="C74" s="170"/>
      <c r="D74" s="149"/>
      <c r="E74" s="143"/>
      <c r="F74" s="143"/>
      <c r="G74" s="143"/>
      <c r="H74" s="149"/>
      <c r="I74" s="116">
        <f t="shared" si="22"/>
        <v>0</v>
      </c>
      <c r="J74" s="123"/>
      <c r="K74" s="118"/>
      <c r="L74" s="118"/>
      <c r="M74" s="118"/>
      <c r="N74" s="118"/>
      <c r="O74" s="118"/>
      <c r="P74" s="116">
        <f t="shared" si="23"/>
        <v>0</v>
      </c>
      <c r="Q74" s="119">
        <f t="shared" si="20"/>
        <v>0</v>
      </c>
      <c r="R74" s="120">
        <f t="shared" si="21"/>
        <v>0</v>
      </c>
      <c r="S74" s="121" t="str">
        <f t="shared" si="24"/>
        <v/>
      </c>
    </row>
    <row r="75" hidden="1" outlineLevel="1">
      <c r="A75" s="142" t="str">
        <f>IFERROR(VLOOKUP(B75,'Статьи'!$A$2:C97,3,0)," ")</f>
        <v> </v>
      </c>
      <c r="B75" s="125"/>
      <c r="C75" s="170"/>
      <c r="D75" s="149"/>
      <c r="E75" s="143"/>
      <c r="F75" s="143"/>
      <c r="G75" s="143"/>
      <c r="H75" s="149"/>
      <c r="I75" s="116">
        <f t="shared" si="22"/>
        <v>0</v>
      </c>
      <c r="J75" s="123"/>
      <c r="K75" s="118"/>
      <c r="L75" s="118"/>
      <c r="M75" s="118"/>
      <c r="N75" s="118"/>
      <c r="O75" s="118"/>
      <c r="P75" s="116">
        <f t="shared" si="23"/>
        <v>0</v>
      </c>
      <c r="Q75" s="119">
        <f t="shared" si="20"/>
        <v>0</v>
      </c>
      <c r="R75" s="120">
        <f t="shared" si="21"/>
        <v>0</v>
      </c>
      <c r="S75" s="121" t="str">
        <f t="shared" si="24"/>
        <v/>
      </c>
    </row>
    <row r="76" hidden="1" outlineLevel="1">
      <c r="A76" s="142" t="str">
        <f>IFERROR(VLOOKUP(B76,'Статьи'!$A$2:C98,3,0)," ")</f>
        <v> </v>
      </c>
      <c r="B76" s="125"/>
      <c r="C76" s="173"/>
      <c r="D76" s="143"/>
      <c r="E76" s="149"/>
      <c r="F76" s="143"/>
      <c r="G76" s="143"/>
      <c r="H76" s="143"/>
      <c r="I76" s="116">
        <f t="shared" si="22"/>
        <v>0</v>
      </c>
      <c r="J76" s="123"/>
      <c r="K76" s="118"/>
      <c r="L76" s="118"/>
      <c r="M76" s="118"/>
      <c r="N76" s="118"/>
      <c r="O76" s="118"/>
      <c r="P76" s="116">
        <f t="shared" si="23"/>
        <v>0</v>
      </c>
      <c r="Q76" s="119">
        <f t="shared" si="20"/>
        <v>0</v>
      </c>
      <c r="R76" s="120">
        <f t="shared" si="21"/>
        <v>0</v>
      </c>
      <c r="S76" s="121" t="str">
        <f t="shared" si="24"/>
        <v/>
      </c>
    </row>
    <row r="77" hidden="1" outlineLevel="1">
      <c r="A77" s="142" t="str">
        <f>IFERROR(VLOOKUP(B77,'Статьи'!$A$2:C99,3,0)," ")</f>
        <v> </v>
      </c>
      <c r="B77" s="125"/>
      <c r="C77" s="170"/>
      <c r="D77" s="174"/>
      <c r="E77" s="174"/>
      <c r="F77" s="174"/>
      <c r="G77" s="174"/>
      <c r="H77" s="174"/>
      <c r="I77" s="116">
        <f t="shared" si="22"/>
        <v>0</v>
      </c>
      <c r="J77" s="123"/>
      <c r="K77" s="118"/>
      <c r="L77" s="118"/>
      <c r="M77" s="118"/>
      <c r="N77" s="118"/>
      <c r="O77" s="118"/>
      <c r="P77" s="116">
        <f t="shared" si="23"/>
        <v>0</v>
      </c>
      <c r="Q77" s="119">
        <f t="shared" si="20"/>
        <v>0</v>
      </c>
      <c r="R77" s="120">
        <f t="shared" si="21"/>
        <v>0</v>
      </c>
      <c r="S77" s="121" t="str">
        <f t="shared" si="24"/>
        <v/>
      </c>
    </row>
    <row r="78" hidden="1" outlineLevel="1">
      <c r="A78" s="175" t="str">
        <f>IFERROR(VLOOKUP(B78,'Статьи'!$A$2:C100,3,0)," ")</f>
        <v> </v>
      </c>
      <c r="B78" s="176"/>
      <c r="C78" s="122"/>
      <c r="D78" s="114"/>
      <c r="E78" s="114"/>
      <c r="F78" s="114"/>
      <c r="G78" s="114"/>
      <c r="H78" s="149"/>
      <c r="I78" s="116">
        <f t="shared" si="22"/>
        <v>0</v>
      </c>
      <c r="J78" s="123"/>
      <c r="K78" s="118"/>
      <c r="L78" s="118"/>
      <c r="M78" s="118"/>
      <c r="N78" s="118"/>
      <c r="O78" s="118"/>
      <c r="P78" s="116">
        <f t="shared" si="23"/>
        <v>0</v>
      </c>
      <c r="Q78" s="119">
        <f t="shared" si="20"/>
        <v>0</v>
      </c>
      <c r="R78" s="120">
        <f t="shared" si="21"/>
        <v>0</v>
      </c>
      <c r="S78" s="121" t="str">
        <f t="shared" si="24"/>
        <v/>
      </c>
    </row>
    <row r="79" hidden="1" outlineLevel="1">
      <c r="A79" s="110" t="str">
        <f>IFERROR(VLOOKUP(B79,'Статьи'!$A$2:C101,3,0)," ")</f>
        <v> </v>
      </c>
      <c r="B79" s="111"/>
      <c r="C79" s="122"/>
      <c r="D79" s="115"/>
      <c r="E79" s="115"/>
      <c r="F79" s="115"/>
      <c r="G79" s="115"/>
      <c r="H79" s="115"/>
      <c r="I79" s="116">
        <f t="shared" si="22"/>
        <v>0</v>
      </c>
      <c r="J79" s="123"/>
      <c r="K79" s="118"/>
      <c r="L79" s="118"/>
      <c r="M79" s="118"/>
      <c r="N79" s="118"/>
      <c r="O79" s="118"/>
      <c r="P79" s="116">
        <f t="shared" si="23"/>
        <v>0</v>
      </c>
      <c r="Q79" s="119">
        <f t="shared" si="20"/>
        <v>0</v>
      </c>
      <c r="R79" s="120">
        <f t="shared" si="21"/>
        <v>0</v>
      </c>
      <c r="S79" s="121" t="str">
        <f t="shared" si="24"/>
        <v/>
      </c>
    </row>
    <row r="80" hidden="1" outlineLevel="1">
      <c r="A80" s="110" t="str">
        <f>IFERROR(VLOOKUP(B80,'Статьи'!$A$2:C102,3,0)," ")</f>
        <v> </v>
      </c>
      <c r="B80" s="111"/>
      <c r="C80" s="122"/>
      <c r="D80" s="115"/>
      <c r="E80" s="115"/>
      <c r="F80" s="115"/>
      <c r="G80" s="115"/>
      <c r="H80" s="115"/>
      <c r="I80" s="116">
        <f t="shared" si="22"/>
        <v>0</v>
      </c>
      <c r="J80" s="123"/>
      <c r="K80" s="118"/>
      <c r="L80" s="118"/>
      <c r="M80" s="118"/>
      <c r="N80" s="118"/>
      <c r="O80" s="118"/>
      <c r="P80" s="116">
        <f t="shared" si="23"/>
        <v>0</v>
      </c>
      <c r="Q80" s="119">
        <f t="shared" si="20"/>
        <v>0</v>
      </c>
      <c r="R80" s="120">
        <f t="shared" si="21"/>
        <v>0</v>
      </c>
      <c r="S80" s="121" t="str">
        <f t="shared" si="24"/>
        <v/>
      </c>
    </row>
    <row r="81" hidden="1" outlineLevel="1">
      <c r="A81" s="110" t="str">
        <f>IFERROR(VLOOKUP(B81,'Статьи'!$A$2:C103,3,0)," ")</f>
        <v> </v>
      </c>
      <c r="B81" s="111"/>
      <c r="C81" s="122"/>
      <c r="D81" s="115"/>
      <c r="E81" s="115"/>
      <c r="F81" s="115"/>
      <c r="G81" s="115"/>
      <c r="H81" s="115"/>
      <c r="I81" s="116">
        <f t="shared" si="22"/>
        <v>0</v>
      </c>
      <c r="J81" s="123"/>
      <c r="K81" s="118"/>
      <c r="L81" s="118"/>
      <c r="M81" s="118"/>
      <c r="N81" s="118"/>
      <c r="O81" s="118"/>
      <c r="P81" s="116">
        <f t="shared" si="23"/>
        <v>0</v>
      </c>
      <c r="Q81" s="119">
        <f t="shared" si="20"/>
        <v>0</v>
      </c>
      <c r="R81" s="120">
        <f t="shared" si="21"/>
        <v>0</v>
      </c>
      <c r="S81" s="121" t="str">
        <f t="shared" si="24"/>
        <v/>
      </c>
    </row>
    <row r="82" hidden="1" outlineLevel="1">
      <c r="A82" s="110" t="str">
        <f>IFERROR(VLOOKUP(B82,'Статьи'!$A$2:C104,3,0)," ")</f>
        <v> </v>
      </c>
      <c r="B82" s="111"/>
      <c r="C82" s="122"/>
      <c r="D82" s="115"/>
      <c r="E82" s="115"/>
      <c r="F82" s="115"/>
      <c r="G82" s="115"/>
      <c r="H82" s="115"/>
      <c r="I82" s="116">
        <f t="shared" si="22"/>
        <v>0</v>
      </c>
      <c r="J82" s="123"/>
      <c r="K82" s="118"/>
      <c r="L82" s="118"/>
      <c r="M82" s="118"/>
      <c r="N82" s="118"/>
      <c r="O82" s="118"/>
      <c r="P82" s="116">
        <f t="shared" si="23"/>
        <v>0</v>
      </c>
      <c r="Q82" s="119">
        <f t="shared" si="20"/>
        <v>0</v>
      </c>
      <c r="R82" s="120">
        <f t="shared" si="21"/>
        <v>0</v>
      </c>
      <c r="S82" s="121" t="str">
        <f t="shared" si="24"/>
        <v/>
      </c>
    </row>
    <row r="83" hidden="1" outlineLevel="1">
      <c r="A83" s="110" t="str">
        <f>IFERROR(VLOOKUP(B83,'Статьи'!$A$2:C105,3,0)," ")</f>
        <v> </v>
      </c>
      <c r="B83" s="111"/>
      <c r="C83" s="122"/>
      <c r="D83" s="115"/>
      <c r="E83" s="115"/>
      <c r="F83" s="115"/>
      <c r="G83" s="115"/>
      <c r="H83" s="115"/>
      <c r="I83" s="116">
        <f t="shared" si="22"/>
        <v>0</v>
      </c>
      <c r="J83" s="123"/>
      <c r="K83" s="118"/>
      <c r="L83" s="118"/>
      <c r="M83" s="118"/>
      <c r="N83" s="118"/>
      <c r="O83" s="118"/>
      <c r="P83" s="116">
        <f t="shared" si="23"/>
        <v>0</v>
      </c>
      <c r="Q83" s="119">
        <f t="shared" si="20"/>
        <v>0</v>
      </c>
      <c r="R83" s="120">
        <f t="shared" si="21"/>
        <v>0</v>
      </c>
      <c r="S83" s="121" t="str">
        <f t="shared" si="24"/>
        <v/>
      </c>
    </row>
    <row r="84">
      <c r="A84" s="110" t="str">
        <f>IFERROR(VLOOKUP(B84,'Статьи'!$A$2:C106,3,0)," ")</f>
        <v> </v>
      </c>
      <c r="B84" s="111"/>
      <c r="C84" s="122"/>
      <c r="D84" s="115"/>
      <c r="E84" s="115"/>
      <c r="F84" s="115"/>
      <c r="G84" s="115"/>
      <c r="H84" s="115"/>
      <c r="I84" s="116">
        <f t="shared" si="22"/>
        <v>0</v>
      </c>
      <c r="J84" s="123"/>
      <c r="K84" s="118"/>
      <c r="L84" s="118"/>
      <c r="M84" s="118"/>
      <c r="N84" s="118"/>
      <c r="O84" s="118"/>
      <c r="P84" s="116">
        <f t="shared" si="23"/>
        <v>0</v>
      </c>
      <c r="Q84" s="119">
        <f t="shared" si="20"/>
        <v>0</v>
      </c>
      <c r="R84" s="120">
        <f t="shared" si="21"/>
        <v>0</v>
      </c>
      <c r="S84" s="121" t="str">
        <f t="shared" si="24"/>
        <v/>
      </c>
    </row>
    <row r="85">
      <c r="A85" s="152"/>
      <c r="B85" s="153" t="s">
        <v>138</v>
      </c>
      <c r="C85" s="154">
        <f t="shared" ref="C85:K85" si="25">C55+C58</f>
        <v>0</v>
      </c>
      <c r="D85" s="155">
        <f t="shared" si="25"/>
        <v>0</v>
      </c>
      <c r="E85" s="155">
        <f t="shared" si="25"/>
        <v>0</v>
      </c>
      <c r="F85" s="155">
        <f t="shared" si="25"/>
        <v>0</v>
      </c>
      <c r="G85" s="155">
        <f t="shared" si="25"/>
        <v>0</v>
      </c>
      <c r="H85" s="155">
        <f t="shared" si="25"/>
        <v>0</v>
      </c>
      <c r="I85" s="157">
        <f t="shared" si="25"/>
        <v>0</v>
      </c>
      <c r="J85" s="154">
        <f t="shared" si="25"/>
        <v>0</v>
      </c>
      <c r="K85" s="155">
        <f t="shared" si="25"/>
        <v>0</v>
      </c>
      <c r="L85" s="155"/>
      <c r="M85" s="155"/>
      <c r="N85" s="155"/>
      <c r="O85" s="155"/>
      <c r="P85" s="157">
        <f>P55+P58</f>
        <v>0</v>
      </c>
      <c r="Q85" s="155">
        <f t="shared" si="20"/>
        <v>0</v>
      </c>
      <c r="R85" s="158">
        <f t="shared" si="21"/>
        <v>0</v>
      </c>
      <c r="S85" s="177" t="str">
        <f>IF(Q85=0,"",IF(R85&gt;1,"выполнение","план не выполнен"))</f>
        <v/>
      </c>
    </row>
    <row r="86">
      <c r="A86" s="160"/>
      <c r="B86" s="161" t="s">
        <v>139</v>
      </c>
      <c r="C86" s="162" t="str">
        <f t="shared" ref="C86:K86" si="26">IFERROR(C85/C$3,"")</f>
        <v/>
      </c>
      <c r="D86" s="163" t="str">
        <f t="shared" si="26"/>
        <v/>
      </c>
      <c r="E86" s="163" t="str">
        <f t="shared" si="26"/>
        <v/>
      </c>
      <c r="F86" s="163" t="str">
        <f t="shared" si="26"/>
        <v/>
      </c>
      <c r="G86" s="163" t="str">
        <f t="shared" si="26"/>
        <v/>
      </c>
      <c r="H86" s="163" t="str">
        <f t="shared" si="26"/>
        <v/>
      </c>
      <c r="I86" s="164" t="str">
        <f t="shared" si="26"/>
        <v/>
      </c>
      <c r="J86" s="162" t="str">
        <f t="shared" si="26"/>
        <v/>
      </c>
      <c r="K86" s="163" t="str">
        <f t="shared" si="26"/>
        <v/>
      </c>
      <c r="L86" s="163"/>
      <c r="M86" s="163"/>
      <c r="N86" s="163"/>
      <c r="O86" s="163"/>
      <c r="P86" s="164" t="str">
        <f>IFERROR(P85/P$3,"")</f>
        <v/>
      </c>
      <c r="Q86" s="121"/>
      <c r="R86" s="121"/>
      <c r="S86" s="121" t="str">
        <f t="shared" ref="S86:S87" si="27">IF(Q86=0,"",IF(Q86=0,0,IF(R86&gt;1,"перерасход","экономия")))</f>
        <v/>
      </c>
    </row>
    <row r="87">
      <c r="A87" s="178"/>
      <c r="B87" s="179"/>
      <c r="C87" s="124"/>
      <c r="D87" s="115"/>
      <c r="E87" s="115"/>
      <c r="F87" s="115"/>
      <c r="G87" s="115"/>
      <c r="H87" s="115"/>
      <c r="I87" s="116"/>
      <c r="J87" s="123"/>
      <c r="K87" s="118"/>
      <c r="L87" s="118"/>
      <c r="M87" s="118"/>
      <c r="N87" s="118"/>
      <c r="O87" s="118"/>
      <c r="P87" s="116"/>
      <c r="Q87" s="180"/>
      <c r="R87" s="121"/>
      <c r="S87" s="121" t="str">
        <f t="shared" si="27"/>
        <v/>
      </c>
    </row>
    <row r="88">
      <c r="A88" s="181"/>
      <c r="B88" s="127" t="s">
        <v>140</v>
      </c>
      <c r="C88" s="182">
        <f t="shared" ref="C88:K88" si="28">C101+C132+C89</f>
        <v>0</v>
      </c>
      <c r="D88" s="183">
        <f t="shared" si="28"/>
        <v>0</v>
      </c>
      <c r="E88" s="183">
        <f t="shared" si="28"/>
        <v>0</v>
      </c>
      <c r="F88" s="183">
        <f t="shared" si="28"/>
        <v>0</v>
      </c>
      <c r="G88" s="183">
        <f t="shared" si="28"/>
        <v>0</v>
      </c>
      <c r="H88" s="183">
        <f t="shared" si="28"/>
        <v>0</v>
      </c>
      <c r="I88" s="184">
        <f t="shared" si="28"/>
        <v>0</v>
      </c>
      <c r="J88" s="182">
        <f t="shared" si="28"/>
        <v>0</v>
      </c>
      <c r="K88" s="183">
        <f t="shared" si="28"/>
        <v>0</v>
      </c>
      <c r="L88" s="183"/>
      <c r="M88" s="183"/>
      <c r="N88" s="183"/>
      <c r="O88" s="183"/>
      <c r="P88" s="185">
        <f>P101+P132+P89</f>
        <v>0</v>
      </c>
      <c r="Q88" s="183">
        <f t="shared" ref="Q88:Q142" si="30">I88-P88</f>
        <v>0</v>
      </c>
      <c r="R88" s="186">
        <f t="shared" ref="R88:R142" si="31">IFERROR(I88/P88,0)</f>
        <v>0</v>
      </c>
      <c r="S88" s="134" t="str">
        <f>IF(Q88=0,"",IF(R88&gt;1,"план не выполнен","выполнение"))</f>
        <v/>
      </c>
    </row>
    <row r="89">
      <c r="A89" s="135"/>
      <c r="B89" s="136" t="s">
        <v>141</v>
      </c>
      <c r="C89" s="137">
        <f t="shared" ref="C89:K89" si="29">SUM(C90:C100)</f>
        <v>0</v>
      </c>
      <c r="D89" s="138">
        <f t="shared" si="29"/>
        <v>0</v>
      </c>
      <c r="E89" s="138">
        <f t="shared" si="29"/>
        <v>0</v>
      </c>
      <c r="F89" s="138">
        <f t="shared" si="29"/>
        <v>0</v>
      </c>
      <c r="G89" s="138">
        <f t="shared" si="29"/>
        <v>0</v>
      </c>
      <c r="H89" s="138">
        <f t="shared" si="29"/>
        <v>0</v>
      </c>
      <c r="I89" s="139">
        <f t="shared" si="29"/>
        <v>0</v>
      </c>
      <c r="J89" s="137">
        <f t="shared" si="29"/>
        <v>0</v>
      </c>
      <c r="K89" s="138">
        <f t="shared" si="29"/>
        <v>0</v>
      </c>
      <c r="L89" s="138"/>
      <c r="M89" s="138"/>
      <c r="N89" s="138"/>
      <c r="O89" s="138"/>
      <c r="P89" s="140">
        <f>SUM(P90:P100)</f>
        <v>0</v>
      </c>
      <c r="Q89" s="138">
        <f t="shared" si="30"/>
        <v>0</v>
      </c>
      <c r="R89" s="187">
        <f t="shared" si="31"/>
        <v>0</v>
      </c>
      <c r="S89" s="141" t="str">
        <f>IF(Q89=0,"",IF(Q89=0,0,IF(R89&gt;1,"перерасход","экономия")))</f>
        <v/>
      </c>
    </row>
    <row r="90">
      <c r="A90" s="142" t="str">
        <f>IFERROR(VLOOKUP(B90,'Статьи'!$A$2:C112,3,0)," ")</f>
        <v> </v>
      </c>
      <c r="B90" s="125" t="str">
        <f>IFERROR(__xludf.DUMMYFUNCTION("iferror(filter('Статьи'!$A$1:$A182,'Статьи'!$B$1:$B182=$B$89))"),"")</f>
        <v/>
      </c>
      <c r="C90" s="171"/>
      <c r="D90" s="172"/>
      <c r="E90" s="149"/>
      <c r="F90" s="149"/>
      <c r="G90" s="149"/>
      <c r="H90" s="149"/>
      <c r="I90" s="188">
        <f t="shared" ref="I90:I100" si="32">sum(C90:H90)</f>
        <v>0</v>
      </c>
      <c r="J90" s="170"/>
      <c r="K90" s="149"/>
      <c r="L90" s="149"/>
      <c r="M90" s="149"/>
      <c r="N90" s="149"/>
      <c r="O90" s="149"/>
      <c r="P90" s="188">
        <f t="shared" ref="P90:P94" si="33">SUM(J90:K90)</f>
        <v>0</v>
      </c>
      <c r="Q90" s="132">
        <f t="shared" si="30"/>
        <v>0</v>
      </c>
      <c r="R90" s="133">
        <f t="shared" si="31"/>
        <v>0</v>
      </c>
      <c r="S90" s="121" t="str">
        <f t="shared" ref="S90:S94" si="34">IF(Q90=0,"",IF(R90=0,"обратить внимание",IF(R90&gt;1,"перерасход","экономия")))</f>
        <v/>
      </c>
    </row>
    <row r="91">
      <c r="A91" s="142" t="str">
        <f>IFERROR(VLOOKUP(B91,'Статьи'!$A$2:C113,3,0)," ")</f>
        <v> </v>
      </c>
      <c r="B91" s="125"/>
      <c r="C91" s="171"/>
      <c r="D91" s="172"/>
      <c r="E91" s="149"/>
      <c r="F91" s="149"/>
      <c r="G91" s="149"/>
      <c r="H91" s="149"/>
      <c r="I91" s="188">
        <f t="shared" si="32"/>
        <v>0</v>
      </c>
      <c r="J91" s="189"/>
      <c r="K91" s="149"/>
      <c r="L91" s="149"/>
      <c r="M91" s="149"/>
      <c r="N91" s="149"/>
      <c r="O91" s="149"/>
      <c r="P91" s="188">
        <f t="shared" si="33"/>
        <v>0</v>
      </c>
      <c r="Q91" s="132">
        <f t="shared" si="30"/>
        <v>0</v>
      </c>
      <c r="R91" s="133">
        <f t="shared" si="31"/>
        <v>0</v>
      </c>
      <c r="S91" s="121" t="str">
        <f t="shared" si="34"/>
        <v/>
      </c>
    </row>
    <row r="92">
      <c r="A92" s="142" t="str">
        <f>IFERROR(VLOOKUP(B92,'Статьи'!$A$2:C114,3,0)," ")</f>
        <v> </v>
      </c>
      <c r="B92" s="125"/>
      <c r="C92" s="171"/>
      <c r="D92" s="172"/>
      <c r="E92" s="149"/>
      <c r="F92" s="149"/>
      <c r="G92" s="149"/>
      <c r="H92" s="149"/>
      <c r="I92" s="188">
        <f t="shared" si="32"/>
        <v>0</v>
      </c>
      <c r="J92" s="189"/>
      <c r="K92" s="149"/>
      <c r="L92" s="149"/>
      <c r="M92" s="149"/>
      <c r="N92" s="149"/>
      <c r="O92" s="149"/>
      <c r="P92" s="188">
        <f t="shared" si="33"/>
        <v>0</v>
      </c>
      <c r="Q92" s="132">
        <f t="shared" si="30"/>
        <v>0</v>
      </c>
      <c r="R92" s="133">
        <f t="shared" si="31"/>
        <v>0</v>
      </c>
      <c r="S92" s="121" t="str">
        <f t="shared" si="34"/>
        <v/>
      </c>
    </row>
    <row r="93">
      <c r="A93" s="142" t="str">
        <f>IFERROR(VLOOKUP(B93,'Статьи'!$A$2:C115,3,0)," ")</f>
        <v> </v>
      </c>
      <c r="B93" s="125"/>
      <c r="C93" s="171"/>
      <c r="D93" s="172"/>
      <c r="E93" s="149"/>
      <c r="F93" s="149"/>
      <c r="G93" s="149"/>
      <c r="H93" s="149"/>
      <c r="I93" s="188">
        <f t="shared" si="32"/>
        <v>0</v>
      </c>
      <c r="J93" s="170"/>
      <c r="K93" s="149"/>
      <c r="L93" s="149"/>
      <c r="M93" s="149"/>
      <c r="N93" s="149"/>
      <c r="O93" s="149"/>
      <c r="P93" s="188">
        <f t="shared" si="33"/>
        <v>0</v>
      </c>
      <c r="Q93" s="132">
        <f t="shared" si="30"/>
        <v>0</v>
      </c>
      <c r="R93" s="133">
        <f t="shared" si="31"/>
        <v>0</v>
      </c>
      <c r="S93" s="121" t="str">
        <f t="shared" si="34"/>
        <v/>
      </c>
    </row>
    <row r="94" collapsed="1">
      <c r="A94" s="190" t="str">
        <f>IFERROR(VLOOKUP(B94,'Статьи'!$A$2:C116,3,0)," ")</f>
        <v> </v>
      </c>
      <c r="B94" s="125"/>
      <c r="C94" s="170"/>
      <c r="D94" s="149"/>
      <c r="E94" s="149"/>
      <c r="F94" s="149"/>
      <c r="G94" s="149"/>
      <c r="H94" s="149"/>
      <c r="I94" s="188">
        <f t="shared" si="32"/>
        <v>0</v>
      </c>
      <c r="J94" s="170"/>
      <c r="K94" s="149"/>
      <c r="L94" s="149"/>
      <c r="M94" s="149"/>
      <c r="N94" s="149"/>
      <c r="O94" s="149"/>
      <c r="P94" s="188">
        <f t="shared" si="33"/>
        <v>0</v>
      </c>
      <c r="Q94" s="132">
        <f t="shared" si="30"/>
        <v>0</v>
      </c>
      <c r="R94" s="133">
        <f t="shared" si="31"/>
        <v>0</v>
      </c>
      <c r="S94" s="121" t="str">
        <f t="shared" si="34"/>
        <v/>
      </c>
    </row>
    <row r="95" hidden="1" outlineLevel="1">
      <c r="A95" s="190"/>
      <c r="B95" s="125"/>
      <c r="C95" s="170"/>
      <c r="D95" s="149"/>
      <c r="E95" s="149"/>
      <c r="F95" s="149"/>
      <c r="G95" s="149"/>
      <c r="H95" s="149"/>
      <c r="I95" s="188">
        <f t="shared" si="32"/>
        <v>0</v>
      </c>
      <c r="J95" s="170"/>
      <c r="K95" s="149"/>
      <c r="L95" s="149"/>
      <c r="M95" s="149"/>
      <c r="N95" s="149"/>
      <c r="O95" s="149"/>
      <c r="P95" s="188">
        <f t="shared" ref="P95:P100" si="35">sum(F95:J95)</f>
        <v>0</v>
      </c>
      <c r="Q95" s="132">
        <f t="shared" si="30"/>
        <v>0</v>
      </c>
      <c r="R95" s="133">
        <f t="shared" si="31"/>
        <v>0</v>
      </c>
      <c r="S95" s="121" t="str">
        <f t="shared" ref="S95:S100" si="36">IF(Q95=0,"",IF(Q95=0,0,IF(R95&gt;1,"перерасход","экономия")))</f>
        <v/>
      </c>
    </row>
    <row r="96" hidden="1" outlineLevel="1">
      <c r="A96" s="190"/>
      <c r="B96" s="125"/>
      <c r="C96" s="170"/>
      <c r="D96" s="149"/>
      <c r="E96" s="149"/>
      <c r="F96" s="149"/>
      <c r="G96" s="149"/>
      <c r="H96" s="149"/>
      <c r="I96" s="188">
        <f t="shared" si="32"/>
        <v>0</v>
      </c>
      <c r="J96" s="170"/>
      <c r="K96" s="149"/>
      <c r="L96" s="149"/>
      <c r="M96" s="149"/>
      <c r="N96" s="149"/>
      <c r="O96" s="149"/>
      <c r="P96" s="188">
        <f t="shared" si="35"/>
        <v>0</v>
      </c>
      <c r="Q96" s="132">
        <f t="shared" si="30"/>
        <v>0</v>
      </c>
      <c r="R96" s="133">
        <f t="shared" si="31"/>
        <v>0</v>
      </c>
      <c r="S96" s="121" t="str">
        <f t="shared" si="36"/>
        <v/>
      </c>
    </row>
    <row r="97" hidden="1" outlineLevel="1">
      <c r="A97" s="190"/>
      <c r="B97" s="125"/>
      <c r="C97" s="170"/>
      <c r="D97" s="149"/>
      <c r="E97" s="149"/>
      <c r="F97" s="149"/>
      <c r="G97" s="149"/>
      <c r="H97" s="149"/>
      <c r="I97" s="188">
        <f t="shared" si="32"/>
        <v>0</v>
      </c>
      <c r="J97" s="170"/>
      <c r="K97" s="149"/>
      <c r="L97" s="149"/>
      <c r="M97" s="149"/>
      <c r="N97" s="149"/>
      <c r="O97" s="149"/>
      <c r="P97" s="188">
        <f t="shared" si="35"/>
        <v>0</v>
      </c>
      <c r="Q97" s="132">
        <f t="shared" si="30"/>
        <v>0</v>
      </c>
      <c r="R97" s="133">
        <f t="shared" si="31"/>
        <v>0</v>
      </c>
      <c r="S97" s="121" t="str">
        <f t="shared" si="36"/>
        <v/>
      </c>
    </row>
    <row r="98" hidden="1" outlineLevel="1">
      <c r="A98" s="190"/>
      <c r="B98" s="125"/>
      <c r="C98" s="170"/>
      <c r="D98" s="149"/>
      <c r="E98" s="149"/>
      <c r="F98" s="149"/>
      <c r="G98" s="149"/>
      <c r="H98" s="149"/>
      <c r="I98" s="188">
        <f t="shared" si="32"/>
        <v>0</v>
      </c>
      <c r="J98" s="170"/>
      <c r="K98" s="149"/>
      <c r="L98" s="149"/>
      <c r="M98" s="149"/>
      <c r="N98" s="149"/>
      <c r="O98" s="149"/>
      <c r="P98" s="188">
        <f t="shared" si="35"/>
        <v>0</v>
      </c>
      <c r="Q98" s="132">
        <f t="shared" si="30"/>
        <v>0</v>
      </c>
      <c r="R98" s="133">
        <f t="shared" si="31"/>
        <v>0</v>
      </c>
      <c r="S98" s="121" t="str">
        <f t="shared" si="36"/>
        <v/>
      </c>
    </row>
    <row r="99" hidden="1" outlineLevel="1">
      <c r="A99" s="190"/>
      <c r="B99" s="125"/>
      <c r="C99" s="170"/>
      <c r="D99" s="149"/>
      <c r="E99" s="149"/>
      <c r="F99" s="149"/>
      <c r="G99" s="149"/>
      <c r="H99" s="149"/>
      <c r="I99" s="188">
        <f t="shared" si="32"/>
        <v>0</v>
      </c>
      <c r="J99" s="170"/>
      <c r="K99" s="149"/>
      <c r="L99" s="149"/>
      <c r="M99" s="149"/>
      <c r="N99" s="149"/>
      <c r="O99" s="149"/>
      <c r="P99" s="188">
        <f t="shared" si="35"/>
        <v>0</v>
      </c>
      <c r="Q99" s="132">
        <f t="shared" si="30"/>
        <v>0</v>
      </c>
      <c r="R99" s="133">
        <f t="shared" si="31"/>
        <v>0</v>
      </c>
      <c r="S99" s="121" t="str">
        <f t="shared" si="36"/>
        <v/>
      </c>
    </row>
    <row r="100" hidden="1" outlineLevel="1">
      <c r="A100" s="190"/>
      <c r="B100" s="125"/>
      <c r="C100" s="170"/>
      <c r="D100" s="149"/>
      <c r="E100" s="149"/>
      <c r="F100" s="149"/>
      <c r="G100" s="149"/>
      <c r="H100" s="149"/>
      <c r="I100" s="188">
        <f t="shared" si="32"/>
        <v>0</v>
      </c>
      <c r="J100" s="170"/>
      <c r="K100" s="149"/>
      <c r="L100" s="149"/>
      <c r="M100" s="149"/>
      <c r="N100" s="149"/>
      <c r="O100" s="149"/>
      <c r="P100" s="188">
        <f t="shared" si="35"/>
        <v>0</v>
      </c>
      <c r="Q100" s="132">
        <f t="shared" si="30"/>
        <v>0</v>
      </c>
      <c r="R100" s="133">
        <f t="shared" si="31"/>
        <v>0</v>
      </c>
      <c r="S100" s="121" t="str">
        <f t="shared" si="36"/>
        <v/>
      </c>
    </row>
    <row r="101">
      <c r="A101" s="135"/>
      <c r="B101" s="136" t="s">
        <v>90</v>
      </c>
      <c r="C101" s="137">
        <f t="shared" ref="C101:K101" si="37">SUM(C102:C131)</f>
        <v>0</v>
      </c>
      <c r="D101" s="138">
        <f t="shared" si="37"/>
        <v>0</v>
      </c>
      <c r="E101" s="138">
        <f t="shared" si="37"/>
        <v>0</v>
      </c>
      <c r="F101" s="138">
        <f t="shared" si="37"/>
        <v>0</v>
      </c>
      <c r="G101" s="138">
        <f t="shared" si="37"/>
        <v>0</v>
      </c>
      <c r="H101" s="138">
        <f t="shared" si="37"/>
        <v>0</v>
      </c>
      <c r="I101" s="139">
        <f t="shared" si="37"/>
        <v>0</v>
      </c>
      <c r="J101" s="137">
        <f t="shared" si="37"/>
        <v>0</v>
      </c>
      <c r="K101" s="138">
        <f t="shared" si="37"/>
        <v>0</v>
      </c>
      <c r="L101" s="138"/>
      <c r="M101" s="138"/>
      <c r="N101" s="138"/>
      <c r="O101" s="138"/>
      <c r="P101" s="140">
        <f>SUM(P102:P131)</f>
        <v>0</v>
      </c>
      <c r="Q101" s="138">
        <f t="shared" si="30"/>
        <v>0</v>
      </c>
      <c r="R101" s="187">
        <f t="shared" si="31"/>
        <v>0</v>
      </c>
      <c r="S101" s="141" t="str">
        <f>IF(Q101=0,"",IF(R101&gt;1,"план не выполнен","выполнение"))</f>
        <v/>
      </c>
    </row>
    <row r="102">
      <c r="A102" s="142" t="str">
        <f>IFERROR(VLOOKUP(B102,'Статьи'!$A$2:C124,3,0)," ")</f>
        <v>1С</v>
      </c>
      <c r="B102" s="125" t="str">
        <f>IFERROR(__xludf.DUMMYFUNCTION("iferror(filter('Статьи'!$A$1:$A182,'Статьи'!$B$1:$B182=$B$101))"),"Аренда, коммунальные услуги")</f>
        <v>Аренда, коммунальные услуги</v>
      </c>
      <c r="C102" s="171"/>
      <c r="D102" s="172"/>
      <c r="E102" s="149"/>
      <c r="F102" s="149"/>
      <c r="G102" s="149"/>
      <c r="H102" s="149"/>
      <c r="I102" s="188">
        <f t="shared" ref="I102:I141" si="38">sum(C102:H102)</f>
        <v>0</v>
      </c>
      <c r="J102" s="170"/>
      <c r="K102" s="149"/>
      <c r="L102" s="149"/>
      <c r="M102" s="149"/>
      <c r="N102" s="149"/>
      <c r="O102" s="149"/>
      <c r="P102" s="188">
        <f t="shared" ref="P102:P131" si="39">SUM(J102:K102)</f>
        <v>0</v>
      </c>
      <c r="Q102" s="132">
        <f t="shared" si="30"/>
        <v>0</v>
      </c>
      <c r="R102" s="133">
        <f t="shared" si="31"/>
        <v>0</v>
      </c>
      <c r="S102" s="121" t="str">
        <f t="shared" ref="S102:S131" si="40">IF(Q102=0,"",IF(R102=0,"обратить внимание",IF(R102&gt;1,"перерасход","экономия")))</f>
        <v/>
      </c>
    </row>
    <row r="103">
      <c r="A103" s="191" t="str">
        <f>IFERROR(VLOOKUP(B103,'Статьи'!$A$2:C125,3,0)," ")</f>
        <v>1С</v>
      </c>
      <c r="B103" s="192" t="str">
        <f>IFERROR(__xludf.DUMMYFUNCTION("""COMPUTED_VALUE"""),"Аутсорсинг и прочие услуги")</f>
        <v>Аутсорсинг и прочие услуги</v>
      </c>
      <c r="C103" s="171"/>
      <c r="D103" s="172"/>
      <c r="E103" s="149"/>
      <c r="F103" s="149"/>
      <c r="G103" s="149"/>
      <c r="H103" s="149"/>
      <c r="I103" s="188">
        <f t="shared" si="38"/>
        <v>0</v>
      </c>
      <c r="J103" s="170"/>
      <c r="K103" s="149"/>
      <c r="L103" s="149"/>
      <c r="M103" s="149"/>
      <c r="N103" s="149"/>
      <c r="O103" s="149"/>
      <c r="P103" s="188">
        <f t="shared" si="39"/>
        <v>0</v>
      </c>
      <c r="Q103" s="132">
        <f t="shared" si="30"/>
        <v>0</v>
      </c>
      <c r="R103" s="133">
        <f t="shared" si="31"/>
        <v>0</v>
      </c>
      <c r="S103" s="121" t="str">
        <f t="shared" si="40"/>
        <v/>
      </c>
    </row>
    <row r="104">
      <c r="A104" s="193" t="str">
        <f>IFERROR(VLOOKUP(B104,'Статьи'!$A$2:C126,3,0)," ")</f>
        <v>1С</v>
      </c>
      <c r="B104" s="194" t="str">
        <f>IFERROR(__xludf.DUMMYFUNCTION("""COMPUTED_VALUE"""),"Командировочные расходы")</f>
        <v>Командировочные расходы</v>
      </c>
      <c r="C104" s="171"/>
      <c r="D104" s="172"/>
      <c r="E104" s="149"/>
      <c r="F104" s="149"/>
      <c r="G104" s="149"/>
      <c r="H104" s="149"/>
      <c r="I104" s="188">
        <f t="shared" si="38"/>
        <v>0</v>
      </c>
      <c r="J104" s="170"/>
      <c r="K104" s="149"/>
      <c r="L104" s="149"/>
      <c r="M104" s="149"/>
      <c r="N104" s="149"/>
      <c r="O104" s="149"/>
      <c r="P104" s="188">
        <f t="shared" si="39"/>
        <v>0</v>
      </c>
      <c r="Q104" s="132">
        <f t="shared" si="30"/>
        <v>0</v>
      </c>
      <c r="R104" s="133">
        <f t="shared" si="31"/>
        <v>0</v>
      </c>
      <c r="S104" s="121" t="str">
        <f t="shared" si="40"/>
        <v/>
      </c>
    </row>
    <row r="105">
      <c r="A105" s="195" t="str">
        <f>IFERROR(VLOOKUP(B105,'Статьи'!$A$2:C127,3,0)," ")</f>
        <v>ДДС отчетного месяца. Без НДС!</v>
      </c>
      <c r="B105" s="196" t="str">
        <f>IFERROR(__xludf.DUMMYFUNCTION("""COMPUTED_VALUE"""),"Комиссии банка")</f>
        <v>Комиссии банка</v>
      </c>
      <c r="C105" s="171"/>
      <c r="D105" s="172"/>
      <c r="E105" s="149"/>
      <c r="F105" s="149"/>
      <c r="G105" s="149"/>
      <c r="H105" s="149"/>
      <c r="I105" s="188">
        <f t="shared" si="38"/>
        <v>0</v>
      </c>
      <c r="J105" s="170"/>
      <c r="K105" s="149"/>
      <c r="L105" s="149"/>
      <c r="M105" s="149"/>
      <c r="N105" s="149"/>
      <c r="O105" s="149"/>
      <c r="P105" s="188">
        <f t="shared" si="39"/>
        <v>0</v>
      </c>
      <c r="Q105" s="132">
        <f t="shared" si="30"/>
        <v>0</v>
      </c>
      <c r="R105" s="133">
        <f t="shared" si="31"/>
        <v>0</v>
      </c>
      <c r="S105" s="121" t="str">
        <f t="shared" si="40"/>
        <v/>
      </c>
    </row>
    <row r="106">
      <c r="A106" s="191" t="str">
        <f>IFERROR(VLOOKUP(B106,'Статьи'!$A$2:C128,3,0)," ")</f>
        <v>ДДС отчетного месяца. Без НДС!</v>
      </c>
      <c r="B106" s="192" t="str">
        <f>IFERROR(__xludf.DUMMYFUNCTION("""COMPUTED_VALUE"""),"Обучение сотрудников")</f>
        <v>Обучение сотрудников</v>
      </c>
      <c r="C106" s="171"/>
      <c r="D106" s="172"/>
      <c r="E106" s="149"/>
      <c r="F106" s="149"/>
      <c r="G106" s="149"/>
      <c r="H106" s="149"/>
      <c r="I106" s="188">
        <f t="shared" si="38"/>
        <v>0</v>
      </c>
      <c r="J106" s="170"/>
      <c r="K106" s="149"/>
      <c r="L106" s="149"/>
      <c r="M106" s="149"/>
      <c r="N106" s="149"/>
      <c r="O106" s="149"/>
      <c r="P106" s="188">
        <f t="shared" si="39"/>
        <v>0</v>
      </c>
      <c r="Q106" s="132">
        <f t="shared" si="30"/>
        <v>0</v>
      </c>
      <c r="R106" s="133">
        <f t="shared" si="31"/>
        <v>0</v>
      </c>
      <c r="S106" s="121" t="str">
        <f t="shared" si="40"/>
        <v/>
      </c>
    </row>
    <row r="107">
      <c r="A107" s="142" t="str">
        <f>IFERROR(VLOOKUP(B107,'Статьи'!$A$2:C129,3,0)," ")</f>
        <v>ДДС отчетного месяца. Без НДС!</v>
      </c>
      <c r="B107" s="125" t="str">
        <f>IFERROR(__xludf.DUMMYFUNCTION("""COMPUTED_VALUE"""),"Подбор персонала")</f>
        <v>Подбор персонала</v>
      </c>
      <c r="C107" s="171"/>
      <c r="D107" s="172"/>
      <c r="E107" s="149"/>
      <c r="F107" s="149"/>
      <c r="G107" s="149"/>
      <c r="H107" s="149"/>
      <c r="I107" s="188">
        <f t="shared" si="38"/>
        <v>0</v>
      </c>
      <c r="J107" s="189"/>
      <c r="K107" s="149"/>
      <c r="L107" s="149"/>
      <c r="M107" s="149"/>
      <c r="N107" s="149"/>
      <c r="O107" s="149"/>
      <c r="P107" s="188">
        <f t="shared" si="39"/>
        <v>0</v>
      </c>
      <c r="Q107" s="132">
        <f t="shared" si="30"/>
        <v>0</v>
      </c>
      <c r="R107" s="133">
        <f t="shared" si="31"/>
        <v>0</v>
      </c>
      <c r="S107" s="121" t="str">
        <f t="shared" si="40"/>
        <v/>
      </c>
    </row>
    <row r="108">
      <c r="A108" s="142" t="str">
        <f>IFERROR(VLOOKUP(B108,'Статьи'!$A$2:C130,3,0)," ")</f>
        <v>ДДС отчетного месяца. Без НДС!</v>
      </c>
      <c r="B108" s="125" t="str">
        <f>IFERROR(__xludf.DUMMYFUNCTION("""COMPUTED_VALUE"""),"Почтовые расходы")</f>
        <v>Почтовые расходы</v>
      </c>
      <c r="C108" s="171"/>
      <c r="D108" s="172"/>
      <c r="E108" s="149"/>
      <c r="F108" s="149"/>
      <c r="G108" s="149"/>
      <c r="H108" s="149"/>
      <c r="I108" s="188">
        <f t="shared" si="38"/>
        <v>0</v>
      </c>
      <c r="J108" s="170"/>
      <c r="K108" s="149"/>
      <c r="L108" s="149"/>
      <c r="M108" s="149"/>
      <c r="N108" s="149"/>
      <c r="O108" s="149"/>
      <c r="P108" s="188">
        <f t="shared" si="39"/>
        <v>0</v>
      </c>
      <c r="Q108" s="132">
        <f t="shared" si="30"/>
        <v>0</v>
      </c>
      <c r="R108" s="133">
        <f t="shared" si="31"/>
        <v>0</v>
      </c>
      <c r="S108" s="121" t="str">
        <f t="shared" si="40"/>
        <v/>
      </c>
    </row>
    <row r="109">
      <c r="A109" s="142" t="str">
        <f>IFERROR(VLOOKUP(B109,'Статьи'!$A$2:C131,3,0)," ")</f>
        <v>ДДС отчетного месяца. Без НДС!</v>
      </c>
      <c r="B109" s="125" t="str">
        <f>IFERROR(__xludf.DUMMYFUNCTION("""COMPUTED_VALUE"""),"Представительские расходы")</f>
        <v>Представительские расходы</v>
      </c>
      <c r="C109" s="171"/>
      <c r="D109" s="172"/>
      <c r="E109" s="149"/>
      <c r="F109" s="149"/>
      <c r="G109" s="149"/>
      <c r="H109" s="149"/>
      <c r="I109" s="188">
        <f t="shared" si="38"/>
        <v>0</v>
      </c>
      <c r="J109" s="170"/>
      <c r="K109" s="149"/>
      <c r="L109" s="149"/>
      <c r="M109" s="149"/>
      <c r="N109" s="149"/>
      <c r="O109" s="149"/>
      <c r="P109" s="188">
        <f t="shared" si="39"/>
        <v>0</v>
      </c>
      <c r="Q109" s="132">
        <f t="shared" si="30"/>
        <v>0</v>
      </c>
      <c r="R109" s="133">
        <f t="shared" si="31"/>
        <v>0</v>
      </c>
      <c r="S109" s="121" t="str">
        <f t="shared" si="40"/>
        <v/>
      </c>
    </row>
    <row r="110">
      <c r="A110" s="142" t="str">
        <f>IFERROR(VLOOKUP(B110,'Статьи'!$A$2:C132,3,0)," ")</f>
        <v>ДДС отчетного месяца. Без НДС!</v>
      </c>
      <c r="B110" s="125" t="str">
        <f>IFERROR(__xludf.DUMMYFUNCTION("""COMPUTED_VALUE"""),"Содержание офиса")</f>
        <v>Содержание офиса</v>
      </c>
      <c r="C110" s="171"/>
      <c r="D110" s="172"/>
      <c r="E110" s="149"/>
      <c r="F110" s="149"/>
      <c r="G110" s="149"/>
      <c r="H110" s="149"/>
      <c r="I110" s="188">
        <f t="shared" si="38"/>
        <v>0</v>
      </c>
      <c r="J110" s="189"/>
      <c r="K110" s="149"/>
      <c r="L110" s="149"/>
      <c r="M110" s="149"/>
      <c r="N110" s="149"/>
      <c r="O110" s="149"/>
      <c r="P110" s="188">
        <f t="shared" si="39"/>
        <v>0</v>
      </c>
      <c r="Q110" s="132">
        <f t="shared" si="30"/>
        <v>0</v>
      </c>
      <c r="R110" s="133">
        <f t="shared" si="31"/>
        <v>0</v>
      </c>
      <c r="S110" s="121" t="str">
        <f t="shared" si="40"/>
        <v/>
      </c>
    </row>
    <row r="111">
      <c r="A111" s="142" t="str">
        <f>IFERROR(VLOOKUP(B111,'Статьи'!$A$2:C133,3,0)," ")</f>
        <v>ДДС отчетного месяца. Без НДС!</v>
      </c>
      <c r="B111" s="125" t="str">
        <f>IFERROR(__xludf.DUMMYFUNCTION("""COMPUTED_VALUE"""),"Услуги связи + Интернет")</f>
        <v>Услуги связи + Интернет</v>
      </c>
      <c r="C111" s="171"/>
      <c r="D111" s="172"/>
      <c r="E111" s="149"/>
      <c r="F111" s="149"/>
      <c r="G111" s="149"/>
      <c r="H111" s="149"/>
      <c r="I111" s="188">
        <f t="shared" si="38"/>
        <v>0</v>
      </c>
      <c r="J111" s="189"/>
      <c r="K111" s="149"/>
      <c r="L111" s="149"/>
      <c r="M111" s="149"/>
      <c r="N111" s="149"/>
      <c r="O111" s="149"/>
      <c r="P111" s="188">
        <f t="shared" si="39"/>
        <v>0</v>
      </c>
      <c r="Q111" s="132">
        <f t="shared" si="30"/>
        <v>0</v>
      </c>
      <c r="R111" s="133">
        <f t="shared" si="31"/>
        <v>0</v>
      </c>
      <c r="S111" s="121" t="str">
        <f t="shared" si="40"/>
        <v/>
      </c>
    </row>
    <row r="112">
      <c r="A112" s="142" t="str">
        <f>IFERROR(VLOOKUP(B112,'Статьи'!$A$2:C134,3,0)," ")</f>
        <v>ДДС отчетного месяца. Без НДС!</v>
      </c>
      <c r="B112" s="125" t="str">
        <f>IFERROR(__xludf.DUMMYFUNCTION("""COMPUTED_VALUE"""),"Штрафы")</f>
        <v>Штрафы</v>
      </c>
      <c r="C112" s="171"/>
      <c r="D112" s="172"/>
      <c r="E112" s="149"/>
      <c r="F112" s="149"/>
      <c r="G112" s="149"/>
      <c r="H112" s="149"/>
      <c r="I112" s="188">
        <f t="shared" si="38"/>
        <v>0</v>
      </c>
      <c r="J112" s="189"/>
      <c r="K112" s="149"/>
      <c r="L112" s="149"/>
      <c r="M112" s="149"/>
      <c r="N112" s="149"/>
      <c r="O112" s="149"/>
      <c r="P112" s="188">
        <f t="shared" si="39"/>
        <v>0</v>
      </c>
      <c r="Q112" s="132">
        <f t="shared" si="30"/>
        <v>0</v>
      </c>
      <c r="R112" s="133">
        <f t="shared" si="31"/>
        <v>0</v>
      </c>
      <c r="S112" s="121" t="str">
        <f t="shared" si="40"/>
        <v/>
      </c>
    </row>
    <row r="113" collapsed="1">
      <c r="A113" s="142" t="str">
        <f>IFERROR(VLOOKUP(B113,'Статьи'!$A$2:C135,3,0)," ")</f>
        <v> </v>
      </c>
      <c r="B113" s="125"/>
      <c r="C113" s="197"/>
      <c r="D113" s="149"/>
      <c r="E113" s="149"/>
      <c r="F113" s="149"/>
      <c r="G113" s="149"/>
      <c r="H113" s="149"/>
      <c r="I113" s="188">
        <f t="shared" si="38"/>
        <v>0</v>
      </c>
      <c r="J113" s="189"/>
      <c r="K113" s="149"/>
      <c r="L113" s="149"/>
      <c r="M113" s="149"/>
      <c r="N113" s="149"/>
      <c r="O113" s="149"/>
      <c r="P113" s="188">
        <f t="shared" si="39"/>
        <v>0</v>
      </c>
      <c r="Q113" s="132">
        <f t="shared" si="30"/>
        <v>0</v>
      </c>
      <c r="R113" s="133">
        <f t="shared" si="31"/>
        <v>0</v>
      </c>
      <c r="S113" s="121" t="str">
        <f t="shared" si="40"/>
        <v/>
      </c>
    </row>
    <row r="114" hidden="1" outlineLevel="1">
      <c r="A114" s="142" t="str">
        <f>IFERROR(VLOOKUP(B114,'Статьи'!$A$2:C136,3,0)," ")</f>
        <v> </v>
      </c>
      <c r="B114" s="125"/>
      <c r="C114" s="197"/>
      <c r="D114" s="149"/>
      <c r="E114" s="149"/>
      <c r="F114" s="149"/>
      <c r="G114" s="149"/>
      <c r="H114" s="149"/>
      <c r="I114" s="188">
        <f t="shared" si="38"/>
        <v>0</v>
      </c>
      <c r="J114" s="170"/>
      <c r="K114" s="149"/>
      <c r="L114" s="149"/>
      <c r="M114" s="149"/>
      <c r="N114" s="149"/>
      <c r="O114" s="149"/>
      <c r="P114" s="188">
        <f t="shared" si="39"/>
        <v>0</v>
      </c>
      <c r="Q114" s="132">
        <f t="shared" si="30"/>
        <v>0</v>
      </c>
      <c r="R114" s="133">
        <f t="shared" si="31"/>
        <v>0</v>
      </c>
      <c r="S114" s="121" t="str">
        <f t="shared" si="40"/>
        <v/>
      </c>
    </row>
    <row r="115" hidden="1" outlineLevel="1">
      <c r="A115" s="142" t="str">
        <f>IFERROR(VLOOKUP(B115,'Статьи'!$A$2:C137,3,0)," ")</f>
        <v> </v>
      </c>
      <c r="B115" s="125"/>
      <c r="C115" s="197"/>
      <c r="D115" s="149"/>
      <c r="E115" s="198"/>
      <c r="F115" s="198"/>
      <c r="G115" s="198"/>
      <c r="H115" s="198"/>
      <c r="I115" s="188">
        <f t="shared" si="38"/>
        <v>0</v>
      </c>
      <c r="J115" s="189"/>
      <c r="K115" s="149"/>
      <c r="L115" s="149"/>
      <c r="M115" s="149"/>
      <c r="N115" s="149"/>
      <c r="O115" s="149"/>
      <c r="P115" s="188">
        <f t="shared" si="39"/>
        <v>0</v>
      </c>
      <c r="Q115" s="132">
        <f t="shared" si="30"/>
        <v>0</v>
      </c>
      <c r="R115" s="133">
        <f t="shared" si="31"/>
        <v>0</v>
      </c>
      <c r="S115" s="121" t="str">
        <f t="shared" si="40"/>
        <v/>
      </c>
    </row>
    <row r="116" hidden="1" outlineLevel="1">
      <c r="A116" s="142" t="str">
        <f>IFERROR(VLOOKUP(B116,'Статьи'!$A$2:C138,3,0)," ")</f>
        <v> </v>
      </c>
      <c r="B116" s="125"/>
      <c r="C116" s="197"/>
      <c r="D116" s="149"/>
      <c r="E116" s="149"/>
      <c r="F116" s="149"/>
      <c r="G116" s="149"/>
      <c r="H116" s="149"/>
      <c r="I116" s="188">
        <f t="shared" si="38"/>
        <v>0</v>
      </c>
      <c r="J116" s="189"/>
      <c r="K116" s="149"/>
      <c r="L116" s="149"/>
      <c r="M116" s="149"/>
      <c r="N116" s="149"/>
      <c r="O116" s="149"/>
      <c r="P116" s="188">
        <f t="shared" si="39"/>
        <v>0</v>
      </c>
      <c r="Q116" s="132">
        <f t="shared" si="30"/>
        <v>0</v>
      </c>
      <c r="R116" s="133">
        <f t="shared" si="31"/>
        <v>0</v>
      </c>
      <c r="S116" s="121" t="str">
        <f t="shared" si="40"/>
        <v/>
      </c>
    </row>
    <row r="117" hidden="1" outlineLevel="1">
      <c r="A117" s="142" t="str">
        <f>IFERROR(VLOOKUP(B117,'Статьи'!$A$2:C139,3,0)," ")</f>
        <v> </v>
      </c>
      <c r="B117" s="125"/>
      <c r="C117" s="197"/>
      <c r="D117" s="149"/>
      <c r="E117" s="149"/>
      <c r="F117" s="149"/>
      <c r="G117" s="149"/>
      <c r="H117" s="149"/>
      <c r="I117" s="188">
        <f t="shared" si="38"/>
        <v>0</v>
      </c>
      <c r="J117" s="189"/>
      <c r="K117" s="149"/>
      <c r="L117" s="149"/>
      <c r="M117" s="149"/>
      <c r="N117" s="149"/>
      <c r="O117" s="149"/>
      <c r="P117" s="188">
        <f t="shared" si="39"/>
        <v>0</v>
      </c>
      <c r="Q117" s="132">
        <f t="shared" si="30"/>
        <v>0</v>
      </c>
      <c r="R117" s="133">
        <f t="shared" si="31"/>
        <v>0</v>
      </c>
      <c r="S117" s="121" t="str">
        <f t="shared" si="40"/>
        <v/>
      </c>
    </row>
    <row r="118" hidden="1" outlineLevel="1">
      <c r="A118" s="142" t="str">
        <f>IFERROR(VLOOKUP(B118,'Статьи'!$A$2:C140,3,0)," ")</f>
        <v> </v>
      </c>
      <c r="B118" s="125"/>
      <c r="C118" s="197"/>
      <c r="D118" s="149"/>
      <c r="E118" s="149"/>
      <c r="F118" s="149"/>
      <c r="G118" s="149"/>
      <c r="H118" s="149"/>
      <c r="I118" s="188">
        <f t="shared" si="38"/>
        <v>0</v>
      </c>
      <c r="J118" s="170"/>
      <c r="K118" s="149"/>
      <c r="L118" s="149"/>
      <c r="M118" s="149"/>
      <c r="N118" s="149"/>
      <c r="O118" s="149"/>
      <c r="P118" s="188">
        <f t="shared" si="39"/>
        <v>0</v>
      </c>
      <c r="Q118" s="132">
        <f t="shared" si="30"/>
        <v>0</v>
      </c>
      <c r="R118" s="133">
        <f t="shared" si="31"/>
        <v>0</v>
      </c>
      <c r="S118" s="121" t="str">
        <f t="shared" si="40"/>
        <v/>
      </c>
    </row>
    <row r="119" hidden="1" outlineLevel="1">
      <c r="A119" s="142" t="str">
        <f>IFERROR(VLOOKUP(B119,'Статьи'!$A$2:C141,3,0)," ")</f>
        <v> </v>
      </c>
      <c r="B119" s="125"/>
      <c r="C119" s="197"/>
      <c r="D119" s="149"/>
      <c r="E119" s="149"/>
      <c r="F119" s="149"/>
      <c r="G119" s="149"/>
      <c r="H119" s="149"/>
      <c r="I119" s="188">
        <f t="shared" si="38"/>
        <v>0</v>
      </c>
      <c r="J119" s="189"/>
      <c r="K119" s="149"/>
      <c r="L119" s="149"/>
      <c r="M119" s="149"/>
      <c r="N119" s="149"/>
      <c r="O119" s="149"/>
      <c r="P119" s="188">
        <f t="shared" si="39"/>
        <v>0</v>
      </c>
      <c r="Q119" s="132">
        <f t="shared" si="30"/>
        <v>0</v>
      </c>
      <c r="R119" s="133">
        <f t="shared" si="31"/>
        <v>0</v>
      </c>
      <c r="S119" s="121" t="str">
        <f t="shared" si="40"/>
        <v/>
      </c>
    </row>
    <row r="120" hidden="1" outlineLevel="1">
      <c r="A120" s="142" t="str">
        <f>IFERROR(VLOOKUP(B120,'Статьи'!$A$2:C142,3,0)," ")</f>
        <v> </v>
      </c>
      <c r="B120" s="125"/>
      <c r="C120" s="197"/>
      <c r="D120" s="149"/>
      <c r="E120" s="149"/>
      <c r="F120" s="149"/>
      <c r="G120" s="149"/>
      <c r="H120" s="149"/>
      <c r="I120" s="188">
        <f t="shared" si="38"/>
        <v>0</v>
      </c>
      <c r="J120" s="189"/>
      <c r="K120" s="149"/>
      <c r="L120" s="149"/>
      <c r="M120" s="149"/>
      <c r="N120" s="149"/>
      <c r="O120" s="149"/>
      <c r="P120" s="188">
        <f t="shared" si="39"/>
        <v>0</v>
      </c>
      <c r="Q120" s="132">
        <f t="shared" si="30"/>
        <v>0</v>
      </c>
      <c r="R120" s="133">
        <f t="shared" si="31"/>
        <v>0</v>
      </c>
      <c r="S120" s="121" t="str">
        <f t="shared" si="40"/>
        <v/>
      </c>
    </row>
    <row r="121" hidden="1" outlineLevel="1">
      <c r="A121" s="142" t="str">
        <f>IFERROR(VLOOKUP(B121,'Статьи'!$A$2:C143,3,0)," ")</f>
        <v> </v>
      </c>
      <c r="B121" s="125"/>
      <c r="C121" s="197"/>
      <c r="D121" s="149"/>
      <c r="E121" s="149"/>
      <c r="F121" s="149"/>
      <c r="G121" s="149"/>
      <c r="H121" s="149"/>
      <c r="I121" s="188">
        <f t="shared" si="38"/>
        <v>0</v>
      </c>
      <c r="J121" s="170"/>
      <c r="K121" s="149"/>
      <c r="L121" s="149"/>
      <c r="M121" s="149"/>
      <c r="N121" s="149"/>
      <c r="O121" s="149"/>
      <c r="P121" s="188">
        <f t="shared" si="39"/>
        <v>0</v>
      </c>
      <c r="Q121" s="132">
        <f t="shared" si="30"/>
        <v>0</v>
      </c>
      <c r="R121" s="133">
        <f t="shared" si="31"/>
        <v>0</v>
      </c>
      <c r="S121" s="121" t="str">
        <f t="shared" si="40"/>
        <v/>
      </c>
    </row>
    <row r="122" hidden="1" outlineLevel="1">
      <c r="A122" s="142" t="str">
        <f>IFERROR(VLOOKUP(B122,'Статьи'!$A$2:C144,3,0)," ")</f>
        <v> </v>
      </c>
      <c r="B122" s="125"/>
      <c r="C122" s="197"/>
      <c r="D122" s="149"/>
      <c r="E122" s="149"/>
      <c r="F122" s="149"/>
      <c r="G122" s="149"/>
      <c r="H122" s="149"/>
      <c r="I122" s="188">
        <f t="shared" si="38"/>
        <v>0</v>
      </c>
      <c r="J122" s="189"/>
      <c r="K122" s="149"/>
      <c r="L122" s="149"/>
      <c r="M122" s="149"/>
      <c r="N122" s="149"/>
      <c r="O122" s="149"/>
      <c r="P122" s="188">
        <f t="shared" si="39"/>
        <v>0</v>
      </c>
      <c r="Q122" s="132">
        <f t="shared" si="30"/>
        <v>0</v>
      </c>
      <c r="R122" s="133">
        <f t="shared" si="31"/>
        <v>0</v>
      </c>
      <c r="S122" s="121" t="str">
        <f t="shared" si="40"/>
        <v/>
      </c>
    </row>
    <row r="123" hidden="1" outlineLevel="1">
      <c r="A123" s="142" t="str">
        <f>IFERROR(VLOOKUP(B123,'Статьи'!$A$2:C145,3,0)," ")</f>
        <v> </v>
      </c>
      <c r="B123" s="125"/>
      <c r="C123" s="197"/>
      <c r="D123" s="149"/>
      <c r="E123" s="149"/>
      <c r="F123" s="149"/>
      <c r="G123" s="149"/>
      <c r="H123" s="149"/>
      <c r="I123" s="188">
        <f t="shared" si="38"/>
        <v>0</v>
      </c>
      <c r="J123" s="170"/>
      <c r="K123" s="149"/>
      <c r="L123" s="149"/>
      <c r="M123" s="149"/>
      <c r="N123" s="149"/>
      <c r="O123" s="149"/>
      <c r="P123" s="188">
        <f t="shared" si="39"/>
        <v>0</v>
      </c>
      <c r="Q123" s="132">
        <f t="shared" si="30"/>
        <v>0</v>
      </c>
      <c r="R123" s="133">
        <f t="shared" si="31"/>
        <v>0</v>
      </c>
      <c r="S123" s="121" t="str">
        <f t="shared" si="40"/>
        <v/>
      </c>
    </row>
    <row r="124" hidden="1" outlineLevel="1">
      <c r="A124" s="142" t="str">
        <f>IFERROR(VLOOKUP(B124,'Статьи'!$A$2:C146,3,0)," ")</f>
        <v> </v>
      </c>
      <c r="B124" s="125"/>
      <c r="C124" s="170"/>
      <c r="D124" s="149"/>
      <c r="E124" s="149"/>
      <c r="F124" s="149"/>
      <c r="G124" s="149"/>
      <c r="H124" s="149"/>
      <c r="I124" s="188">
        <f t="shared" si="38"/>
        <v>0</v>
      </c>
      <c r="J124" s="170"/>
      <c r="K124" s="149"/>
      <c r="L124" s="149"/>
      <c r="M124" s="149"/>
      <c r="N124" s="149"/>
      <c r="O124" s="149"/>
      <c r="P124" s="188">
        <f t="shared" si="39"/>
        <v>0</v>
      </c>
      <c r="Q124" s="132">
        <f t="shared" si="30"/>
        <v>0</v>
      </c>
      <c r="R124" s="133">
        <f t="shared" si="31"/>
        <v>0</v>
      </c>
      <c r="S124" s="121" t="str">
        <f t="shared" si="40"/>
        <v/>
      </c>
    </row>
    <row r="125" hidden="1" outlineLevel="1">
      <c r="A125" s="142" t="str">
        <f>IFERROR(VLOOKUP(B125,'Статьи'!$A$2:C147,3,0)," ")</f>
        <v> </v>
      </c>
      <c r="B125" s="125"/>
      <c r="C125" s="170"/>
      <c r="D125" s="149"/>
      <c r="E125" s="149"/>
      <c r="F125" s="149"/>
      <c r="G125" s="149"/>
      <c r="H125" s="149"/>
      <c r="I125" s="188">
        <f t="shared" si="38"/>
        <v>0</v>
      </c>
      <c r="J125" s="170"/>
      <c r="K125" s="149"/>
      <c r="L125" s="149"/>
      <c r="M125" s="149"/>
      <c r="N125" s="149"/>
      <c r="O125" s="149"/>
      <c r="P125" s="188">
        <f t="shared" si="39"/>
        <v>0</v>
      </c>
      <c r="Q125" s="132">
        <f t="shared" si="30"/>
        <v>0</v>
      </c>
      <c r="R125" s="133">
        <f t="shared" si="31"/>
        <v>0</v>
      </c>
      <c r="S125" s="121" t="str">
        <f t="shared" si="40"/>
        <v/>
      </c>
    </row>
    <row r="126" hidden="1" outlineLevel="1">
      <c r="A126" s="142" t="str">
        <f>IFERROR(VLOOKUP(B126,'Статьи'!$A$2:C148,3,0)," ")</f>
        <v> </v>
      </c>
      <c r="B126" s="125"/>
      <c r="C126" s="170"/>
      <c r="D126" s="149"/>
      <c r="E126" s="149"/>
      <c r="F126" s="149"/>
      <c r="G126" s="149"/>
      <c r="H126" s="149"/>
      <c r="I126" s="188">
        <f t="shared" si="38"/>
        <v>0</v>
      </c>
      <c r="J126" s="170"/>
      <c r="K126" s="149"/>
      <c r="L126" s="149"/>
      <c r="M126" s="149"/>
      <c r="N126" s="149"/>
      <c r="O126" s="149"/>
      <c r="P126" s="188">
        <f t="shared" si="39"/>
        <v>0</v>
      </c>
      <c r="Q126" s="132">
        <f t="shared" si="30"/>
        <v>0</v>
      </c>
      <c r="R126" s="133">
        <f t="shared" si="31"/>
        <v>0</v>
      </c>
      <c r="S126" s="121" t="str">
        <f t="shared" si="40"/>
        <v/>
      </c>
    </row>
    <row r="127" hidden="1" outlineLevel="1">
      <c r="A127" s="142" t="str">
        <f>IFERROR(VLOOKUP(B127,'Статьи'!$A$2:C149,3,0)," ")</f>
        <v> </v>
      </c>
      <c r="B127" s="125"/>
      <c r="C127" s="170"/>
      <c r="D127" s="149"/>
      <c r="E127" s="149"/>
      <c r="F127" s="149"/>
      <c r="G127" s="149"/>
      <c r="H127" s="149"/>
      <c r="I127" s="188">
        <f t="shared" si="38"/>
        <v>0</v>
      </c>
      <c r="J127" s="170"/>
      <c r="K127" s="149"/>
      <c r="L127" s="149"/>
      <c r="M127" s="149"/>
      <c r="N127" s="149"/>
      <c r="O127" s="149"/>
      <c r="P127" s="188">
        <f t="shared" si="39"/>
        <v>0</v>
      </c>
      <c r="Q127" s="132">
        <f t="shared" si="30"/>
        <v>0</v>
      </c>
      <c r="R127" s="133">
        <f t="shared" si="31"/>
        <v>0</v>
      </c>
      <c r="S127" s="121" t="str">
        <f t="shared" si="40"/>
        <v/>
      </c>
    </row>
    <row r="128" hidden="1" outlineLevel="1">
      <c r="A128" s="142" t="str">
        <f>IFERROR(VLOOKUP(B128,'Статьи'!$A$2:C150,3,0)," ")</f>
        <v> </v>
      </c>
      <c r="B128" s="125"/>
      <c r="C128" s="170"/>
      <c r="D128" s="149"/>
      <c r="E128" s="149"/>
      <c r="F128" s="149"/>
      <c r="G128" s="149"/>
      <c r="H128" s="149"/>
      <c r="I128" s="188">
        <f t="shared" si="38"/>
        <v>0</v>
      </c>
      <c r="J128" s="170"/>
      <c r="K128" s="149"/>
      <c r="L128" s="149"/>
      <c r="M128" s="149"/>
      <c r="N128" s="149"/>
      <c r="O128" s="149"/>
      <c r="P128" s="188">
        <f t="shared" si="39"/>
        <v>0</v>
      </c>
      <c r="Q128" s="132">
        <f t="shared" si="30"/>
        <v>0</v>
      </c>
      <c r="R128" s="133">
        <f t="shared" si="31"/>
        <v>0</v>
      </c>
      <c r="S128" s="121" t="str">
        <f t="shared" si="40"/>
        <v/>
      </c>
    </row>
    <row r="129" hidden="1" outlineLevel="1">
      <c r="A129" s="142" t="str">
        <f>IFERROR(VLOOKUP(B129,'Статьи'!$A$2:C151,3,0)," ")</f>
        <v> </v>
      </c>
      <c r="B129" s="125"/>
      <c r="C129" s="170"/>
      <c r="D129" s="149"/>
      <c r="E129" s="149"/>
      <c r="F129" s="149"/>
      <c r="G129" s="149"/>
      <c r="H129" s="149"/>
      <c r="I129" s="188">
        <f t="shared" si="38"/>
        <v>0</v>
      </c>
      <c r="J129" s="170"/>
      <c r="K129" s="149"/>
      <c r="L129" s="149"/>
      <c r="M129" s="149"/>
      <c r="N129" s="149"/>
      <c r="O129" s="149"/>
      <c r="P129" s="188">
        <f t="shared" si="39"/>
        <v>0</v>
      </c>
      <c r="Q129" s="132">
        <f t="shared" si="30"/>
        <v>0</v>
      </c>
      <c r="R129" s="133">
        <f t="shared" si="31"/>
        <v>0</v>
      </c>
      <c r="S129" s="121" t="str">
        <f t="shared" si="40"/>
        <v/>
      </c>
    </row>
    <row r="130" hidden="1" outlineLevel="1">
      <c r="A130" s="142" t="str">
        <f>IFERROR(VLOOKUP(B130,'Статьи'!$A$2:C152,3,0)," ")</f>
        <v> </v>
      </c>
      <c r="B130" s="125"/>
      <c r="C130" s="170"/>
      <c r="D130" s="149"/>
      <c r="E130" s="149"/>
      <c r="F130" s="149"/>
      <c r="G130" s="149"/>
      <c r="H130" s="149"/>
      <c r="I130" s="188">
        <f t="shared" si="38"/>
        <v>0</v>
      </c>
      <c r="J130" s="170"/>
      <c r="K130" s="149"/>
      <c r="L130" s="149"/>
      <c r="M130" s="149"/>
      <c r="N130" s="149"/>
      <c r="O130" s="149"/>
      <c r="P130" s="188">
        <f t="shared" si="39"/>
        <v>0</v>
      </c>
      <c r="Q130" s="132">
        <f t="shared" si="30"/>
        <v>0</v>
      </c>
      <c r="R130" s="133">
        <f t="shared" si="31"/>
        <v>0</v>
      </c>
      <c r="S130" s="121" t="str">
        <f t="shared" si="40"/>
        <v/>
      </c>
    </row>
    <row r="131">
      <c r="A131" s="142" t="str">
        <f>IFERROR(VLOOKUP(B131,'Статьи'!$A$2:C153,3,0)," ")</f>
        <v> </v>
      </c>
      <c r="B131" s="125"/>
      <c r="C131" s="170"/>
      <c r="D131" s="149"/>
      <c r="E131" s="149"/>
      <c r="F131" s="149"/>
      <c r="G131" s="149"/>
      <c r="H131" s="149"/>
      <c r="I131" s="188">
        <f t="shared" si="38"/>
        <v>0</v>
      </c>
      <c r="J131" s="170"/>
      <c r="K131" s="149"/>
      <c r="L131" s="149"/>
      <c r="M131" s="149"/>
      <c r="N131" s="149"/>
      <c r="O131" s="149"/>
      <c r="P131" s="188">
        <f t="shared" si="39"/>
        <v>0</v>
      </c>
      <c r="Q131" s="132">
        <f t="shared" si="30"/>
        <v>0</v>
      </c>
      <c r="R131" s="133">
        <f t="shared" si="31"/>
        <v>0</v>
      </c>
      <c r="S131" s="121" t="str">
        <f t="shared" si="40"/>
        <v/>
      </c>
    </row>
    <row r="132">
      <c r="A132" s="135"/>
      <c r="B132" s="136" t="s">
        <v>107</v>
      </c>
      <c r="C132" s="137">
        <f t="shared" ref="C132:H132" si="41">SUM(C133:C141)</f>
        <v>0</v>
      </c>
      <c r="D132" s="138">
        <f t="shared" si="41"/>
        <v>0</v>
      </c>
      <c r="E132" s="138">
        <f t="shared" si="41"/>
        <v>0</v>
      </c>
      <c r="F132" s="138">
        <f t="shared" si="41"/>
        <v>0</v>
      </c>
      <c r="G132" s="138">
        <f t="shared" si="41"/>
        <v>0</v>
      </c>
      <c r="H132" s="138">
        <f t="shared" si="41"/>
        <v>0</v>
      </c>
      <c r="I132" s="139">
        <f t="shared" si="38"/>
        <v>0</v>
      </c>
      <c r="J132" s="137">
        <f t="shared" ref="J132:P132" si="42">SUM(J133:J141)</f>
        <v>0</v>
      </c>
      <c r="K132" s="138">
        <f t="shared" si="42"/>
        <v>0</v>
      </c>
      <c r="L132" s="138">
        <f t="shared" si="42"/>
        <v>0</v>
      </c>
      <c r="M132" s="138">
        <f t="shared" si="42"/>
        <v>0</v>
      </c>
      <c r="N132" s="138">
        <f t="shared" si="42"/>
        <v>0</v>
      </c>
      <c r="O132" s="138">
        <f t="shared" si="42"/>
        <v>0</v>
      </c>
      <c r="P132" s="140">
        <f t="shared" si="42"/>
        <v>0</v>
      </c>
      <c r="Q132" s="138">
        <f t="shared" si="30"/>
        <v>0</v>
      </c>
      <c r="R132" s="187">
        <f t="shared" si="31"/>
        <v>0</v>
      </c>
      <c r="S132" s="229" t="str">
        <f>IF(Q132=0,"",IF(R132&gt;1,"план не выполнен","выполнение"))</f>
        <v/>
      </c>
    </row>
    <row r="133" collapsed="1">
      <c r="A133" s="142" t="str">
        <f>IFERROR(VLOOKUP(B133,'Статьи'!$A$2:C155,3,0)," ")</f>
        <v>ДДС отчетного месяца. Без НДС!</v>
      </c>
      <c r="B133" s="125" t="str">
        <f>IFERROR(__xludf.DUMMYFUNCTION("iferror(filter('Статьи'!$A$1:$A182,'Статьи'!$B$1:$B182=$B$132))"),"Подписка на сайты по поиску клиентов")</f>
        <v>Подписка на сайты по поиску клиентов</v>
      </c>
      <c r="C133" s="170"/>
      <c r="D133" s="149"/>
      <c r="E133" s="149"/>
      <c r="F133" s="149"/>
      <c r="G133" s="149"/>
      <c r="H133" s="149"/>
      <c r="I133" s="188">
        <f t="shared" si="38"/>
        <v>0</v>
      </c>
      <c r="J133" s="170"/>
      <c r="K133" s="149"/>
      <c r="L133" s="149"/>
      <c r="M133" s="149"/>
      <c r="N133" s="149"/>
      <c r="O133" s="149"/>
      <c r="P133" s="188">
        <f t="shared" ref="P133:P140" si="43">SUM(J133:K133)</f>
        <v>0</v>
      </c>
      <c r="Q133" s="132">
        <f t="shared" si="30"/>
        <v>0</v>
      </c>
      <c r="R133" s="133">
        <f t="shared" si="31"/>
        <v>0</v>
      </c>
      <c r="S133" s="121" t="str">
        <f t="shared" ref="S133:S141" si="44">IF(Q133=0,"",IF(R133=0,"обратить внимание",IF(R133&gt;1,"перерасход","экономия")))</f>
        <v/>
      </c>
    </row>
    <row r="134" hidden="1" outlineLevel="1">
      <c r="A134" s="142" t="str">
        <f>IFERROR(VLOOKUP(B134,'Статьи'!$A$2:C156,3,0)," ")</f>
        <v> </v>
      </c>
      <c r="B134" s="125"/>
      <c r="C134" s="170"/>
      <c r="D134" s="149"/>
      <c r="E134" s="149"/>
      <c r="F134" s="149"/>
      <c r="G134" s="149"/>
      <c r="H134" s="149"/>
      <c r="I134" s="188">
        <f t="shared" si="38"/>
        <v>0</v>
      </c>
      <c r="J134" s="170"/>
      <c r="K134" s="149"/>
      <c r="L134" s="149"/>
      <c r="M134" s="149"/>
      <c r="N134" s="149"/>
      <c r="O134" s="149"/>
      <c r="P134" s="188">
        <f t="shared" si="43"/>
        <v>0</v>
      </c>
      <c r="Q134" s="132">
        <f t="shared" si="30"/>
        <v>0</v>
      </c>
      <c r="R134" s="133">
        <f t="shared" si="31"/>
        <v>0</v>
      </c>
      <c r="S134" s="121" t="str">
        <f t="shared" si="44"/>
        <v/>
      </c>
    </row>
    <row r="135" hidden="1" outlineLevel="1">
      <c r="A135" s="175" t="str">
        <f>IFERROR(VLOOKUP(B135,'Статьи'!$A$2:C157,3,0)," ")</f>
        <v> </v>
      </c>
      <c r="B135" s="175"/>
      <c r="C135" s="170"/>
      <c r="D135" s="149"/>
      <c r="E135" s="149"/>
      <c r="F135" s="149"/>
      <c r="G135" s="149"/>
      <c r="H135" s="149"/>
      <c r="I135" s="188">
        <f t="shared" si="38"/>
        <v>0</v>
      </c>
      <c r="J135" s="170"/>
      <c r="K135" s="149"/>
      <c r="L135" s="149"/>
      <c r="M135" s="149"/>
      <c r="N135" s="149"/>
      <c r="O135" s="149"/>
      <c r="P135" s="188">
        <f t="shared" si="43"/>
        <v>0</v>
      </c>
      <c r="Q135" s="132">
        <f t="shared" si="30"/>
        <v>0</v>
      </c>
      <c r="R135" s="133">
        <f t="shared" si="31"/>
        <v>0</v>
      </c>
      <c r="S135" s="121" t="str">
        <f t="shared" si="44"/>
        <v/>
      </c>
    </row>
    <row r="136" hidden="1" outlineLevel="1">
      <c r="A136" s="175" t="str">
        <f>IFERROR(VLOOKUP(B136,'Статьи'!$A$2:C158,3,0)," ")</f>
        <v> </v>
      </c>
      <c r="B136" s="175"/>
      <c r="C136" s="170"/>
      <c r="D136" s="149"/>
      <c r="E136" s="149"/>
      <c r="F136" s="149"/>
      <c r="G136" s="149"/>
      <c r="H136" s="149"/>
      <c r="I136" s="188">
        <f t="shared" si="38"/>
        <v>0</v>
      </c>
      <c r="J136" s="170"/>
      <c r="K136" s="149"/>
      <c r="L136" s="149"/>
      <c r="M136" s="149"/>
      <c r="N136" s="149"/>
      <c r="O136" s="149"/>
      <c r="P136" s="188">
        <f t="shared" si="43"/>
        <v>0</v>
      </c>
      <c r="Q136" s="132">
        <f t="shared" si="30"/>
        <v>0</v>
      </c>
      <c r="R136" s="133">
        <f t="shared" si="31"/>
        <v>0</v>
      </c>
      <c r="S136" s="121" t="str">
        <f t="shared" si="44"/>
        <v/>
      </c>
    </row>
    <row r="137" hidden="1" outlineLevel="1">
      <c r="A137" s="175" t="str">
        <f>IFERROR(VLOOKUP(B137,'Статьи'!$A$2:C159,3,0)," ")</f>
        <v> </v>
      </c>
      <c r="B137" s="175"/>
      <c r="C137" s="170"/>
      <c r="D137" s="149"/>
      <c r="E137" s="149"/>
      <c r="F137" s="149"/>
      <c r="G137" s="149"/>
      <c r="H137" s="149"/>
      <c r="I137" s="188">
        <f t="shared" si="38"/>
        <v>0</v>
      </c>
      <c r="J137" s="170"/>
      <c r="K137" s="149"/>
      <c r="L137" s="149"/>
      <c r="M137" s="149"/>
      <c r="N137" s="149"/>
      <c r="O137" s="149"/>
      <c r="P137" s="188">
        <f t="shared" si="43"/>
        <v>0</v>
      </c>
      <c r="Q137" s="132">
        <f t="shared" si="30"/>
        <v>0</v>
      </c>
      <c r="R137" s="133">
        <f t="shared" si="31"/>
        <v>0</v>
      </c>
      <c r="S137" s="121" t="str">
        <f t="shared" si="44"/>
        <v/>
      </c>
    </row>
    <row r="138" hidden="1" outlineLevel="1">
      <c r="A138" s="175" t="str">
        <f>IFERROR(VLOOKUP(B138,'Статьи'!$A$2:C160,3,0)," ")</f>
        <v> </v>
      </c>
      <c r="B138" s="175"/>
      <c r="C138" s="170"/>
      <c r="D138" s="149"/>
      <c r="E138" s="149"/>
      <c r="F138" s="149"/>
      <c r="G138" s="149"/>
      <c r="H138" s="149"/>
      <c r="I138" s="188">
        <f t="shared" si="38"/>
        <v>0</v>
      </c>
      <c r="J138" s="170"/>
      <c r="K138" s="149"/>
      <c r="L138" s="149"/>
      <c r="M138" s="149"/>
      <c r="N138" s="149"/>
      <c r="O138" s="149"/>
      <c r="P138" s="188">
        <f t="shared" si="43"/>
        <v>0</v>
      </c>
      <c r="Q138" s="132">
        <f t="shared" si="30"/>
        <v>0</v>
      </c>
      <c r="R138" s="133">
        <f t="shared" si="31"/>
        <v>0</v>
      </c>
      <c r="S138" s="121" t="str">
        <f t="shared" si="44"/>
        <v/>
      </c>
    </row>
    <row r="139" hidden="1" outlineLevel="1">
      <c r="A139" s="175" t="str">
        <f>IFERROR(VLOOKUP(B139,'Статьи'!$A$2:C161,3,0)," ")</f>
        <v> </v>
      </c>
      <c r="B139" s="175"/>
      <c r="C139" s="170"/>
      <c r="D139" s="149"/>
      <c r="E139" s="149"/>
      <c r="F139" s="149"/>
      <c r="G139" s="149"/>
      <c r="H139" s="149"/>
      <c r="I139" s="188">
        <f t="shared" si="38"/>
        <v>0</v>
      </c>
      <c r="J139" s="170"/>
      <c r="K139" s="149"/>
      <c r="L139" s="149"/>
      <c r="M139" s="149"/>
      <c r="N139" s="149"/>
      <c r="O139" s="149"/>
      <c r="P139" s="188">
        <f t="shared" si="43"/>
        <v>0</v>
      </c>
      <c r="Q139" s="132">
        <f t="shared" si="30"/>
        <v>0</v>
      </c>
      <c r="R139" s="133">
        <f t="shared" si="31"/>
        <v>0</v>
      </c>
      <c r="S139" s="121" t="str">
        <f t="shared" si="44"/>
        <v/>
      </c>
    </row>
    <row r="140" hidden="1" outlineLevel="1">
      <c r="A140" s="175" t="str">
        <f>IFERROR(VLOOKUP(B140,'Статьи'!$A$2:C162,3,0)," ")</f>
        <v> </v>
      </c>
      <c r="B140" s="175"/>
      <c r="C140" s="170"/>
      <c r="D140" s="149"/>
      <c r="E140" s="149"/>
      <c r="F140" s="149"/>
      <c r="G140" s="149"/>
      <c r="H140" s="149"/>
      <c r="I140" s="188">
        <f t="shared" si="38"/>
        <v>0</v>
      </c>
      <c r="J140" s="170"/>
      <c r="K140" s="149"/>
      <c r="L140" s="149"/>
      <c r="M140" s="149"/>
      <c r="N140" s="149"/>
      <c r="O140" s="149"/>
      <c r="P140" s="188">
        <f t="shared" si="43"/>
        <v>0</v>
      </c>
      <c r="Q140" s="132">
        <f t="shared" si="30"/>
        <v>0</v>
      </c>
      <c r="R140" s="133">
        <f t="shared" si="31"/>
        <v>0</v>
      </c>
      <c r="S140" s="121" t="str">
        <f t="shared" si="44"/>
        <v/>
      </c>
    </row>
    <row r="141">
      <c r="A141" s="175" t="str">
        <f>IFERROR(VLOOKUP(B141,'Статьи'!$A$2:C163,3,0)," ")</f>
        <v> </v>
      </c>
      <c r="B141" s="175"/>
      <c r="C141" s="170"/>
      <c r="D141" s="149"/>
      <c r="E141" s="149"/>
      <c r="F141" s="149"/>
      <c r="G141" s="149"/>
      <c r="H141" s="149"/>
      <c r="I141" s="188">
        <f t="shared" si="38"/>
        <v>0</v>
      </c>
      <c r="J141" s="170"/>
      <c r="K141" s="149"/>
      <c r="L141" s="149"/>
      <c r="M141" s="149"/>
      <c r="N141" s="149"/>
      <c r="O141" s="149"/>
      <c r="P141" s="188">
        <f>sum(F141:J141)</f>
        <v>0</v>
      </c>
      <c r="Q141" s="132">
        <f t="shared" si="30"/>
        <v>0</v>
      </c>
      <c r="R141" s="133">
        <f t="shared" si="31"/>
        <v>0</v>
      </c>
      <c r="S141" s="121" t="str">
        <f t="shared" si="44"/>
        <v/>
      </c>
    </row>
    <row r="142">
      <c r="A142" s="152"/>
      <c r="B142" s="153" t="s">
        <v>142</v>
      </c>
      <c r="C142" s="154">
        <f t="shared" ref="C142:K142" si="45">C85+C88</f>
        <v>0</v>
      </c>
      <c r="D142" s="155">
        <f t="shared" si="45"/>
        <v>0</v>
      </c>
      <c r="E142" s="155">
        <f t="shared" si="45"/>
        <v>0</v>
      </c>
      <c r="F142" s="155">
        <f t="shared" si="45"/>
        <v>0</v>
      </c>
      <c r="G142" s="155">
        <f t="shared" si="45"/>
        <v>0</v>
      </c>
      <c r="H142" s="155">
        <f t="shared" si="45"/>
        <v>0</v>
      </c>
      <c r="I142" s="157">
        <f t="shared" si="45"/>
        <v>0</v>
      </c>
      <c r="J142" s="154">
        <f t="shared" si="45"/>
        <v>0</v>
      </c>
      <c r="K142" s="155">
        <f t="shared" si="45"/>
        <v>0</v>
      </c>
      <c r="L142" s="155"/>
      <c r="M142" s="155"/>
      <c r="N142" s="155"/>
      <c r="O142" s="155"/>
      <c r="P142" s="157">
        <f>P85+P88</f>
        <v>0</v>
      </c>
      <c r="Q142" s="155">
        <f t="shared" si="30"/>
        <v>0</v>
      </c>
      <c r="R142" s="158">
        <f t="shared" si="31"/>
        <v>0</v>
      </c>
      <c r="S142" s="159" t="str">
        <f>IF(Q142=0,"",IF(R142&gt;1,"выполнение","план не выполнен"))</f>
        <v/>
      </c>
    </row>
    <row r="143">
      <c r="A143" s="160"/>
      <c r="B143" s="161" t="s">
        <v>143</v>
      </c>
      <c r="C143" s="162" t="str">
        <f t="shared" ref="C143:K143" si="46">IFERROR(C142/C$3,"")</f>
        <v/>
      </c>
      <c r="D143" s="163" t="str">
        <f t="shared" si="46"/>
        <v/>
      </c>
      <c r="E143" s="163" t="str">
        <f t="shared" si="46"/>
        <v/>
      </c>
      <c r="F143" s="163" t="str">
        <f t="shared" si="46"/>
        <v/>
      </c>
      <c r="G143" s="163" t="str">
        <f t="shared" si="46"/>
        <v/>
      </c>
      <c r="H143" s="163" t="str">
        <f t="shared" si="46"/>
        <v/>
      </c>
      <c r="I143" s="164" t="str">
        <f t="shared" si="46"/>
        <v/>
      </c>
      <c r="J143" s="162" t="str">
        <f t="shared" si="46"/>
        <v/>
      </c>
      <c r="K143" s="163" t="str">
        <f t="shared" si="46"/>
        <v/>
      </c>
      <c r="L143" s="163"/>
      <c r="M143" s="163"/>
      <c r="N143" s="163"/>
      <c r="O143" s="163"/>
      <c r="P143" s="164" t="str">
        <f>IFERROR(P142/P$3,"")</f>
        <v/>
      </c>
      <c r="Q143" s="133"/>
      <c r="R143" s="133"/>
      <c r="S143" s="121" t="str">
        <f t="shared" ref="S143:S144" si="47">IF(Q143=0,"",IF(Q143=0,0,IF(R143&gt;1,"перерасход","экономия")))</f>
        <v/>
      </c>
    </row>
    <row r="144">
      <c r="A144" s="142"/>
      <c r="B144" s="125"/>
      <c r="C144" s="199"/>
      <c r="D144" s="200"/>
      <c r="E144" s="200"/>
      <c r="F144" s="200"/>
      <c r="G144" s="200"/>
      <c r="H144" s="200"/>
      <c r="I144" s="116"/>
      <c r="J144" s="123"/>
      <c r="K144" s="118"/>
      <c r="L144" s="118"/>
      <c r="M144" s="118"/>
      <c r="N144" s="118"/>
      <c r="O144" s="118"/>
      <c r="P144" s="116"/>
      <c r="Q144" s="132"/>
      <c r="R144" s="133"/>
      <c r="S144" s="121" t="str">
        <f t="shared" si="47"/>
        <v/>
      </c>
    </row>
    <row r="145">
      <c r="A145" s="201"/>
      <c r="B145" s="202" t="s">
        <v>111</v>
      </c>
      <c r="C145" s="203">
        <f t="shared" ref="C145:H145" si="48">SUM(C146:C154)</f>
        <v>0</v>
      </c>
      <c r="D145" s="204">
        <f t="shared" si="48"/>
        <v>0</v>
      </c>
      <c r="E145" s="204">
        <f t="shared" si="48"/>
        <v>0</v>
      </c>
      <c r="F145" s="204">
        <f t="shared" si="48"/>
        <v>0</v>
      </c>
      <c r="G145" s="204">
        <f t="shared" si="48"/>
        <v>0</v>
      </c>
      <c r="H145" s="204">
        <f t="shared" si="48"/>
        <v>0</v>
      </c>
      <c r="I145" s="205">
        <f>SUM(C145:H145)</f>
        <v>0</v>
      </c>
      <c r="J145" s="206">
        <f t="shared" ref="J145:P145" si="49">SUM(J146:J154)</f>
        <v>0</v>
      </c>
      <c r="K145" s="207">
        <f t="shared" si="49"/>
        <v>0</v>
      </c>
      <c r="L145" s="207">
        <f t="shared" si="49"/>
        <v>0</v>
      </c>
      <c r="M145" s="207">
        <f t="shared" si="49"/>
        <v>0</v>
      </c>
      <c r="N145" s="207">
        <f t="shared" si="49"/>
        <v>0</v>
      </c>
      <c r="O145" s="207">
        <f t="shared" si="49"/>
        <v>0</v>
      </c>
      <c r="P145" s="208">
        <f t="shared" si="49"/>
        <v>0</v>
      </c>
      <c r="Q145" s="204">
        <f t="shared" ref="Q145:Q173" si="50">I145-P145</f>
        <v>0</v>
      </c>
      <c r="R145" s="209">
        <f t="shared" ref="R145:R173" si="51">IFERROR(I145/P145,0)</f>
        <v>0</v>
      </c>
      <c r="S145" s="210" t="str">
        <f>IF(Q145=0,"",IF(R145&gt;1,"выполнение","план не выполнен"))</f>
        <v/>
      </c>
    </row>
    <row r="146">
      <c r="A146" s="142" t="str">
        <f>IFERROR(VLOOKUP(B146,'Статьи'!$A$2:C168,3,0)," ")</f>
        <v>ДДС отчетного месяца. Без НДС!</v>
      </c>
      <c r="B146" s="125" t="str">
        <f>IFERROR(__xludf.DUMMYFUNCTION("iferror(filter('Статьи'!$A$1:$A182,'Статьи'!$B$1:$B182=B145))"),"Поступления прочие")</f>
        <v>Поступления прочие</v>
      </c>
      <c r="C146" s="170"/>
      <c r="D146" s="149"/>
      <c r="E146" s="149"/>
      <c r="F146" s="149"/>
      <c r="G146" s="149"/>
      <c r="H146" s="149"/>
      <c r="I146" s="211">
        <f t="shared" ref="I146:I172" si="52">sum(C146:H146)</f>
        <v>0</v>
      </c>
      <c r="J146" s="122"/>
      <c r="K146" s="114"/>
      <c r="L146" s="114"/>
      <c r="M146" s="114"/>
      <c r="N146" s="114"/>
      <c r="O146" s="114"/>
      <c r="P146" s="211">
        <f t="shared" ref="P146:P153" si="53">SUM(J146:K146)</f>
        <v>0</v>
      </c>
      <c r="Q146" s="132">
        <f t="shared" si="50"/>
        <v>0</v>
      </c>
      <c r="R146" s="133">
        <f t="shared" si="51"/>
        <v>0</v>
      </c>
      <c r="S146" s="121" t="str">
        <f t="shared" ref="S146:S154" si="54">IF(Q146=0,"",IF(R146=0,"обратить внимание",IF(R146&gt;1,"выполнение","план не выполнен")))</f>
        <v/>
      </c>
    </row>
    <row r="147">
      <c r="A147" s="142" t="str">
        <f>IFERROR(VLOOKUP(B147,'Статьи'!$A$2:C169,3,0)," ")</f>
        <v>ДДС отчетного месяца. Без НДС!</v>
      </c>
      <c r="B147" s="125" t="str">
        <f>IFERROR(__xludf.DUMMYFUNCTION("""COMPUTED_VALUE"""),"Поступления страховые выплаты")</f>
        <v>Поступления страховые выплаты</v>
      </c>
      <c r="C147" s="170"/>
      <c r="D147" s="149"/>
      <c r="E147" s="149"/>
      <c r="F147" s="149"/>
      <c r="G147" s="149"/>
      <c r="H147" s="149"/>
      <c r="I147" s="211">
        <f t="shared" si="52"/>
        <v>0</v>
      </c>
      <c r="J147" s="122"/>
      <c r="K147" s="114"/>
      <c r="L147" s="114"/>
      <c r="M147" s="114"/>
      <c r="N147" s="114"/>
      <c r="O147" s="114"/>
      <c r="P147" s="211">
        <f t="shared" si="53"/>
        <v>0</v>
      </c>
      <c r="Q147" s="132">
        <f t="shared" si="50"/>
        <v>0</v>
      </c>
      <c r="R147" s="133">
        <f t="shared" si="51"/>
        <v>0</v>
      </c>
      <c r="S147" s="121" t="str">
        <f t="shared" si="54"/>
        <v/>
      </c>
    </row>
    <row r="148">
      <c r="A148" s="142" t="str">
        <f>IFERROR(VLOOKUP(B148,'Статьи'!$A$2:C170,3,0)," ")</f>
        <v>отчет Учета ОС Вкладка Свод строка 37</v>
      </c>
      <c r="B148" s="125" t="str">
        <f>IFERROR(__xludf.DUMMYFUNCTION("""COMPUTED_VALUE"""),"Продажа ОС")</f>
        <v>Продажа ОС</v>
      </c>
      <c r="C148" s="170"/>
      <c r="D148" s="149"/>
      <c r="E148" s="149"/>
      <c r="F148" s="149"/>
      <c r="G148" s="149"/>
      <c r="H148" s="149"/>
      <c r="I148" s="211">
        <f t="shared" si="52"/>
        <v>0</v>
      </c>
      <c r="J148" s="122"/>
      <c r="K148" s="114"/>
      <c r="L148" s="114"/>
      <c r="M148" s="114"/>
      <c r="N148" s="114"/>
      <c r="O148" s="114"/>
      <c r="P148" s="211">
        <f t="shared" si="53"/>
        <v>0</v>
      </c>
      <c r="Q148" s="132">
        <f t="shared" si="50"/>
        <v>0</v>
      </c>
      <c r="R148" s="133">
        <f t="shared" si="51"/>
        <v>0</v>
      </c>
      <c r="S148" s="121" t="str">
        <f t="shared" si="54"/>
        <v/>
      </c>
    </row>
    <row r="149">
      <c r="A149" s="142" t="str">
        <f>IFERROR(VLOOKUP(B149,'Статьи'!$A$2:C171,3,0)," ")</f>
        <v>ДДС отчетного месяца. Без НДС!</v>
      </c>
      <c r="B149" s="125" t="str">
        <f>IFERROR(__xludf.DUMMYFUNCTION("""COMPUTED_VALUE"""),"Прочие поступления от фин. операций")</f>
        <v>Прочие поступления от фин. операций</v>
      </c>
      <c r="C149" s="170"/>
      <c r="D149" s="149"/>
      <c r="E149" s="149"/>
      <c r="F149" s="149"/>
      <c r="G149" s="149"/>
      <c r="H149" s="149"/>
      <c r="I149" s="211">
        <f t="shared" si="52"/>
        <v>0</v>
      </c>
      <c r="J149" s="122"/>
      <c r="K149" s="114"/>
      <c r="L149" s="114"/>
      <c r="M149" s="114"/>
      <c r="N149" s="114"/>
      <c r="O149" s="114"/>
      <c r="P149" s="211">
        <f t="shared" si="53"/>
        <v>0</v>
      </c>
      <c r="Q149" s="132">
        <f t="shared" si="50"/>
        <v>0</v>
      </c>
      <c r="R149" s="133">
        <f t="shared" si="51"/>
        <v>0</v>
      </c>
      <c r="S149" s="121" t="str">
        <f t="shared" si="54"/>
        <v/>
      </c>
    </row>
    <row r="150">
      <c r="A150" s="142" t="str">
        <f>IFERROR(VLOOKUP(B150,'Статьи'!$A$2:C172,3,0)," ")</f>
        <v> </v>
      </c>
      <c r="B150" s="125"/>
      <c r="C150" s="170"/>
      <c r="D150" s="149"/>
      <c r="E150" s="149"/>
      <c r="F150" s="149"/>
      <c r="G150" s="149"/>
      <c r="H150" s="149"/>
      <c r="I150" s="211">
        <f t="shared" si="52"/>
        <v>0</v>
      </c>
      <c r="J150" s="122" t="str">
        <f>C150</f>
        <v/>
      </c>
      <c r="K150" s="114"/>
      <c r="L150" s="114"/>
      <c r="M150" s="114"/>
      <c r="N150" s="114"/>
      <c r="O150" s="114"/>
      <c r="P150" s="211">
        <f t="shared" si="53"/>
        <v>0</v>
      </c>
      <c r="Q150" s="132">
        <f t="shared" si="50"/>
        <v>0</v>
      </c>
      <c r="R150" s="133">
        <f t="shared" si="51"/>
        <v>0</v>
      </c>
      <c r="S150" s="121" t="str">
        <f t="shared" si="54"/>
        <v/>
      </c>
    </row>
    <row r="151" collapsed="1">
      <c r="A151" s="142" t="str">
        <f>IFERROR(VLOOKUP(B151,'Статьи'!$A$2:C173,3,0)," ")</f>
        <v> </v>
      </c>
      <c r="B151" s="125"/>
      <c r="C151" s="170"/>
      <c r="D151" s="149"/>
      <c r="E151" s="149"/>
      <c r="F151" s="149"/>
      <c r="G151" s="149"/>
      <c r="H151" s="149"/>
      <c r="I151" s="211">
        <f t="shared" si="52"/>
        <v>0</v>
      </c>
      <c r="J151" s="122"/>
      <c r="K151" s="114"/>
      <c r="L151" s="114"/>
      <c r="M151" s="114"/>
      <c r="N151" s="114"/>
      <c r="O151" s="114"/>
      <c r="P151" s="211">
        <f t="shared" si="53"/>
        <v>0</v>
      </c>
      <c r="Q151" s="132">
        <f t="shared" si="50"/>
        <v>0</v>
      </c>
      <c r="R151" s="133">
        <f t="shared" si="51"/>
        <v>0</v>
      </c>
      <c r="S151" s="121" t="str">
        <f t="shared" si="54"/>
        <v/>
      </c>
    </row>
    <row r="152" hidden="1" outlineLevel="1">
      <c r="A152" s="142" t="str">
        <f>IFERROR(VLOOKUP(B152,'Статьи'!$A$2:C174,3,0)," ")</f>
        <v> </v>
      </c>
      <c r="B152" s="125"/>
      <c r="C152" s="170"/>
      <c r="D152" s="149"/>
      <c r="E152" s="149"/>
      <c r="F152" s="149"/>
      <c r="G152" s="149"/>
      <c r="H152" s="149"/>
      <c r="I152" s="211">
        <f t="shared" si="52"/>
        <v>0</v>
      </c>
      <c r="J152" s="122"/>
      <c r="K152" s="114"/>
      <c r="L152" s="114"/>
      <c r="M152" s="114"/>
      <c r="N152" s="114"/>
      <c r="O152" s="114"/>
      <c r="P152" s="211">
        <f t="shared" si="53"/>
        <v>0</v>
      </c>
      <c r="Q152" s="132">
        <f t="shared" si="50"/>
        <v>0</v>
      </c>
      <c r="R152" s="133">
        <f t="shared" si="51"/>
        <v>0</v>
      </c>
      <c r="S152" s="121" t="str">
        <f t="shared" si="54"/>
        <v/>
      </c>
    </row>
    <row r="153" hidden="1" outlineLevel="1">
      <c r="A153" s="142" t="str">
        <f>IFERROR(VLOOKUP(B153,'Статьи'!$A$2:C175,3,0)," ")</f>
        <v> </v>
      </c>
      <c r="B153" s="125"/>
      <c r="C153" s="170"/>
      <c r="D153" s="149"/>
      <c r="E153" s="149"/>
      <c r="F153" s="149"/>
      <c r="G153" s="149"/>
      <c r="H153" s="149"/>
      <c r="I153" s="211">
        <f t="shared" si="52"/>
        <v>0</v>
      </c>
      <c r="J153" s="122"/>
      <c r="K153" s="114"/>
      <c r="L153" s="114"/>
      <c r="M153" s="114"/>
      <c r="N153" s="114"/>
      <c r="O153" s="114"/>
      <c r="P153" s="211">
        <f t="shared" si="53"/>
        <v>0</v>
      </c>
      <c r="Q153" s="132">
        <f t="shared" si="50"/>
        <v>0</v>
      </c>
      <c r="R153" s="133">
        <f t="shared" si="51"/>
        <v>0</v>
      </c>
      <c r="S153" s="121" t="str">
        <f t="shared" si="54"/>
        <v/>
      </c>
    </row>
    <row r="154">
      <c r="A154" s="142" t="str">
        <f>IFERROR(VLOOKUP(B154,'Статьи'!$A$2:C176,3,0)," ")</f>
        <v> </v>
      </c>
      <c r="B154" s="125"/>
      <c r="C154" s="170"/>
      <c r="D154" s="149"/>
      <c r="E154" s="149"/>
      <c r="F154" s="149"/>
      <c r="G154" s="149"/>
      <c r="H154" s="149"/>
      <c r="I154" s="211">
        <f t="shared" si="52"/>
        <v>0</v>
      </c>
      <c r="J154" s="122"/>
      <c r="K154" s="114"/>
      <c r="L154" s="114"/>
      <c r="M154" s="114"/>
      <c r="N154" s="114"/>
      <c r="O154" s="114"/>
      <c r="P154" s="211">
        <f>sum(F154:J154)</f>
        <v>0</v>
      </c>
      <c r="Q154" s="132">
        <f t="shared" si="50"/>
        <v>0</v>
      </c>
      <c r="R154" s="133">
        <f t="shared" si="51"/>
        <v>0</v>
      </c>
      <c r="S154" s="121" t="str">
        <f t="shared" si="54"/>
        <v/>
      </c>
    </row>
    <row r="155">
      <c r="A155" s="212"/>
      <c r="B155" s="213" t="s">
        <v>101</v>
      </c>
      <c r="C155" s="203">
        <f t="shared" ref="C155:H155" si="55">SUM(C156:C172)</f>
        <v>0</v>
      </c>
      <c r="D155" s="204">
        <f t="shared" si="55"/>
        <v>0</v>
      </c>
      <c r="E155" s="204">
        <f t="shared" si="55"/>
        <v>0</v>
      </c>
      <c r="F155" s="204">
        <f t="shared" si="55"/>
        <v>0</v>
      </c>
      <c r="G155" s="204">
        <f t="shared" si="55"/>
        <v>0</v>
      </c>
      <c r="H155" s="204">
        <f t="shared" si="55"/>
        <v>0</v>
      </c>
      <c r="I155" s="208">
        <f t="shared" si="52"/>
        <v>0</v>
      </c>
      <c r="J155" s="206">
        <f t="shared" ref="J155:K155" si="56">SUM(J156:J172)</f>
        <v>0</v>
      </c>
      <c r="K155" s="207">
        <f t="shared" si="56"/>
        <v>0</v>
      </c>
      <c r="L155" s="207"/>
      <c r="M155" s="207"/>
      <c r="N155" s="207"/>
      <c r="O155" s="207"/>
      <c r="P155" s="208">
        <f>SUM(P156:P172)</f>
        <v>0</v>
      </c>
      <c r="Q155" s="207">
        <f t="shared" si="50"/>
        <v>0</v>
      </c>
      <c r="R155" s="214">
        <f t="shared" si="51"/>
        <v>0</v>
      </c>
      <c r="S155" s="210" t="str">
        <f>IF(Q155=0,"",IF(R155&gt;1,"план не выполнен","выполнение"))</f>
        <v/>
      </c>
    </row>
    <row r="156">
      <c r="A156" s="142" t="str">
        <f>IFERROR(VLOOKUP(B156,'Статьи'!$A$2:C178,3,0)," ")</f>
        <v>ДДС отчетного месяца. Без НДС!</v>
      </c>
      <c r="B156" s="125" t="str">
        <f>IFERROR(__xludf.DUMMYFUNCTION("iferror(filter('Статьи'!$A$1:$A182,'Статьи'!$B$1:$B182=B155))"),"Курсовые разницы")</f>
        <v>Курсовые разницы</v>
      </c>
      <c r="C156" s="171"/>
      <c r="D156" s="149"/>
      <c r="E156" s="149"/>
      <c r="F156" s="149"/>
      <c r="G156" s="149"/>
      <c r="H156" s="149"/>
      <c r="I156" s="211">
        <f t="shared" si="52"/>
        <v>0</v>
      </c>
      <c r="J156" s="122"/>
      <c r="K156" s="114"/>
      <c r="L156" s="114"/>
      <c r="M156" s="114"/>
      <c r="N156" s="114"/>
      <c r="O156" s="114"/>
      <c r="P156" s="211">
        <f t="shared" ref="P156:P171" si="57">SUM(J156:K156)</f>
        <v>0</v>
      </c>
      <c r="Q156" s="132">
        <f t="shared" si="50"/>
        <v>0</v>
      </c>
      <c r="R156" s="133">
        <f t="shared" si="51"/>
        <v>0</v>
      </c>
      <c r="S156" s="121" t="str">
        <f t="shared" ref="S156:S172" si="58">IF(Q156=0,"",IF(R156=0,"обратить внимание",IF(R156&gt;1,"перерасход","экономия")))</f>
        <v/>
      </c>
    </row>
    <row r="157">
      <c r="A157" s="142" t="str">
        <f>IFERROR(VLOOKUP(B157,'Статьи'!$A$2:C179,3,0)," ")</f>
        <v>1С</v>
      </c>
      <c r="B157" s="125" t="str">
        <f>IFERROR(__xludf.DUMMYFUNCTION("""COMPUTED_VALUE"""),"Налог  на прибыль УСН 6%")</f>
        <v>Налог  на прибыль УСН 6%</v>
      </c>
      <c r="C157" s="171"/>
      <c r="D157" s="149"/>
      <c r="E157" s="149"/>
      <c r="F157" s="149"/>
      <c r="G157" s="149"/>
      <c r="H157" s="149"/>
      <c r="I157" s="211">
        <f t="shared" si="52"/>
        <v>0</v>
      </c>
      <c r="J157" s="122"/>
      <c r="K157" s="114"/>
      <c r="L157" s="114"/>
      <c r="M157" s="114"/>
      <c r="N157" s="114"/>
      <c r="O157" s="114"/>
      <c r="P157" s="211">
        <f t="shared" si="57"/>
        <v>0</v>
      </c>
      <c r="Q157" s="132">
        <f t="shared" si="50"/>
        <v>0</v>
      </c>
      <c r="R157" s="133">
        <f t="shared" si="51"/>
        <v>0</v>
      </c>
      <c r="S157" s="121" t="str">
        <f t="shared" si="58"/>
        <v/>
      </c>
    </row>
    <row r="158">
      <c r="A158" s="142" t="str">
        <f>IFERROR(VLOOKUP(B158,'Статьи'!$A$2:C180,3,0)," ")</f>
        <v>1С</v>
      </c>
      <c r="B158" s="125" t="str">
        <f>IFERROR(__xludf.DUMMYFUNCTION("""COMPUTED_VALUE"""),"Налог на прибыль 20%")</f>
        <v>Налог на прибыль 20%</v>
      </c>
      <c r="C158" s="171"/>
      <c r="D158" s="149"/>
      <c r="E158" s="149"/>
      <c r="F158" s="149"/>
      <c r="G158" s="149"/>
      <c r="H158" s="149"/>
      <c r="I158" s="211">
        <f t="shared" si="52"/>
        <v>0</v>
      </c>
      <c r="J158" s="122"/>
      <c r="K158" s="114"/>
      <c r="L158" s="114"/>
      <c r="M158" s="114"/>
      <c r="N158" s="114"/>
      <c r="O158" s="114"/>
      <c r="P158" s="211">
        <f t="shared" si="57"/>
        <v>0</v>
      </c>
      <c r="Q158" s="132">
        <f t="shared" si="50"/>
        <v>0</v>
      </c>
      <c r="R158" s="133">
        <f t="shared" si="51"/>
        <v>0</v>
      </c>
      <c r="S158" s="121" t="str">
        <f t="shared" si="58"/>
        <v/>
      </c>
    </row>
    <row r="159">
      <c r="A159" s="142" t="str">
        <f>IFERROR(VLOOKUP(B159,'Статьи'!$A$2:C181,3,0)," ")</f>
        <v>отчет Учет ОС</v>
      </c>
      <c r="B159" s="125" t="str">
        <f>IFERROR(__xludf.DUMMYFUNCTION("""COMPUTED_VALUE"""),"Амортизация ОС")</f>
        <v>Амортизация ОС</v>
      </c>
      <c r="C159" s="215"/>
      <c r="D159" s="149"/>
      <c r="E159" s="149"/>
      <c r="F159" s="149"/>
      <c r="G159" s="149"/>
      <c r="H159" s="149"/>
      <c r="I159" s="211">
        <f t="shared" si="52"/>
        <v>0</v>
      </c>
      <c r="J159" s="122"/>
      <c r="K159" s="114"/>
      <c r="L159" s="114"/>
      <c r="M159" s="114"/>
      <c r="N159" s="114"/>
      <c r="O159" s="114"/>
      <c r="P159" s="211">
        <f t="shared" si="57"/>
        <v>0</v>
      </c>
      <c r="Q159" s="132">
        <f t="shared" si="50"/>
        <v>0</v>
      </c>
      <c r="R159" s="133">
        <f t="shared" si="51"/>
        <v>0</v>
      </c>
      <c r="S159" s="121" t="str">
        <f t="shared" si="58"/>
        <v/>
      </c>
    </row>
    <row r="160">
      <c r="A160" s="142" t="str">
        <f>IFERROR(VLOOKUP(B160,'Статьи'!$A$2:C182,3,0)," ")</f>
        <v>ДДС отчетного месяца. Без НДС!</v>
      </c>
      <c r="B160" s="125" t="str">
        <f>IFERROR(__xludf.DUMMYFUNCTION("""COMPUTED_VALUE"""),"Прочие расходы")</f>
        <v>Прочие расходы</v>
      </c>
      <c r="C160" s="171"/>
      <c r="D160" s="149"/>
      <c r="E160" s="149"/>
      <c r="F160" s="149"/>
      <c r="G160" s="149"/>
      <c r="H160" s="149"/>
      <c r="I160" s="211">
        <f t="shared" si="52"/>
        <v>0</v>
      </c>
      <c r="J160" s="122"/>
      <c r="K160" s="114"/>
      <c r="L160" s="114"/>
      <c r="M160" s="114"/>
      <c r="N160" s="114"/>
      <c r="O160" s="114"/>
      <c r="P160" s="211">
        <f t="shared" si="57"/>
        <v>0</v>
      </c>
      <c r="Q160" s="132">
        <f t="shared" si="50"/>
        <v>0</v>
      </c>
      <c r="R160" s="133">
        <f t="shared" si="51"/>
        <v>0</v>
      </c>
      <c r="S160" s="121" t="str">
        <f t="shared" si="58"/>
        <v/>
      </c>
    </row>
    <row r="161">
      <c r="A161" s="142" t="str">
        <f>IFERROR(VLOOKUP(B161,'Статьи'!$A$2:C183,3,0)," ")</f>
        <v>ДДС отчетного месяца. Без НДС!</v>
      </c>
      <c r="B161" s="111" t="str">
        <f>IFERROR(__xludf.DUMMYFUNCTION("""COMPUTED_VALUE"""),"Ремонт ОС")</f>
        <v>Ремонт ОС</v>
      </c>
      <c r="C161" s="171"/>
      <c r="D161" s="149"/>
      <c r="E161" s="149"/>
      <c r="F161" s="149"/>
      <c r="G161" s="149"/>
      <c r="H161" s="149"/>
      <c r="I161" s="211">
        <f t="shared" si="52"/>
        <v>0</v>
      </c>
      <c r="J161" s="122"/>
      <c r="K161" s="114"/>
      <c r="L161" s="114"/>
      <c r="M161" s="114"/>
      <c r="N161" s="114"/>
      <c r="O161" s="114"/>
      <c r="P161" s="211">
        <f t="shared" si="57"/>
        <v>0</v>
      </c>
      <c r="Q161" s="132">
        <f t="shared" si="50"/>
        <v>0</v>
      </c>
      <c r="R161" s="133">
        <f t="shared" si="51"/>
        <v>0</v>
      </c>
      <c r="S161" s="121" t="str">
        <f t="shared" si="58"/>
        <v/>
      </c>
    </row>
    <row r="162">
      <c r="A162" s="142" t="str">
        <f>IFERROR(VLOOKUP(B162,'Статьи'!$A$2:C184,3,0)," ")</f>
        <v>отчет Учет ФД</v>
      </c>
      <c r="B162" s="111" t="str">
        <f>IFERROR(__xludf.DUMMYFUNCTION("""COMPUTED_VALUE"""),"Оплаты %  кредиты")</f>
        <v>Оплаты %  кредиты</v>
      </c>
      <c r="C162" s="171"/>
      <c r="D162" s="149"/>
      <c r="E162" s="149"/>
      <c r="F162" s="149"/>
      <c r="G162" s="149"/>
      <c r="H162" s="149"/>
      <c r="I162" s="211">
        <f t="shared" si="52"/>
        <v>0</v>
      </c>
      <c r="J162" s="122"/>
      <c r="K162" s="114"/>
      <c r="L162" s="114"/>
      <c r="M162" s="114"/>
      <c r="N162" s="114"/>
      <c r="O162" s="114"/>
      <c r="P162" s="211">
        <f t="shared" si="57"/>
        <v>0</v>
      </c>
      <c r="Q162" s="132">
        <f t="shared" si="50"/>
        <v>0</v>
      </c>
      <c r="R162" s="133">
        <f t="shared" si="51"/>
        <v>0</v>
      </c>
      <c r="S162" s="121" t="str">
        <f t="shared" si="58"/>
        <v/>
      </c>
    </row>
    <row r="163" collapsed="1">
      <c r="A163" s="110" t="str">
        <f>IFERROR(VLOOKUP(B163,'Статьи'!$A$2:C185,3,0)," ")</f>
        <v> </v>
      </c>
      <c r="B163" s="111"/>
      <c r="C163" s="171"/>
      <c r="D163" s="149"/>
      <c r="E163" s="149"/>
      <c r="F163" s="149"/>
      <c r="G163" s="149"/>
      <c r="H163" s="149"/>
      <c r="I163" s="211">
        <f t="shared" si="52"/>
        <v>0</v>
      </c>
      <c r="J163" s="122"/>
      <c r="K163" s="114"/>
      <c r="L163" s="114"/>
      <c r="M163" s="114"/>
      <c r="N163" s="114"/>
      <c r="O163" s="114"/>
      <c r="P163" s="211">
        <f t="shared" si="57"/>
        <v>0</v>
      </c>
      <c r="Q163" s="132">
        <f t="shared" si="50"/>
        <v>0</v>
      </c>
      <c r="R163" s="133">
        <f t="shared" si="51"/>
        <v>0</v>
      </c>
      <c r="S163" s="121" t="str">
        <f t="shared" si="58"/>
        <v/>
      </c>
    </row>
    <row r="164" hidden="1" outlineLevel="1">
      <c r="A164" s="110" t="str">
        <f>IFERROR(VLOOKUP(B164,'Статьи'!$A$2:C186,3,0)," ")</f>
        <v> </v>
      </c>
      <c r="B164" s="111"/>
      <c r="C164" s="170"/>
      <c r="I164" s="211">
        <f t="shared" si="52"/>
        <v>0</v>
      </c>
      <c r="J164" s="122"/>
      <c r="K164" s="114"/>
      <c r="L164" s="114"/>
      <c r="M164" s="114"/>
      <c r="N164" s="114"/>
      <c r="O164" s="114"/>
      <c r="P164" s="211">
        <f t="shared" si="57"/>
        <v>0</v>
      </c>
      <c r="Q164" s="132">
        <f t="shared" si="50"/>
        <v>0</v>
      </c>
      <c r="R164" s="133">
        <f t="shared" si="51"/>
        <v>0</v>
      </c>
      <c r="S164" s="121" t="str">
        <f t="shared" si="58"/>
        <v/>
      </c>
    </row>
    <row r="165" hidden="1" outlineLevel="1">
      <c r="A165" s="110" t="str">
        <f>IFERROR(VLOOKUP(B165,'Статьи'!$A$2:C187,3,0)," ")</f>
        <v> </v>
      </c>
      <c r="B165" s="111"/>
      <c r="C165" s="170"/>
      <c r="I165" s="211">
        <f t="shared" si="52"/>
        <v>0</v>
      </c>
      <c r="J165" s="122"/>
      <c r="K165" s="114"/>
      <c r="L165" s="114"/>
      <c r="M165" s="114"/>
      <c r="N165" s="114"/>
      <c r="O165" s="114"/>
      <c r="P165" s="211">
        <f t="shared" si="57"/>
        <v>0</v>
      </c>
      <c r="Q165" s="132">
        <f t="shared" si="50"/>
        <v>0</v>
      </c>
      <c r="R165" s="133">
        <f t="shared" si="51"/>
        <v>0</v>
      </c>
      <c r="S165" s="121" t="str">
        <f t="shared" si="58"/>
        <v/>
      </c>
    </row>
    <row r="166" hidden="1" outlineLevel="1">
      <c r="A166" s="110" t="str">
        <f>IFERROR(VLOOKUP(B166,'Статьи'!$A$2:C188,3,0)," ")</f>
        <v> </v>
      </c>
      <c r="B166" s="111"/>
      <c r="C166" s="170"/>
      <c r="I166" s="211">
        <f t="shared" si="52"/>
        <v>0</v>
      </c>
      <c r="J166" s="122"/>
      <c r="K166" s="114"/>
      <c r="L166" s="114"/>
      <c r="M166" s="114"/>
      <c r="N166" s="114"/>
      <c r="O166" s="114"/>
      <c r="P166" s="211">
        <f t="shared" si="57"/>
        <v>0</v>
      </c>
      <c r="Q166" s="132">
        <f t="shared" si="50"/>
        <v>0</v>
      </c>
      <c r="R166" s="133">
        <f t="shared" si="51"/>
        <v>0</v>
      </c>
      <c r="S166" s="121" t="str">
        <f t="shared" si="58"/>
        <v/>
      </c>
    </row>
    <row r="167" hidden="1" outlineLevel="1">
      <c r="A167" s="110" t="str">
        <f>IFERROR(VLOOKUP(B167,'Статьи'!$A$2:C189,3,0)," ")</f>
        <v> </v>
      </c>
      <c r="B167" s="111"/>
      <c r="C167" s="170"/>
      <c r="I167" s="211">
        <f t="shared" si="52"/>
        <v>0</v>
      </c>
      <c r="J167" s="122"/>
      <c r="K167" s="114"/>
      <c r="L167" s="114"/>
      <c r="M167" s="114"/>
      <c r="N167" s="114"/>
      <c r="O167" s="114"/>
      <c r="P167" s="211">
        <f t="shared" si="57"/>
        <v>0</v>
      </c>
      <c r="Q167" s="132">
        <f t="shared" si="50"/>
        <v>0</v>
      </c>
      <c r="R167" s="133">
        <f t="shared" si="51"/>
        <v>0</v>
      </c>
      <c r="S167" s="121" t="str">
        <f t="shared" si="58"/>
        <v/>
      </c>
    </row>
    <row r="168" hidden="1" outlineLevel="1">
      <c r="A168" s="110" t="str">
        <f>IFERROR(VLOOKUP(B168,'Статьи'!$A$2:C190,3,0)," ")</f>
        <v> </v>
      </c>
      <c r="B168" s="111"/>
      <c r="C168" s="170"/>
      <c r="I168" s="211">
        <f t="shared" si="52"/>
        <v>0</v>
      </c>
      <c r="J168" s="122"/>
      <c r="K168" s="114"/>
      <c r="L168" s="114"/>
      <c r="M168" s="114"/>
      <c r="N168" s="114"/>
      <c r="O168" s="114"/>
      <c r="P168" s="211">
        <f t="shared" si="57"/>
        <v>0</v>
      </c>
      <c r="Q168" s="132">
        <f t="shared" si="50"/>
        <v>0</v>
      </c>
      <c r="R168" s="133">
        <f t="shared" si="51"/>
        <v>0</v>
      </c>
      <c r="S168" s="121" t="str">
        <f t="shared" si="58"/>
        <v/>
      </c>
    </row>
    <row r="169" hidden="1" outlineLevel="1">
      <c r="A169" s="110" t="str">
        <f>IFERROR(VLOOKUP(B169,'Статьи'!$A$2:C191,3,0)," ")</f>
        <v> </v>
      </c>
      <c r="B169" s="111"/>
      <c r="C169" s="170"/>
      <c r="I169" s="211">
        <f t="shared" si="52"/>
        <v>0</v>
      </c>
      <c r="J169" s="122"/>
      <c r="K169" s="114"/>
      <c r="L169" s="114"/>
      <c r="M169" s="114"/>
      <c r="N169" s="114"/>
      <c r="O169" s="114"/>
      <c r="P169" s="211">
        <f t="shared" si="57"/>
        <v>0</v>
      </c>
      <c r="Q169" s="132">
        <f t="shared" si="50"/>
        <v>0</v>
      </c>
      <c r="R169" s="133">
        <f t="shared" si="51"/>
        <v>0</v>
      </c>
      <c r="S169" s="121" t="str">
        <f t="shared" si="58"/>
        <v/>
      </c>
    </row>
    <row r="170" hidden="1" outlineLevel="1">
      <c r="A170" s="110" t="str">
        <f>IFERROR(VLOOKUP(B170,'Статьи'!$A$2:C192,3,0)," ")</f>
        <v> </v>
      </c>
      <c r="B170" s="111"/>
      <c r="C170" s="170"/>
      <c r="I170" s="211">
        <f t="shared" si="52"/>
        <v>0</v>
      </c>
      <c r="J170" s="122"/>
      <c r="K170" s="114"/>
      <c r="L170" s="114"/>
      <c r="M170" s="114"/>
      <c r="N170" s="114"/>
      <c r="O170" s="114"/>
      <c r="P170" s="211">
        <f t="shared" si="57"/>
        <v>0</v>
      </c>
      <c r="Q170" s="132">
        <f t="shared" si="50"/>
        <v>0</v>
      </c>
      <c r="R170" s="133">
        <f t="shared" si="51"/>
        <v>0</v>
      </c>
      <c r="S170" s="121" t="str">
        <f t="shared" si="58"/>
        <v/>
      </c>
    </row>
    <row r="171" hidden="1" outlineLevel="1">
      <c r="A171" s="110" t="str">
        <f>IFERROR(VLOOKUP(B171,'Статьи'!$A$2:C193,3,0)," ")</f>
        <v> </v>
      </c>
      <c r="B171" s="111"/>
      <c r="C171" s="170"/>
      <c r="I171" s="211">
        <f t="shared" si="52"/>
        <v>0</v>
      </c>
      <c r="J171" s="122"/>
      <c r="K171" s="114"/>
      <c r="L171" s="114"/>
      <c r="M171" s="114"/>
      <c r="N171" s="114"/>
      <c r="O171" s="114"/>
      <c r="P171" s="211">
        <f t="shared" si="57"/>
        <v>0</v>
      </c>
      <c r="Q171" s="132">
        <f t="shared" si="50"/>
        <v>0</v>
      </c>
      <c r="R171" s="133">
        <f t="shared" si="51"/>
        <v>0</v>
      </c>
      <c r="S171" s="121" t="str">
        <f t="shared" si="58"/>
        <v/>
      </c>
    </row>
    <row r="172">
      <c r="A172" s="110" t="str">
        <f>IFERROR(VLOOKUP(B172,'Статьи'!$A$2:C194,3,0)," ")</f>
        <v> </v>
      </c>
      <c r="B172" s="111"/>
      <c r="C172" s="170"/>
      <c r="D172" s="149"/>
      <c r="E172" s="149"/>
      <c r="F172" s="149"/>
      <c r="G172" s="149"/>
      <c r="H172" s="149"/>
      <c r="I172" s="211">
        <f t="shared" si="52"/>
        <v>0</v>
      </c>
      <c r="J172" s="122"/>
      <c r="K172" s="114"/>
      <c r="L172" s="114"/>
      <c r="M172" s="114"/>
      <c r="N172" s="114"/>
      <c r="O172" s="114"/>
      <c r="P172" s="211">
        <f>sum(F172:J172)</f>
        <v>0</v>
      </c>
      <c r="Q172" s="132">
        <f t="shared" si="50"/>
        <v>0</v>
      </c>
      <c r="R172" s="133">
        <f t="shared" si="51"/>
        <v>0</v>
      </c>
      <c r="S172" s="121" t="str">
        <f t="shared" si="58"/>
        <v/>
      </c>
    </row>
    <row r="173">
      <c r="A173" s="152"/>
      <c r="B173" s="153" t="s">
        <v>144</v>
      </c>
      <c r="C173" s="154">
        <f t="shared" ref="C173:K173" si="59">C142+C155+C145</f>
        <v>0</v>
      </c>
      <c r="D173" s="155">
        <f t="shared" si="59"/>
        <v>0</v>
      </c>
      <c r="E173" s="155">
        <f t="shared" si="59"/>
        <v>0</v>
      </c>
      <c r="F173" s="155">
        <f t="shared" si="59"/>
        <v>0</v>
      </c>
      <c r="G173" s="155">
        <f t="shared" si="59"/>
        <v>0</v>
      </c>
      <c r="H173" s="155">
        <f t="shared" si="59"/>
        <v>0</v>
      </c>
      <c r="I173" s="157">
        <f t="shared" si="59"/>
        <v>0</v>
      </c>
      <c r="J173" s="154">
        <f t="shared" si="59"/>
        <v>0</v>
      </c>
      <c r="K173" s="155">
        <f t="shared" si="59"/>
        <v>0</v>
      </c>
      <c r="L173" s="155"/>
      <c r="M173" s="155"/>
      <c r="N173" s="155"/>
      <c r="O173" s="155"/>
      <c r="P173" s="157">
        <f>P142+P155+P145</f>
        <v>0</v>
      </c>
      <c r="Q173" s="155">
        <f t="shared" si="50"/>
        <v>0</v>
      </c>
      <c r="R173" s="158">
        <f t="shared" si="51"/>
        <v>0</v>
      </c>
      <c r="S173" s="159" t="str">
        <f>IF(Q173=0,"",IF(R173&gt;1,"выполнение","план не выполнен"))</f>
        <v/>
      </c>
    </row>
    <row r="174">
      <c r="A174" s="160"/>
      <c r="B174" s="161" t="s">
        <v>145</v>
      </c>
      <c r="C174" s="216">
        <f t="shared" ref="C174:K174" si="60">IFERROR(C173/C$3,0)</f>
        <v>0</v>
      </c>
      <c r="D174" s="217">
        <f t="shared" si="60"/>
        <v>0</v>
      </c>
      <c r="E174" s="217">
        <f t="shared" si="60"/>
        <v>0</v>
      </c>
      <c r="F174" s="217">
        <f t="shared" si="60"/>
        <v>0</v>
      </c>
      <c r="G174" s="217">
        <f t="shared" si="60"/>
        <v>0</v>
      </c>
      <c r="H174" s="217">
        <f t="shared" si="60"/>
        <v>0</v>
      </c>
      <c r="I174" s="218">
        <f t="shared" si="60"/>
        <v>0</v>
      </c>
      <c r="J174" s="216">
        <f t="shared" si="60"/>
        <v>0</v>
      </c>
      <c r="K174" s="217">
        <f t="shared" si="60"/>
        <v>0</v>
      </c>
      <c r="L174" s="217"/>
      <c r="M174" s="217"/>
      <c r="N174" s="217"/>
      <c r="O174" s="217"/>
      <c r="P174" s="218">
        <f>IFERROR(P173/P$3,0)</f>
        <v>0</v>
      </c>
      <c r="Q174" s="219"/>
      <c r="R174" s="219"/>
      <c r="S174" s="219"/>
    </row>
    <row r="175">
      <c r="A175" s="110"/>
      <c r="B175" s="111"/>
      <c r="C175" s="115"/>
      <c r="D175" s="115"/>
      <c r="E175" s="115"/>
      <c r="F175" s="115"/>
      <c r="G175" s="115"/>
      <c r="H175" s="115"/>
      <c r="I175" s="118"/>
      <c r="J175" s="118"/>
      <c r="K175" s="118"/>
      <c r="L175" s="118"/>
      <c r="M175" s="118"/>
      <c r="N175" s="118"/>
      <c r="O175" s="118"/>
      <c r="P175" s="118"/>
      <c r="Q175" s="118"/>
      <c r="R175" s="220"/>
      <c r="S175" s="220"/>
    </row>
    <row r="176">
      <c r="A176" s="142"/>
      <c r="B176" s="125"/>
      <c r="C176" s="115"/>
      <c r="D176" s="115"/>
      <c r="E176" s="115"/>
      <c r="F176" s="114"/>
      <c r="G176" s="115"/>
      <c r="H176" s="115"/>
      <c r="I176" s="118"/>
      <c r="J176" s="118"/>
      <c r="K176" s="118"/>
      <c r="L176" s="118"/>
      <c r="M176" s="118"/>
      <c r="N176" s="118"/>
      <c r="O176" s="118"/>
      <c r="P176" s="118"/>
      <c r="Q176" s="221" t="s">
        <v>146</v>
      </c>
    </row>
    <row r="177">
      <c r="A177" s="110"/>
      <c r="B177" s="111"/>
      <c r="C177" s="115"/>
      <c r="D177" s="115"/>
      <c r="E177" s="115"/>
      <c r="F177" s="115"/>
      <c r="G177" s="115"/>
      <c r="H177" s="115"/>
      <c r="I177" s="118"/>
      <c r="J177" s="118"/>
      <c r="K177" s="118"/>
      <c r="L177" s="118"/>
      <c r="M177" s="118"/>
      <c r="N177" s="118"/>
      <c r="O177" s="118"/>
      <c r="P177" s="118"/>
      <c r="Q177" s="222" t="s">
        <v>147</v>
      </c>
      <c r="R177" s="223" t="s">
        <v>148</v>
      </c>
      <c r="S177" s="224" t="s">
        <v>149</v>
      </c>
    </row>
    <row r="178">
      <c r="A178" s="110"/>
      <c r="B178" s="111"/>
      <c r="C178" s="115"/>
      <c r="D178" s="115"/>
      <c r="E178" s="115"/>
      <c r="F178" s="115"/>
      <c r="G178" s="115"/>
      <c r="H178" s="115"/>
      <c r="I178" s="118"/>
      <c r="J178" s="118"/>
      <c r="K178" s="118"/>
      <c r="L178" s="118"/>
      <c r="M178" s="118"/>
      <c r="N178" s="118"/>
      <c r="O178" s="118"/>
      <c r="P178" s="118"/>
      <c r="Q178" s="225" t="s">
        <v>150</v>
      </c>
      <c r="R178" s="226">
        <f t="shared" ref="R178:S178" si="61">Q3</f>
        <v>0</v>
      </c>
      <c r="S178" s="227">
        <f t="shared" si="61"/>
        <v>0</v>
      </c>
    </row>
    <row r="179">
      <c r="A179" s="110"/>
      <c r="B179" s="111"/>
      <c r="C179" s="115"/>
      <c r="D179" s="115"/>
      <c r="E179" s="115"/>
      <c r="F179" s="115"/>
      <c r="G179" s="115"/>
      <c r="H179" s="115"/>
      <c r="I179" s="118"/>
      <c r="J179" s="118"/>
      <c r="K179" s="118"/>
      <c r="L179" s="118"/>
      <c r="M179" s="118"/>
      <c r="N179" s="118"/>
      <c r="O179" s="118"/>
      <c r="P179" s="118"/>
      <c r="Q179" s="228" t="s">
        <v>151</v>
      </c>
      <c r="R179" s="226">
        <f t="shared" ref="R179:S179" si="62">Q11</f>
        <v>0</v>
      </c>
      <c r="S179" s="227">
        <f t="shared" si="62"/>
        <v>0</v>
      </c>
    </row>
    <row r="180">
      <c r="A180" s="110"/>
      <c r="B180" s="111"/>
      <c r="C180" s="115"/>
      <c r="D180" s="115"/>
      <c r="E180" s="115"/>
      <c r="F180" s="115"/>
      <c r="G180" s="115"/>
      <c r="H180" s="115"/>
      <c r="I180" s="118"/>
      <c r="J180" s="118"/>
      <c r="K180" s="118"/>
      <c r="L180" s="118"/>
      <c r="M180" s="118"/>
      <c r="N180" s="118"/>
      <c r="O180" s="118"/>
      <c r="P180" s="118"/>
      <c r="Q180" s="228" t="s">
        <v>152</v>
      </c>
      <c r="R180" s="226">
        <f t="shared" ref="R180:S180" si="63">Q88</f>
        <v>0</v>
      </c>
      <c r="S180" s="227">
        <f t="shared" si="63"/>
        <v>0</v>
      </c>
    </row>
    <row r="181">
      <c r="A181" s="110"/>
      <c r="B181" s="111"/>
      <c r="C181" s="115"/>
      <c r="D181" s="115"/>
      <c r="E181" s="115"/>
      <c r="F181" s="115"/>
      <c r="G181" s="115"/>
      <c r="H181" s="115"/>
      <c r="I181" s="118"/>
      <c r="J181" s="118"/>
      <c r="K181" s="118"/>
      <c r="L181" s="118"/>
      <c r="M181" s="118"/>
      <c r="N181" s="118"/>
      <c r="O181" s="118"/>
      <c r="P181" s="118"/>
      <c r="Q181" s="225" t="s">
        <v>153</v>
      </c>
      <c r="R181" s="226">
        <f t="shared" ref="R181:S181" si="64">Q173</f>
        <v>0</v>
      </c>
      <c r="S181" s="227">
        <f t="shared" si="64"/>
        <v>0</v>
      </c>
    </row>
    <row r="182">
      <c r="A182" s="110"/>
      <c r="B182" s="111"/>
      <c r="C182" s="115"/>
      <c r="D182" s="115"/>
      <c r="E182" s="115"/>
      <c r="F182" s="115"/>
      <c r="G182" s="115"/>
      <c r="H182" s="115"/>
      <c r="I182" s="118"/>
      <c r="J182" s="118"/>
      <c r="K182" s="118"/>
      <c r="L182" s="118"/>
      <c r="M182" s="118"/>
      <c r="N182" s="118"/>
      <c r="O182" s="118"/>
      <c r="P182" s="118"/>
      <c r="Q182" s="118"/>
      <c r="R182" s="220"/>
      <c r="S182" s="220"/>
    </row>
  </sheetData>
  <mergeCells count="12">
    <mergeCell ref="C168:H168"/>
    <mergeCell ref="C169:H169"/>
    <mergeCell ref="C170:H170"/>
    <mergeCell ref="C171:H171"/>
    <mergeCell ref="Q176:S176"/>
    <mergeCell ref="C1:I1"/>
    <mergeCell ref="J1:P1"/>
    <mergeCell ref="Q1:R1"/>
    <mergeCell ref="C164:H164"/>
    <mergeCell ref="C165:H165"/>
    <mergeCell ref="C166:H166"/>
    <mergeCell ref="C167:H167"/>
  </mergeCells>
  <conditionalFormatting sqref="C13:H54">
    <cfRule type="expression" dxfId="4" priority="1">
      <formula>C$2=""</formula>
    </cfRule>
  </conditionalFormatting>
  <conditionalFormatting sqref="C13:H54">
    <cfRule type="expression" dxfId="2" priority="2">
      <formula>OR(#REF!=C$2,#REF!=C$2,#REF!=C$2,#REF!=C$2,#REF!=C$2,#REF!=C$2,#REF!=C$2,#REF!=C$2,#REF!=C$2)</formula>
    </cfRule>
  </conditionalFormatting>
  <conditionalFormatting sqref="C59:H84 C91:C93">
    <cfRule type="expression" dxfId="4" priority="3">
      <formula>C$2=""</formula>
    </cfRule>
  </conditionalFormatting>
  <conditionalFormatting sqref="C59:H84 C91:C93">
    <cfRule type="expression" dxfId="2" priority="4">
      <formula>OR(#REF!=C$2,#REF!=C$2,#REF!=C$2,#REF!=C$2,#REF!=C$2,#REF!=C$2,#REF!=C$2,#REF!=C$2,#REF!=C$2)</formula>
    </cfRule>
  </conditionalFormatting>
  <conditionalFormatting sqref="A1:A2">
    <cfRule type="notContainsBlanks" dxfId="2" priority="5">
      <formula>LEN(TRIM(A1))&gt;0</formula>
    </cfRule>
  </conditionalFormatting>
  <conditionalFormatting sqref="S1:S175 S177:S182">
    <cfRule type="containsText" dxfId="2" priority="6" operator="containsText" text="выполнение">
      <formula>NOT(ISERROR(SEARCH(("выполнение"),(S1))))</formula>
    </cfRule>
  </conditionalFormatting>
  <conditionalFormatting sqref="S1:S175 S177:S182">
    <cfRule type="containsText" dxfId="3" priority="7" operator="containsText" text="план не выполнен">
      <formula>NOT(ISERROR(SEARCH(("план не выполнен"),(S1))))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7.13"/>
    <col customWidth="1" min="2" max="2" width="38.25"/>
    <col customWidth="1" min="3" max="3" width="10.63"/>
    <col collapsed="1" customWidth="1" min="4" max="4" width="10.63"/>
    <col customWidth="1" hidden="1" min="5" max="8" width="10.63" outlineLevel="1"/>
    <col customWidth="1" min="9" max="10" width="10.63"/>
    <col collapsed="1" customWidth="1" min="11" max="11" width="10.63"/>
    <col customWidth="1" hidden="1" min="12" max="15" width="10.63" outlineLevel="1"/>
    <col customWidth="1" min="16" max="16" width="10.63"/>
    <col customWidth="1" min="17" max="18" width="11.38"/>
    <col customWidth="1" min="19" max="19" width="16.88"/>
  </cols>
  <sheetData>
    <row r="1">
      <c r="A1" s="88"/>
      <c r="B1" s="89"/>
      <c r="C1" s="90" t="s">
        <v>127</v>
      </c>
      <c r="D1" s="91"/>
      <c r="E1" s="91"/>
      <c r="F1" s="91"/>
      <c r="G1" s="91"/>
      <c r="H1" s="91"/>
      <c r="I1" s="92"/>
      <c r="J1" s="93" t="s">
        <v>128</v>
      </c>
      <c r="K1" s="91"/>
      <c r="L1" s="91"/>
      <c r="M1" s="91"/>
      <c r="N1" s="91"/>
      <c r="O1" s="91"/>
      <c r="P1" s="92"/>
      <c r="Q1" s="94" t="s">
        <v>129</v>
      </c>
      <c r="S1" s="94"/>
    </row>
    <row r="2">
      <c r="A2" s="88" t="s">
        <v>130</v>
      </c>
      <c r="B2" s="89"/>
      <c r="C2" s="95" t="str">
        <f t="array" ref="C2:H2">TRANSPOSE('Справочник'!D2:D7)</f>
        <v>ООО "Весело живем"</v>
      </c>
      <c r="D2" s="96" t="s">
        <v>84</v>
      </c>
      <c r="E2" s="97">
        <v>3.0</v>
      </c>
      <c r="F2" s="97">
        <v>4.0</v>
      </c>
      <c r="G2" s="97">
        <v>5.0</v>
      </c>
      <c r="H2" s="97">
        <v>6.0</v>
      </c>
      <c r="I2" s="98" t="s">
        <v>131</v>
      </c>
      <c r="J2" s="95" t="str">
        <f t="array" ref="J2:O2">TRANSPOSE('Справочник'!D2:D7)</f>
        <v>ООО "Весело живем"</v>
      </c>
      <c r="K2" s="96" t="s">
        <v>84</v>
      </c>
      <c r="L2" s="97">
        <v>3.0</v>
      </c>
      <c r="M2" s="97">
        <v>4.0</v>
      </c>
      <c r="N2" s="97">
        <v>5.0</v>
      </c>
      <c r="O2" s="97">
        <v>6.0</v>
      </c>
      <c r="P2" s="98" t="s">
        <v>131</v>
      </c>
      <c r="Q2" s="99" t="s">
        <v>154</v>
      </c>
      <c r="R2" s="100" t="s">
        <v>133</v>
      </c>
      <c r="S2" s="101" t="s">
        <v>134</v>
      </c>
    </row>
    <row r="3">
      <c r="A3" s="102"/>
      <c r="B3" s="103" t="s">
        <v>86</v>
      </c>
      <c r="C3" s="104">
        <f t="shared" ref="C3:H3" si="1">SUM(C4:C10)</f>
        <v>4</v>
      </c>
      <c r="D3" s="105">
        <f t="shared" si="1"/>
        <v>0</v>
      </c>
      <c r="E3" s="105">
        <f t="shared" si="1"/>
        <v>0</v>
      </c>
      <c r="F3" s="105">
        <f t="shared" si="1"/>
        <v>0</v>
      </c>
      <c r="G3" s="105">
        <f t="shared" si="1"/>
        <v>0</v>
      </c>
      <c r="H3" s="105">
        <f t="shared" si="1"/>
        <v>0</v>
      </c>
      <c r="I3" s="106">
        <f>sum(C3:H3)</f>
        <v>4</v>
      </c>
      <c r="J3" s="104">
        <f t="shared" ref="J3:K3" si="2">SUM(J4:J10)</f>
        <v>0</v>
      </c>
      <c r="K3" s="105">
        <f t="shared" si="2"/>
        <v>0</v>
      </c>
      <c r="L3" s="105"/>
      <c r="M3" s="105"/>
      <c r="N3" s="105"/>
      <c r="O3" s="105"/>
      <c r="P3" s="107">
        <f>SUM(P4:P10)</f>
        <v>0</v>
      </c>
      <c r="Q3" s="105">
        <f t="shared" ref="Q3:Q55" si="3">I3-P3</f>
        <v>4</v>
      </c>
      <c r="R3" s="108">
        <f t="shared" ref="R3:R55" si="4">IFERROR(I3/P3,0)</f>
        <v>0</v>
      </c>
      <c r="S3" s="109" t="str">
        <f>IF(Q3=0,"",IF(R3&gt;1,"выполнение","план не выполнен"))</f>
        <v>план не выполнен</v>
      </c>
    </row>
    <row r="4">
      <c r="A4" s="110" t="str">
        <f>IFERROR(VLOOKUP(B4,'Статьи'!$A$2:C26,3,0)," ")</f>
        <v>1С сч 90.01 убрать НДС!</v>
      </c>
      <c r="B4" s="111" t="str">
        <f>IFERROR(__xludf.DUMMYFUNCTION("iferror(filter('Статьи'!$A$1:$A177,'Статьи'!$B$1:$B177=$B$3))"),"Выручка от аренды машиноместа")</f>
        <v>Выручка от аренды машиноместа</v>
      </c>
      <c r="C4" s="112">
        <v>4.0</v>
      </c>
      <c r="D4" s="113"/>
      <c r="E4" s="114"/>
      <c r="F4" s="115"/>
      <c r="G4" s="115"/>
      <c r="H4" s="115"/>
      <c r="I4" s="116">
        <f t="shared" ref="I4:I8" si="5">SUM(C4:H4)</f>
        <v>4</v>
      </c>
      <c r="J4" s="117"/>
      <c r="K4" s="118"/>
      <c r="L4" s="118"/>
      <c r="M4" s="118"/>
      <c r="N4" s="118"/>
      <c r="O4" s="118"/>
      <c r="P4" s="116">
        <f t="shared" ref="P4:P5" si="6">SUM(J4:K4)</f>
        <v>0</v>
      </c>
      <c r="Q4" s="119">
        <f t="shared" si="3"/>
        <v>4</v>
      </c>
      <c r="R4" s="120">
        <f t="shared" si="4"/>
        <v>0</v>
      </c>
      <c r="S4" s="121" t="str">
        <f t="shared" ref="S4:S10" si="7">IF(Q4=0,"",IF(R4=0,"обратить внимание",IF(R4&gt;1,"выполнение","план не выполнен")))</f>
        <v>обратить внимание</v>
      </c>
    </row>
    <row r="5" collapsed="1">
      <c r="A5" s="110" t="str">
        <f>IFERROR(VLOOKUP(B5,'Статьи'!$A$2:C27,3,0)," ")</f>
        <v>1С сч 90.01 убрать НДС!</v>
      </c>
      <c r="B5" s="111" t="str">
        <f>IFERROR(__xludf.DUMMYFUNCTION("""COMPUTED_VALUE"""),"Выручка за грузоперевозки")</f>
        <v>Выручка за грузоперевозки</v>
      </c>
      <c r="C5" s="112"/>
      <c r="D5" s="113"/>
      <c r="E5" s="114"/>
      <c r="F5" s="115"/>
      <c r="G5" s="115"/>
      <c r="H5" s="115"/>
      <c r="I5" s="116">
        <f t="shared" si="5"/>
        <v>0</v>
      </c>
      <c r="J5" s="117"/>
      <c r="K5" s="118"/>
      <c r="L5" s="118"/>
      <c r="M5" s="118"/>
      <c r="N5" s="118"/>
      <c r="O5" s="118"/>
      <c r="P5" s="116">
        <f t="shared" si="6"/>
        <v>0</v>
      </c>
      <c r="Q5" s="119">
        <f t="shared" si="3"/>
        <v>0</v>
      </c>
      <c r="R5" s="120">
        <f t="shared" si="4"/>
        <v>0</v>
      </c>
      <c r="S5" s="121" t="str">
        <f t="shared" si="7"/>
        <v/>
      </c>
    </row>
    <row r="6" hidden="1" outlineLevel="1">
      <c r="A6" s="110" t="str">
        <f>IFERROR(VLOOKUP(B6,'Статьи'!$A$2:C28,3,0)," ")</f>
        <v> </v>
      </c>
      <c r="B6" s="111"/>
      <c r="C6" s="122"/>
      <c r="D6" s="115"/>
      <c r="E6" s="115"/>
      <c r="F6" s="114"/>
      <c r="G6" s="114"/>
      <c r="H6" s="114"/>
      <c r="I6" s="116">
        <f t="shared" si="5"/>
        <v>0</v>
      </c>
      <c r="J6" s="123"/>
      <c r="K6" s="118"/>
      <c r="L6" s="118"/>
      <c r="M6" s="118"/>
      <c r="N6" s="118"/>
      <c r="O6" s="118"/>
      <c r="P6" s="116">
        <f t="shared" ref="P6:P8" si="8">SUM(F6:J6)</f>
        <v>0</v>
      </c>
      <c r="Q6" s="119">
        <f t="shared" si="3"/>
        <v>0</v>
      </c>
      <c r="R6" s="120">
        <f t="shared" si="4"/>
        <v>0</v>
      </c>
      <c r="S6" s="121" t="str">
        <f t="shared" si="7"/>
        <v/>
      </c>
    </row>
    <row r="7" hidden="1" outlineLevel="1">
      <c r="A7" s="110" t="str">
        <f>IFERROR(VLOOKUP(B7,'Статьи'!$A$2:C29,3,0)," ")</f>
        <v> </v>
      </c>
      <c r="B7" s="111"/>
      <c r="C7" s="122"/>
      <c r="D7" s="115"/>
      <c r="E7" s="115"/>
      <c r="F7" s="115"/>
      <c r="G7" s="115"/>
      <c r="H7" s="115"/>
      <c r="I7" s="116">
        <f t="shared" si="5"/>
        <v>0</v>
      </c>
      <c r="J7" s="123"/>
      <c r="K7" s="118"/>
      <c r="L7" s="118"/>
      <c r="M7" s="118"/>
      <c r="N7" s="118"/>
      <c r="O7" s="118"/>
      <c r="P7" s="116">
        <f t="shared" si="8"/>
        <v>0</v>
      </c>
      <c r="Q7" s="119">
        <f t="shared" si="3"/>
        <v>0</v>
      </c>
      <c r="R7" s="120">
        <f t="shared" si="4"/>
        <v>0</v>
      </c>
      <c r="S7" s="121" t="str">
        <f t="shared" si="7"/>
        <v/>
      </c>
    </row>
    <row r="8" hidden="1" outlineLevel="1">
      <c r="A8" s="110" t="str">
        <f>IFERROR(VLOOKUP(B8,'Статьи'!$A$2:C30,3,0)," ")</f>
        <v> </v>
      </c>
      <c r="B8" s="111"/>
      <c r="C8" s="122"/>
      <c r="D8" s="115"/>
      <c r="E8" s="115"/>
      <c r="F8" s="115"/>
      <c r="G8" s="115"/>
      <c r="H8" s="115"/>
      <c r="I8" s="116">
        <f t="shared" si="5"/>
        <v>0</v>
      </c>
      <c r="J8" s="123"/>
      <c r="K8" s="118"/>
      <c r="L8" s="118"/>
      <c r="M8" s="118"/>
      <c r="N8" s="118"/>
      <c r="O8" s="118"/>
      <c r="P8" s="116">
        <f t="shared" si="8"/>
        <v>0</v>
      </c>
      <c r="Q8" s="119">
        <f t="shared" si="3"/>
        <v>0</v>
      </c>
      <c r="R8" s="120">
        <f t="shared" si="4"/>
        <v>0</v>
      </c>
      <c r="S8" s="121" t="str">
        <f t="shared" si="7"/>
        <v/>
      </c>
    </row>
    <row r="9" hidden="1" outlineLevel="1">
      <c r="A9" s="110" t="str">
        <f>IFERROR(VLOOKUP(B9,'Статьи'!$A$2:C31,3,0)," ")</f>
        <v> </v>
      </c>
      <c r="B9" s="111"/>
      <c r="C9" s="124"/>
      <c r="D9" s="115"/>
      <c r="E9" s="115"/>
      <c r="F9" s="115"/>
      <c r="G9" s="115"/>
      <c r="H9" s="115"/>
      <c r="I9" s="116"/>
      <c r="J9" s="123"/>
      <c r="K9" s="118"/>
      <c r="L9" s="118"/>
      <c r="M9" s="118"/>
      <c r="N9" s="118"/>
      <c r="O9" s="118"/>
      <c r="P9" s="116"/>
      <c r="Q9" s="119">
        <f t="shared" si="3"/>
        <v>0</v>
      </c>
      <c r="R9" s="120">
        <f t="shared" si="4"/>
        <v>0</v>
      </c>
      <c r="S9" s="121" t="str">
        <f t="shared" si="7"/>
        <v/>
      </c>
    </row>
    <row r="10">
      <c r="A10" s="110" t="str">
        <f>IFERROR(VLOOKUP(B10,'Статьи'!$A$2:C32,3,0)," ")</f>
        <v> </v>
      </c>
      <c r="B10" s="125"/>
      <c r="C10" s="122"/>
      <c r="D10" s="115"/>
      <c r="E10" s="115"/>
      <c r="F10" s="115"/>
      <c r="G10" s="115"/>
      <c r="H10" s="115"/>
      <c r="I10" s="116"/>
      <c r="J10" s="123"/>
      <c r="K10" s="118"/>
      <c r="L10" s="118"/>
      <c r="M10" s="118"/>
      <c r="N10" s="118"/>
      <c r="O10" s="118"/>
      <c r="P10" s="116"/>
      <c r="Q10" s="119">
        <f t="shared" si="3"/>
        <v>0</v>
      </c>
      <c r="R10" s="120">
        <f t="shared" si="4"/>
        <v>0</v>
      </c>
      <c r="S10" s="121" t="str">
        <f t="shared" si="7"/>
        <v/>
      </c>
    </row>
    <row r="11">
      <c r="A11" s="126"/>
      <c r="B11" s="127" t="s">
        <v>135</v>
      </c>
      <c r="C11" s="128">
        <f t="shared" ref="C11:K11" si="9">C12+C58</f>
        <v>0</v>
      </c>
      <c r="D11" s="129">
        <f t="shared" si="9"/>
        <v>0</v>
      </c>
      <c r="E11" s="129">
        <f t="shared" si="9"/>
        <v>0</v>
      </c>
      <c r="F11" s="129">
        <f t="shared" si="9"/>
        <v>0</v>
      </c>
      <c r="G11" s="129">
        <f t="shared" si="9"/>
        <v>0</v>
      </c>
      <c r="H11" s="129">
        <f t="shared" si="9"/>
        <v>0</v>
      </c>
      <c r="I11" s="130">
        <f t="shared" si="9"/>
        <v>0</v>
      </c>
      <c r="J11" s="128">
        <f t="shared" si="9"/>
        <v>0</v>
      </c>
      <c r="K11" s="129">
        <f t="shared" si="9"/>
        <v>0</v>
      </c>
      <c r="L11" s="129"/>
      <c r="M11" s="129"/>
      <c r="N11" s="129"/>
      <c r="O11" s="129"/>
      <c r="P11" s="131">
        <f>P12+P58</f>
        <v>0</v>
      </c>
      <c r="Q11" s="132">
        <f t="shared" si="3"/>
        <v>0</v>
      </c>
      <c r="R11" s="133">
        <f t="shared" si="4"/>
        <v>0</v>
      </c>
      <c r="S11" s="134" t="str">
        <f>IF(Q11=0,"",IF(R11&gt;1,"план не выполнен","выполнение"))</f>
        <v/>
      </c>
    </row>
    <row r="12">
      <c r="A12" s="135"/>
      <c r="B12" s="136" t="s">
        <v>99</v>
      </c>
      <c r="C12" s="137">
        <f t="shared" ref="C12:K12" si="10">sum(C13:C54)</f>
        <v>0</v>
      </c>
      <c r="D12" s="138">
        <f t="shared" si="10"/>
        <v>0</v>
      </c>
      <c r="E12" s="138">
        <f t="shared" si="10"/>
        <v>0</v>
      </c>
      <c r="F12" s="138">
        <f t="shared" si="10"/>
        <v>0</v>
      </c>
      <c r="G12" s="138">
        <f t="shared" si="10"/>
        <v>0</v>
      </c>
      <c r="H12" s="138">
        <f t="shared" si="10"/>
        <v>0</v>
      </c>
      <c r="I12" s="139">
        <f t="shared" si="10"/>
        <v>0</v>
      </c>
      <c r="J12" s="137">
        <f t="shared" si="10"/>
        <v>0</v>
      </c>
      <c r="K12" s="138">
        <f t="shared" si="10"/>
        <v>0</v>
      </c>
      <c r="L12" s="138"/>
      <c r="M12" s="138"/>
      <c r="N12" s="138"/>
      <c r="O12" s="138"/>
      <c r="P12" s="140">
        <f>sum(P13:P54)</f>
        <v>0</v>
      </c>
      <c r="Q12" s="119">
        <f t="shared" si="3"/>
        <v>0</v>
      </c>
      <c r="R12" s="120">
        <f t="shared" si="4"/>
        <v>0</v>
      </c>
      <c r="S12" s="121" t="str">
        <f t="shared" ref="S12:S17" si="11">IF(Q12=0,"",IF(R12=0,"обратить внимание",IF(R12&gt;1,"перерасход","экономия")))</f>
        <v/>
      </c>
    </row>
    <row r="13">
      <c r="A13" s="142" t="str">
        <f>IFERROR(VLOOKUP(B13,'Статьи'!$A$2:C35,3,0)," ")</f>
        <v>ДДС отчетного месяца. Без НДС!</v>
      </c>
      <c r="B13" s="125" t="str">
        <f>IFERROR(__xludf.DUMMYFUNCTION("iferror(filter('Статьи'!$A$1:$A177,'Статьи'!$B$1:$B177=$B$12))"),"Комиссия топливных компаний")</f>
        <v>Комиссия топливных компаний</v>
      </c>
      <c r="C13" s="112"/>
      <c r="D13" s="113"/>
      <c r="E13" s="114"/>
      <c r="F13" s="114"/>
      <c r="G13" s="114"/>
      <c r="H13" s="143"/>
      <c r="I13" s="116">
        <f t="shared" ref="I13:I54" si="12">sum(C13:H13)</f>
        <v>0</v>
      </c>
      <c r="J13" s="117"/>
      <c r="K13" s="118"/>
      <c r="L13" s="118"/>
      <c r="M13" s="118"/>
      <c r="N13" s="118"/>
      <c r="O13" s="118"/>
      <c r="P13" s="116">
        <f t="shared" ref="P13:P16" si="13">SUM(J13:K13)</f>
        <v>0</v>
      </c>
      <c r="Q13" s="119">
        <f t="shared" si="3"/>
        <v>0</v>
      </c>
      <c r="R13" s="120">
        <f t="shared" si="4"/>
        <v>0</v>
      </c>
      <c r="S13" s="121" t="str">
        <f t="shared" si="11"/>
        <v/>
      </c>
    </row>
    <row r="14">
      <c r="A14" s="142" t="str">
        <f>IFERROR(VLOOKUP(B14,'Статьи'!$A$2:C36,3,0)," ")</f>
        <v>1С</v>
      </c>
      <c r="B14" s="125" t="str">
        <f>IFERROR(__xludf.DUMMYFUNCTION("""COMPUTED_VALUE"""),"Топливо для грузовых авто ")</f>
        <v>Топливо для грузовых авто </v>
      </c>
      <c r="C14" s="145"/>
      <c r="D14" s="113"/>
      <c r="E14" s="114"/>
      <c r="F14" s="146"/>
      <c r="G14" s="146"/>
      <c r="H14" s="143"/>
      <c r="I14" s="116">
        <f t="shared" si="12"/>
        <v>0</v>
      </c>
      <c r="J14" s="117"/>
      <c r="K14" s="118"/>
      <c r="L14" s="118"/>
      <c r="M14" s="118"/>
      <c r="N14" s="118"/>
      <c r="O14" s="118"/>
      <c r="P14" s="116">
        <f t="shared" si="13"/>
        <v>0</v>
      </c>
      <c r="Q14" s="119">
        <f t="shared" si="3"/>
        <v>0</v>
      </c>
      <c r="R14" s="120">
        <f t="shared" si="4"/>
        <v>0</v>
      </c>
      <c r="S14" s="121" t="str">
        <f t="shared" si="11"/>
        <v/>
      </c>
    </row>
    <row r="15">
      <c r="A15" s="142" t="str">
        <f>IFERROR(VLOOKUP(B15,'Статьи'!$A$2:C37,3,0)," ")</f>
        <v> </v>
      </c>
      <c r="B15" s="144"/>
      <c r="C15" s="145"/>
      <c r="D15" s="113"/>
      <c r="E15" s="114"/>
      <c r="F15" s="146"/>
      <c r="G15" s="146"/>
      <c r="H15" s="143"/>
      <c r="I15" s="116">
        <f t="shared" si="12"/>
        <v>0</v>
      </c>
      <c r="J15" s="117"/>
      <c r="K15" s="118"/>
      <c r="L15" s="118"/>
      <c r="M15" s="118"/>
      <c r="N15" s="118"/>
      <c r="O15" s="118"/>
      <c r="P15" s="116">
        <f t="shared" si="13"/>
        <v>0</v>
      </c>
      <c r="Q15" s="119">
        <f t="shared" si="3"/>
        <v>0</v>
      </c>
      <c r="R15" s="120">
        <f t="shared" si="4"/>
        <v>0</v>
      </c>
      <c r="S15" s="121" t="str">
        <f t="shared" si="11"/>
        <v/>
      </c>
    </row>
    <row r="16">
      <c r="A16" s="142" t="str">
        <f>IFERROR(VLOOKUP(B16,'Статьи'!$A$2:C38,3,0)," ")</f>
        <v> </v>
      </c>
      <c r="B16" s="144"/>
      <c r="C16" s="145"/>
      <c r="D16" s="113"/>
      <c r="E16" s="114"/>
      <c r="F16" s="146"/>
      <c r="G16" s="146"/>
      <c r="H16" s="143"/>
      <c r="I16" s="116">
        <f t="shared" si="12"/>
        <v>0</v>
      </c>
      <c r="J16" s="117"/>
      <c r="K16" s="118"/>
      <c r="L16" s="118"/>
      <c r="M16" s="118"/>
      <c r="N16" s="118"/>
      <c r="O16" s="118"/>
      <c r="P16" s="116">
        <f t="shared" si="13"/>
        <v>0</v>
      </c>
      <c r="Q16" s="119">
        <f t="shared" si="3"/>
        <v>0</v>
      </c>
      <c r="R16" s="120">
        <f t="shared" si="4"/>
        <v>0</v>
      </c>
      <c r="S16" s="121" t="str">
        <f t="shared" si="11"/>
        <v/>
      </c>
    </row>
    <row r="17" collapsed="1">
      <c r="A17" s="147" t="str">
        <f>IFERROR(VLOOKUP(B17,'Статьи'!$A$2:C39,3,0)," ")</f>
        <v> </v>
      </c>
      <c r="B17" s="144"/>
      <c r="C17" s="145"/>
      <c r="D17" s="114"/>
      <c r="E17" s="114"/>
      <c r="F17" s="146"/>
      <c r="G17" s="146"/>
      <c r="H17" s="143"/>
      <c r="I17" s="116">
        <f t="shared" si="12"/>
        <v>0</v>
      </c>
      <c r="J17" s="123"/>
      <c r="K17" s="118"/>
      <c r="L17" s="118"/>
      <c r="M17" s="118"/>
      <c r="N17" s="118"/>
      <c r="O17" s="118"/>
      <c r="P17" s="116">
        <f t="shared" ref="P17:P54" si="14">sum(F17:J17)</f>
        <v>0</v>
      </c>
      <c r="Q17" s="119">
        <f t="shared" si="3"/>
        <v>0</v>
      </c>
      <c r="R17" s="120">
        <f t="shared" si="4"/>
        <v>0</v>
      </c>
      <c r="S17" s="121" t="str">
        <f t="shared" si="11"/>
        <v/>
      </c>
    </row>
    <row r="18" hidden="1" outlineLevel="1">
      <c r="A18" s="147"/>
      <c r="B18" s="144"/>
      <c r="C18" s="145"/>
      <c r="D18" s="114"/>
      <c r="E18" s="114"/>
      <c r="F18" s="146"/>
      <c r="G18" s="146"/>
      <c r="H18" s="143"/>
      <c r="I18" s="116">
        <f t="shared" si="12"/>
        <v>0</v>
      </c>
      <c r="J18" s="123"/>
      <c r="K18" s="118"/>
      <c r="L18" s="118"/>
      <c r="M18" s="118"/>
      <c r="N18" s="118"/>
      <c r="O18" s="118"/>
      <c r="P18" s="116">
        <f t="shared" si="14"/>
        <v>0</v>
      </c>
      <c r="Q18" s="132">
        <f t="shared" si="3"/>
        <v>0</v>
      </c>
      <c r="R18" s="133">
        <f t="shared" si="4"/>
        <v>0</v>
      </c>
      <c r="S18" s="133">
        <f t="shared" ref="S18:S54" si="15">IF(Q18=0,0,IF(R18&gt;1,"перерасход","экономия"))</f>
        <v>0</v>
      </c>
    </row>
    <row r="19" hidden="1" outlineLevel="1">
      <c r="A19" s="147"/>
      <c r="B19" s="144"/>
      <c r="C19" s="148"/>
      <c r="D19" s="114"/>
      <c r="E19" s="114"/>
      <c r="F19" s="146"/>
      <c r="G19" s="146"/>
      <c r="H19" s="143"/>
      <c r="I19" s="116">
        <f t="shared" si="12"/>
        <v>0</v>
      </c>
      <c r="J19" s="123"/>
      <c r="K19" s="118"/>
      <c r="L19" s="118"/>
      <c r="M19" s="118"/>
      <c r="N19" s="118"/>
      <c r="O19" s="118"/>
      <c r="P19" s="116">
        <f t="shared" si="14"/>
        <v>0</v>
      </c>
      <c r="Q19" s="132">
        <f t="shared" si="3"/>
        <v>0</v>
      </c>
      <c r="R19" s="133">
        <f t="shared" si="4"/>
        <v>0</v>
      </c>
      <c r="S19" s="133">
        <f t="shared" si="15"/>
        <v>0</v>
      </c>
    </row>
    <row r="20" hidden="1" outlineLevel="1">
      <c r="A20" s="147"/>
      <c r="B20" s="144"/>
      <c r="C20" s="148"/>
      <c r="D20" s="114"/>
      <c r="E20" s="114"/>
      <c r="F20" s="146"/>
      <c r="G20" s="146"/>
      <c r="H20" s="143"/>
      <c r="I20" s="116">
        <f t="shared" si="12"/>
        <v>0</v>
      </c>
      <c r="J20" s="123"/>
      <c r="K20" s="118"/>
      <c r="L20" s="118"/>
      <c r="M20" s="118"/>
      <c r="N20" s="118"/>
      <c r="O20" s="118"/>
      <c r="P20" s="116">
        <f t="shared" si="14"/>
        <v>0</v>
      </c>
      <c r="Q20" s="132">
        <f t="shared" si="3"/>
        <v>0</v>
      </c>
      <c r="R20" s="133">
        <f t="shared" si="4"/>
        <v>0</v>
      </c>
      <c r="S20" s="133">
        <f t="shared" si="15"/>
        <v>0</v>
      </c>
    </row>
    <row r="21" hidden="1" outlineLevel="1">
      <c r="A21" s="147"/>
      <c r="B21" s="144"/>
      <c r="C21" s="148"/>
      <c r="D21" s="114"/>
      <c r="E21" s="114"/>
      <c r="F21" s="146"/>
      <c r="G21" s="146"/>
      <c r="H21" s="143"/>
      <c r="I21" s="116">
        <f t="shared" si="12"/>
        <v>0</v>
      </c>
      <c r="J21" s="123"/>
      <c r="K21" s="118"/>
      <c r="L21" s="118"/>
      <c r="M21" s="118"/>
      <c r="N21" s="118"/>
      <c r="O21" s="118"/>
      <c r="P21" s="116">
        <f t="shared" si="14"/>
        <v>0</v>
      </c>
      <c r="Q21" s="132">
        <f t="shared" si="3"/>
        <v>0</v>
      </c>
      <c r="R21" s="133">
        <f t="shared" si="4"/>
        <v>0</v>
      </c>
      <c r="S21" s="133">
        <f t="shared" si="15"/>
        <v>0</v>
      </c>
    </row>
    <row r="22" hidden="1" outlineLevel="1">
      <c r="A22" s="147"/>
      <c r="B22" s="144"/>
      <c r="C22" s="145"/>
      <c r="D22" s="114"/>
      <c r="E22" s="114"/>
      <c r="F22" s="146"/>
      <c r="G22" s="146"/>
      <c r="H22" s="149"/>
      <c r="I22" s="116">
        <f t="shared" si="12"/>
        <v>0</v>
      </c>
      <c r="J22" s="123"/>
      <c r="K22" s="118"/>
      <c r="L22" s="118"/>
      <c r="M22" s="118"/>
      <c r="N22" s="118"/>
      <c r="O22" s="118"/>
      <c r="P22" s="116">
        <f t="shared" si="14"/>
        <v>0</v>
      </c>
      <c r="Q22" s="132">
        <f t="shared" si="3"/>
        <v>0</v>
      </c>
      <c r="R22" s="133">
        <f t="shared" si="4"/>
        <v>0</v>
      </c>
      <c r="S22" s="133">
        <f t="shared" si="15"/>
        <v>0</v>
      </c>
    </row>
    <row r="23" hidden="1" outlineLevel="1">
      <c r="A23" s="150"/>
      <c r="B23" s="151"/>
      <c r="C23" s="148"/>
      <c r="D23" s="114"/>
      <c r="E23" s="114"/>
      <c r="F23" s="146"/>
      <c r="G23" s="146"/>
      <c r="H23" s="143"/>
      <c r="I23" s="116">
        <f t="shared" si="12"/>
        <v>0</v>
      </c>
      <c r="J23" s="123"/>
      <c r="K23" s="118"/>
      <c r="L23" s="118"/>
      <c r="M23" s="118"/>
      <c r="N23" s="118"/>
      <c r="O23" s="118"/>
      <c r="P23" s="116">
        <f t="shared" si="14"/>
        <v>0</v>
      </c>
      <c r="Q23" s="132">
        <f t="shared" si="3"/>
        <v>0</v>
      </c>
      <c r="R23" s="133">
        <f t="shared" si="4"/>
        <v>0</v>
      </c>
      <c r="S23" s="133">
        <f t="shared" si="15"/>
        <v>0</v>
      </c>
    </row>
    <row r="24" hidden="1" outlineLevel="1">
      <c r="A24" s="142"/>
      <c r="B24" s="125"/>
      <c r="C24" s="148"/>
      <c r="D24" s="114"/>
      <c r="E24" s="114"/>
      <c r="F24" s="146"/>
      <c r="G24" s="146"/>
      <c r="H24" s="143"/>
      <c r="I24" s="116">
        <f t="shared" si="12"/>
        <v>0</v>
      </c>
      <c r="J24" s="123"/>
      <c r="K24" s="118"/>
      <c r="L24" s="118"/>
      <c r="M24" s="118"/>
      <c r="N24" s="118"/>
      <c r="O24" s="118"/>
      <c r="P24" s="116">
        <f t="shared" si="14"/>
        <v>0</v>
      </c>
      <c r="Q24" s="132">
        <f t="shared" si="3"/>
        <v>0</v>
      </c>
      <c r="R24" s="133">
        <f t="shared" si="4"/>
        <v>0</v>
      </c>
      <c r="S24" s="133">
        <f t="shared" si="15"/>
        <v>0</v>
      </c>
    </row>
    <row r="25" hidden="1" outlineLevel="1">
      <c r="A25" s="142"/>
      <c r="B25" s="125"/>
      <c r="C25" s="123"/>
      <c r="D25" s="114"/>
      <c r="E25" s="114"/>
      <c r="F25" s="114"/>
      <c r="G25" s="114"/>
      <c r="H25" s="143"/>
      <c r="I25" s="116">
        <f t="shared" si="12"/>
        <v>0</v>
      </c>
      <c r="J25" s="123"/>
      <c r="K25" s="118"/>
      <c r="L25" s="118"/>
      <c r="M25" s="118"/>
      <c r="N25" s="118"/>
      <c r="O25" s="118"/>
      <c r="P25" s="116">
        <f t="shared" si="14"/>
        <v>0</v>
      </c>
      <c r="Q25" s="132">
        <f t="shared" si="3"/>
        <v>0</v>
      </c>
      <c r="R25" s="133">
        <f t="shared" si="4"/>
        <v>0</v>
      </c>
      <c r="S25" s="133">
        <f t="shared" si="15"/>
        <v>0</v>
      </c>
    </row>
    <row r="26" hidden="1" outlineLevel="1">
      <c r="A26" s="142"/>
      <c r="B26" s="125"/>
      <c r="C26" s="123"/>
      <c r="D26" s="114"/>
      <c r="E26" s="114"/>
      <c r="F26" s="114"/>
      <c r="G26" s="114"/>
      <c r="H26" s="143"/>
      <c r="I26" s="116">
        <f t="shared" si="12"/>
        <v>0</v>
      </c>
      <c r="J26" s="123"/>
      <c r="K26" s="118"/>
      <c r="L26" s="118"/>
      <c r="M26" s="118"/>
      <c r="N26" s="118"/>
      <c r="O26" s="118"/>
      <c r="P26" s="116">
        <f t="shared" si="14"/>
        <v>0</v>
      </c>
      <c r="Q26" s="132">
        <f t="shared" si="3"/>
        <v>0</v>
      </c>
      <c r="R26" s="133">
        <f t="shared" si="4"/>
        <v>0</v>
      </c>
      <c r="S26" s="133">
        <f t="shared" si="15"/>
        <v>0</v>
      </c>
    </row>
    <row r="27" hidden="1" outlineLevel="1">
      <c r="A27" s="142"/>
      <c r="B27" s="125"/>
      <c r="C27" s="123"/>
      <c r="D27" s="114"/>
      <c r="E27" s="114"/>
      <c r="F27" s="114"/>
      <c r="G27" s="114"/>
      <c r="H27" s="143"/>
      <c r="I27" s="116">
        <f t="shared" si="12"/>
        <v>0</v>
      </c>
      <c r="J27" s="123"/>
      <c r="K27" s="118"/>
      <c r="L27" s="118"/>
      <c r="M27" s="118"/>
      <c r="N27" s="118"/>
      <c r="O27" s="118"/>
      <c r="P27" s="116">
        <f t="shared" si="14"/>
        <v>0</v>
      </c>
      <c r="Q27" s="132">
        <f t="shared" si="3"/>
        <v>0</v>
      </c>
      <c r="R27" s="133">
        <f t="shared" si="4"/>
        <v>0</v>
      </c>
      <c r="S27" s="133">
        <f t="shared" si="15"/>
        <v>0</v>
      </c>
    </row>
    <row r="28" hidden="1" outlineLevel="1">
      <c r="A28" s="142"/>
      <c r="B28" s="125"/>
      <c r="C28" s="123"/>
      <c r="D28" s="114"/>
      <c r="E28" s="114"/>
      <c r="F28" s="114"/>
      <c r="G28" s="114"/>
      <c r="H28" s="143"/>
      <c r="I28" s="116">
        <f t="shared" si="12"/>
        <v>0</v>
      </c>
      <c r="J28" s="123"/>
      <c r="K28" s="118"/>
      <c r="L28" s="118"/>
      <c r="M28" s="118"/>
      <c r="N28" s="118"/>
      <c r="O28" s="118"/>
      <c r="P28" s="116">
        <f t="shared" si="14"/>
        <v>0</v>
      </c>
      <c r="Q28" s="132">
        <f t="shared" si="3"/>
        <v>0</v>
      </c>
      <c r="R28" s="133">
        <f t="shared" si="4"/>
        <v>0</v>
      </c>
      <c r="S28" s="133">
        <f t="shared" si="15"/>
        <v>0</v>
      </c>
    </row>
    <row r="29" hidden="1" outlineLevel="1">
      <c r="A29" s="142"/>
      <c r="B29" s="125"/>
      <c r="C29" s="123"/>
      <c r="D29" s="114"/>
      <c r="E29" s="114"/>
      <c r="F29" s="114"/>
      <c r="G29" s="114"/>
      <c r="H29" s="143"/>
      <c r="I29" s="116">
        <f t="shared" si="12"/>
        <v>0</v>
      </c>
      <c r="J29" s="123"/>
      <c r="K29" s="118"/>
      <c r="L29" s="118"/>
      <c r="M29" s="118"/>
      <c r="N29" s="118"/>
      <c r="O29" s="118"/>
      <c r="P29" s="116">
        <f t="shared" si="14"/>
        <v>0</v>
      </c>
      <c r="Q29" s="132">
        <f t="shared" si="3"/>
        <v>0</v>
      </c>
      <c r="R29" s="133">
        <f t="shared" si="4"/>
        <v>0</v>
      </c>
      <c r="S29" s="133">
        <f t="shared" si="15"/>
        <v>0</v>
      </c>
    </row>
    <row r="30" hidden="1" outlineLevel="1">
      <c r="A30" s="142"/>
      <c r="B30" s="125"/>
      <c r="C30" s="123"/>
      <c r="D30" s="114"/>
      <c r="E30" s="114"/>
      <c r="F30" s="114"/>
      <c r="G30" s="114"/>
      <c r="H30" s="143"/>
      <c r="I30" s="116">
        <f t="shared" si="12"/>
        <v>0</v>
      </c>
      <c r="J30" s="123"/>
      <c r="K30" s="118"/>
      <c r="L30" s="118"/>
      <c r="M30" s="118"/>
      <c r="N30" s="118"/>
      <c r="O30" s="118"/>
      <c r="P30" s="116">
        <f t="shared" si="14"/>
        <v>0</v>
      </c>
      <c r="Q30" s="132">
        <f t="shared" si="3"/>
        <v>0</v>
      </c>
      <c r="R30" s="133">
        <f t="shared" si="4"/>
        <v>0</v>
      </c>
      <c r="S30" s="133">
        <f t="shared" si="15"/>
        <v>0</v>
      </c>
    </row>
    <row r="31" hidden="1" outlineLevel="1">
      <c r="A31" s="142"/>
      <c r="B31" s="125"/>
      <c r="C31" s="123"/>
      <c r="D31" s="114"/>
      <c r="E31" s="114"/>
      <c r="F31" s="114"/>
      <c r="G31" s="114"/>
      <c r="H31" s="143"/>
      <c r="I31" s="116">
        <f t="shared" si="12"/>
        <v>0</v>
      </c>
      <c r="J31" s="123"/>
      <c r="K31" s="118"/>
      <c r="L31" s="118"/>
      <c r="M31" s="118"/>
      <c r="N31" s="118"/>
      <c r="O31" s="118"/>
      <c r="P31" s="116">
        <f t="shared" si="14"/>
        <v>0</v>
      </c>
      <c r="Q31" s="132">
        <f t="shared" si="3"/>
        <v>0</v>
      </c>
      <c r="R31" s="133">
        <f t="shared" si="4"/>
        <v>0</v>
      </c>
      <c r="S31" s="133">
        <f t="shared" si="15"/>
        <v>0</v>
      </c>
    </row>
    <row r="32" hidden="1" outlineLevel="1">
      <c r="A32" s="142"/>
      <c r="B32" s="125"/>
      <c r="C32" s="123"/>
      <c r="D32" s="114"/>
      <c r="E32" s="114"/>
      <c r="F32" s="114"/>
      <c r="G32" s="114"/>
      <c r="H32" s="143"/>
      <c r="I32" s="116">
        <f t="shared" si="12"/>
        <v>0</v>
      </c>
      <c r="J32" s="123"/>
      <c r="K32" s="118"/>
      <c r="L32" s="118"/>
      <c r="M32" s="118"/>
      <c r="N32" s="118"/>
      <c r="O32" s="118"/>
      <c r="P32" s="116">
        <f t="shared" si="14"/>
        <v>0</v>
      </c>
      <c r="Q32" s="132">
        <f t="shared" si="3"/>
        <v>0</v>
      </c>
      <c r="R32" s="133">
        <f t="shared" si="4"/>
        <v>0</v>
      </c>
      <c r="S32" s="133">
        <f t="shared" si="15"/>
        <v>0</v>
      </c>
    </row>
    <row r="33" hidden="1" outlineLevel="1">
      <c r="A33" s="142"/>
      <c r="B33" s="125"/>
      <c r="C33" s="123"/>
      <c r="D33" s="114"/>
      <c r="E33" s="114"/>
      <c r="F33" s="114"/>
      <c r="G33" s="114"/>
      <c r="H33" s="143"/>
      <c r="I33" s="116">
        <f t="shared" si="12"/>
        <v>0</v>
      </c>
      <c r="J33" s="123"/>
      <c r="K33" s="118"/>
      <c r="L33" s="118"/>
      <c r="M33" s="118"/>
      <c r="N33" s="118"/>
      <c r="O33" s="118"/>
      <c r="P33" s="116">
        <f t="shared" si="14"/>
        <v>0</v>
      </c>
      <c r="Q33" s="132">
        <f t="shared" si="3"/>
        <v>0</v>
      </c>
      <c r="R33" s="133">
        <f t="shared" si="4"/>
        <v>0</v>
      </c>
      <c r="S33" s="133">
        <f t="shared" si="15"/>
        <v>0</v>
      </c>
    </row>
    <row r="34" hidden="1" outlineLevel="1">
      <c r="A34" s="142"/>
      <c r="B34" s="125"/>
      <c r="C34" s="123"/>
      <c r="D34" s="114"/>
      <c r="E34" s="114"/>
      <c r="F34" s="114"/>
      <c r="G34" s="114"/>
      <c r="H34" s="143"/>
      <c r="I34" s="116">
        <f t="shared" si="12"/>
        <v>0</v>
      </c>
      <c r="J34" s="123"/>
      <c r="K34" s="118"/>
      <c r="L34" s="118"/>
      <c r="M34" s="118"/>
      <c r="N34" s="118"/>
      <c r="O34" s="118"/>
      <c r="P34" s="116">
        <f t="shared" si="14"/>
        <v>0</v>
      </c>
      <c r="Q34" s="132">
        <f t="shared" si="3"/>
        <v>0</v>
      </c>
      <c r="R34" s="133">
        <f t="shared" si="4"/>
        <v>0</v>
      </c>
      <c r="S34" s="133">
        <f t="shared" si="15"/>
        <v>0</v>
      </c>
    </row>
    <row r="35" hidden="1" outlineLevel="1">
      <c r="A35" s="142"/>
      <c r="B35" s="125"/>
      <c r="C35" s="123"/>
      <c r="D35" s="114"/>
      <c r="E35" s="114"/>
      <c r="F35" s="114"/>
      <c r="G35" s="114"/>
      <c r="H35" s="143"/>
      <c r="I35" s="116">
        <f t="shared" si="12"/>
        <v>0</v>
      </c>
      <c r="J35" s="123"/>
      <c r="K35" s="118"/>
      <c r="L35" s="118"/>
      <c r="M35" s="118"/>
      <c r="N35" s="118"/>
      <c r="O35" s="118"/>
      <c r="P35" s="116">
        <f t="shared" si="14"/>
        <v>0</v>
      </c>
      <c r="Q35" s="132">
        <f t="shared" si="3"/>
        <v>0</v>
      </c>
      <c r="R35" s="133">
        <f t="shared" si="4"/>
        <v>0</v>
      </c>
      <c r="S35" s="133">
        <f t="shared" si="15"/>
        <v>0</v>
      </c>
    </row>
    <row r="36" hidden="1" outlineLevel="1">
      <c r="A36" s="142"/>
      <c r="B36" s="125"/>
      <c r="C36" s="123"/>
      <c r="D36" s="114"/>
      <c r="E36" s="114"/>
      <c r="F36" s="114"/>
      <c r="G36" s="114"/>
      <c r="H36" s="143"/>
      <c r="I36" s="116">
        <f t="shared" si="12"/>
        <v>0</v>
      </c>
      <c r="J36" s="123"/>
      <c r="K36" s="118"/>
      <c r="L36" s="118"/>
      <c r="M36" s="118"/>
      <c r="N36" s="118"/>
      <c r="O36" s="118"/>
      <c r="P36" s="116">
        <f t="shared" si="14"/>
        <v>0</v>
      </c>
      <c r="Q36" s="132">
        <f t="shared" si="3"/>
        <v>0</v>
      </c>
      <c r="R36" s="133">
        <f t="shared" si="4"/>
        <v>0</v>
      </c>
      <c r="S36" s="133">
        <f t="shared" si="15"/>
        <v>0</v>
      </c>
    </row>
    <row r="37" hidden="1" outlineLevel="1">
      <c r="A37" s="142"/>
      <c r="B37" s="125"/>
      <c r="C37" s="123"/>
      <c r="D37" s="114"/>
      <c r="E37" s="114"/>
      <c r="F37" s="114"/>
      <c r="G37" s="114"/>
      <c r="H37" s="143"/>
      <c r="I37" s="116">
        <f t="shared" si="12"/>
        <v>0</v>
      </c>
      <c r="J37" s="123"/>
      <c r="K37" s="118"/>
      <c r="L37" s="118"/>
      <c r="M37" s="118"/>
      <c r="N37" s="118"/>
      <c r="O37" s="118"/>
      <c r="P37" s="116">
        <f t="shared" si="14"/>
        <v>0</v>
      </c>
      <c r="Q37" s="132">
        <f t="shared" si="3"/>
        <v>0</v>
      </c>
      <c r="R37" s="133">
        <f t="shared" si="4"/>
        <v>0</v>
      </c>
      <c r="S37" s="133">
        <f t="shared" si="15"/>
        <v>0</v>
      </c>
    </row>
    <row r="38" hidden="1" outlineLevel="1">
      <c r="A38" s="142"/>
      <c r="B38" s="125"/>
      <c r="C38" s="123"/>
      <c r="D38" s="114"/>
      <c r="E38" s="114"/>
      <c r="F38" s="114"/>
      <c r="G38" s="114"/>
      <c r="H38" s="143"/>
      <c r="I38" s="116">
        <f t="shared" si="12"/>
        <v>0</v>
      </c>
      <c r="J38" s="123"/>
      <c r="K38" s="118"/>
      <c r="L38" s="118"/>
      <c r="M38" s="118"/>
      <c r="N38" s="118"/>
      <c r="O38" s="118"/>
      <c r="P38" s="116">
        <f t="shared" si="14"/>
        <v>0</v>
      </c>
      <c r="Q38" s="132">
        <f t="shared" si="3"/>
        <v>0</v>
      </c>
      <c r="R38" s="133">
        <f t="shared" si="4"/>
        <v>0</v>
      </c>
      <c r="S38" s="133">
        <f t="shared" si="15"/>
        <v>0</v>
      </c>
    </row>
    <row r="39" hidden="1" outlineLevel="1">
      <c r="A39" s="142"/>
      <c r="B39" s="125"/>
      <c r="C39" s="123"/>
      <c r="D39" s="114"/>
      <c r="E39" s="114"/>
      <c r="F39" s="114"/>
      <c r="G39" s="114"/>
      <c r="H39" s="143"/>
      <c r="I39" s="116">
        <f t="shared" si="12"/>
        <v>0</v>
      </c>
      <c r="J39" s="123"/>
      <c r="K39" s="118"/>
      <c r="L39" s="118"/>
      <c r="M39" s="118"/>
      <c r="N39" s="118"/>
      <c r="O39" s="118"/>
      <c r="P39" s="116">
        <f t="shared" si="14"/>
        <v>0</v>
      </c>
      <c r="Q39" s="132">
        <f t="shared" si="3"/>
        <v>0</v>
      </c>
      <c r="R39" s="133">
        <f t="shared" si="4"/>
        <v>0</v>
      </c>
      <c r="S39" s="133">
        <f t="shared" si="15"/>
        <v>0</v>
      </c>
    </row>
    <row r="40" hidden="1" outlineLevel="1">
      <c r="A40" s="142"/>
      <c r="B40" s="125"/>
      <c r="C40" s="123"/>
      <c r="D40" s="114"/>
      <c r="E40" s="114"/>
      <c r="F40" s="114"/>
      <c r="G40" s="114"/>
      <c r="H40" s="143"/>
      <c r="I40" s="116">
        <f t="shared" si="12"/>
        <v>0</v>
      </c>
      <c r="J40" s="123"/>
      <c r="K40" s="118"/>
      <c r="L40" s="118"/>
      <c r="M40" s="118"/>
      <c r="N40" s="118"/>
      <c r="O40" s="118"/>
      <c r="P40" s="116">
        <f t="shared" si="14"/>
        <v>0</v>
      </c>
      <c r="Q40" s="132">
        <f t="shared" si="3"/>
        <v>0</v>
      </c>
      <c r="R40" s="133">
        <f t="shared" si="4"/>
        <v>0</v>
      </c>
      <c r="S40" s="133">
        <f t="shared" si="15"/>
        <v>0</v>
      </c>
    </row>
    <row r="41" hidden="1" outlineLevel="1">
      <c r="A41" s="142"/>
      <c r="B41" s="125"/>
      <c r="C41" s="123"/>
      <c r="D41" s="114"/>
      <c r="E41" s="114"/>
      <c r="F41" s="114"/>
      <c r="G41" s="114"/>
      <c r="H41" s="143"/>
      <c r="I41" s="116">
        <f t="shared" si="12"/>
        <v>0</v>
      </c>
      <c r="J41" s="123"/>
      <c r="K41" s="118"/>
      <c r="L41" s="118"/>
      <c r="M41" s="118"/>
      <c r="N41" s="118"/>
      <c r="O41" s="118"/>
      <c r="P41" s="116">
        <f t="shared" si="14"/>
        <v>0</v>
      </c>
      <c r="Q41" s="132">
        <f t="shared" si="3"/>
        <v>0</v>
      </c>
      <c r="R41" s="133">
        <f t="shared" si="4"/>
        <v>0</v>
      </c>
      <c r="S41" s="133">
        <f t="shared" si="15"/>
        <v>0</v>
      </c>
    </row>
    <row r="42" hidden="1" outlineLevel="1">
      <c r="A42" s="142"/>
      <c r="B42" s="125"/>
      <c r="C42" s="123"/>
      <c r="D42" s="114"/>
      <c r="E42" s="114"/>
      <c r="F42" s="114"/>
      <c r="G42" s="114"/>
      <c r="H42" s="143"/>
      <c r="I42" s="116">
        <f t="shared" si="12"/>
        <v>0</v>
      </c>
      <c r="J42" s="123"/>
      <c r="K42" s="118"/>
      <c r="L42" s="118"/>
      <c r="M42" s="118"/>
      <c r="N42" s="118"/>
      <c r="O42" s="118"/>
      <c r="P42" s="116">
        <f t="shared" si="14"/>
        <v>0</v>
      </c>
      <c r="Q42" s="132">
        <f t="shared" si="3"/>
        <v>0</v>
      </c>
      <c r="R42" s="133">
        <f t="shared" si="4"/>
        <v>0</v>
      </c>
      <c r="S42" s="133">
        <f t="shared" si="15"/>
        <v>0</v>
      </c>
    </row>
    <row r="43" hidden="1" outlineLevel="1">
      <c r="A43" s="142"/>
      <c r="B43" s="125"/>
      <c r="C43" s="123"/>
      <c r="D43" s="114"/>
      <c r="E43" s="114"/>
      <c r="F43" s="114"/>
      <c r="G43" s="114"/>
      <c r="H43" s="143"/>
      <c r="I43" s="116">
        <f t="shared" si="12"/>
        <v>0</v>
      </c>
      <c r="J43" s="123"/>
      <c r="K43" s="118"/>
      <c r="L43" s="118"/>
      <c r="M43" s="118"/>
      <c r="N43" s="118"/>
      <c r="O43" s="118"/>
      <c r="P43" s="116">
        <f t="shared" si="14"/>
        <v>0</v>
      </c>
      <c r="Q43" s="132">
        <f t="shared" si="3"/>
        <v>0</v>
      </c>
      <c r="R43" s="133">
        <f t="shared" si="4"/>
        <v>0</v>
      </c>
      <c r="S43" s="133">
        <f t="shared" si="15"/>
        <v>0</v>
      </c>
    </row>
    <row r="44" hidden="1" outlineLevel="1">
      <c r="A44" s="142"/>
      <c r="B44" s="125"/>
      <c r="C44" s="123"/>
      <c r="D44" s="114"/>
      <c r="E44" s="114"/>
      <c r="F44" s="114"/>
      <c r="G44" s="114"/>
      <c r="H44" s="143"/>
      <c r="I44" s="116">
        <f t="shared" si="12"/>
        <v>0</v>
      </c>
      <c r="J44" s="123"/>
      <c r="K44" s="118"/>
      <c r="L44" s="118"/>
      <c r="M44" s="118"/>
      <c r="N44" s="118"/>
      <c r="O44" s="118"/>
      <c r="P44" s="116">
        <f t="shared" si="14"/>
        <v>0</v>
      </c>
      <c r="Q44" s="132">
        <f t="shared" si="3"/>
        <v>0</v>
      </c>
      <c r="R44" s="133">
        <f t="shared" si="4"/>
        <v>0</v>
      </c>
      <c r="S44" s="133">
        <f t="shared" si="15"/>
        <v>0</v>
      </c>
    </row>
    <row r="45" hidden="1" outlineLevel="1">
      <c r="A45" s="142"/>
      <c r="B45" s="125"/>
      <c r="C45" s="123"/>
      <c r="D45" s="114"/>
      <c r="E45" s="114"/>
      <c r="F45" s="114"/>
      <c r="G45" s="114"/>
      <c r="H45" s="143"/>
      <c r="I45" s="116">
        <f t="shared" si="12"/>
        <v>0</v>
      </c>
      <c r="J45" s="123"/>
      <c r="K45" s="118"/>
      <c r="L45" s="118"/>
      <c r="M45" s="118"/>
      <c r="N45" s="118"/>
      <c r="O45" s="118"/>
      <c r="P45" s="116">
        <f t="shared" si="14"/>
        <v>0</v>
      </c>
      <c r="Q45" s="132">
        <f t="shared" si="3"/>
        <v>0</v>
      </c>
      <c r="R45" s="133">
        <f t="shared" si="4"/>
        <v>0</v>
      </c>
      <c r="S45" s="133">
        <f t="shared" si="15"/>
        <v>0</v>
      </c>
    </row>
    <row r="46" hidden="1" outlineLevel="1">
      <c r="A46" s="142"/>
      <c r="B46" s="125"/>
      <c r="C46" s="123"/>
      <c r="D46" s="114"/>
      <c r="E46" s="114"/>
      <c r="F46" s="114"/>
      <c r="G46" s="114"/>
      <c r="H46" s="143"/>
      <c r="I46" s="116">
        <f t="shared" si="12"/>
        <v>0</v>
      </c>
      <c r="J46" s="123"/>
      <c r="K46" s="118"/>
      <c r="L46" s="118"/>
      <c r="M46" s="118"/>
      <c r="N46" s="118"/>
      <c r="O46" s="118"/>
      <c r="P46" s="116">
        <f t="shared" si="14"/>
        <v>0</v>
      </c>
      <c r="Q46" s="132">
        <f t="shared" si="3"/>
        <v>0</v>
      </c>
      <c r="R46" s="133">
        <f t="shared" si="4"/>
        <v>0</v>
      </c>
      <c r="S46" s="133">
        <f t="shared" si="15"/>
        <v>0</v>
      </c>
    </row>
    <row r="47" hidden="1" outlineLevel="1">
      <c r="A47" s="142"/>
      <c r="B47" s="125"/>
      <c r="C47" s="123"/>
      <c r="D47" s="114"/>
      <c r="E47" s="114"/>
      <c r="F47" s="114"/>
      <c r="G47" s="114"/>
      <c r="H47" s="143"/>
      <c r="I47" s="116">
        <f t="shared" si="12"/>
        <v>0</v>
      </c>
      <c r="J47" s="123"/>
      <c r="K47" s="118"/>
      <c r="L47" s="118"/>
      <c r="M47" s="118"/>
      <c r="N47" s="118"/>
      <c r="O47" s="118"/>
      <c r="P47" s="116">
        <f t="shared" si="14"/>
        <v>0</v>
      </c>
      <c r="Q47" s="132">
        <f t="shared" si="3"/>
        <v>0</v>
      </c>
      <c r="R47" s="133">
        <f t="shared" si="4"/>
        <v>0</v>
      </c>
      <c r="S47" s="133">
        <f t="shared" si="15"/>
        <v>0</v>
      </c>
    </row>
    <row r="48" hidden="1" outlineLevel="1">
      <c r="A48" s="142"/>
      <c r="B48" s="125"/>
      <c r="C48" s="123"/>
      <c r="D48" s="114"/>
      <c r="E48" s="114"/>
      <c r="F48" s="114"/>
      <c r="G48" s="114"/>
      <c r="H48" s="143"/>
      <c r="I48" s="116">
        <f t="shared" si="12"/>
        <v>0</v>
      </c>
      <c r="J48" s="123"/>
      <c r="K48" s="118"/>
      <c r="L48" s="118"/>
      <c r="M48" s="118"/>
      <c r="N48" s="118"/>
      <c r="O48" s="118"/>
      <c r="P48" s="116">
        <f t="shared" si="14"/>
        <v>0</v>
      </c>
      <c r="Q48" s="132">
        <f t="shared" si="3"/>
        <v>0</v>
      </c>
      <c r="R48" s="133">
        <f t="shared" si="4"/>
        <v>0</v>
      </c>
      <c r="S48" s="133">
        <f t="shared" si="15"/>
        <v>0</v>
      </c>
    </row>
    <row r="49" hidden="1" outlineLevel="1">
      <c r="A49" s="142"/>
      <c r="B49" s="125"/>
      <c r="C49" s="123"/>
      <c r="D49" s="143"/>
      <c r="E49" s="114"/>
      <c r="F49" s="114"/>
      <c r="G49" s="114"/>
      <c r="H49" s="143"/>
      <c r="I49" s="116">
        <f t="shared" si="12"/>
        <v>0</v>
      </c>
      <c r="J49" s="123"/>
      <c r="K49" s="118"/>
      <c r="L49" s="118"/>
      <c r="M49" s="118"/>
      <c r="N49" s="118"/>
      <c r="O49" s="118"/>
      <c r="P49" s="116">
        <f t="shared" si="14"/>
        <v>0</v>
      </c>
      <c r="Q49" s="132">
        <f t="shared" si="3"/>
        <v>0</v>
      </c>
      <c r="R49" s="133">
        <f t="shared" si="4"/>
        <v>0</v>
      </c>
      <c r="S49" s="133">
        <f t="shared" si="15"/>
        <v>0</v>
      </c>
    </row>
    <row r="50" hidden="1" outlineLevel="1">
      <c r="A50" s="142"/>
      <c r="B50" s="125"/>
      <c r="C50" s="123"/>
      <c r="D50" s="114"/>
      <c r="E50" s="114"/>
      <c r="F50" s="114"/>
      <c r="G50" s="114"/>
      <c r="H50" s="143"/>
      <c r="I50" s="116">
        <f t="shared" si="12"/>
        <v>0</v>
      </c>
      <c r="J50" s="123"/>
      <c r="K50" s="118"/>
      <c r="L50" s="118"/>
      <c r="M50" s="118"/>
      <c r="N50" s="118"/>
      <c r="O50" s="118"/>
      <c r="P50" s="116">
        <f t="shared" si="14"/>
        <v>0</v>
      </c>
      <c r="Q50" s="132">
        <f t="shared" si="3"/>
        <v>0</v>
      </c>
      <c r="R50" s="133">
        <f t="shared" si="4"/>
        <v>0</v>
      </c>
      <c r="S50" s="133">
        <f t="shared" si="15"/>
        <v>0</v>
      </c>
    </row>
    <row r="51" hidden="1" outlineLevel="1">
      <c r="A51" s="142"/>
      <c r="B51" s="125"/>
      <c r="C51" s="123"/>
      <c r="D51" s="114"/>
      <c r="E51" s="114"/>
      <c r="F51" s="114"/>
      <c r="G51" s="114"/>
      <c r="H51" s="143"/>
      <c r="I51" s="116">
        <f t="shared" si="12"/>
        <v>0</v>
      </c>
      <c r="J51" s="123"/>
      <c r="K51" s="118"/>
      <c r="L51" s="118"/>
      <c r="M51" s="118"/>
      <c r="N51" s="118"/>
      <c r="O51" s="118"/>
      <c r="P51" s="116">
        <f t="shared" si="14"/>
        <v>0</v>
      </c>
      <c r="Q51" s="132">
        <f t="shared" si="3"/>
        <v>0</v>
      </c>
      <c r="R51" s="133">
        <f t="shared" si="4"/>
        <v>0</v>
      </c>
      <c r="S51" s="133">
        <f t="shared" si="15"/>
        <v>0</v>
      </c>
    </row>
    <row r="52" hidden="1" outlineLevel="1">
      <c r="A52" s="142"/>
      <c r="B52" s="125"/>
      <c r="C52" s="123"/>
      <c r="D52" s="114"/>
      <c r="E52" s="114"/>
      <c r="F52" s="114"/>
      <c r="G52" s="114"/>
      <c r="H52" s="149"/>
      <c r="I52" s="116">
        <f t="shared" si="12"/>
        <v>0</v>
      </c>
      <c r="J52" s="123"/>
      <c r="K52" s="118"/>
      <c r="L52" s="118"/>
      <c r="M52" s="118"/>
      <c r="N52" s="118"/>
      <c r="O52" s="118"/>
      <c r="P52" s="116">
        <f t="shared" si="14"/>
        <v>0</v>
      </c>
      <c r="Q52" s="132">
        <f t="shared" si="3"/>
        <v>0</v>
      </c>
      <c r="R52" s="133">
        <f t="shared" si="4"/>
        <v>0</v>
      </c>
      <c r="S52" s="133">
        <f t="shared" si="15"/>
        <v>0</v>
      </c>
    </row>
    <row r="53" hidden="1" outlineLevel="1">
      <c r="A53" s="142"/>
      <c r="B53" s="125"/>
      <c r="C53" s="123"/>
      <c r="D53" s="114"/>
      <c r="E53" s="114"/>
      <c r="F53" s="114"/>
      <c r="G53" s="114"/>
      <c r="H53" s="143"/>
      <c r="I53" s="116">
        <f t="shared" si="12"/>
        <v>0</v>
      </c>
      <c r="J53" s="123"/>
      <c r="K53" s="118"/>
      <c r="L53" s="118"/>
      <c r="M53" s="118"/>
      <c r="N53" s="118"/>
      <c r="O53" s="118"/>
      <c r="P53" s="116">
        <f t="shared" si="14"/>
        <v>0</v>
      </c>
      <c r="Q53" s="132">
        <f t="shared" si="3"/>
        <v>0</v>
      </c>
      <c r="R53" s="133">
        <f t="shared" si="4"/>
        <v>0</v>
      </c>
      <c r="S53" s="133">
        <f t="shared" si="15"/>
        <v>0</v>
      </c>
    </row>
    <row r="54" hidden="1" outlineLevel="1">
      <c r="A54" s="142"/>
      <c r="B54" s="125"/>
      <c r="C54" s="122"/>
      <c r="D54" s="114"/>
      <c r="E54" s="114"/>
      <c r="F54" s="114"/>
      <c r="G54" s="114"/>
      <c r="H54" s="143"/>
      <c r="I54" s="116">
        <f t="shared" si="12"/>
        <v>0</v>
      </c>
      <c r="J54" s="123"/>
      <c r="K54" s="118"/>
      <c r="L54" s="118"/>
      <c r="M54" s="118"/>
      <c r="N54" s="118"/>
      <c r="O54" s="118"/>
      <c r="P54" s="116">
        <f t="shared" si="14"/>
        <v>0</v>
      </c>
      <c r="Q54" s="132">
        <f t="shared" si="3"/>
        <v>0</v>
      </c>
      <c r="R54" s="133">
        <f t="shared" si="4"/>
        <v>0</v>
      </c>
      <c r="S54" s="133">
        <f t="shared" si="15"/>
        <v>0</v>
      </c>
    </row>
    <row r="55">
      <c r="A55" s="152"/>
      <c r="B55" s="153" t="s">
        <v>136</v>
      </c>
      <c r="C55" s="154">
        <f t="shared" ref="C55:K55" si="16">C3+C12</f>
        <v>4</v>
      </c>
      <c r="D55" s="155">
        <f t="shared" si="16"/>
        <v>0</v>
      </c>
      <c r="E55" s="155">
        <f t="shared" si="16"/>
        <v>0</v>
      </c>
      <c r="F55" s="155">
        <f t="shared" si="16"/>
        <v>0</v>
      </c>
      <c r="G55" s="155">
        <f t="shared" si="16"/>
        <v>0</v>
      </c>
      <c r="H55" s="156">
        <f t="shared" si="16"/>
        <v>0</v>
      </c>
      <c r="I55" s="157">
        <f t="shared" si="16"/>
        <v>4</v>
      </c>
      <c r="J55" s="154">
        <f t="shared" si="16"/>
        <v>0</v>
      </c>
      <c r="K55" s="155">
        <f t="shared" si="16"/>
        <v>0</v>
      </c>
      <c r="L55" s="155"/>
      <c r="M55" s="155"/>
      <c r="N55" s="155"/>
      <c r="O55" s="155"/>
      <c r="P55" s="157">
        <f>P3+P12</f>
        <v>0</v>
      </c>
      <c r="Q55" s="155">
        <f t="shared" si="3"/>
        <v>4</v>
      </c>
      <c r="R55" s="158">
        <f t="shared" si="4"/>
        <v>0</v>
      </c>
      <c r="S55" s="159" t="str">
        <f>IF(Q55=0,"",IF(R55&gt;1,"выполнение","план не выполнен"))</f>
        <v>план не выполнен</v>
      </c>
    </row>
    <row r="56">
      <c r="A56" s="160"/>
      <c r="B56" s="161" t="s">
        <v>137</v>
      </c>
      <c r="C56" s="162">
        <f t="shared" ref="C56:K56" si="17">IFERROR(C55/C$3,"")</f>
        <v>1</v>
      </c>
      <c r="D56" s="163" t="str">
        <f t="shared" si="17"/>
        <v/>
      </c>
      <c r="E56" s="163" t="str">
        <f t="shared" si="17"/>
        <v/>
      </c>
      <c r="F56" s="163" t="str">
        <f t="shared" si="17"/>
        <v/>
      </c>
      <c r="G56" s="163" t="str">
        <f t="shared" si="17"/>
        <v/>
      </c>
      <c r="H56" s="163" t="str">
        <f t="shared" si="17"/>
        <v/>
      </c>
      <c r="I56" s="164">
        <f t="shared" si="17"/>
        <v>1</v>
      </c>
      <c r="J56" s="163" t="str">
        <f t="shared" si="17"/>
        <v/>
      </c>
      <c r="K56" s="163" t="str">
        <f t="shared" si="17"/>
        <v/>
      </c>
      <c r="L56" s="163"/>
      <c r="M56" s="163"/>
      <c r="N56" s="163"/>
      <c r="O56" s="163"/>
      <c r="P56" s="164" t="str">
        <f>IFERROR(P55/P$3,"")</f>
        <v/>
      </c>
      <c r="Q56" s="121"/>
      <c r="R56" s="121"/>
      <c r="S56" s="121"/>
    </row>
    <row r="57">
      <c r="A57" s="142"/>
      <c r="B57" s="125"/>
      <c r="C57" s="122"/>
      <c r="D57" s="114"/>
      <c r="E57" s="114"/>
      <c r="F57" s="114"/>
      <c r="G57" s="114"/>
      <c r="H57" s="114"/>
      <c r="I57" s="116"/>
      <c r="J57" s="123"/>
      <c r="K57" s="118"/>
      <c r="L57" s="118"/>
      <c r="M57" s="118"/>
      <c r="N57" s="118"/>
      <c r="O57" s="118"/>
      <c r="P57" s="116"/>
      <c r="Q57" s="121"/>
      <c r="R57" s="121"/>
      <c r="S57" s="121"/>
    </row>
    <row r="58">
      <c r="A58" s="135"/>
      <c r="B58" s="136" t="s">
        <v>94</v>
      </c>
      <c r="C58" s="165">
        <f t="shared" ref="C58:H58" si="18">sum(C59:C79)</f>
        <v>0</v>
      </c>
      <c r="D58" s="166">
        <f t="shared" si="18"/>
        <v>0</v>
      </c>
      <c r="E58" s="166">
        <f t="shared" si="18"/>
        <v>0</v>
      </c>
      <c r="F58" s="166">
        <f t="shared" si="18"/>
        <v>0</v>
      </c>
      <c r="G58" s="166">
        <f t="shared" si="18"/>
        <v>0</v>
      </c>
      <c r="H58" s="166">
        <f t="shared" si="18"/>
        <v>0</v>
      </c>
      <c r="I58" s="167">
        <f t="shared" ref="I58:K58" si="19">SUM(I59:I84)</f>
        <v>0</v>
      </c>
      <c r="J58" s="165">
        <f t="shared" si="19"/>
        <v>0</v>
      </c>
      <c r="K58" s="166">
        <f t="shared" si="19"/>
        <v>0</v>
      </c>
      <c r="L58" s="166"/>
      <c r="M58" s="166"/>
      <c r="N58" s="166"/>
      <c r="O58" s="166"/>
      <c r="P58" s="168">
        <f>SUM(P59:P84)</f>
        <v>0</v>
      </c>
      <c r="Q58" s="166">
        <f t="shared" ref="Q58:Q85" si="20">I58-P58</f>
        <v>0</v>
      </c>
      <c r="R58" s="169">
        <f t="shared" ref="R58:R85" si="21">IFERROR(I58/P58,0)</f>
        <v>0</v>
      </c>
      <c r="S58" s="141" t="str">
        <f>IF(Q58=0,"",IF(R58&gt;1,"план не выполнен","выполнение"))</f>
        <v/>
      </c>
    </row>
    <row r="59">
      <c r="A59" s="142" t="str">
        <f>IFERROR(VLOOKUP(B59,'Статьи'!$A$2:C81,3,0)," ")</f>
        <v>1С</v>
      </c>
      <c r="B59" s="125" t="str">
        <f>IFERROR(__xludf.DUMMYFUNCTION("iferror(filter('Статьи'!$A$1:$A177,'Статьи'!$B$1:$B177=$B$58))"),"Зарплата производственного персонала")</f>
        <v>Зарплата производственного персонала</v>
      </c>
      <c r="C59" s="170"/>
      <c r="D59" s="149"/>
      <c r="E59" s="143"/>
      <c r="F59" s="143"/>
      <c r="G59" s="143"/>
      <c r="H59" s="143"/>
      <c r="I59" s="116">
        <f t="shared" ref="I59:I84" si="22">SUM(C59:H59)</f>
        <v>0</v>
      </c>
      <c r="J59" s="117"/>
      <c r="K59" s="118"/>
      <c r="L59" s="118"/>
      <c r="M59" s="118"/>
      <c r="N59" s="118"/>
      <c r="O59" s="118"/>
      <c r="P59" s="116">
        <f t="shared" ref="P59:P84" si="23">SUM(J59:K59)</f>
        <v>0</v>
      </c>
      <c r="Q59" s="119">
        <f t="shared" si="20"/>
        <v>0</v>
      </c>
      <c r="R59" s="120">
        <f t="shared" si="21"/>
        <v>0</v>
      </c>
      <c r="S59" s="121" t="str">
        <f t="shared" ref="S59:S84" si="24">IF(Q59=0,"",IF(R59=0,"обратить внимание",IF(R59&gt;1,"перерасход","экономия")))</f>
        <v/>
      </c>
    </row>
    <row r="60">
      <c r="A60" s="142" t="str">
        <f>IFERROR(VLOOKUP(B60,'Статьи'!$A$2:C82,3,0)," ")</f>
        <v>ДДС отчетного месяца. Без НДС!</v>
      </c>
      <c r="B60" s="125" t="str">
        <f>IFERROR(__xludf.DUMMYFUNCTION("""COMPUTED_VALUE"""),"Таможенные расходы")</f>
        <v>Таможенные расходы</v>
      </c>
      <c r="C60" s="171"/>
      <c r="D60" s="149"/>
      <c r="E60" s="143"/>
      <c r="F60" s="143"/>
      <c r="G60" s="143"/>
      <c r="H60" s="149"/>
      <c r="I60" s="116">
        <f t="shared" si="22"/>
        <v>0</v>
      </c>
      <c r="J60" s="117"/>
      <c r="K60" s="118"/>
      <c r="L60" s="118"/>
      <c r="M60" s="118"/>
      <c r="N60" s="118"/>
      <c r="O60" s="118"/>
      <c r="P60" s="116">
        <f t="shared" si="23"/>
        <v>0</v>
      </c>
      <c r="Q60" s="119">
        <f t="shared" si="20"/>
        <v>0</v>
      </c>
      <c r="R60" s="120">
        <f t="shared" si="21"/>
        <v>0</v>
      </c>
      <c r="S60" s="121" t="str">
        <f t="shared" si="24"/>
        <v/>
      </c>
    </row>
    <row r="61">
      <c r="A61" s="142" t="str">
        <f>IFERROR(VLOOKUP(B61,'Статьи'!$A$2:C83,3,0)," ")</f>
        <v> </v>
      </c>
      <c r="B61" s="125"/>
      <c r="C61" s="171"/>
      <c r="D61" s="172"/>
      <c r="E61" s="143"/>
      <c r="F61" s="143"/>
      <c r="G61" s="143"/>
      <c r="H61" s="149"/>
      <c r="I61" s="116">
        <f t="shared" si="22"/>
        <v>0</v>
      </c>
      <c r="J61" s="117"/>
      <c r="K61" s="118"/>
      <c r="L61" s="118"/>
      <c r="M61" s="118"/>
      <c r="N61" s="118"/>
      <c r="O61" s="118"/>
      <c r="P61" s="116">
        <f t="shared" si="23"/>
        <v>0</v>
      </c>
      <c r="Q61" s="119">
        <f t="shared" si="20"/>
        <v>0</v>
      </c>
      <c r="R61" s="120">
        <f t="shared" si="21"/>
        <v>0</v>
      </c>
      <c r="S61" s="121" t="str">
        <f t="shared" si="24"/>
        <v/>
      </c>
    </row>
    <row r="62">
      <c r="A62" s="142" t="str">
        <f>IFERROR(VLOOKUP(B62,'Статьи'!$A$2:C84,3,0)," ")</f>
        <v> </v>
      </c>
      <c r="B62" s="125"/>
      <c r="C62" s="171"/>
      <c r="D62" s="172"/>
      <c r="E62" s="143"/>
      <c r="F62" s="143"/>
      <c r="G62" s="143"/>
      <c r="H62" s="149"/>
      <c r="I62" s="116">
        <f t="shared" si="22"/>
        <v>0</v>
      </c>
      <c r="J62" s="123"/>
      <c r="K62" s="118"/>
      <c r="L62" s="118"/>
      <c r="M62" s="118"/>
      <c r="N62" s="118"/>
      <c r="O62" s="118"/>
      <c r="P62" s="116">
        <f t="shared" si="23"/>
        <v>0</v>
      </c>
      <c r="Q62" s="119">
        <f t="shared" si="20"/>
        <v>0</v>
      </c>
      <c r="R62" s="120">
        <f t="shared" si="21"/>
        <v>0</v>
      </c>
      <c r="S62" s="121" t="str">
        <f t="shared" si="24"/>
        <v/>
      </c>
    </row>
    <row r="63">
      <c r="A63" s="142" t="str">
        <f>IFERROR(VLOOKUP(B63,'Статьи'!$A$2:C85,3,0)," ")</f>
        <v> </v>
      </c>
      <c r="B63" s="125"/>
      <c r="C63" s="171"/>
      <c r="D63" s="172"/>
      <c r="E63" s="143"/>
      <c r="F63" s="143"/>
      <c r="G63" s="143"/>
      <c r="H63" s="149"/>
      <c r="I63" s="116">
        <f t="shared" si="22"/>
        <v>0</v>
      </c>
      <c r="J63" s="117"/>
      <c r="K63" s="118"/>
      <c r="L63" s="118"/>
      <c r="M63" s="118"/>
      <c r="N63" s="118"/>
      <c r="O63" s="118"/>
      <c r="P63" s="116">
        <f t="shared" si="23"/>
        <v>0</v>
      </c>
      <c r="Q63" s="119">
        <f t="shared" si="20"/>
        <v>0</v>
      </c>
      <c r="R63" s="120">
        <f t="shared" si="21"/>
        <v>0</v>
      </c>
      <c r="S63" s="121" t="str">
        <f t="shared" si="24"/>
        <v/>
      </c>
    </row>
    <row r="64">
      <c r="A64" s="142" t="str">
        <f>IFERROR(VLOOKUP(B64,'Статьи'!$A$2:C86,3,0)," ")</f>
        <v> </v>
      </c>
      <c r="B64" s="125"/>
      <c r="C64" s="171"/>
      <c r="D64" s="172"/>
      <c r="E64" s="143"/>
      <c r="F64" s="143"/>
      <c r="G64" s="143"/>
      <c r="H64" s="149"/>
      <c r="I64" s="116">
        <f t="shared" si="22"/>
        <v>0</v>
      </c>
      <c r="J64" s="117"/>
      <c r="K64" s="118"/>
      <c r="L64" s="118"/>
      <c r="M64" s="118"/>
      <c r="N64" s="118"/>
      <c r="O64" s="118"/>
      <c r="P64" s="116">
        <f t="shared" si="23"/>
        <v>0</v>
      </c>
      <c r="Q64" s="119">
        <f t="shared" si="20"/>
        <v>0</v>
      </c>
      <c r="R64" s="120">
        <f t="shared" si="21"/>
        <v>0</v>
      </c>
      <c r="S64" s="121" t="str">
        <f t="shared" si="24"/>
        <v/>
      </c>
    </row>
    <row r="65">
      <c r="A65" s="142" t="str">
        <f>IFERROR(VLOOKUP(B65,'Статьи'!$A$2:C87,3,0)," ")</f>
        <v> </v>
      </c>
      <c r="B65" s="125"/>
      <c r="C65" s="171"/>
      <c r="D65" s="172"/>
      <c r="E65" s="143"/>
      <c r="F65" s="143"/>
      <c r="G65" s="143"/>
      <c r="H65" s="149"/>
      <c r="I65" s="116">
        <f t="shared" si="22"/>
        <v>0</v>
      </c>
      <c r="J65" s="117"/>
      <c r="K65" s="118"/>
      <c r="L65" s="118"/>
      <c r="M65" s="118"/>
      <c r="N65" s="118"/>
      <c r="O65" s="118"/>
      <c r="P65" s="116">
        <f t="shared" si="23"/>
        <v>0</v>
      </c>
      <c r="Q65" s="119">
        <f t="shared" si="20"/>
        <v>0</v>
      </c>
      <c r="R65" s="120">
        <f t="shared" si="21"/>
        <v>0</v>
      </c>
      <c r="S65" s="121" t="str">
        <f t="shared" si="24"/>
        <v/>
      </c>
    </row>
    <row r="66">
      <c r="A66" s="142" t="str">
        <f>IFERROR(VLOOKUP(B66,'Статьи'!$A$2:C88,3,0)," ")</f>
        <v> </v>
      </c>
      <c r="B66" s="125"/>
      <c r="C66" s="171"/>
      <c r="D66" s="172"/>
      <c r="E66" s="143"/>
      <c r="F66" s="143"/>
      <c r="G66" s="143"/>
      <c r="H66" s="149"/>
      <c r="I66" s="116">
        <f t="shared" si="22"/>
        <v>0</v>
      </c>
      <c r="J66" s="117"/>
      <c r="K66" s="118"/>
      <c r="L66" s="118"/>
      <c r="M66" s="118"/>
      <c r="N66" s="118"/>
      <c r="O66" s="118"/>
      <c r="P66" s="116">
        <f t="shared" si="23"/>
        <v>0</v>
      </c>
      <c r="Q66" s="119">
        <f t="shared" si="20"/>
        <v>0</v>
      </c>
      <c r="R66" s="120">
        <f t="shared" si="21"/>
        <v>0</v>
      </c>
      <c r="S66" s="121" t="str">
        <f t="shared" si="24"/>
        <v/>
      </c>
    </row>
    <row r="67">
      <c r="A67" s="142" t="str">
        <f>IFERROR(VLOOKUP(B67,'Статьи'!$A$2:C89,3,0)," ")</f>
        <v> </v>
      </c>
      <c r="B67" s="125"/>
      <c r="C67" s="171"/>
      <c r="D67" s="172"/>
      <c r="E67" s="143"/>
      <c r="F67" s="143"/>
      <c r="G67" s="143"/>
      <c r="H67" s="149"/>
      <c r="I67" s="116">
        <f t="shared" si="22"/>
        <v>0</v>
      </c>
      <c r="J67" s="117"/>
      <c r="K67" s="118"/>
      <c r="L67" s="118"/>
      <c r="M67" s="118"/>
      <c r="N67" s="118"/>
      <c r="O67" s="118"/>
      <c r="P67" s="116">
        <f t="shared" si="23"/>
        <v>0</v>
      </c>
      <c r="Q67" s="119">
        <f t="shared" si="20"/>
        <v>0</v>
      </c>
      <c r="R67" s="120">
        <f t="shared" si="21"/>
        <v>0</v>
      </c>
      <c r="S67" s="121" t="str">
        <f t="shared" si="24"/>
        <v/>
      </c>
    </row>
    <row r="68">
      <c r="A68" s="142" t="str">
        <f>IFERROR(VLOOKUP(B68,'Статьи'!$A$2:C90,3,0)," ")</f>
        <v> </v>
      </c>
      <c r="B68" s="125"/>
      <c r="C68" s="171"/>
      <c r="D68" s="172"/>
      <c r="E68" s="143"/>
      <c r="F68" s="143"/>
      <c r="G68" s="143"/>
      <c r="H68" s="149"/>
      <c r="I68" s="116">
        <f t="shared" si="22"/>
        <v>0</v>
      </c>
      <c r="J68" s="123"/>
      <c r="K68" s="118"/>
      <c r="L68" s="118"/>
      <c r="M68" s="118"/>
      <c r="N68" s="118"/>
      <c r="O68" s="118"/>
      <c r="P68" s="116">
        <f t="shared" si="23"/>
        <v>0</v>
      </c>
      <c r="Q68" s="119">
        <f t="shared" si="20"/>
        <v>0</v>
      </c>
      <c r="R68" s="120">
        <f t="shared" si="21"/>
        <v>0</v>
      </c>
      <c r="S68" s="121" t="str">
        <f t="shared" si="24"/>
        <v/>
      </c>
    </row>
    <row r="69">
      <c r="A69" s="142" t="str">
        <f>IFERROR(VLOOKUP(B69,'Статьи'!$A$2:C91,3,0)," ")</f>
        <v> </v>
      </c>
      <c r="B69" s="125"/>
      <c r="C69" s="171"/>
      <c r="D69" s="172"/>
      <c r="E69" s="143"/>
      <c r="F69" s="143"/>
      <c r="G69" s="143"/>
      <c r="H69" s="149"/>
      <c r="I69" s="116">
        <f t="shared" si="22"/>
        <v>0</v>
      </c>
      <c r="J69" s="117"/>
      <c r="K69" s="118"/>
      <c r="L69" s="118"/>
      <c r="M69" s="118"/>
      <c r="N69" s="118"/>
      <c r="O69" s="118"/>
      <c r="P69" s="116">
        <f t="shared" si="23"/>
        <v>0</v>
      </c>
      <c r="Q69" s="119">
        <f t="shared" si="20"/>
        <v>0</v>
      </c>
      <c r="R69" s="120">
        <f t="shared" si="21"/>
        <v>0</v>
      </c>
      <c r="S69" s="121" t="str">
        <f t="shared" si="24"/>
        <v/>
      </c>
    </row>
    <row r="70">
      <c r="A70" s="142" t="str">
        <f>IFERROR(VLOOKUP(B70,'Статьи'!$A$2:C92,3,0)," ")</f>
        <v> </v>
      </c>
      <c r="B70" s="125"/>
      <c r="C70" s="171"/>
      <c r="D70" s="172"/>
      <c r="E70" s="143"/>
      <c r="F70" s="143"/>
      <c r="G70" s="143"/>
      <c r="H70" s="149"/>
      <c r="I70" s="116">
        <f t="shared" si="22"/>
        <v>0</v>
      </c>
      <c r="J70" s="117"/>
      <c r="K70" s="118"/>
      <c r="L70" s="118"/>
      <c r="M70" s="118"/>
      <c r="N70" s="118"/>
      <c r="O70" s="118"/>
      <c r="P70" s="116">
        <f t="shared" si="23"/>
        <v>0</v>
      </c>
      <c r="Q70" s="119">
        <f t="shared" si="20"/>
        <v>0</v>
      </c>
      <c r="R70" s="120">
        <f t="shared" si="21"/>
        <v>0</v>
      </c>
      <c r="S70" s="121" t="str">
        <f t="shared" si="24"/>
        <v/>
      </c>
    </row>
    <row r="71" collapsed="1">
      <c r="A71" s="142" t="str">
        <f>IFERROR(VLOOKUP(B71,'Статьи'!$A$2:C93,3,0)," ")</f>
        <v> </v>
      </c>
      <c r="B71" s="125"/>
      <c r="C71" s="171"/>
      <c r="D71" s="172"/>
      <c r="E71" s="143"/>
      <c r="F71" s="143"/>
      <c r="G71" s="143"/>
      <c r="H71" s="149"/>
      <c r="I71" s="116">
        <f t="shared" si="22"/>
        <v>0</v>
      </c>
      <c r="J71" s="117"/>
      <c r="K71" s="118"/>
      <c r="L71" s="118"/>
      <c r="M71" s="118"/>
      <c r="N71" s="118"/>
      <c r="O71" s="118"/>
      <c r="P71" s="116">
        <f t="shared" si="23"/>
        <v>0</v>
      </c>
      <c r="Q71" s="119">
        <f t="shared" si="20"/>
        <v>0</v>
      </c>
      <c r="R71" s="120">
        <f t="shared" si="21"/>
        <v>0</v>
      </c>
      <c r="S71" s="121" t="str">
        <f t="shared" si="24"/>
        <v/>
      </c>
    </row>
    <row r="72" hidden="1" outlineLevel="1">
      <c r="A72" s="142" t="str">
        <f>IFERROR(VLOOKUP(B72,'Статьи'!$A$2:C94,3,0)," ")</f>
        <v> </v>
      </c>
      <c r="B72" s="125"/>
      <c r="C72" s="170"/>
      <c r="D72" s="149"/>
      <c r="E72" s="143"/>
      <c r="F72" s="143"/>
      <c r="G72" s="143"/>
      <c r="H72" s="149"/>
      <c r="I72" s="116">
        <f t="shared" si="22"/>
        <v>0</v>
      </c>
      <c r="J72" s="123"/>
      <c r="K72" s="118"/>
      <c r="L72" s="118"/>
      <c r="M72" s="118"/>
      <c r="N72" s="118"/>
      <c r="O72" s="118"/>
      <c r="P72" s="116">
        <f t="shared" si="23"/>
        <v>0</v>
      </c>
      <c r="Q72" s="119">
        <f t="shared" si="20"/>
        <v>0</v>
      </c>
      <c r="R72" s="120">
        <f t="shared" si="21"/>
        <v>0</v>
      </c>
      <c r="S72" s="121" t="str">
        <f t="shared" si="24"/>
        <v/>
      </c>
    </row>
    <row r="73" hidden="1" outlineLevel="1">
      <c r="A73" s="142" t="str">
        <f>IFERROR(VLOOKUP(B73,'Статьи'!$A$2:C95,3,0)," ")</f>
        <v> </v>
      </c>
      <c r="B73" s="125"/>
      <c r="C73" s="170"/>
      <c r="D73" s="149"/>
      <c r="E73" s="143"/>
      <c r="F73" s="143"/>
      <c r="G73" s="143"/>
      <c r="H73" s="149"/>
      <c r="I73" s="116">
        <f t="shared" si="22"/>
        <v>0</v>
      </c>
      <c r="J73" s="123"/>
      <c r="K73" s="118"/>
      <c r="L73" s="118"/>
      <c r="M73" s="118"/>
      <c r="N73" s="118"/>
      <c r="O73" s="118"/>
      <c r="P73" s="116">
        <f t="shared" si="23"/>
        <v>0</v>
      </c>
      <c r="Q73" s="119">
        <f t="shared" si="20"/>
        <v>0</v>
      </c>
      <c r="R73" s="120">
        <f t="shared" si="21"/>
        <v>0</v>
      </c>
      <c r="S73" s="121" t="str">
        <f t="shared" si="24"/>
        <v/>
      </c>
    </row>
    <row r="74" hidden="1" outlineLevel="1">
      <c r="A74" s="142" t="str">
        <f>IFERROR(VLOOKUP(B74,'Статьи'!$A$2:C96,3,0)," ")</f>
        <v> </v>
      </c>
      <c r="B74" s="125"/>
      <c r="C74" s="170"/>
      <c r="D74" s="149"/>
      <c r="E74" s="143"/>
      <c r="F74" s="143"/>
      <c r="G74" s="143"/>
      <c r="H74" s="149"/>
      <c r="I74" s="116">
        <f t="shared" si="22"/>
        <v>0</v>
      </c>
      <c r="J74" s="123"/>
      <c r="K74" s="118"/>
      <c r="L74" s="118"/>
      <c r="M74" s="118"/>
      <c r="N74" s="118"/>
      <c r="O74" s="118"/>
      <c r="P74" s="116">
        <f t="shared" si="23"/>
        <v>0</v>
      </c>
      <c r="Q74" s="119">
        <f t="shared" si="20"/>
        <v>0</v>
      </c>
      <c r="R74" s="120">
        <f t="shared" si="21"/>
        <v>0</v>
      </c>
      <c r="S74" s="121" t="str">
        <f t="shared" si="24"/>
        <v/>
      </c>
    </row>
    <row r="75" hidden="1" outlineLevel="1">
      <c r="A75" s="142" t="str">
        <f>IFERROR(VLOOKUP(B75,'Статьи'!$A$2:C97,3,0)," ")</f>
        <v> </v>
      </c>
      <c r="B75" s="125"/>
      <c r="C75" s="170"/>
      <c r="D75" s="149"/>
      <c r="E75" s="143"/>
      <c r="F75" s="143"/>
      <c r="G75" s="143"/>
      <c r="H75" s="149"/>
      <c r="I75" s="116">
        <f t="shared" si="22"/>
        <v>0</v>
      </c>
      <c r="J75" s="123"/>
      <c r="K75" s="118"/>
      <c r="L75" s="118"/>
      <c r="M75" s="118"/>
      <c r="N75" s="118"/>
      <c r="O75" s="118"/>
      <c r="P75" s="116">
        <f t="shared" si="23"/>
        <v>0</v>
      </c>
      <c r="Q75" s="119">
        <f t="shared" si="20"/>
        <v>0</v>
      </c>
      <c r="R75" s="120">
        <f t="shared" si="21"/>
        <v>0</v>
      </c>
      <c r="S75" s="121" t="str">
        <f t="shared" si="24"/>
        <v/>
      </c>
    </row>
    <row r="76" hidden="1" outlineLevel="1">
      <c r="A76" s="142" t="str">
        <f>IFERROR(VLOOKUP(B76,'Статьи'!$A$2:C98,3,0)," ")</f>
        <v> </v>
      </c>
      <c r="B76" s="125"/>
      <c r="C76" s="173"/>
      <c r="D76" s="143"/>
      <c r="E76" s="149"/>
      <c r="F76" s="143"/>
      <c r="G76" s="143"/>
      <c r="H76" s="143"/>
      <c r="I76" s="116">
        <f t="shared" si="22"/>
        <v>0</v>
      </c>
      <c r="J76" s="123"/>
      <c r="K76" s="118"/>
      <c r="L76" s="118"/>
      <c r="M76" s="118"/>
      <c r="N76" s="118"/>
      <c r="O76" s="118"/>
      <c r="P76" s="116">
        <f t="shared" si="23"/>
        <v>0</v>
      </c>
      <c r="Q76" s="119">
        <f t="shared" si="20"/>
        <v>0</v>
      </c>
      <c r="R76" s="120">
        <f t="shared" si="21"/>
        <v>0</v>
      </c>
      <c r="S76" s="121" t="str">
        <f t="shared" si="24"/>
        <v/>
      </c>
    </row>
    <row r="77" hidden="1" outlineLevel="1">
      <c r="A77" s="142" t="str">
        <f>IFERROR(VLOOKUP(B77,'Статьи'!$A$2:C99,3,0)," ")</f>
        <v> </v>
      </c>
      <c r="B77" s="125"/>
      <c r="C77" s="170"/>
      <c r="D77" s="174"/>
      <c r="E77" s="174"/>
      <c r="F77" s="174"/>
      <c r="G77" s="174"/>
      <c r="H77" s="174"/>
      <c r="I77" s="116">
        <f t="shared" si="22"/>
        <v>0</v>
      </c>
      <c r="J77" s="123"/>
      <c r="K77" s="118"/>
      <c r="L77" s="118"/>
      <c r="M77" s="118"/>
      <c r="N77" s="118"/>
      <c r="O77" s="118"/>
      <c r="P77" s="116">
        <f t="shared" si="23"/>
        <v>0</v>
      </c>
      <c r="Q77" s="119">
        <f t="shared" si="20"/>
        <v>0</v>
      </c>
      <c r="R77" s="120">
        <f t="shared" si="21"/>
        <v>0</v>
      </c>
      <c r="S77" s="121" t="str">
        <f t="shared" si="24"/>
        <v/>
      </c>
    </row>
    <row r="78" hidden="1" outlineLevel="1">
      <c r="A78" s="175" t="str">
        <f>IFERROR(VLOOKUP(B78,'Статьи'!$A$2:C100,3,0)," ")</f>
        <v> </v>
      </c>
      <c r="B78" s="176"/>
      <c r="C78" s="122"/>
      <c r="D78" s="114"/>
      <c r="E78" s="114"/>
      <c r="F78" s="114"/>
      <c r="G78" s="114"/>
      <c r="H78" s="149"/>
      <c r="I78" s="116">
        <f t="shared" si="22"/>
        <v>0</v>
      </c>
      <c r="J78" s="123"/>
      <c r="K78" s="118"/>
      <c r="L78" s="118"/>
      <c r="M78" s="118"/>
      <c r="N78" s="118"/>
      <c r="O78" s="118"/>
      <c r="P78" s="116">
        <f t="shared" si="23"/>
        <v>0</v>
      </c>
      <c r="Q78" s="119">
        <f t="shared" si="20"/>
        <v>0</v>
      </c>
      <c r="R78" s="120">
        <f t="shared" si="21"/>
        <v>0</v>
      </c>
      <c r="S78" s="121" t="str">
        <f t="shared" si="24"/>
        <v/>
      </c>
    </row>
    <row r="79" hidden="1" outlineLevel="1">
      <c r="A79" s="110" t="str">
        <f>IFERROR(VLOOKUP(B79,'Статьи'!$A$2:C101,3,0)," ")</f>
        <v> </v>
      </c>
      <c r="B79" s="111"/>
      <c r="C79" s="122"/>
      <c r="D79" s="115"/>
      <c r="E79" s="115"/>
      <c r="F79" s="115"/>
      <c r="G79" s="115"/>
      <c r="H79" s="115"/>
      <c r="I79" s="116">
        <f t="shared" si="22"/>
        <v>0</v>
      </c>
      <c r="J79" s="123"/>
      <c r="K79" s="118"/>
      <c r="L79" s="118"/>
      <c r="M79" s="118"/>
      <c r="N79" s="118"/>
      <c r="O79" s="118"/>
      <c r="P79" s="116">
        <f t="shared" si="23"/>
        <v>0</v>
      </c>
      <c r="Q79" s="119">
        <f t="shared" si="20"/>
        <v>0</v>
      </c>
      <c r="R79" s="120">
        <f t="shared" si="21"/>
        <v>0</v>
      </c>
      <c r="S79" s="121" t="str">
        <f t="shared" si="24"/>
        <v/>
      </c>
    </row>
    <row r="80" hidden="1" outlineLevel="1">
      <c r="A80" s="110" t="str">
        <f>IFERROR(VLOOKUP(B80,'Статьи'!$A$2:C102,3,0)," ")</f>
        <v> </v>
      </c>
      <c r="B80" s="111"/>
      <c r="C80" s="122"/>
      <c r="D80" s="115"/>
      <c r="E80" s="115"/>
      <c r="F80" s="115"/>
      <c r="G80" s="115"/>
      <c r="H80" s="115"/>
      <c r="I80" s="116">
        <f t="shared" si="22"/>
        <v>0</v>
      </c>
      <c r="J80" s="123"/>
      <c r="K80" s="118"/>
      <c r="L80" s="118"/>
      <c r="M80" s="118"/>
      <c r="N80" s="118"/>
      <c r="O80" s="118"/>
      <c r="P80" s="116">
        <f t="shared" si="23"/>
        <v>0</v>
      </c>
      <c r="Q80" s="119">
        <f t="shared" si="20"/>
        <v>0</v>
      </c>
      <c r="R80" s="120">
        <f t="shared" si="21"/>
        <v>0</v>
      </c>
      <c r="S80" s="121" t="str">
        <f t="shared" si="24"/>
        <v/>
      </c>
    </row>
    <row r="81" hidden="1" outlineLevel="1">
      <c r="A81" s="110" t="str">
        <f>IFERROR(VLOOKUP(B81,'Статьи'!$A$2:C103,3,0)," ")</f>
        <v> </v>
      </c>
      <c r="B81" s="111"/>
      <c r="C81" s="122"/>
      <c r="D81" s="115"/>
      <c r="E81" s="115"/>
      <c r="F81" s="115"/>
      <c r="G81" s="115"/>
      <c r="H81" s="115"/>
      <c r="I81" s="116">
        <f t="shared" si="22"/>
        <v>0</v>
      </c>
      <c r="J81" s="123"/>
      <c r="K81" s="118"/>
      <c r="L81" s="118"/>
      <c r="M81" s="118"/>
      <c r="N81" s="118"/>
      <c r="O81" s="118"/>
      <c r="P81" s="116">
        <f t="shared" si="23"/>
        <v>0</v>
      </c>
      <c r="Q81" s="119">
        <f t="shared" si="20"/>
        <v>0</v>
      </c>
      <c r="R81" s="120">
        <f t="shared" si="21"/>
        <v>0</v>
      </c>
      <c r="S81" s="121" t="str">
        <f t="shared" si="24"/>
        <v/>
      </c>
    </row>
    <row r="82" hidden="1" outlineLevel="1">
      <c r="A82" s="110" t="str">
        <f>IFERROR(VLOOKUP(B82,'Статьи'!$A$2:C104,3,0)," ")</f>
        <v> </v>
      </c>
      <c r="B82" s="111"/>
      <c r="C82" s="122"/>
      <c r="D82" s="115"/>
      <c r="E82" s="115"/>
      <c r="F82" s="115"/>
      <c r="G82" s="115"/>
      <c r="H82" s="115"/>
      <c r="I82" s="116">
        <f t="shared" si="22"/>
        <v>0</v>
      </c>
      <c r="J82" s="123"/>
      <c r="K82" s="118"/>
      <c r="L82" s="118"/>
      <c r="M82" s="118"/>
      <c r="N82" s="118"/>
      <c r="O82" s="118"/>
      <c r="P82" s="116">
        <f t="shared" si="23"/>
        <v>0</v>
      </c>
      <c r="Q82" s="119">
        <f t="shared" si="20"/>
        <v>0</v>
      </c>
      <c r="R82" s="120">
        <f t="shared" si="21"/>
        <v>0</v>
      </c>
      <c r="S82" s="121" t="str">
        <f t="shared" si="24"/>
        <v/>
      </c>
    </row>
    <row r="83" hidden="1" outlineLevel="1">
      <c r="A83" s="110" t="str">
        <f>IFERROR(VLOOKUP(B83,'Статьи'!$A$2:C105,3,0)," ")</f>
        <v> </v>
      </c>
      <c r="B83" s="111"/>
      <c r="C83" s="122"/>
      <c r="D83" s="115"/>
      <c r="E83" s="115"/>
      <c r="F83" s="115"/>
      <c r="G83" s="115"/>
      <c r="H83" s="115"/>
      <c r="I83" s="116">
        <f t="shared" si="22"/>
        <v>0</v>
      </c>
      <c r="J83" s="123"/>
      <c r="K83" s="118"/>
      <c r="L83" s="118"/>
      <c r="M83" s="118"/>
      <c r="N83" s="118"/>
      <c r="O83" s="118"/>
      <c r="P83" s="116">
        <f t="shared" si="23"/>
        <v>0</v>
      </c>
      <c r="Q83" s="119">
        <f t="shared" si="20"/>
        <v>0</v>
      </c>
      <c r="R83" s="120">
        <f t="shared" si="21"/>
        <v>0</v>
      </c>
      <c r="S83" s="121" t="str">
        <f t="shared" si="24"/>
        <v/>
      </c>
    </row>
    <row r="84">
      <c r="A84" s="110" t="str">
        <f>IFERROR(VLOOKUP(B84,'Статьи'!$A$2:C106,3,0)," ")</f>
        <v> </v>
      </c>
      <c r="B84" s="111"/>
      <c r="C84" s="122"/>
      <c r="D84" s="115"/>
      <c r="E84" s="115"/>
      <c r="F84" s="115"/>
      <c r="G84" s="115"/>
      <c r="H84" s="115"/>
      <c r="I84" s="116">
        <f t="shared" si="22"/>
        <v>0</v>
      </c>
      <c r="J84" s="123"/>
      <c r="K84" s="118"/>
      <c r="L84" s="118"/>
      <c r="M84" s="118"/>
      <c r="N84" s="118"/>
      <c r="O84" s="118"/>
      <c r="P84" s="116">
        <f t="shared" si="23"/>
        <v>0</v>
      </c>
      <c r="Q84" s="119">
        <f t="shared" si="20"/>
        <v>0</v>
      </c>
      <c r="R84" s="120">
        <f t="shared" si="21"/>
        <v>0</v>
      </c>
      <c r="S84" s="121" t="str">
        <f t="shared" si="24"/>
        <v/>
      </c>
    </row>
    <row r="85">
      <c r="A85" s="152"/>
      <c r="B85" s="153" t="s">
        <v>138</v>
      </c>
      <c r="C85" s="154">
        <f t="shared" ref="C85:K85" si="25">C55+C58</f>
        <v>4</v>
      </c>
      <c r="D85" s="155">
        <f t="shared" si="25"/>
        <v>0</v>
      </c>
      <c r="E85" s="155">
        <f t="shared" si="25"/>
        <v>0</v>
      </c>
      <c r="F85" s="155">
        <f t="shared" si="25"/>
        <v>0</v>
      </c>
      <c r="G85" s="155">
        <f t="shared" si="25"/>
        <v>0</v>
      </c>
      <c r="H85" s="155">
        <f t="shared" si="25"/>
        <v>0</v>
      </c>
      <c r="I85" s="157">
        <f t="shared" si="25"/>
        <v>4</v>
      </c>
      <c r="J85" s="154">
        <f t="shared" si="25"/>
        <v>0</v>
      </c>
      <c r="K85" s="155">
        <f t="shared" si="25"/>
        <v>0</v>
      </c>
      <c r="L85" s="155"/>
      <c r="M85" s="155"/>
      <c r="N85" s="155"/>
      <c r="O85" s="155"/>
      <c r="P85" s="157">
        <f>P55+P58</f>
        <v>0</v>
      </c>
      <c r="Q85" s="155">
        <f t="shared" si="20"/>
        <v>4</v>
      </c>
      <c r="R85" s="158">
        <f t="shared" si="21"/>
        <v>0</v>
      </c>
      <c r="S85" s="177" t="str">
        <f>IF(Q85=0,"",IF(R85&gt;1,"выполнение","план не выполнен"))</f>
        <v>план не выполнен</v>
      </c>
    </row>
    <row r="86">
      <c r="A86" s="160"/>
      <c r="B86" s="161" t="s">
        <v>139</v>
      </c>
      <c r="C86" s="162">
        <f t="shared" ref="C86:K86" si="26">IFERROR(C85/C$3,"")</f>
        <v>1</v>
      </c>
      <c r="D86" s="163" t="str">
        <f t="shared" si="26"/>
        <v/>
      </c>
      <c r="E86" s="163" t="str">
        <f t="shared" si="26"/>
        <v/>
      </c>
      <c r="F86" s="163" t="str">
        <f t="shared" si="26"/>
        <v/>
      </c>
      <c r="G86" s="163" t="str">
        <f t="shared" si="26"/>
        <v/>
      </c>
      <c r="H86" s="163" t="str">
        <f t="shared" si="26"/>
        <v/>
      </c>
      <c r="I86" s="164">
        <f t="shared" si="26"/>
        <v>1</v>
      </c>
      <c r="J86" s="162" t="str">
        <f t="shared" si="26"/>
        <v/>
      </c>
      <c r="K86" s="163" t="str">
        <f t="shared" si="26"/>
        <v/>
      </c>
      <c r="L86" s="163"/>
      <c r="M86" s="163"/>
      <c r="N86" s="163"/>
      <c r="O86" s="163"/>
      <c r="P86" s="164" t="str">
        <f>IFERROR(P85/P$3,"")</f>
        <v/>
      </c>
      <c r="Q86" s="121"/>
      <c r="R86" s="121"/>
      <c r="S86" s="121" t="str">
        <f t="shared" ref="S86:S87" si="27">IF(Q86=0,"",IF(Q86=0,0,IF(R86&gt;1,"перерасход","экономия")))</f>
        <v/>
      </c>
    </row>
    <row r="87">
      <c r="A87" s="178"/>
      <c r="B87" s="179"/>
      <c r="C87" s="124"/>
      <c r="D87" s="115"/>
      <c r="E87" s="115"/>
      <c r="F87" s="115"/>
      <c r="G87" s="115"/>
      <c r="H87" s="115"/>
      <c r="I87" s="116"/>
      <c r="J87" s="123"/>
      <c r="K87" s="118"/>
      <c r="L87" s="118"/>
      <c r="M87" s="118"/>
      <c r="N87" s="118"/>
      <c r="O87" s="118"/>
      <c r="P87" s="116"/>
      <c r="Q87" s="180"/>
      <c r="R87" s="121"/>
      <c r="S87" s="121" t="str">
        <f t="shared" si="27"/>
        <v/>
      </c>
    </row>
    <row r="88">
      <c r="A88" s="181"/>
      <c r="B88" s="127" t="s">
        <v>140</v>
      </c>
      <c r="C88" s="182">
        <f t="shared" ref="C88:K88" si="28">C101+C132+C89</f>
        <v>0</v>
      </c>
      <c r="D88" s="183">
        <f t="shared" si="28"/>
        <v>0</v>
      </c>
      <c r="E88" s="183">
        <f t="shared" si="28"/>
        <v>0</v>
      </c>
      <c r="F88" s="183">
        <f t="shared" si="28"/>
        <v>0</v>
      </c>
      <c r="G88" s="183">
        <f t="shared" si="28"/>
        <v>0</v>
      </c>
      <c r="H88" s="183">
        <f t="shared" si="28"/>
        <v>0</v>
      </c>
      <c r="I88" s="184">
        <f t="shared" si="28"/>
        <v>0</v>
      </c>
      <c r="J88" s="182">
        <f t="shared" si="28"/>
        <v>0</v>
      </c>
      <c r="K88" s="183">
        <f t="shared" si="28"/>
        <v>0</v>
      </c>
      <c r="L88" s="183"/>
      <c r="M88" s="183"/>
      <c r="N88" s="183"/>
      <c r="O88" s="183"/>
      <c r="P88" s="185">
        <f>P101+P132+P89</f>
        <v>0</v>
      </c>
      <c r="Q88" s="183">
        <f t="shared" ref="Q88:Q142" si="30">I88-P88</f>
        <v>0</v>
      </c>
      <c r="R88" s="186">
        <f t="shared" ref="R88:R142" si="31">IFERROR(I88/P88,0)</f>
        <v>0</v>
      </c>
      <c r="S88" s="134" t="str">
        <f>IF(Q88=0,"",IF(R88&gt;1,"план не выполнен","выполнение"))</f>
        <v/>
      </c>
    </row>
    <row r="89">
      <c r="A89" s="135"/>
      <c r="B89" s="136" t="s">
        <v>141</v>
      </c>
      <c r="C89" s="137">
        <f t="shared" ref="C89:K89" si="29">SUM(C90:C100)</f>
        <v>0</v>
      </c>
      <c r="D89" s="138">
        <f t="shared" si="29"/>
        <v>0</v>
      </c>
      <c r="E89" s="138">
        <f t="shared" si="29"/>
        <v>0</v>
      </c>
      <c r="F89" s="138">
        <f t="shared" si="29"/>
        <v>0</v>
      </c>
      <c r="G89" s="138">
        <f t="shared" si="29"/>
        <v>0</v>
      </c>
      <c r="H89" s="138">
        <f t="shared" si="29"/>
        <v>0</v>
      </c>
      <c r="I89" s="139">
        <f t="shared" si="29"/>
        <v>0</v>
      </c>
      <c r="J89" s="137">
        <f t="shared" si="29"/>
        <v>0</v>
      </c>
      <c r="K89" s="138">
        <f t="shared" si="29"/>
        <v>0</v>
      </c>
      <c r="L89" s="138"/>
      <c r="M89" s="138"/>
      <c r="N89" s="138"/>
      <c r="O89" s="138"/>
      <c r="P89" s="140">
        <f>SUM(P90:P100)</f>
        <v>0</v>
      </c>
      <c r="Q89" s="138">
        <f t="shared" si="30"/>
        <v>0</v>
      </c>
      <c r="R89" s="187">
        <f t="shared" si="31"/>
        <v>0</v>
      </c>
      <c r="S89" s="141" t="str">
        <f>IF(Q89=0,"",IF(Q89=0,0,IF(R89&gt;1,"перерасход","экономия")))</f>
        <v/>
      </c>
    </row>
    <row r="90">
      <c r="A90" s="142" t="str">
        <f>IFERROR(VLOOKUP(B90,'Статьи'!$A$2:C112,3,0)," ")</f>
        <v> </v>
      </c>
      <c r="B90" s="125" t="str">
        <f>IFERROR(__xludf.DUMMYFUNCTION("iferror(filter('Статьи'!$A$1:$A177,'Статьи'!$B$1:$B177=$B$89))"),"")</f>
        <v/>
      </c>
      <c r="C90" s="171"/>
      <c r="D90" s="172"/>
      <c r="E90" s="149"/>
      <c r="F90" s="149"/>
      <c r="G90" s="149"/>
      <c r="H90" s="149"/>
      <c r="I90" s="188">
        <f t="shared" ref="I90:I100" si="32">sum(C90:H90)</f>
        <v>0</v>
      </c>
      <c r="J90" s="170"/>
      <c r="K90" s="149"/>
      <c r="L90" s="149"/>
      <c r="M90" s="149"/>
      <c r="N90" s="149"/>
      <c r="O90" s="149"/>
      <c r="P90" s="188">
        <f t="shared" ref="P90:P94" si="33">SUM(J90:K90)</f>
        <v>0</v>
      </c>
      <c r="Q90" s="132">
        <f t="shared" si="30"/>
        <v>0</v>
      </c>
      <c r="R90" s="133">
        <f t="shared" si="31"/>
        <v>0</v>
      </c>
      <c r="S90" s="121" t="str">
        <f t="shared" ref="S90:S94" si="34">IF(Q90=0,"",IF(R90=0,"обратить внимание",IF(R90&gt;1,"перерасход","экономия")))</f>
        <v/>
      </c>
    </row>
    <row r="91">
      <c r="A91" s="142" t="str">
        <f>IFERROR(VLOOKUP(B91,'Статьи'!$A$2:C113,3,0)," ")</f>
        <v> </v>
      </c>
      <c r="B91" s="125"/>
      <c r="C91" s="171"/>
      <c r="D91" s="172"/>
      <c r="E91" s="149"/>
      <c r="F91" s="149"/>
      <c r="G91" s="149"/>
      <c r="H91" s="149"/>
      <c r="I91" s="188">
        <f t="shared" si="32"/>
        <v>0</v>
      </c>
      <c r="J91" s="189"/>
      <c r="K91" s="149"/>
      <c r="L91" s="149"/>
      <c r="M91" s="149"/>
      <c r="N91" s="149"/>
      <c r="O91" s="149"/>
      <c r="P91" s="188">
        <f t="shared" si="33"/>
        <v>0</v>
      </c>
      <c r="Q91" s="132">
        <f t="shared" si="30"/>
        <v>0</v>
      </c>
      <c r="R91" s="133">
        <f t="shared" si="31"/>
        <v>0</v>
      </c>
      <c r="S91" s="121" t="str">
        <f t="shared" si="34"/>
        <v/>
      </c>
    </row>
    <row r="92">
      <c r="A92" s="142" t="str">
        <f>IFERROR(VLOOKUP(B92,'Статьи'!$A$2:C114,3,0)," ")</f>
        <v> </v>
      </c>
      <c r="B92" s="125"/>
      <c r="C92" s="171"/>
      <c r="D92" s="172"/>
      <c r="E92" s="149"/>
      <c r="F92" s="149"/>
      <c r="G92" s="149"/>
      <c r="H92" s="149"/>
      <c r="I92" s="188">
        <f t="shared" si="32"/>
        <v>0</v>
      </c>
      <c r="J92" s="189"/>
      <c r="K92" s="149"/>
      <c r="L92" s="149"/>
      <c r="M92" s="149"/>
      <c r="N92" s="149"/>
      <c r="O92" s="149"/>
      <c r="P92" s="188">
        <f t="shared" si="33"/>
        <v>0</v>
      </c>
      <c r="Q92" s="132">
        <f t="shared" si="30"/>
        <v>0</v>
      </c>
      <c r="R92" s="133">
        <f t="shared" si="31"/>
        <v>0</v>
      </c>
      <c r="S92" s="121" t="str">
        <f t="shared" si="34"/>
        <v/>
      </c>
    </row>
    <row r="93">
      <c r="A93" s="142" t="str">
        <f>IFERROR(VLOOKUP(B93,'Статьи'!$A$2:C115,3,0)," ")</f>
        <v> </v>
      </c>
      <c r="B93" s="125"/>
      <c r="C93" s="171"/>
      <c r="D93" s="172"/>
      <c r="E93" s="149"/>
      <c r="F93" s="149"/>
      <c r="G93" s="149"/>
      <c r="H93" s="149"/>
      <c r="I93" s="188">
        <f t="shared" si="32"/>
        <v>0</v>
      </c>
      <c r="J93" s="170"/>
      <c r="K93" s="149"/>
      <c r="L93" s="149"/>
      <c r="M93" s="149"/>
      <c r="N93" s="149"/>
      <c r="O93" s="149"/>
      <c r="P93" s="188">
        <f t="shared" si="33"/>
        <v>0</v>
      </c>
      <c r="Q93" s="132">
        <f t="shared" si="30"/>
        <v>0</v>
      </c>
      <c r="R93" s="133">
        <f t="shared" si="31"/>
        <v>0</v>
      </c>
      <c r="S93" s="121" t="str">
        <f t="shared" si="34"/>
        <v/>
      </c>
    </row>
    <row r="94" collapsed="1">
      <c r="A94" s="190" t="str">
        <f>IFERROR(VLOOKUP(B94,'Статьи'!$A$2:C116,3,0)," ")</f>
        <v> </v>
      </c>
      <c r="B94" s="125"/>
      <c r="C94" s="170"/>
      <c r="D94" s="149"/>
      <c r="E94" s="149"/>
      <c r="F94" s="149"/>
      <c r="G94" s="149"/>
      <c r="H94" s="149"/>
      <c r="I94" s="188">
        <f t="shared" si="32"/>
        <v>0</v>
      </c>
      <c r="J94" s="170"/>
      <c r="K94" s="149"/>
      <c r="L94" s="149"/>
      <c r="M94" s="149"/>
      <c r="N94" s="149"/>
      <c r="O94" s="149"/>
      <c r="P94" s="188">
        <f t="shared" si="33"/>
        <v>0</v>
      </c>
      <c r="Q94" s="132">
        <f t="shared" si="30"/>
        <v>0</v>
      </c>
      <c r="R94" s="133">
        <f t="shared" si="31"/>
        <v>0</v>
      </c>
      <c r="S94" s="121" t="str">
        <f t="shared" si="34"/>
        <v/>
      </c>
    </row>
    <row r="95" hidden="1" outlineLevel="1">
      <c r="A95" s="190"/>
      <c r="B95" s="125"/>
      <c r="C95" s="170"/>
      <c r="D95" s="149"/>
      <c r="E95" s="149"/>
      <c r="F95" s="149"/>
      <c r="G95" s="149"/>
      <c r="H95" s="149"/>
      <c r="I95" s="188">
        <f t="shared" si="32"/>
        <v>0</v>
      </c>
      <c r="J95" s="170"/>
      <c r="K95" s="149"/>
      <c r="L95" s="149"/>
      <c r="M95" s="149"/>
      <c r="N95" s="149"/>
      <c r="O95" s="149"/>
      <c r="P95" s="188">
        <f t="shared" ref="P95:P100" si="35">sum(F95:J95)</f>
        <v>0</v>
      </c>
      <c r="Q95" s="132">
        <f t="shared" si="30"/>
        <v>0</v>
      </c>
      <c r="R95" s="133">
        <f t="shared" si="31"/>
        <v>0</v>
      </c>
      <c r="S95" s="121" t="str">
        <f t="shared" ref="S95:S100" si="36">IF(Q95=0,"",IF(Q95=0,0,IF(R95&gt;1,"перерасход","экономия")))</f>
        <v/>
      </c>
    </row>
    <row r="96" hidden="1" outlineLevel="1">
      <c r="A96" s="190"/>
      <c r="B96" s="125"/>
      <c r="C96" s="170"/>
      <c r="D96" s="149"/>
      <c r="E96" s="149"/>
      <c r="F96" s="149"/>
      <c r="G96" s="149"/>
      <c r="H96" s="149"/>
      <c r="I96" s="188">
        <f t="shared" si="32"/>
        <v>0</v>
      </c>
      <c r="J96" s="170"/>
      <c r="K96" s="149"/>
      <c r="L96" s="149"/>
      <c r="M96" s="149"/>
      <c r="N96" s="149"/>
      <c r="O96" s="149"/>
      <c r="P96" s="188">
        <f t="shared" si="35"/>
        <v>0</v>
      </c>
      <c r="Q96" s="132">
        <f t="shared" si="30"/>
        <v>0</v>
      </c>
      <c r="R96" s="133">
        <f t="shared" si="31"/>
        <v>0</v>
      </c>
      <c r="S96" s="121" t="str">
        <f t="shared" si="36"/>
        <v/>
      </c>
    </row>
    <row r="97" hidden="1" outlineLevel="1">
      <c r="A97" s="190"/>
      <c r="B97" s="125"/>
      <c r="C97" s="170"/>
      <c r="D97" s="149"/>
      <c r="E97" s="149"/>
      <c r="F97" s="149"/>
      <c r="G97" s="149"/>
      <c r="H97" s="149"/>
      <c r="I97" s="188">
        <f t="shared" si="32"/>
        <v>0</v>
      </c>
      <c r="J97" s="170"/>
      <c r="K97" s="149"/>
      <c r="L97" s="149"/>
      <c r="M97" s="149"/>
      <c r="N97" s="149"/>
      <c r="O97" s="149"/>
      <c r="P97" s="188">
        <f t="shared" si="35"/>
        <v>0</v>
      </c>
      <c r="Q97" s="132">
        <f t="shared" si="30"/>
        <v>0</v>
      </c>
      <c r="R97" s="133">
        <f t="shared" si="31"/>
        <v>0</v>
      </c>
      <c r="S97" s="121" t="str">
        <f t="shared" si="36"/>
        <v/>
      </c>
    </row>
    <row r="98" hidden="1" outlineLevel="1">
      <c r="A98" s="190"/>
      <c r="B98" s="125"/>
      <c r="C98" s="170"/>
      <c r="D98" s="149"/>
      <c r="E98" s="149"/>
      <c r="F98" s="149"/>
      <c r="G98" s="149"/>
      <c r="H98" s="149"/>
      <c r="I98" s="188">
        <f t="shared" si="32"/>
        <v>0</v>
      </c>
      <c r="J98" s="170"/>
      <c r="K98" s="149"/>
      <c r="L98" s="149"/>
      <c r="M98" s="149"/>
      <c r="N98" s="149"/>
      <c r="O98" s="149"/>
      <c r="P98" s="188">
        <f t="shared" si="35"/>
        <v>0</v>
      </c>
      <c r="Q98" s="132">
        <f t="shared" si="30"/>
        <v>0</v>
      </c>
      <c r="R98" s="133">
        <f t="shared" si="31"/>
        <v>0</v>
      </c>
      <c r="S98" s="121" t="str">
        <f t="shared" si="36"/>
        <v/>
      </c>
    </row>
    <row r="99" hidden="1" outlineLevel="1">
      <c r="A99" s="190"/>
      <c r="B99" s="125"/>
      <c r="C99" s="170"/>
      <c r="D99" s="149"/>
      <c r="E99" s="149"/>
      <c r="F99" s="149"/>
      <c r="G99" s="149"/>
      <c r="H99" s="149"/>
      <c r="I99" s="188">
        <f t="shared" si="32"/>
        <v>0</v>
      </c>
      <c r="J99" s="170"/>
      <c r="K99" s="149"/>
      <c r="L99" s="149"/>
      <c r="M99" s="149"/>
      <c r="N99" s="149"/>
      <c r="O99" s="149"/>
      <c r="P99" s="188">
        <f t="shared" si="35"/>
        <v>0</v>
      </c>
      <c r="Q99" s="132">
        <f t="shared" si="30"/>
        <v>0</v>
      </c>
      <c r="R99" s="133">
        <f t="shared" si="31"/>
        <v>0</v>
      </c>
      <c r="S99" s="121" t="str">
        <f t="shared" si="36"/>
        <v/>
      </c>
    </row>
    <row r="100" hidden="1" outlineLevel="1">
      <c r="A100" s="190"/>
      <c r="B100" s="125"/>
      <c r="C100" s="170"/>
      <c r="D100" s="149"/>
      <c r="E100" s="149"/>
      <c r="F100" s="149"/>
      <c r="G100" s="149"/>
      <c r="H100" s="149"/>
      <c r="I100" s="188">
        <f t="shared" si="32"/>
        <v>0</v>
      </c>
      <c r="J100" s="170"/>
      <c r="K100" s="149"/>
      <c r="L100" s="149"/>
      <c r="M100" s="149"/>
      <c r="N100" s="149"/>
      <c r="O100" s="149"/>
      <c r="P100" s="188">
        <f t="shared" si="35"/>
        <v>0</v>
      </c>
      <c r="Q100" s="132">
        <f t="shared" si="30"/>
        <v>0</v>
      </c>
      <c r="R100" s="133">
        <f t="shared" si="31"/>
        <v>0</v>
      </c>
      <c r="S100" s="121" t="str">
        <f t="shared" si="36"/>
        <v/>
      </c>
    </row>
    <row r="101">
      <c r="A101" s="135"/>
      <c r="B101" s="136" t="s">
        <v>90</v>
      </c>
      <c r="C101" s="137">
        <f t="shared" ref="C101:K101" si="37">SUM(C102:C131)</f>
        <v>0</v>
      </c>
      <c r="D101" s="138">
        <f t="shared" si="37"/>
        <v>0</v>
      </c>
      <c r="E101" s="138">
        <f t="shared" si="37"/>
        <v>0</v>
      </c>
      <c r="F101" s="138">
        <f t="shared" si="37"/>
        <v>0</v>
      </c>
      <c r="G101" s="138">
        <f t="shared" si="37"/>
        <v>0</v>
      </c>
      <c r="H101" s="138">
        <f t="shared" si="37"/>
        <v>0</v>
      </c>
      <c r="I101" s="139">
        <f t="shared" si="37"/>
        <v>0</v>
      </c>
      <c r="J101" s="137">
        <f t="shared" si="37"/>
        <v>0</v>
      </c>
      <c r="K101" s="138">
        <f t="shared" si="37"/>
        <v>0</v>
      </c>
      <c r="L101" s="138"/>
      <c r="M101" s="138"/>
      <c r="N101" s="138"/>
      <c r="O101" s="138"/>
      <c r="P101" s="140">
        <f>SUM(P102:P131)</f>
        <v>0</v>
      </c>
      <c r="Q101" s="138">
        <f t="shared" si="30"/>
        <v>0</v>
      </c>
      <c r="R101" s="187">
        <f t="shared" si="31"/>
        <v>0</v>
      </c>
      <c r="S101" s="141" t="str">
        <f>IF(Q101=0,"",IF(R101&gt;1,"план не выполнен","выполнение"))</f>
        <v/>
      </c>
    </row>
    <row r="102">
      <c r="A102" s="142" t="str">
        <f>IFERROR(VLOOKUP(B102,'Статьи'!$A$2:C124,3,0)," ")</f>
        <v>1С</v>
      </c>
      <c r="B102" s="125" t="str">
        <f>IFERROR(__xludf.DUMMYFUNCTION("iferror(filter('Статьи'!$A$1:$A177,'Статьи'!$B$1:$B177=$B$101))"),"Аренда, коммунальные услуги")</f>
        <v>Аренда, коммунальные услуги</v>
      </c>
      <c r="C102" s="171"/>
      <c r="D102" s="172"/>
      <c r="E102" s="149"/>
      <c r="F102" s="149"/>
      <c r="G102" s="149"/>
      <c r="H102" s="149"/>
      <c r="I102" s="188">
        <f t="shared" ref="I102:I141" si="38">sum(C102:H102)</f>
        <v>0</v>
      </c>
      <c r="J102" s="170"/>
      <c r="K102" s="149"/>
      <c r="L102" s="149"/>
      <c r="M102" s="149"/>
      <c r="N102" s="149"/>
      <c r="O102" s="149"/>
      <c r="P102" s="188">
        <f t="shared" ref="P102:P131" si="39">SUM(J102:K102)</f>
        <v>0</v>
      </c>
      <c r="Q102" s="132">
        <f t="shared" si="30"/>
        <v>0</v>
      </c>
      <c r="R102" s="133">
        <f t="shared" si="31"/>
        <v>0</v>
      </c>
      <c r="S102" s="121" t="str">
        <f t="shared" ref="S102:S131" si="40">IF(Q102=0,"",IF(R102=0,"обратить внимание",IF(R102&gt;1,"перерасход","экономия")))</f>
        <v/>
      </c>
    </row>
    <row r="103">
      <c r="A103" s="191" t="str">
        <f>IFERROR(VLOOKUP(B103,'Статьи'!$A$2:C125,3,0)," ")</f>
        <v>1С</v>
      </c>
      <c r="B103" s="192" t="str">
        <f>IFERROR(__xludf.DUMMYFUNCTION("""COMPUTED_VALUE"""),"Аутсорсинг и прочие услуги")</f>
        <v>Аутсорсинг и прочие услуги</v>
      </c>
      <c r="C103" s="171"/>
      <c r="D103" s="172"/>
      <c r="E103" s="149"/>
      <c r="F103" s="149"/>
      <c r="G103" s="149"/>
      <c r="H103" s="149"/>
      <c r="I103" s="188">
        <f t="shared" si="38"/>
        <v>0</v>
      </c>
      <c r="J103" s="170"/>
      <c r="K103" s="149"/>
      <c r="L103" s="149"/>
      <c r="M103" s="149"/>
      <c r="N103" s="149"/>
      <c r="O103" s="149"/>
      <c r="P103" s="188">
        <f t="shared" si="39"/>
        <v>0</v>
      </c>
      <c r="Q103" s="132">
        <f t="shared" si="30"/>
        <v>0</v>
      </c>
      <c r="R103" s="133">
        <f t="shared" si="31"/>
        <v>0</v>
      </c>
      <c r="S103" s="121" t="str">
        <f t="shared" si="40"/>
        <v/>
      </c>
    </row>
    <row r="104">
      <c r="A104" s="193" t="str">
        <f>IFERROR(VLOOKUP(B104,'Статьи'!$A$2:C126,3,0)," ")</f>
        <v>1С</v>
      </c>
      <c r="B104" s="194" t="str">
        <f>IFERROR(__xludf.DUMMYFUNCTION("""COMPUTED_VALUE"""),"Командировочные расходы")</f>
        <v>Командировочные расходы</v>
      </c>
      <c r="C104" s="171"/>
      <c r="D104" s="172"/>
      <c r="E104" s="149"/>
      <c r="F104" s="149"/>
      <c r="G104" s="149"/>
      <c r="H104" s="149"/>
      <c r="I104" s="188">
        <f t="shared" si="38"/>
        <v>0</v>
      </c>
      <c r="J104" s="170"/>
      <c r="K104" s="149"/>
      <c r="L104" s="149"/>
      <c r="M104" s="149"/>
      <c r="N104" s="149"/>
      <c r="O104" s="149"/>
      <c r="P104" s="188">
        <f t="shared" si="39"/>
        <v>0</v>
      </c>
      <c r="Q104" s="132">
        <f t="shared" si="30"/>
        <v>0</v>
      </c>
      <c r="R104" s="133">
        <f t="shared" si="31"/>
        <v>0</v>
      </c>
      <c r="S104" s="121" t="str">
        <f t="shared" si="40"/>
        <v/>
      </c>
    </row>
    <row r="105">
      <c r="A105" s="195" t="str">
        <f>IFERROR(VLOOKUP(B105,'Статьи'!$A$2:C127,3,0)," ")</f>
        <v>ДДС отчетного месяца. Без НДС!</v>
      </c>
      <c r="B105" s="196" t="str">
        <f>IFERROR(__xludf.DUMMYFUNCTION("""COMPUTED_VALUE"""),"Комиссии банка")</f>
        <v>Комиссии банка</v>
      </c>
      <c r="C105" s="171"/>
      <c r="D105" s="172"/>
      <c r="E105" s="149"/>
      <c r="F105" s="149"/>
      <c r="G105" s="149"/>
      <c r="H105" s="149"/>
      <c r="I105" s="188">
        <f t="shared" si="38"/>
        <v>0</v>
      </c>
      <c r="J105" s="170"/>
      <c r="K105" s="149"/>
      <c r="L105" s="149"/>
      <c r="M105" s="149"/>
      <c r="N105" s="149"/>
      <c r="O105" s="149"/>
      <c r="P105" s="188">
        <f t="shared" si="39"/>
        <v>0</v>
      </c>
      <c r="Q105" s="132">
        <f t="shared" si="30"/>
        <v>0</v>
      </c>
      <c r="R105" s="133">
        <f t="shared" si="31"/>
        <v>0</v>
      </c>
      <c r="S105" s="121" t="str">
        <f t="shared" si="40"/>
        <v/>
      </c>
    </row>
    <row r="106">
      <c r="A106" s="191" t="str">
        <f>IFERROR(VLOOKUP(B106,'Статьи'!$A$2:C128,3,0)," ")</f>
        <v>ДДС отчетного месяца. Без НДС!</v>
      </c>
      <c r="B106" s="192" t="str">
        <f>IFERROR(__xludf.DUMMYFUNCTION("""COMPUTED_VALUE"""),"Обучение сотрудников")</f>
        <v>Обучение сотрудников</v>
      </c>
      <c r="C106" s="171"/>
      <c r="D106" s="172"/>
      <c r="E106" s="149"/>
      <c r="F106" s="149"/>
      <c r="G106" s="149"/>
      <c r="H106" s="149"/>
      <c r="I106" s="188">
        <f t="shared" si="38"/>
        <v>0</v>
      </c>
      <c r="J106" s="170"/>
      <c r="K106" s="149"/>
      <c r="L106" s="149"/>
      <c r="M106" s="149"/>
      <c r="N106" s="149"/>
      <c r="O106" s="149"/>
      <c r="P106" s="188">
        <f t="shared" si="39"/>
        <v>0</v>
      </c>
      <c r="Q106" s="132">
        <f t="shared" si="30"/>
        <v>0</v>
      </c>
      <c r="R106" s="133">
        <f t="shared" si="31"/>
        <v>0</v>
      </c>
      <c r="S106" s="121" t="str">
        <f t="shared" si="40"/>
        <v/>
      </c>
    </row>
    <row r="107">
      <c r="A107" s="142" t="str">
        <f>IFERROR(VLOOKUP(B107,'Статьи'!$A$2:C129,3,0)," ")</f>
        <v>ДДС отчетного месяца. Без НДС!</v>
      </c>
      <c r="B107" s="125" t="str">
        <f>IFERROR(__xludf.DUMMYFUNCTION("""COMPUTED_VALUE"""),"Подбор персонала")</f>
        <v>Подбор персонала</v>
      </c>
      <c r="C107" s="171"/>
      <c r="D107" s="172"/>
      <c r="E107" s="149"/>
      <c r="F107" s="149"/>
      <c r="G107" s="149"/>
      <c r="H107" s="149"/>
      <c r="I107" s="188">
        <f t="shared" si="38"/>
        <v>0</v>
      </c>
      <c r="J107" s="189"/>
      <c r="K107" s="149"/>
      <c r="L107" s="149"/>
      <c r="M107" s="149"/>
      <c r="N107" s="149"/>
      <c r="O107" s="149"/>
      <c r="P107" s="188">
        <f t="shared" si="39"/>
        <v>0</v>
      </c>
      <c r="Q107" s="132">
        <f t="shared" si="30"/>
        <v>0</v>
      </c>
      <c r="R107" s="133">
        <f t="shared" si="31"/>
        <v>0</v>
      </c>
      <c r="S107" s="121" t="str">
        <f t="shared" si="40"/>
        <v/>
      </c>
    </row>
    <row r="108">
      <c r="A108" s="142" t="str">
        <f>IFERROR(VLOOKUP(B108,'Статьи'!$A$2:C130,3,0)," ")</f>
        <v>ДДС отчетного месяца. Без НДС!</v>
      </c>
      <c r="B108" s="125" t="str">
        <f>IFERROR(__xludf.DUMMYFUNCTION("""COMPUTED_VALUE"""),"Почтовые расходы")</f>
        <v>Почтовые расходы</v>
      </c>
      <c r="C108" s="171"/>
      <c r="D108" s="172"/>
      <c r="E108" s="149"/>
      <c r="F108" s="149"/>
      <c r="G108" s="149"/>
      <c r="H108" s="149"/>
      <c r="I108" s="188">
        <f t="shared" si="38"/>
        <v>0</v>
      </c>
      <c r="J108" s="170"/>
      <c r="K108" s="149"/>
      <c r="L108" s="149"/>
      <c r="M108" s="149"/>
      <c r="N108" s="149"/>
      <c r="O108" s="149"/>
      <c r="P108" s="188">
        <f t="shared" si="39"/>
        <v>0</v>
      </c>
      <c r="Q108" s="132">
        <f t="shared" si="30"/>
        <v>0</v>
      </c>
      <c r="R108" s="133">
        <f t="shared" si="31"/>
        <v>0</v>
      </c>
      <c r="S108" s="121" t="str">
        <f t="shared" si="40"/>
        <v/>
      </c>
    </row>
    <row r="109">
      <c r="A109" s="142" t="str">
        <f>IFERROR(VLOOKUP(B109,'Статьи'!$A$2:C131,3,0)," ")</f>
        <v>ДДС отчетного месяца. Без НДС!</v>
      </c>
      <c r="B109" s="125" t="str">
        <f>IFERROR(__xludf.DUMMYFUNCTION("""COMPUTED_VALUE"""),"Представительские расходы")</f>
        <v>Представительские расходы</v>
      </c>
      <c r="C109" s="171"/>
      <c r="D109" s="172"/>
      <c r="E109" s="149"/>
      <c r="F109" s="149"/>
      <c r="G109" s="149"/>
      <c r="H109" s="149"/>
      <c r="I109" s="188">
        <f t="shared" si="38"/>
        <v>0</v>
      </c>
      <c r="J109" s="170"/>
      <c r="K109" s="149"/>
      <c r="L109" s="149"/>
      <c r="M109" s="149"/>
      <c r="N109" s="149"/>
      <c r="O109" s="149"/>
      <c r="P109" s="188">
        <f t="shared" si="39"/>
        <v>0</v>
      </c>
      <c r="Q109" s="132">
        <f t="shared" si="30"/>
        <v>0</v>
      </c>
      <c r="R109" s="133">
        <f t="shared" si="31"/>
        <v>0</v>
      </c>
      <c r="S109" s="121" t="str">
        <f t="shared" si="40"/>
        <v/>
      </c>
    </row>
    <row r="110">
      <c r="A110" s="142" t="str">
        <f>IFERROR(VLOOKUP(B110,'Статьи'!$A$2:C132,3,0)," ")</f>
        <v>ДДС отчетного месяца. Без НДС!</v>
      </c>
      <c r="B110" s="125" t="str">
        <f>IFERROR(__xludf.DUMMYFUNCTION("""COMPUTED_VALUE"""),"Содержание офиса")</f>
        <v>Содержание офиса</v>
      </c>
      <c r="C110" s="171"/>
      <c r="D110" s="172"/>
      <c r="E110" s="149"/>
      <c r="F110" s="149"/>
      <c r="G110" s="149"/>
      <c r="H110" s="149"/>
      <c r="I110" s="188">
        <f t="shared" si="38"/>
        <v>0</v>
      </c>
      <c r="J110" s="189"/>
      <c r="K110" s="149"/>
      <c r="L110" s="149"/>
      <c r="M110" s="149"/>
      <c r="N110" s="149"/>
      <c r="O110" s="149"/>
      <c r="P110" s="188">
        <f t="shared" si="39"/>
        <v>0</v>
      </c>
      <c r="Q110" s="132">
        <f t="shared" si="30"/>
        <v>0</v>
      </c>
      <c r="R110" s="133">
        <f t="shared" si="31"/>
        <v>0</v>
      </c>
      <c r="S110" s="121" t="str">
        <f t="shared" si="40"/>
        <v/>
      </c>
    </row>
    <row r="111">
      <c r="A111" s="142" t="str">
        <f>IFERROR(VLOOKUP(B111,'Статьи'!$A$2:C133,3,0)," ")</f>
        <v>ДДС отчетного месяца. Без НДС!</v>
      </c>
      <c r="B111" s="125" t="str">
        <f>IFERROR(__xludf.DUMMYFUNCTION("""COMPUTED_VALUE"""),"Услуги связи + Интернет")</f>
        <v>Услуги связи + Интернет</v>
      </c>
      <c r="C111" s="171"/>
      <c r="D111" s="172"/>
      <c r="E111" s="149"/>
      <c r="F111" s="149"/>
      <c r="G111" s="149"/>
      <c r="H111" s="149"/>
      <c r="I111" s="188">
        <f t="shared" si="38"/>
        <v>0</v>
      </c>
      <c r="J111" s="189"/>
      <c r="K111" s="149"/>
      <c r="L111" s="149"/>
      <c r="M111" s="149"/>
      <c r="N111" s="149"/>
      <c r="O111" s="149"/>
      <c r="P111" s="188">
        <f t="shared" si="39"/>
        <v>0</v>
      </c>
      <c r="Q111" s="132">
        <f t="shared" si="30"/>
        <v>0</v>
      </c>
      <c r="R111" s="133">
        <f t="shared" si="31"/>
        <v>0</v>
      </c>
      <c r="S111" s="121" t="str">
        <f t="shared" si="40"/>
        <v/>
      </c>
    </row>
    <row r="112">
      <c r="A112" s="142" t="str">
        <f>IFERROR(VLOOKUP(B112,'Статьи'!$A$2:C134,3,0)," ")</f>
        <v>ДДС отчетного месяца. Без НДС!</v>
      </c>
      <c r="B112" s="125" t="str">
        <f>IFERROR(__xludf.DUMMYFUNCTION("""COMPUTED_VALUE"""),"Штрафы")</f>
        <v>Штрафы</v>
      </c>
      <c r="C112" s="171"/>
      <c r="D112" s="172"/>
      <c r="E112" s="149"/>
      <c r="F112" s="149"/>
      <c r="G112" s="149"/>
      <c r="H112" s="149"/>
      <c r="I112" s="188">
        <f t="shared" si="38"/>
        <v>0</v>
      </c>
      <c r="J112" s="189"/>
      <c r="K112" s="149"/>
      <c r="L112" s="149"/>
      <c r="M112" s="149"/>
      <c r="N112" s="149"/>
      <c r="O112" s="149"/>
      <c r="P112" s="188">
        <f t="shared" si="39"/>
        <v>0</v>
      </c>
      <c r="Q112" s="132">
        <f t="shared" si="30"/>
        <v>0</v>
      </c>
      <c r="R112" s="133">
        <f t="shared" si="31"/>
        <v>0</v>
      </c>
      <c r="S112" s="121" t="str">
        <f t="shared" si="40"/>
        <v/>
      </c>
    </row>
    <row r="113" collapsed="1">
      <c r="A113" s="142" t="str">
        <f>IFERROR(VLOOKUP(B113,'Статьи'!$A$2:C135,3,0)," ")</f>
        <v> </v>
      </c>
      <c r="B113" s="125"/>
      <c r="C113" s="197"/>
      <c r="D113" s="149"/>
      <c r="E113" s="149"/>
      <c r="F113" s="149"/>
      <c r="G113" s="149"/>
      <c r="H113" s="149"/>
      <c r="I113" s="188">
        <f t="shared" si="38"/>
        <v>0</v>
      </c>
      <c r="J113" s="189"/>
      <c r="K113" s="149"/>
      <c r="L113" s="149"/>
      <c r="M113" s="149"/>
      <c r="N113" s="149"/>
      <c r="O113" s="149"/>
      <c r="P113" s="188">
        <f t="shared" si="39"/>
        <v>0</v>
      </c>
      <c r="Q113" s="132">
        <f t="shared" si="30"/>
        <v>0</v>
      </c>
      <c r="R113" s="133">
        <f t="shared" si="31"/>
        <v>0</v>
      </c>
      <c r="S113" s="121" t="str">
        <f t="shared" si="40"/>
        <v/>
      </c>
    </row>
    <row r="114" hidden="1" outlineLevel="1">
      <c r="A114" s="142" t="str">
        <f>IFERROR(VLOOKUP(B114,'Статьи'!$A$2:C136,3,0)," ")</f>
        <v> </v>
      </c>
      <c r="B114" s="125"/>
      <c r="C114" s="197"/>
      <c r="D114" s="149"/>
      <c r="E114" s="149"/>
      <c r="F114" s="149"/>
      <c r="G114" s="149"/>
      <c r="H114" s="149"/>
      <c r="I114" s="188">
        <f t="shared" si="38"/>
        <v>0</v>
      </c>
      <c r="J114" s="170"/>
      <c r="K114" s="149"/>
      <c r="L114" s="149"/>
      <c r="M114" s="149"/>
      <c r="N114" s="149"/>
      <c r="O114" s="149"/>
      <c r="P114" s="188">
        <f t="shared" si="39"/>
        <v>0</v>
      </c>
      <c r="Q114" s="132">
        <f t="shared" si="30"/>
        <v>0</v>
      </c>
      <c r="R114" s="133">
        <f t="shared" si="31"/>
        <v>0</v>
      </c>
      <c r="S114" s="121" t="str">
        <f t="shared" si="40"/>
        <v/>
      </c>
    </row>
    <row r="115" hidden="1" outlineLevel="1">
      <c r="A115" s="142" t="str">
        <f>IFERROR(VLOOKUP(B115,'Статьи'!$A$2:C137,3,0)," ")</f>
        <v> </v>
      </c>
      <c r="B115" s="125"/>
      <c r="C115" s="197"/>
      <c r="D115" s="149"/>
      <c r="E115" s="198"/>
      <c r="F115" s="198"/>
      <c r="G115" s="198"/>
      <c r="H115" s="198"/>
      <c r="I115" s="188">
        <f t="shared" si="38"/>
        <v>0</v>
      </c>
      <c r="J115" s="189"/>
      <c r="K115" s="149"/>
      <c r="L115" s="149"/>
      <c r="M115" s="149"/>
      <c r="N115" s="149"/>
      <c r="O115" s="149"/>
      <c r="P115" s="188">
        <f t="shared" si="39"/>
        <v>0</v>
      </c>
      <c r="Q115" s="132">
        <f t="shared" si="30"/>
        <v>0</v>
      </c>
      <c r="R115" s="133">
        <f t="shared" si="31"/>
        <v>0</v>
      </c>
      <c r="S115" s="121" t="str">
        <f t="shared" si="40"/>
        <v/>
      </c>
    </row>
    <row r="116" hidden="1" outlineLevel="1">
      <c r="A116" s="142" t="str">
        <f>IFERROR(VLOOKUP(B116,'Статьи'!$A$2:C138,3,0)," ")</f>
        <v> </v>
      </c>
      <c r="B116" s="125"/>
      <c r="C116" s="197"/>
      <c r="D116" s="149"/>
      <c r="E116" s="149"/>
      <c r="F116" s="149"/>
      <c r="G116" s="149"/>
      <c r="H116" s="149"/>
      <c r="I116" s="188">
        <f t="shared" si="38"/>
        <v>0</v>
      </c>
      <c r="J116" s="189"/>
      <c r="K116" s="149"/>
      <c r="L116" s="149"/>
      <c r="M116" s="149"/>
      <c r="N116" s="149"/>
      <c r="O116" s="149"/>
      <c r="P116" s="188">
        <f t="shared" si="39"/>
        <v>0</v>
      </c>
      <c r="Q116" s="132">
        <f t="shared" si="30"/>
        <v>0</v>
      </c>
      <c r="R116" s="133">
        <f t="shared" si="31"/>
        <v>0</v>
      </c>
      <c r="S116" s="121" t="str">
        <f t="shared" si="40"/>
        <v/>
      </c>
    </row>
    <row r="117" hidden="1" outlineLevel="1">
      <c r="A117" s="142" t="str">
        <f>IFERROR(VLOOKUP(B117,'Статьи'!$A$2:C139,3,0)," ")</f>
        <v> </v>
      </c>
      <c r="B117" s="125"/>
      <c r="C117" s="197"/>
      <c r="D117" s="149"/>
      <c r="E117" s="149"/>
      <c r="F117" s="149"/>
      <c r="G117" s="149"/>
      <c r="H117" s="149"/>
      <c r="I117" s="188">
        <f t="shared" si="38"/>
        <v>0</v>
      </c>
      <c r="J117" s="189"/>
      <c r="K117" s="149"/>
      <c r="L117" s="149"/>
      <c r="M117" s="149"/>
      <c r="N117" s="149"/>
      <c r="O117" s="149"/>
      <c r="P117" s="188">
        <f t="shared" si="39"/>
        <v>0</v>
      </c>
      <c r="Q117" s="132">
        <f t="shared" si="30"/>
        <v>0</v>
      </c>
      <c r="R117" s="133">
        <f t="shared" si="31"/>
        <v>0</v>
      </c>
      <c r="S117" s="121" t="str">
        <f t="shared" si="40"/>
        <v/>
      </c>
    </row>
    <row r="118" hidden="1" outlineLevel="1">
      <c r="A118" s="142" t="str">
        <f>IFERROR(VLOOKUP(B118,'Статьи'!$A$2:C140,3,0)," ")</f>
        <v> </v>
      </c>
      <c r="B118" s="125"/>
      <c r="C118" s="197"/>
      <c r="D118" s="149"/>
      <c r="E118" s="149"/>
      <c r="F118" s="149"/>
      <c r="G118" s="149"/>
      <c r="H118" s="149"/>
      <c r="I118" s="188">
        <f t="shared" si="38"/>
        <v>0</v>
      </c>
      <c r="J118" s="170"/>
      <c r="K118" s="149"/>
      <c r="L118" s="149"/>
      <c r="M118" s="149"/>
      <c r="N118" s="149"/>
      <c r="O118" s="149"/>
      <c r="P118" s="188">
        <f t="shared" si="39"/>
        <v>0</v>
      </c>
      <c r="Q118" s="132">
        <f t="shared" si="30"/>
        <v>0</v>
      </c>
      <c r="R118" s="133">
        <f t="shared" si="31"/>
        <v>0</v>
      </c>
      <c r="S118" s="121" t="str">
        <f t="shared" si="40"/>
        <v/>
      </c>
    </row>
    <row r="119" hidden="1" outlineLevel="1">
      <c r="A119" s="142" t="str">
        <f>IFERROR(VLOOKUP(B119,'Статьи'!$A$2:C141,3,0)," ")</f>
        <v> </v>
      </c>
      <c r="B119" s="125"/>
      <c r="C119" s="197"/>
      <c r="D119" s="149"/>
      <c r="E119" s="149"/>
      <c r="F119" s="149"/>
      <c r="G119" s="149"/>
      <c r="H119" s="149"/>
      <c r="I119" s="188">
        <f t="shared" si="38"/>
        <v>0</v>
      </c>
      <c r="J119" s="189"/>
      <c r="K119" s="149"/>
      <c r="L119" s="149"/>
      <c r="M119" s="149"/>
      <c r="N119" s="149"/>
      <c r="O119" s="149"/>
      <c r="P119" s="188">
        <f t="shared" si="39"/>
        <v>0</v>
      </c>
      <c r="Q119" s="132">
        <f t="shared" si="30"/>
        <v>0</v>
      </c>
      <c r="R119" s="133">
        <f t="shared" si="31"/>
        <v>0</v>
      </c>
      <c r="S119" s="121" t="str">
        <f t="shared" si="40"/>
        <v/>
      </c>
    </row>
    <row r="120" hidden="1" outlineLevel="1">
      <c r="A120" s="142" t="str">
        <f>IFERROR(VLOOKUP(B120,'Статьи'!$A$2:C142,3,0)," ")</f>
        <v> </v>
      </c>
      <c r="B120" s="125"/>
      <c r="C120" s="197"/>
      <c r="D120" s="149"/>
      <c r="E120" s="149"/>
      <c r="F120" s="149"/>
      <c r="G120" s="149"/>
      <c r="H120" s="149"/>
      <c r="I120" s="188">
        <f t="shared" si="38"/>
        <v>0</v>
      </c>
      <c r="J120" s="189"/>
      <c r="K120" s="149"/>
      <c r="L120" s="149"/>
      <c r="M120" s="149"/>
      <c r="N120" s="149"/>
      <c r="O120" s="149"/>
      <c r="P120" s="188">
        <f t="shared" si="39"/>
        <v>0</v>
      </c>
      <c r="Q120" s="132">
        <f t="shared" si="30"/>
        <v>0</v>
      </c>
      <c r="R120" s="133">
        <f t="shared" si="31"/>
        <v>0</v>
      </c>
      <c r="S120" s="121" t="str">
        <f t="shared" si="40"/>
        <v/>
      </c>
    </row>
    <row r="121" hidden="1" outlineLevel="1">
      <c r="A121" s="142" t="str">
        <f>IFERROR(VLOOKUP(B121,'Статьи'!$A$2:C143,3,0)," ")</f>
        <v> </v>
      </c>
      <c r="B121" s="125"/>
      <c r="C121" s="197"/>
      <c r="D121" s="149"/>
      <c r="E121" s="149"/>
      <c r="F121" s="149"/>
      <c r="G121" s="149"/>
      <c r="H121" s="149"/>
      <c r="I121" s="188">
        <f t="shared" si="38"/>
        <v>0</v>
      </c>
      <c r="J121" s="170"/>
      <c r="K121" s="149"/>
      <c r="L121" s="149"/>
      <c r="M121" s="149"/>
      <c r="N121" s="149"/>
      <c r="O121" s="149"/>
      <c r="P121" s="188">
        <f t="shared" si="39"/>
        <v>0</v>
      </c>
      <c r="Q121" s="132">
        <f t="shared" si="30"/>
        <v>0</v>
      </c>
      <c r="R121" s="133">
        <f t="shared" si="31"/>
        <v>0</v>
      </c>
      <c r="S121" s="121" t="str">
        <f t="shared" si="40"/>
        <v/>
      </c>
    </row>
    <row r="122" hidden="1" outlineLevel="1">
      <c r="A122" s="142" t="str">
        <f>IFERROR(VLOOKUP(B122,'Статьи'!$A$2:C144,3,0)," ")</f>
        <v> </v>
      </c>
      <c r="B122" s="125"/>
      <c r="C122" s="197"/>
      <c r="D122" s="149"/>
      <c r="E122" s="149"/>
      <c r="F122" s="149"/>
      <c r="G122" s="149"/>
      <c r="H122" s="149"/>
      <c r="I122" s="188">
        <f t="shared" si="38"/>
        <v>0</v>
      </c>
      <c r="J122" s="189"/>
      <c r="K122" s="149"/>
      <c r="L122" s="149"/>
      <c r="M122" s="149"/>
      <c r="N122" s="149"/>
      <c r="O122" s="149"/>
      <c r="P122" s="188">
        <f t="shared" si="39"/>
        <v>0</v>
      </c>
      <c r="Q122" s="132">
        <f t="shared" si="30"/>
        <v>0</v>
      </c>
      <c r="R122" s="133">
        <f t="shared" si="31"/>
        <v>0</v>
      </c>
      <c r="S122" s="121" t="str">
        <f t="shared" si="40"/>
        <v/>
      </c>
    </row>
    <row r="123" hidden="1" outlineLevel="1">
      <c r="A123" s="142" t="str">
        <f>IFERROR(VLOOKUP(B123,'Статьи'!$A$2:C145,3,0)," ")</f>
        <v> </v>
      </c>
      <c r="B123" s="125"/>
      <c r="C123" s="197"/>
      <c r="D123" s="149"/>
      <c r="E123" s="149"/>
      <c r="F123" s="149"/>
      <c r="G123" s="149"/>
      <c r="H123" s="149"/>
      <c r="I123" s="188">
        <f t="shared" si="38"/>
        <v>0</v>
      </c>
      <c r="J123" s="170"/>
      <c r="K123" s="149"/>
      <c r="L123" s="149"/>
      <c r="M123" s="149"/>
      <c r="N123" s="149"/>
      <c r="O123" s="149"/>
      <c r="P123" s="188">
        <f t="shared" si="39"/>
        <v>0</v>
      </c>
      <c r="Q123" s="132">
        <f t="shared" si="30"/>
        <v>0</v>
      </c>
      <c r="R123" s="133">
        <f t="shared" si="31"/>
        <v>0</v>
      </c>
      <c r="S123" s="121" t="str">
        <f t="shared" si="40"/>
        <v/>
      </c>
    </row>
    <row r="124" hidden="1" outlineLevel="1">
      <c r="A124" s="142" t="str">
        <f>IFERROR(VLOOKUP(B124,'Статьи'!$A$2:C146,3,0)," ")</f>
        <v> </v>
      </c>
      <c r="B124" s="125"/>
      <c r="C124" s="170"/>
      <c r="D124" s="149"/>
      <c r="E124" s="149"/>
      <c r="F124" s="149"/>
      <c r="G124" s="149"/>
      <c r="H124" s="149"/>
      <c r="I124" s="188">
        <f t="shared" si="38"/>
        <v>0</v>
      </c>
      <c r="J124" s="170"/>
      <c r="K124" s="149"/>
      <c r="L124" s="149"/>
      <c r="M124" s="149"/>
      <c r="N124" s="149"/>
      <c r="O124" s="149"/>
      <c r="P124" s="188">
        <f t="shared" si="39"/>
        <v>0</v>
      </c>
      <c r="Q124" s="132">
        <f t="shared" si="30"/>
        <v>0</v>
      </c>
      <c r="R124" s="133">
        <f t="shared" si="31"/>
        <v>0</v>
      </c>
      <c r="S124" s="121" t="str">
        <f t="shared" si="40"/>
        <v/>
      </c>
    </row>
    <row r="125" hidden="1" outlineLevel="1">
      <c r="A125" s="142" t="str">
        <f>IFERROR(VLOOKUP(B125,'Статьи'!$A$2:C147,3,0)," ")</f>
        <v> </v>
      </c>
      <c r="B125" s="125"/>
      <c r="C125" s="170"/>
      <c r="D125" s="149"/>
      <c r="E125" s="149"/>
      <c r="F125" s="149"/>
      <c r="G125" s="149"/>
      <c r="H125" s="149"/>
      <c r="I125" s="188">
        <f t="shared" si="38"/>
        <v>0</v>
      </c>
      <c r="J125" s="170"/>
      <c r="K125" s="149"/>
      <c r="L125" s="149"/>
      <c r="M125" s="149"/>
      <c r="N125" s="149"/>
      <c r="O125" s="149"/>
      <c r="P125" s="188">
        <f t="shared" si="39"/>
        <v>0</v>
      </c>
      <c r="Q125" s="132">
        <f t="shared" si="30"/>
        <v>0</v>
      </c>
      <c r="R125" s="133">
        <f t="shared" si="31"/>
        <v>0</v>
      </c>
      <c r="S125" s="121" t="str">
        <f t="shared" si="40"/>
        <v/>
      </c>
    </row>
    <row r="126" hidden="1" outlineLevel="1">
      <c r="A126" s="142" t="str">
        <f>IFERROR(VLOOKUP(B126,'Статьи'!$A$2:C148,3,0)," ")</f>
        <v> </v>
      </c>
      <c r="B126" s="125"/>
      <c r="C126" s="170"/>
      <c r="D126" s="149"/>
      <c r="E126" s="149"/>
      <c r="F126" s="149"/>
      <c r="G126" s="149"/>
      <c r="H126" s="149"/>
      <c r="I126" s="188">
        <f t="shared" si="38"/>
        <v>0</v>
      </c>
      <c r="J126" s="170"/>
      <c r="K126" s="149"/>
      <c r="L126" s="149"/>
      <c r="M126" s="149"/>
      <c r="N126" s="149"/>
      <c r="O126" s="149"/>
      <c r="P126" s="188">
        <f t="shared" si="39"/>
        <v>0</v>
      </c>
      <c r="Q126" s="132">
        <f t="shared" si="30"/>
        <v>0</v>
      </c>
      <c r="R126" s="133">
        <f t="shared" si="31"/>
        <v>0</v>
      </c>
      <c r="S126" s="121" t="str">
        <f t="shared" si="40"/>
        <v/>
      </c>
    </row>
    <row r="127" hidden="1" outlineLevel="1">
      <c r="A127" s="142" t="str">
        <f>IFERROR(VLOOKUP(B127,'Статьи'!$A$2:C149,3,0)," ")</f>
        <v> </v>
      </c>
      <c r="B127" s="125"/>
      <c r="C127" s="170"/>
      <c r="D127" s="149"/>
      <c r="E127" s="149"/>
      <c r="F127" s="149"/>
      <c r="G127" s="149"/>
      <c r="H127" s="149"/>
      <c r="I127" s="188">
        <f t="shared" si="38"/>
        <v>0</v>
      </c>
      <c r="J127" s="170"/>
      <c r="K127" s="149"/>
      <c r="L127" s="149"/>
      <c r="M127" s="149"/>
      <c r="N127" s="149"/>
      <c r="O127" s="149"/>
      <c r="P127" s="188">
        <f t="shared" si="39"/>
        <v>0</v>
      </c>
      <c r="Q127" s="132">
        <f t="shared" si="30"/>
        <v>0</v>
      </c>
      <c r="R127" s="133">
        <f t="shared" si="31"/>
        <v>0</v>
      </c>
      <c r="S127" s="121" t="str">
        <f t="shared" si="40"/>
        <v/>
      </c>
    </row>
    <row r="128" hidden="1" outlineLevel="1">
      <c r="A128" s="142" t="str">
        <f>IFERROR(VLOOKUP(B128,'Статьи'!$A$2:C150,3,0)," ")</f>
        <v> </v>
      </c>
      <c r="B128" s="125"/>
      <c r="C128" s="170"/>
      <c r="D128" s="149"/>
      <c r="E128" s="149"/>
      <c r="F128" s="149"/>
      <c r="G128" s="149"/>
      <c r="H128" s="149"/>
      <c r="I128" s="188">
        <f t="shared" si="38"/>
        <v>0</v>
      </c>
      <c r="J128" s="170"/>
      <c r="K128" s="149"/>
      <c r="L128" s="149"/>
      <c r="M128" s="149"/>
      <c r="N128" s="149"/>
      <c r="O128" s="149"/>
      <c r="P128" s="188">
        <f t="shared" si="39"/>
        <v>0</v>
      </c>
      <c r="Q128" s="132">
        <f t="shared" si="30"/>
        <v>0</v>
      </c>
      <c r="R128" s="133">
        <f t="shared" si="31"/>
        <v>0</v>
      </c>
      <c r="S128" s="121" t="str">
        <f t="shared" si="40"/>
        <v/>
      </c>
    </row>
    <row r="129" hidden="1" outlineLevel="1">
      <c r="A129" s="142" t="str">
        <f>IFERROR(VLOOKUP(B129,'Статьи'!$A$2:C151,3,0)," ")</f>
        <v> </v>
      </c>
      <c r="B129" s="125"/>
      <c r="C129" s="170"/>
      <c r="D129" s="149"/>
      <c r="E129" s="149"/>
      <c r="F129" s="149"/>
      <c r="G129" s="149"/>
      <c r="H129" s="149"/>
      <c r="I129" s="188">
        <f t="shared" si="38"/>
        <v>0</v>
      </c>
      <c r="J129" s="170"/>
      <c r="K129" s="149"/>
      <c r="L129" s="149"/>
      <c r="M129" s="149"/>
      <c r="N129" s="149"/>
      <c r="O129" s="149"/>
      <c r="P129" s="188">
        <f t="shared" si="39"/>
        <v>0</v>
      </c>
      <c r="Q129" s="132">
        <f t="shared" si="30"/>
        <v>0</v>
      </c>
      <c r="R129" s="133">
        <f t="shared" si="31"/>
        <v>0</v>
      </c>
      <c r="S129" s="121" t="str">
        <f t="shared" si="40"/>
        <v/>
      </c>
    </row>
    <row r="130" hidden="1" outlineLevel="1">
      <c r="A130" s="142" t="str">
        <f>IFERROR(VLOOKUP(B130,'Статьи'!$A$2:C152,3,0)," ")</f>
        <v> </v>
      </c>
      <c r="B130" s="125"/>
      <c r="C130" s="170"/>
      <c r="D130" s="149"/>
      <c r="E130" s="149"/>
      <c r="F130" s="149"/>
      <c r="G130" s="149"/>
      <c r="H130" s="149"/>
      <c r="I130" s="188">
        <f t="shared" si="38"/>
        <v>0</v>
      </c>
      <c r="J130" s="170"/>
      <c r="K130" s="149"/>
      <c r="L130" s="149"/>
      <c r="M130" s="149"/>
      <c r="N130" s="149"/>
      <c r="O130" s="149"/>
      <c r="P130" s="188">
        <f t="shared" si="39"/>
        <v>0</v>
      </c>
      <c r="Q130" s="132">
        <f t="shared" si="30"/>
        <v>0</v>
      </c>
      <c r="R130" s="133">
        <f t="shared" si="31"/>
        <v>0</v>
      </c>
      <c r="S130" s="121" t="str">
        <f t="shared" si="40"/>
        <v/>
      </c>
    </row>
    <row r="131">
      <c r="A131" s="142" t="str">
        <f>IFERROR(VLOOKUP(B131,'Статьи'!$A$2:C153,3,0)," ")</f>
        <v> </v>
      </c>
      <c r="B131" s="125"/>
      <c r="C131" s="170"/>
      <c r="D131" s="149"/>
      <c r="E131" s="149"/>
      <c r="F131" s="149"/>
      <c r="G131" s="149"/>
      <c r="H131" s="149"/>
      <c r="I131" s="188">
        <f t="shared" si="38"/>
        <v>0</v>
      </c>
      <c r="J131" s="170"/>
      <c r="K131" s="149"/>
      <c r="L131" s="149"/>
      <c r="M131" s="149"/>
      <c r="N131" s="149"/>
      <c r="O131" s="149"/>
      <c r="P131" s="188">
        <f t="shared" si="39"/>
        <v>0</v>
      </c>
      <c r="Q131" s="132">
        <f t="shared" si="30"/>
        <v>0</v>
      </c>
      <c r="R131" s="133">
        <f t="shared" si="31"/>
        <v>0</v>
      </c>
      <c r="S131" s="121" t="str">
        <f t="shared" si="40"/>
        <v/>
      </c>
    </row>
    <row r="132">
      <c r="A132" s="135"/>
      <c r="B132" s="136" t="s">
        <v>107</v>
      </c>
      <c r="C132" s="137">
        <f t="shared" ref="C132:H132" si="41">SUM(C133:C141)</f>
        <v>0</v>
      </c>
      <c r="D132" s="138">
        <f t="shared" si="41"/>
        <v>0</v>
      </c>
      <c r="E132" s="138">
        <f t="shared" si="41"/>
        <v>0</v>
      </c>
      <c r="F132" s="138">
        <f t="shared" si="41"/>
        <v>0</v>
      </c>
      <c r="G132" s="138">
        <f t="shared" si="41"/>
        <v>0</v>
      </c>
      <c r="H132" s="138">
        <f t="shared" si="41"/>
        <v>0</v>
      </c>
      <c r="I132" s="139">
        <f t="shared" si="38"/>
        <v>0</v>
      </c>
      <c r="J132" s="137">
        <f t="shared" ref="J132:P132" si="42">SUM(J133:J141)</f>
        <v>0</v>
      </c>
      <c r="K132" s="138">
        <f t="shared" si="42"/>
        <v>0</v>
      </c>
      <c r="L132" s="138">
        <f t="shared" si="42"/>
        <v>0</v>
      </c>
      <c r="M132" s="138">
        <f t="shared" si="42"/>
        <v>0</v>
      </c>
      <c r="N132" s="138">
        <f t="shared" si="42"/>
        <v>0</v>
      </c>
      <c r="O132" s="138">
        <f t="shared" si="42"/>
        <v>0</v>
      </c>
      <c r="P132" s="140">
        <f t="shared" si="42"/>
        <v>0</v>
      </c>
      <c r="Q132" s="138">
        <f t="shared" si="30"/>
        <v>0</v>
      </c>
      <c r="R132" s="187">
        <f t="shared" si="31"/>
        <v>0</v>
      </c>
      <c r="S132" s="229" t="str">
        <f>IF(Q132=0,"",IF(R132&gt;1,"план не выполнен","выполнение"))</f>
        <v/>
      </c>
    </row>
    <row r="133" collapsed="1">
      <c r="A133" s="142" t="str">
        <f>IFERROR(VLOOKUP(B133,'Статьи'!$A$2:C155,3,0)," ")</f>
        <v>ДДС отчетного месяца. Без НДС!</v>
      </c>
      <c r="B133" s="125" t="str">
        <f>IFERROR(__xludf.DUMMYFUNCTION("iferror(filter('Статьи'!$A$1:$A177,'Статьи'!$B$1:$B177=$B$132))"),"Подписка на сайты по поиску клиентов")</f>
        <v>Подписка на сайты по поиску клиентов</v>
      </c>
      <c r="C133" s="170"/>
      <c r="D133" s="149"/>
      <c r="E133" s="149"/>
      <c r="F133" s="149"/>
      <c r="G133" s="149"/>
      <c r="H133" s="149"/>
      <c r="I133" s="188">
        <f t="shared" si="38"/>
        <v>0</v>
      </c>
      <c r="J133" s="170"/>
      <c r="K133" s="149"/>
      <c r="L133" s="149"/>
      <c r="M133" s="149"/>
      <c r="N133" s="149"/>
      <c r="O133" s="149"/>
      <c r="P133" s="188">
        <f t="shared" ref="P133:P140" si="43">SUM(J133:K133)</f>
        <v>0</v>
      </c>
      <c r="Q133" s="132">
        <f t="shared" si="30"/>
        <v>0</v>
      </c>
      <c r="R133" s="133">
        <f t="shared" si="31"/>
        <v>0</v>
      </c>
      <c r="S133" s="121" t="str">
        <f t="shared" ref="S133:S141" si="44">IF(Q133=0,"",IF(R133=0,"обратить внимание",IF(R133&gt;1,"перерасход","экономия")))</f>
        <v/>
      </c>
    </row>
    <row r="134" hidden="1" outlineLevel="1">
      <c r="A134" s="142" t="str">
        <f>IFERROR(VLOOKUP(B134,'Статьи'!$A$2:C156,3,0)," ")</f>
        <v> </v>
      </c>
      <c r="B134" s="125"/>
      <c r="C134" s="170"/>
      <c r="D134" s="149"/>
      <c r="E134" s="149"/>
      <c r="F134" s="149"/>
      <c r="G134" s="149"/>
      <c r="H134" s="149"/>
      <c r="I134" s="188">
        <f t="shared" si="38"/>
        <v>0</v>
      </c>
      <c r="J134" s="170"/>
      <c r="K134" s="149"/>
      <c r="L134" s="149"/>
      <c r="M134" s="149"/>
      <c r="N134" s="149"/>
      <c r="O134" s="149"/>
      <c r="P134" s="188">
        <f t="shared" si="43"/>
        <v>0</v>
      </c>
      <c r="Q134" s="132">
        <f t="shared" si="30"/>
        <v>0</v>
      </c>
      <c r="R134" s="133">
        <f t="shared" si="31"/>
        <v>0</v>
      </c>
      <c r="S134" s="121" t="str">
        <f t="shared" si="44"/>
        <v/>
      </c>
    </row>
    <row r="135" hidden="1" outlineLevel="1">
      <c r="A135" s="175" t="str">
        <f>IFERROR(VLOOKUP(B135,'Статьи'!$A$2:C157,3,0)," ")</f>
        <v> </v>
      </c>
      <c r="B135" s="175"/>
      <c r="C135" s="170"/>
      <c r="D135" s="149"/>
      <c r="E135" s="149"/>
      <c r="F135" s="149"/>
      <c r="G135" s="149"/>
      <c r="H135" s="149"/>
      <c r="I135" s="188">
        <f t="shared" si="38"/>
        <v>0</v>
      </c>
      <c r="J135" s="170"/>
      <c r="K135" s="149"/>
      <c r="L135" s="149"/>
      <c r="M135" s="149"/>
      <c r="N135" s="149"/>
      <c r="O135" s="149"/>
      <c r="P135" s="188">
        <f t="shared" si="43"/>
        <v>0</v>
      </c>
      <c r="Q135" s="132">
        <f t="shared" si="30"/>
        <v>0</v>
      </c>
      <c r="R135" s="133">
        <f t="shared" si="31"/>
        <v>0</v>
      </c>
      <c r="S135" s="121" t="str">
        <f t="shared" si="44"/>
        <v/>
      </c>
    </row>
    <row r="136" hidden="1" outlineLevel="1">
      <c r="A136" s="175" t="str">
        <f>IFERROR(VLOOKUP(B136,'Статьи'!$A$2:C158,3,0)," ")</f>
        <v> </v>
      </c>
      <c r="B136" s="175"/>
      <c r="C136" s="170"/>
      <c r="D136" s="149"/>
      <c r="E136" s="149"/>
      <c r="F136" s="149"/>
      <c r="G136" s="149"/>
      <c r="H136" s="149"/>
      <c r="I136" s="188">
        <f t="shared" si="38"/>
        <v>0</v>
      </c>
      <c r="J136" s="170"/>
      <c r="K136" s="149"/>
      <c r="L136" s="149"/>
      <c r="M136" s="149"/>
      <c r="N136" s="149"/>
      <c r="O136" s="149"/>
      <c r="P136" s="188">
        <f t="shared" si="43"/>
        <v>0</v>
      </c>
      <c r="Q136" s="132">
        <f t="shared" si="30"/>
        <v>0</v>
      </c>
      <c r="R136" s="133">
        <f t="shared" si="31"/>
        <v>0</v>
      </c>
      <c r="S136" s="121" t="str">
        <f t="shared" si="44"/>
        <v/>
      </c>
    </row>
    <row r="137" hidden="1" outlineLevel="1">
      <c r="A137" s="175" t="str">
        <f>IFERROR(VLOOKUP(B137,'Статьи'!$A$2:C159,3,0)," ")</f>
        <v> </v>
      </c>
      <c r="B137" s="175"/>
      <c r="C137" s="170"/>
      <c r="D137" s="149"/>
      <c r="E137" s="149"/>
      <c r="F137" s="149"/>
      <c r="G137" s="149"/>
      <c r="H137" s="149"/>
      <c r="I137" s="188">
        <f t="shared" si="38"/>
        <v>0</v>
      </c>
      <c r="J137" s="170"/>
      <c r="K137" s="149"/>
      <c r="L137" s="149"/>
      <c r="M137" s="149"/>
      <c r="N137" s="149"/>
      <c r="O137" s="149"/>
      <c r="P137" s="188">
        <f t="shared" si="43"/>
        <v>0</v>
      </c>
      <c r="Q137" s="132">
        <f t="shared" si="30"/>
        <v>0</v>
      </c>
      <c r="R137" s="133">
        <f t="shared" si="31"/>
        <v>0</v>
      </c>
      <c r="S137" s="121" t="str">
        <f t="shared" si="44"/>
        <v/>
      </c>
    </row>
    <row r="138" hidden="1" outlineLevel="1">
      <c r="A138" s="175" t="str">
        <f>IFERROR(VLOOKUP(B138,'Статьи'!$A$2:C160,3,0)," ")</f>
        <v> </v>
      </c>
      <c r="B138" s="175"/>
      <c r="C138" s="170"/>
      <c r="D138" s="149"/>
      <c r="E138" s="149"/>
      <c r="F138" s="149"/>
      <c r="G138" s="149"/>
      <c r="H138" s="149"/>
      <c r="I138" s="188">
        <f t="shared" si="38"/>
        <v>0</v>
      </c>
      <c r="J138" s="170"/>
      <c r="K138" s="149"/>
      <c r="L138" s="149"/>
      <c r="M138" s="149"/>
      <c r="N138" s="149"/>
      <c r="O138" s="149"/>
      <c r="P138" s="188">
        <f t="shared" si="43"/>
        <v>0</v>
      </c>
      <c r="Q138" s="132">
        <f t="shared" si="30"/>
        <v>0</v>
      </c>
      <c r="R138" s="133">
        <f t="shared" si="31"/>
        <v>0</v>
      </c>
      <c r="S138" s="121" t="str">
        <f t="shared" si="44"/>
        <v/>
      </c>
    </row>
    <row r="139" hidden="1" outlineLevel="1">
      <c r="A139" s="175" t="str">
        <f>IFERROR(VLOOKUP(B139,'Статьи'!$A$2:C161,3,0)," ")</f>
        <v> </v>
      </c>
      <c r="B139" s="175"/>
      <c r="C139" s="170"/>
      <c r="D139" s="149"/>
      <c r="E139" s="149"/>
      <c r="F139" s="149"/>
      <c r="G139" s="149"/>
      <c r="H139" s="149"/>
      <c r="I139" s="188">
        <f t="shared" si="38"/>
        <v>0</v>
      </c>
      <c r="J139" s="170"/>
      <c r="K139" s="149"/>
      <c r="L139" s="149"/>
      <c r="M139" s="149"/>
      <c r="N139" s="149"/>
      <c r="O139" s="149"/>
      <c r="P139" s="188">
        <f t="shared" si="43"/>
        <v>0</v>
      </c>
      <c r="Q139" s="132">
        <f t="shared" si="30"/>
        <v>0</v>
      </c>
      <c r="R139" s="133">
        <f t="shared" si="31"/>
        <v>0</v>
      </c>
      <c r="S139" s="121" t="str">
        <f t="shared" si="44"/>
        <v/>
      </c>
    </row>
    <row r="140" hidden="1" outlineLevel="1">
      <c r="A140" s="175" t="str">
        <f>IFERROR(VLOOKUP(B140,'Статьи'!$A$2:C162,3,0)," ")</f>
        <v> </v>
      </c>
      <c r="B140" s="175"/>
      <c r="C140" s="170"/>
      <c r="D140" s="149"/>
      <c r="E140" s="149"/>
      <c r="F140" s="149"/>
      <c r="G140" s="149"/>
      <c r="H140" s="149"/>
      <c r="I140" s="188">
        <f t="shared" si="38"/>
        <v>0</v>
      </c>
      <c r="J140" s="170"/>
      <c r="K140" s="149"/>
      <c r="L140" s="149"/>
      <c r="M140" s="149"/>
      <c r="N140" s="149"/>
      <c r="O140" s="149"/>
      <c r="P140" s="188">
        <f t="shared" si="43"/>
        <v>0</v>
      </c>
      <c r="Q140" s="132">
        <f t="shared" si="30"/>
        <v>0</v>
      </c>
      <c r="R140" s="133">
        <f t="shared" si="31"/>
        <v>0</v>
      </c>
      <c r="S140" s="121" t="str">
        <f t="shared" si="44"/>
        <v/>
      </c>
    </row>
    <row r="141">
      <c r="A141" s="175" t="str">
        <f>IFERROR(VLOOKUP(B141,'Статьи'!$A$2:C163,3,0)," ")</f>
        <v> </v>
      </c>
      <c r="B141" s="175"/>
      <c r="C141" s="170"/>
      <c r="D141" s="149"/>
      <c r="E141" s="149"/>
      <c r="F141" s="149"/>
      <c r="G141" s="149"/>
      <c r="H141" s="149"/>
      <c r="I141" s="188">
        <f t="shared" si="38"/>
        <v>0</v>
      </c>
      <c r="J141" s="170"/>
      <c r="K141" s="149"/>
      <c r="L141" s="149"/>
      <c r="M141" s="149"/>
      <c r="N141" s="149"/>
      <c r="O141" s="149"/>
      <c r="P141" s="188">
        <f>sum(F141:J141)</f>
        <v>0</v>
      </c>
      <c r="Q141" s="132">
        <f t="shared" si="30"/>
        <v>0</v>
      </c>
      <c r="R141" s="133">
        <f t="shared" si="31"/>
        <v>0</v>
      </c>
      <c r="S141" s="121" t="str">
        <f t="shared" si="44"/>
        <v/>
      </c>
    </row>
    <row r="142">
      <c r="A142" s="152"/>
      <c r="B142" s="153" t="s">
        <v>142</v>
      </c>
      <c r="C142" s="154">
        <f t="shared" ref="C142:K142" si="45">C85+C88</f>
        <v>4</v>
      </c>
      <c r="D142" s="155">
        <f t="shared" si="45"/>
        <v>0</v>
      </c>
      <c r="E142" s="155">
        <f t="shared" si="45"/>
        <v>0</v>
      </c>
      <c r="F142" s="155">
        <f t="shared" si="45"/>
        <v>0</v>
      </c>
      <c r="G142" s="155">
        <f t="shared" si="45"/>
        <v>0</v>
      </c>
      <c r="H142" s="155">
        <f t="shared" si="45"/>
        <v>0</v>
      </c>
      <c r="I142" s="157">
        <f t="shared" si="45"/>
        <v>4</v>
      </c>
      <c r="J142" s="154">
        <f t="shared" si="45"/>
        <v>0</v>
      </c>
      <c r="K142" s="155">
        <f t="shared" si="45"/>
        <v>0</v>
      </c>
      <c r="L142" s="155"/>
      <c r="M142" s="155"/>
      <c r="N142" s="155"/>
      <c r="O142" s="155"/>
      <c r="P142" s="157">
        <f>P85+P88</f>
        <v>0</v>
      </c>
      <c r="Q142" s="155">
        <f t="shared" si="30"/>
        <v>4</v>
      </c>
      <c r="R142" s="158">
        <f t="shared" si="31"/>
        <v>0</v>
      </c>
      <c r="S142" s="159" t="str">
        <f>IF(Q142=0,"",IF(R142&gt;1,"выполнение","план не выполнен"))</f>
        <v>план не выполнен</v>
      </c>
    </row>
    <row r="143">
      <c r="A143" s="160"/>
      <c r="B143" s="161" t="s">
        <v>143</v>
      </c>
      <c r="C143" s="162">
        <f t="shared" ref="C143:K143" si="46">IFERROR(C142/C$3,"")</f>
        <v>1</v>
      </c>
      <c r="D143" s="163" t="str">
        <f t="shared" si="46"/>
        <v/>
      </c>
      <c r="E143" s="163" t="str">
        <f t="shared" si="46"/>
        <v/>
      </c>
      <c r="F143" s="163" t="str">
        <f t="shared" si="46"/>
        <v/>
      </c>
      <c r="G143" s="163" t="str">
        <f t="shared" si="46"/>
        <v/>
      </c>
      <c r="H143" s="163" t="str">
        <f t="shared" si="46"/>
        <v/>
      </c>
      <c r="I143" s="164">
        <f t="shared" si="46"/>
        <v>1</v>
      </c>
      <c r="J143" s="162" t="str">
        <f t="shared" si="46"/>
        <v/>
      </c>
      <c r="K143" s="163" t="str">
        <f t="shared" si="46"/>
        <v/>
      </c>
      <c r="L143" s="163"/>
      <c r="M143" s="163"/>
      <c r="N143" s="163"/>
      <c r="O143" s="163"/>
      <c r="P143" s="164" t="str">
        <f>IFERROR(P142/P$3,"")</f>
        <v/>
      </c>
      <c r="Q143" s="133"/>
      <c r="R143" s="133"/>
      <c r="S143" s="121" t="str">
        <f t="shared" ref="S143:S144" si="47">IF(Q143=0,"",IF(Q143=0,0,IF(R143&gt;1,"перерасход","экономия")))</f>
        <v/>
      </c>
    </row>
    <row r="144">
      <c r="A144" s="142"/>
      <c r="B144" s="125"/>
      <c r="C144" s="199"/>
      <c r="D144" s="200"/>
      <c r="E144" s="200"/>
      <c r="F144" s="200"/>
      <c r="G144" s="200"/>
      <c r="H144" s="200"/>
      <c r="I144" s="116"/>
      <c r="J144" s="123"/>
      <c r="K144" s="118"/>
      <c r="L144" s="118"/>
      <c r="M144" s="118"/>
      <c r="N144" s="118"/>
      <c r="O144" s="118"/>
      <c r="P144" s="116"/>
      <c r="Q144" s="132"/>
      <c r="R144" s="133"/>
      <c r="S144" s="121" t="str">
        <f t="shared" si="47"/>
        <v/>
      </c>
    </row>
    <row r="145">
      <c r="A145" s="201"/>
      <c r="B145" s="202" t="s">
        <v>111</v>
      </c>
      <c r="C145" s="203">
        <f t="shared" ref="C145:H145" si="48">SUM(C146:C154)</f>
        <v>0</v>
      </c>
      <c r="D145" s="204">
        <f t="shared" si="48"/>
        <v>0</v>
      </c>
      <c r="E145" s="204">
        <f t="shared" si="48"/>
        <v>0</v>
      </c>
      <c r="F145" s="204">
        <f t="shared" si="48"/>
        <v>0</v>
      </c>
      <c r="G145" s="204">
        <f t="shared" si="48"/>
        <v>0</v>
      </c>
      <c r="H145" s="204">
        <f t="shared" si="48"/>
        <v>0</v>
      </c>
      <c r="I145" s="205">
        <f>SUM(C145:H145)</f>
        <v>0</v>
      </c>
      <c r="J145" s="206">
        <f t="shared" ref="J145:P145" si="49">SUM(J146:J154)</f>
        <v>0</v>
      </c>
      <c r="K145" s="207">
        <f t="shared" si="49"/>
        <v>0</v>
      </c>
      <c r="L145" s="207">
        <f t="shared" si="49"/>
        <v>0</v>
      </c>
      <c r="M145" s="207">
        <f t="shared" si="49"/>
        <v>0</v>
      </c>
      <c r="N145" s="207">
        <f t="shared" si="49"/>
        <v>0</v>
      </c>
      <c r="O145" s="207">
        <f t="shared" si="49"/>
        <v>0</v>
      </c>
      <c r="P145" s="208">
        <f t="shared" si="49"/>
        <v>0</v>
      </c>
      <c r="Q145" s="204">
        <f t="shared" ref="Q145:Q173" si="50">I145-P145</f>
        <v>0</v>
      </c>
      <c r="R145" s="209">
        <f t="shared" ref="R145:R173" si="51">IFERROR(I145/P145,0)</f>
        <v>0</v>
      </c>
      <c r="S145" s="210" t="str">
        <f>IF(Q145=0,"",IF(R145&gt;1,"выполнение","план не выполнен"))</f>
        <v/>
      </c>
    </row>
    <row r="146">
      <c r="A146" s="142" t="str">
        <f>IFERROR(VLOOKUP(B146,'Статьи'!$A$2:C168,3,0)," ")</f>
        <v>ДДС отчетного месяца. Без НДС!</v>
      </c>
      <c r="B146" s="125" t="str">
        <f>IFERROR(__xludf.DUMMYFUNCTION("iferror(filter('Статьи'!$A$1:$A177,'Статьи'!$B$1:$B177=B145))"),"Поступления прочие")</f>
        <v>Поступления прочие</v>
      </c>
      <c r="C146" s="170"/>
      <c r="D146" s="149"/>
      <c r="E146" s="149"/>
      <c r="F146" s="149"/>
      <c r="G146" s="149"/>
      <c r="H146" s="149"/>
      <c r="I146" s="211">
        <f t="shared" ref="I146:I172" si="52">sum(C146:H146)</f>
        <v>0</v>
      </c>
      <c r="J146" s="122"/>
      <c r="K146" s="114"/>
      <c r="L146" s="114"/>
      <c r="M146" s="114"/>
      <c r="N146" s="114"/>
      <c r="O146" s="114"/>
      <c r="P146" s="211">
        <f t="shared" ref="P146:P153" si="53">SUM(J146:K146)</f>
        <v>0</v>
      </c>
      <c r="Q146" s="132">
        <f t="shared" si="50"/>
        <v>0</v>
      </c>
      <c r="R146" s="133">
        <f t="shared" si="51"/>
        <v>0</v>
      </c>
      <c r="S146" s="121" t="str">
        <f t="shared" ref="S146:S154" si="54">IF(Q146=0,"",IF(R146=0,"обратить внимание",IF(R146&gt;1,"выполнение","план не выполнен")))</f>
        <v/>
      </c>
    </row>
    <row r="147">
      <c r="A147" s="142" t="str">
        <f>IFERROR(VLOOKUP(B147,'Статьи'!$A$2:C169,3,0)," ")</f>
        <v>ДДС отчетного месяца. Без НДС!</v>
      </c>
      <c r="B147" s="125" t="str">
        <f>IFERROR(__xludf.DUMMYFUNCTION("""COMPUTED_VALUE"""),"Поступления страховые выплаты")</f>
        <v>Поступления страховые выплаты</v>
      </c>
      <c r="C147" s="170"/>
      <c r="D147" s="149"/>
      <c r="E147" s="149"/>
      <c r="F147" s="149"/>
      <c r="G147" s="149"/>
      <c r="H147" s="149"/>
      <c r="I147" s="211">
        <f t="shared" si="52"/>
        <v>0</v>
      </c>
      <c r="J147" s="122"/>
      <c r="K147" s="114"/>
      <c r="L147" s="114"/>
      <c r="M147" s="114"/>
      <c r="N147" s="114"/>
      <c r="O147" s="114"/>
      <c r="P147" s="211">
        <f t="shared" si="53"/>
        <v>0</v>
      </c>
      <c r="Q147" s="132">
        <f t="shared" si="50"/>
        <v>0</v>
      </c>
      <c r="R147" s="133">
        <f t="shared" si="51"/>
        <v>0</v>
      </c>
      <c r="S147" s="121" t="str">
        <f t="shared" si="54"/>
        <v/>
      </c>
    </row>
    <row r="148">
      <c r="A148" s="142" t="str">
        <f>IFERROR(VLOOKUP(B148,'Статьи'!$A$2:C170,3,0)," ")</f>
        <v>отчет Учета ОС Вкладка Свод строка 37</v>
      </c>
      <c r="B148" s="125" t="str">
        <f>IFERROR(__xludf.DUMMYFUNCTION("""COMPUTED_VALUE"""),"Продажа ОС")</f>
        <v>Продажа ОС</v>
      </c>
      <c r="C148" s="170"/>
      <c r="D148" s="149"/>
      <c r="E148" s="149"/>
      <c r="F148" s="149"/>
      <c r="G148" s="149"/>
      <c r="H148" s="149"/>
      <c r="I148" s="211">
        <f t="shared" si="52"/>
        <v>0</v>
      </c>
      <c r="J148" s="122"/>
      <c r="K148" s="114"/>
      <c r="L148" s="114"/>
      <c r="M148" s="114"/>
      <c r="N148" s="114"/>
      <c r="O148" s="114"/>
      <c r="P148" s="211">
        <f t="shared" si="53"/>
        <v>0</v>
      </c>
      <c r="Q148" s="132">
        <f t="shared" si="50"/>
        <v>0</v>
      </c>
      <c r="R148" s="133">
        <f t="shared" si="51"/>
        <v>0</v>
      </c>
      <c r="S148" s="121" t="str">
        <f t="shared" si="54"/>
        <v/>
      </c>
    </row>
    <row r="149">
      <c r="A149" s="142" t="str">
        <f>IFERROR(VLOOKUP(B149,'Статьи'!$A$2:C171,3,0)," ")</f>
        <v>ДДС отчетного месяца. Без НДС!</v>
      </c>
      <c r="B149" s="125" t="str">
        <f>IFERROR(__xludf.DUMMYFUNCTION("""COMPUTED_VALUE"""),"Прочие поступления от фин. операций")</f>
        <v>Прочие поступления от фин. операций</v>
      </c>
      <c r="C149" s="170"/>
      <c r="D149" s="149"/>
      <c r="E149" s="149"/>
      <c r="F149" s="149"/>
      <c r="G149" s="149"/>
      <c r="H149" s="149"/>
      <c r="I149" s="211">
        <f t="shared" si="52"/>
        <v>0</v>
      </c>
      <c r="J149" s="122"/>
      <c r="K149" s="114"/>
      <c r="L149" s="114"/>
      <c r="M149" s="114"/>
      <c r="N149" s="114"/>
      <c r="O149" s="114"/>
      <c r="P149" s="211">
        <f t="shared" si="53"/>
        <v>0</v>
      </c>
      <c r="Q149" s="132">
        <f t="shared" si="50"/>
        <v>0</v>
      </c>
      <c r="R149" s="133">
        <f t="shared" si="51"/>
        <v>0</v>
      </c>
      <c r="S149" s="121" t="str">
        <f t="shared" si="54"/>
        <v/>
      </c>
    </row>
    <row r="150">
      <c r="A150" s="142" t="str">
        <f>IFERROR(VLOOKUP(B150,'Статьи'!$A$2:C172,3,0)," ")</f>
        <v> </v>
      </c>
      <c r="B150" s="125"/>
      <c r="C150" s="170"/>
      <c r="D150" s="149"/>
      <c r="E150" s="149"/>
      <c r="F150" s="149"/>
      <c r="G150" s="149"/>
      <c r="H150" s="149"/>
      <c r="I150" s="211">
        <f t="shared" si="52"/>
        <v>0</v>
      </c>
      <c r="J150" s="122" t="str">
        <f>C150</f>
        <v/>
      </c>
      <c r="K150" s="114"/>
      <c r="L150" s="114"/>
      <c r="M150" s="114"/>
      <c r="N150" s="114"/>
      <c r="O150" s="114"/>
      <c r="P150" s="211">
        <f t="shared" si="53"/>
        <v>0</v>
      </c>
      <c r="Q150" s="132">
        <f t="shared" si="50"/>
        <v>0</v>
      </c>
      <c r="R150" s="133">
        <f t="shared" si="51"/>
        <v>0</v>
      </c>
      <c r="S150" s="121" t="str">
        <f t="shared" si="54"/>
        <v/>
      </c>
    </row>
    <row r="151" collapsed="1">
      <c r="A151" s="142" t="str">
        <f>IFERROR(VLOOKUP(B151,'Статьи'!$A$2:C173,3,0)," ")</f>
        <v> </v>
      </c>
      <c r="B151" s="125"/>
      <c r="C151" s="170"/>
      <c r="D151" s="149"/>
      <c r="E151" s="149"/>
      <c r="F151" s="149"/>
      <c r="G151" s="149"/>
      <c r="H151" s="149"/>
      <c r="I151" s="211">
        <f t="shared" si="52"/>
        <v>0</v>
      </c>
      <c r="J151" s="122"/>
      <c r="K151" s="114"/>
      <c r="L151" s="114"/>
      <c r="M151" s="114"/>
      <c r="N151" s="114"/>
      <c r="O151" s="114"/>
      <c r="P151" s="211">
        <f t="shared" si="53"/>
        <v>0</v>
      </c>
      <c r="Q151" s="132">
        <f t="shared" si="50"/>
        <v>0</v>
      </c>
      <c r="R151" s="133">
        <f t="shared" si="51"/>
        <v>0</v>
      </c>
      <c r="S151" s="121" t="str">
        <f t="shared" si="54"/>
        <v/>
      </c>
    </row>
    <row r="152" hidden="1" outlineLevel="1">
      <c r="A152" s="142" t="str">
        <f>IFERROR(VLOOKUP(B152,'Статьи'!$A$2:C174,3,0)," ")</f>
        <v> </v>
      </c>
      <c r="B152" s="125"/>
      <c r="C152" s="170"/>
      <c r="D152" s="149"/>
      <c r="E152" s="149"/>
      <c r="F152" s="149"/>
      <c r="G152" s="149"/>
      <c r="H152" s="149"/>
      <c r="I152" s="211">
        <f t="shared" si="52"/>
        <v>0</v>
      </c>
      <c r="J152" s="122"/>
      <c r="K152" s="114"/>
      <c r="L152" s="114"/>
      <c r="M152" s="114"/>
      <c r="N152" s="114"/>
      <c r="O152" s="114"/>
      <c r="P152" s="211">
        <f t="shared" si="53"/>
        <v>0</v>
      </c>
      <c r="Q152" s="132">
        <f t="shared" si="50"/>
        <v>0</v>
      </c>
      <c r="R152" s="133">
        <f t="shared" si="51"/>
        <v>0</v>
      </c>
      <c r="S152" s="121" t="str">
        <f t="shared" si="54"/>
        <v/>
      </c>
    </row>
    <row r="153" hidden="1" outlineLevel="1">
      <c r="A153" s="142" t="str">
        <f>IFERROR(VLOOKUP(B153,'Статьи'!$A$2:C175,3,0)," ")</f>
        <v> </v>
      </c>
      <c r="B153" s="125"/>
      <c r="C153" s="170"/>
      <c r="D153" s="149"/>
      <c r="E153" s="149"/>
      <c r="F153" s="149"/>
      <c r="G153" s="149"/>
      <c r="H153" s="149"/>
      <c r="I153" s="211">
        <f t="shared" si="52"/>
        <v>0</v>
      </c>
      <c r="J153" s="122"/>
      <c r="K153" s="114"/>
      <c r="L153" s="114"/>
      <c r="M153" s="114"/>
      <c r="N153" s="114"/>
      <c r="O153" s="114"/>
      <c r="P153" s="211">
        <f t="shared" si="53"/>
        <v>0</v>
      </c>
      <c r="Q153" s="132">
        <f t="shared" si="50"/>
        <v>0</v>
      </c>
      <c r="R153" s="133">
        <f t="shared" si="51"/>
        <v>0</v>
      </c>
      <c r="S153" s="121" t="str">
        <f t="shared" si="54"/>
        <v/>
      </c>
    </row>
    <row r="154">
      <c r="A154" s="142" t="str">
        <f>IFERROR(VLOOKUP(B154,'Статьи'!$A$2:C176,3,0)," ")</f>
        <v> </v>
      </c>
      <c r="B154" s="125"/>
      <c r="C154" s="170"/>
      <c r="D154" s="149"/>
      <c r="E154" s="149"/>
      <c r="F154" s="149"/>
      <c r="G154" s="149"/>
      <c r="H154" s="149"/>
      <c r="I154" s="211">
        <f t="shared" si="52"/>
        <v>0</v>
      </c>
      <c r="J154" s="122"/>
      <c r="K154" s="114"/>
      <c r="L154" s="114"/>
      <c r="M154" s="114"/>
      <c r="N154" s="114"/>
      <c r="O154" s="114"/>
      <c r="P154" s="211">
        <f>sum(F154:J154)</f>
        <v>0</v>
      </c>
      <c r="Q154" s="132">
        <f t="shared" si="50"/>
        <v>0</v>
      </c>
      <c r="R154" s="133">
        <f t="shared" si="51"/>
        <v>0</v>
      </c>
      <c r="S154" s="121" t="str">
        <f t="shared" si="54"/>
        <v/>
      </c>
    </row>
    <row r="155">
      <c r="A155" s="212"/>
      <c r="B155" s="213" t="s">
        <v>101</v>
      </c>
      <c r="C155" s="203">
        <f t="shared" ref="C155:H155" si="55">SUM(C156:C172)</f>
        <v>0</v>
      </c>
      <c r="D155" s="204">
        <f t="shared" si="55"/>
        <v>0</v>
      </c>
      <c r="E155" s="204">
        <f t="shared" si="55"/>
        <v>0</v>
      </c>
      <c r="F155" s="204">
        <f t="shared" si="55"/>
        <v>0</v>
      </c>
      <c r="G155" s="204">
        <f t="shared" si="55"/>
        <v>0</v>
      </c>
      <c r="H155" s="204">
        <f t="shared" si="55"/>
        <v>0</v>
      </c>
      <c r="I155" s="208">
        <f t="shared" si="52"/>
        <v>0</v>
      </c>
      <c r="J155" s="206">
        <f t="shared" ref="J155:K155" si="56">SUM(J156:J172)</f>
        <v>0</v>
      </c>
      <c r="K155" s="207">
        <f t="shared" si="56"/>
        <v>0</v>
      </c>
      <c r="L155" s="207"/>
      <c r="M155" s="207"/>
      <c r="N155" s="207"/>
      <c r="O155" s="207"/>
      <c r="P155" s="208">
        <f>SUM(P156:P172)</f>
        <v>0</v>
      </c>
      <c r="Q155" s="207">
        <f t="shared" si="50"/>
        <v>0</v>
      </c>
      <c r="R155" s="214">
        <f t="shared" si="51"/>
        <v>0</v>
      </c>
      <c r="S155" s="210" t="str">
        <f>IF(Q155=0,"",IF(R155&gt;1,"план не выполнен","выполнение"))</f>
        <v/>
      </c>
    </row>
    <row r="156">
      <c r="A156" s="142" t="str">
        <f>IFERROR(VLOOKUP(B156,'Статьи'!$A$2:C178,3,0)," ")</f>
        <v>ДДС отчетного месяца. Без НДС!</v>
      </c>
      <c r="B156" s="125" t="str">
        <f>IFERROR(__xludf.DUMMYFUNCTION("iferror(filter('Статьи'!$A$1:$A177,'Статьи'!$B$1:$B177=B155))"),"Курсовые разницы")</f>
        <v>Курсовые разницы</v>
      </c>
      <c r="C156" s="171"/>
      <c r="D156" s="149"/>
      <c r="E156" s="149"/>
      <c r="F156" s="149"/>
      <c r="G156" s="149"/>
      <c r="H156" s="149"/>
      <c r="I156" s="211">
        <f t="shared" si="52"/>
        <v>0</v>
      </c>
      <c r="J156" s="122"/>
      <c r="K156" s="114"/>
      <c r="L156" s="114"/>
      <c r="M156" s="114"/>
      <c r="N156" s="114"/>
      <c r="O156" s="114"/>
      <c r="P156" s="211">
        <f t="shared" ref="P156:P171" si="57">SUM(J156:K156)</f>
        <v>0</v>
      </c>
      <c r="Q156" s="132">
        <f t="shared" si="50"/>
        <v>0</v>
      </c>
      <c r="R156" s="133">
        <f t="shared" si="51"/>
        <v>0</v>
      </c>
      <c r="S156" s="121" t="str">
        <f t="shared" ref="S156:S172" si="58">IF(Q156=0,"",IF(R156=0,"обратить внимание",IF(R156&gt;1,"перерасход","экономия")))</f>
        <v/>
      </c>
    </row>
    <row r="157">
      <c r="A157" s="142" t="str">
        <f>IFERROR(VLOOKUP(B157,'Статьи'!$A$2:C179,3,0)," ")</f>
        <v>1С</v>
      </c>
      <c r="B157" s="125" t="str">
        <f>IFERROR(__xludf.DUMMYFUNCTION("""COMPUTED_VALUE"""),"Налог  на прибыль УСН 6%")</f>
        <v>Налог  на прибыль УСН 6%</v>
      </c>
      <c r="C157" s="171"/>
      <c r="D157" s="149"/>
      <c r="E157" s="149"/>
      <c r="F157" s="149"/>
      <c r="G157" s="149"/>
      <c r="H157" s="149"/>
      <c r="I157" s="211">
        <f t="shared" si="52"/>
        <v>0</v>
      </c>
      <c r="J157" s="122"/>
      <c r="K157" s="114"/>
      <c r="L157" s="114"/>
      <c r="M157" s="114"/>
      <c r="N157" s="114"/>
      <c r="O157" s="114"/>
      <c r="P157" s="211">
        <f t="shared" si="57"/>
        <v>0</v>
      </c>
      <c r="Q157" s="132">
        <f t="shared" si="50"/>
        <v>0</v>
      </c>
      <c r="R157" s="133">
        <f t="shared" si="51"/>
        <v>0</v>
      </c>
      <c r="S157" s="121" t="str">
        <f t="shared" si="58"/>
        <v/>
      </c>
    </row>
    <row r="158">
      <c r="A158" s="142" t="str">
        <f>IFERROR(VLOOKUP(B158,'Статьи'!$A$2:C180,3,0)," ")</f>
        <v>1С</v>
      </c>
      <c r="B158" s="125" t="str">
        <f>IFERROR(__xludf.DUMMYFUNCTION("""COMPUTED_VALUE"""),"Налог на прибыль 20%")</f>
        <v>Налог на прибыль 20%</v>
      </c>
      <c r="C158" s="171"/>
      <c r="D158" s="149"/>
      <c r="E158" s="149"/>
      <c r="F158" s="149"/>
      <c r="G158" s="149"/>
      <c r="H158" s="149"/>
      <c r="I158" s="211">
        <f t="shared" si="52"/>
        <v>0</v>
      </c>
      <c r="J158" s="122"/>
      <c r="K158" s="114"/>
      <c r="L158" s="114"/>
      <c r="M158" s="114"/>
      <c r="N158" s="114"/>
      <c r="O158" s="114"/>
      <c r="P158" s="211">
        <f t="shared" si="57"/>
        <v>0</v>
      </c>
      <c r="Q158" s="132">
        <f t="shared" si="50"/>
        <v>0</v>
      </c>
      <c r="R158" s="133">
        <f t="shared" si="51"/>
        <v>0</v>
      </c>
      <c r="S158" s="121" t="str">
        <f t="shared" si="58"/>
        <v/>
      </c>
    </row>
    <row r="159">
      <c r="A159" s="142" t="str">
        <f>IFERROR(VLOOKUP(B159,'Статьи'!$A$2:C181,3,0)," ")</f>
        <v>отчет Учет ОС</v>
      </c>
      <c r="B159" s="125" t="str">
        <f>IFERROR(__xludf.DUMMYFUNCTION("""COMPUTED_VALUE"""),"Амортизация ОС")</f>
        <v>Амортизация ОС</v>
      </c>
      <c r="C159" s="215"/>
      <c r="D159" s="149"/>
      <c r="E159" s="149"/>
      <c r="F159" s="149"/>
      <c r="G159" s="149"/>
      <c r="H159" s="149"/>
      <c r="I159" s="211">
        <f t="shared" si="52"/>
        <v>0</v>
      </c>
      <c r="J159" s="122"/>
      <c r="K159" s="114"/>
      <c r="L159" s="114"/>
      <c r="M159" s="114"/>
      <c r="N159" s="114"/>
      <c r="O159" s="114"/>
      <c r="P159" s="211">
        <f t="shared" si="57"/>
        <v>0</v>
      </c>
      <c r="Q159" s="132">
        <f t="shared" si="50"/>
        <v>0</v>
      </c>
      <c r="R159" s="133">
        <f t="shared" si="51"/>
        <v>0</v>
      </c>
      <c r="S159" s="121" t="str">
        <f t="shared" si="58"/>
        <v/>
      </c>
    </row>
    <row r="160">
      <c r="A160" s="142" t="str">
        <f>IFERROR(VLOOKUP(B160,'Статьи'!$A$2:C182,3,0)," ")</f>
        <v>ДДС отчетного месяца. Без НДС!</v>
      </c>
      <c r="B160" s="125" t="str">
        <f>IFERROR(__xludf.DUMMYFUNCTION("""COMPUTED_VALUE"""),"Прочие расходы")</f>
        <v>Прочие расходы</v>
      </c>
      <c r="C160" s="171"/>
      <c r="D160" s="149"/>
      <c r="E160" s="149"/>
      <c r="F160" s="149"/>
      <c r="G160" s="149"/>
      <c r="H160" s="149"/>
      <c r="I160" s="211">
        <f t="shared" si="52"/>
        <v>0</v>
      </c>
      <c r="J160" s="122"/>
      <c r="K160" s="114"/>
      <c r="L160" s="114"/>
      <c r="M160" s="114"/>
      <c r="N160" s="114"/>
      <c r="O160" s="114"/>
      <c r="P160" s="211">
        <f t="shared" si="57"/>
        <v>0</v>
      </c>
      <c r="Q160" s="132">
        <f t="shared" si="50"/>
        <v>0</v>
      </c>
      <c r="R160" s="133">
        <f t="shared" si="51"/>
        <v>0</v>
      </c>
      <c r="S160" s="121" t="str">
        <f t="shared" si="58"/>
        <v/>
      </c>
    </row>
    <row r="161">
      <c r="A161" s="142" t="str">
        <f>IFERROR(VLOOKUP(B161,'Статьи'!$A$2:C183,3,0)," ")</f>
        <v>ДДС отчетного месяца. Без НДС!</v>
      </c>
      <c r="B161" s="111" t="str">
        <f>IFERROR(__xludf.DUMMYFUNCTION("""COMPUTED_VALUE"""),"Ремонт ОС")</f>
        <v>Ремонт ОС</v>
      </c>
      <c r="C161" s="171"/>
      <c r="D161" s="149"/>
      <c r="E161" s="149"/>
      <c r="F161" s="149"/>
      <c r="G161" s="149"/>
      <c r="H161" s="149"/>
      <c r="I161" s="211">
        <f t="shared" si="52"/>
        <v>0</v>
      </c>
      <c r="J161" s="122"/>
      <c r="K161" s="114"/>
      <c r="L161" s="114"/>
      <c r="M161" s="114"/>
      <c r="N161" s="114"/>
      <c r="O161" s="114"/>
      <c r="P161" s="211">
        <f t="shared" si="57"/>
        <v>0</v>
      </c>
      <c r="Q161" s="132">
        <f t="shared" si="50"/>
        <v>0</v>
      </c>
      <c r="R161" s="133">
        <f t="shared" si="51"/>
        <v>0</v>
      </c>
      <c r="S161" s="121" t="str">
        <f t="shared" si="58"/>
        <v/>
      </c>
    </row>
    <row r="162">
      <c r="A162" s="142" t="str">
        <f>IFERROR(VLOOKUP(B162,'Статьи'!$A$2:C184,3,0)," ")</f>
        <v>отчет Учет ФД</v>
      </c>
      <c r="B162" s="111" t="str">
        <f>IFERROR(__xludf.DUMMYFUNCTION("""COMPUTED_VALUE"""),"Оплаты %  кредиты")</f>
        <v>Оплаты %  кредиты</v>
      </c>
      <c r="C162" s="171"/>
      <c r="D162" s="149"/>
      <c r="E162" s="149"/>
      <c r="F162" s="149"/>
      <c r="G162" s="149"/>
      <c r="H162" s="149"/>
      <c r="I162" s="211">
        <f t="shared" si="52"/>
        <v>0</v>
      </c>
      <c r="J162" s="122"/>
      <c r="K162" s="114"/>
      <c r="L162" s="114"/>
      <c r="M162" s="114"/>
      <c r="N162" s="114"/>
      <c r="O162" s="114"/>
      <c r="P162" s="211">
        <f t="shared" si="57"/>
        <v>0</v>
      </c>
      <c r="Q162" s="132">
        <f t="shared" si="50"/>
        <v>0</v>
      </c>
      <c r="R162" s="133">
        <f t="shared" si="51"/>
        <v>0</v>
      </c>
      <c r="S162" s="121" t="str">
        <f t="shared" si="58"/>
        <v/>
      </c>
    </row>
    <row r="163" collapsed="1">
      <c r="A163" s="110" t="str">
        <f>IFERROR(VLOOKUP(B163,'Статьи'!$A$2:C185,3,0)," ")</f>
        <v> </v>
      </c>
      <c r="B163" s="111"/>
      <c r="C163" s="171"/>
      <c r="D163" s="149"/>
      <c r="E163" s="149"/>
      <c r="F163" s="149"/>
      <c r="G163" s="149"/>
      <c r="H163" s="149"/>
      <c r="I163" s="211">
        <f t="shared" si="52"/>
        <v>0</v>
      </c>
      <c r="J163" s="122"/>
      <c r="K163" s="114"/>
      <c r="L163" s="114"/>
      <c r="M163" s="114"/>
      <c r="N163" s="114"/>
      <c r="O163" s="114"/>
      <c r="P163" s="211">
        <f t="shared" si="57"/>
        <v>0</v>
      </c>
      <c r="Q163" s="132">
        <f t="shared" si="50"/>
        <v>0</v>
      </c>
      <c r="R163" s="133">
        <f t="shared" si="51"/>
        <v>0</v>
      </c>
      <c r="S163" s="121" t="str">
        <f t="shared" si="58"/>
        <v/>
      </c>
    </row>
    <row r="164" hidden="1" outlineLevel="1">
      <c r="A164" s="110" t="str">
        <f>IFERROR(VLOOKUP(B164,'Статьи'!$A$2:C186,3,0)," ")</f>
        <v> </v>
      </c>
      <c r="B164" s="111"/>
      <c r="C164" s="170"/>
      <c r="I164" s="211">
        <f t="shared" si="52"/>
        <v>0</v>
      </c>
      <c r="J164" s="122"/>
      <c r="K164" s="114"/>
      <c r="L164" s="114"/>
      <c r="M164" s="114"/>
      <c r="N164" s="114"/>
      <c r="O164" s="114"/>
      <c r="P164" s="211">
        <f t="shared" si="57"/>
        <v>0</v>
      </c>
      <c r="Q164" s="132">
        <f t="shared" si="50"/>
        <v>0</v>
      </c>
      <c r="R164" s="133">
        <f t="shared" si="51"/>
        <v>0</v>
      </c>
      <c r="S164" s="121" t="str">
        <f t="shared" si="58"/>
        <v/>
      </c>
    </row>
    <row r="165" hidden="1" outlineLevel="1">
      <c r="A165" s="110" t="str">
        <f>IFERROR(VLOOKUP(B165,'Статьи'!$A$2:C187,3,0)," ")</f>
        <v> </v>
      </c>
      <c r="B165" s="111"/>
      <c r="C165" s="170"/>
      <c r="I165" s="211">
        <f t="shared" si="52"/>
        <v>0</v>
      </c>
      <c r="J165" s="122"/>
      <c r="K165" s="114"/>
      <c r="L165" s="114"/>
      <c r="M165" s="114"/>
      <c r="N165" s="114"/>
      <c r="O165" s="114"/>
      <c r="P165" s="211">
        <f t="shared" si="57"/>
        <v>0</v>
      </c>
      <c r="Q165" s="132">
        <f t="shared" si="50"/>
        <v>0</v>
      </c>
      <c r="R165" s="133">
        <f t="shared" si="51"/>
        <v>0</v>
      </c>
      <c r="S165" s="121" t="str">
        <f t="shared" si="58"/>
        <v/>
      </c>
    </row>
    <row r="166" hidden="1" outlineLevel="1">
      <c r="A166" s="110" t="str">
        <f>IFERROR(VLOOKUP(B166,'Статьи'!$A$2:C188,3,0)," ")</f>
        <v> </v>
      </c>
      <c r="B166" s="111"/>
      <c r="C166" s="170"/>
      <c r="I166" s="211">
        <f t="shared" si="52"/>
        <v>0</v>
      </c>
      <c r="J166" s="122"/>
      <c r="K166" s="114"/>
      <c r="L166" s="114"/>
      <c r="M166" s="114"/>
      <c r="N166" s="114"/>
      <c r="O166" s="114"/>
      <c r="P166" s="211">
        <f t="shared" si="57"/>
        <v>0</v>
      </c>
      <c r="Q166" s="132">
        <f t="shared" si="50"/>
        <v>0</v>
      </c>
      <c r="R166" s="133">
        <f t="shared" si="51"/>
        <v>0</v>
      </c>
      <c r="S166" s="121" t="str">
        <f t="shared" si="58"/>
        <v/>
      </c>
    </row>
    <row r="167" hidden="1" outlineLevel="1">
      <c r="A167" s="110" t="str">
        <f>IFERROR(VLOOKUP(B167,'Статьи'!$A$2:C189,3,0)," ")</f>
        <v> </v>
      </c>
      <c r="B167" s="111"/>
      <c r="C167" s="170"/>
      <c r="I167" s="211">
        <f t="shared" si="52"/>
        <v>0</v>
      </c>
      <c r="J167" s="122"/>
      <c r="K167" s="114"/>
      <c r="L167" s="114"/>
      <c r="M167" s="114"/>
      <c r="N167" s="114"/>
      <c r="O167" s="114"/>
      <c r="P167" s="211">
        <f t="shared" si="57"/>
        <v>0</v>
      </c>
      <c r="Q167" s="132">
        <f t="shared" si="50"/>
        <v>0</v>
      </c>
      <c r="R167" s="133">
        <f t="shared" si="51"/>
        <v>0</v>
      </c>
      <c r="S167" s="121" t="str">
        <f t="shared" si="58"/>
        <v/>
      </c>
    </row>
    <row r="168" hidden="1" outlineLevel="1">
      <c r="A168" s="110" t="str">
        <f>IFERROR(VLOOKUP(B168,'Статьи'!$A$2:C190,3,0)," ")</f>
        <v> </v>
      </c>
      <c r="B168" s="111"/>
      <c r="C168" s="170"/>
      <c r="I168" s="211">
        <f t="shared" si="52"/>
        <v>0</v>
      </c>
      <c r="J168" s="122"/>
      <c r="K168" s="114"/>
      <c r="L168" s="114"/>
      <c r="M168" s="114"/>
      <c r="N168" s="114"/>
      <c r="O168" s="114"/>
      <c r="P168" s="211">
        <f t="shared" si="57"/>
        <v>0</v>
      </c>
      <c r="Q168" s="132">
        <f t="shared" si="50"/>
        <v>0</v>
      </c>
      <c r="R168" s="133">
        <f t="shared" si="51"/>
        <v>0</v>
      </c>
      <c r="S168" s="121" t="str">
        <f t="shared" si="58"/>
        <v/>
      </c>
    </row>
    <row r="169" hidden="1" outlineLevel="1">
      <c r="A169" s="110" t="str">
        <f>IFERROR(VLOOKUP(B169,'Статьи'!$A$2:C191,3,0)," ")</f>
        <v> </v>
      </c>
      <c r="B169" s="111"/>
      <c r="C169" s="170"/>
      <c r="I169" s="211">
        <f t="shared" si="52"/>
        <v>0</v>
      </c>
      <c r="J169" s="122"/>
      <c r="K169" s="114"/>
      <c r="L169" s="114"/>
      <c r="M169" s="114"/>
      <c r="N169" s="114"/>
      <c r="O169" s="114"/>
      <c r="P169" s="211">
        <f t="shared" si="57"/>
        <v>0</v>
      </c>
      <c r="Q169" s="132">
        <f t="shared" si="50"/>
        <v>0</v>
      </c>
      <c r="R169" s="133">
        <f t="shared" si="51"/>
        <v>0</v>
      </c>
      <c r="S169" s="121" t="str">
        <f t="shared" si="58"/>
        <v/>
      </c>
    </row>
    <row r="170" hidden="1" outlineLevel="1">
      <c r="A170" s="110" t="str">
        <f>IFERROR(VLOOKUP(B170,'Статьи'!$A$2:C192,3,0)," ")</f>
        <v> </v>
      </c>
      <c r="B170" s="111"/>
      <c r="C170" s="170"/>
      <c r="I170" s="211">
        <f t="shared" si="52"/>
        <v>0</v>
      </c>
      <c r="J170" s="122"/>
      <c r="K170" s="114"/>
      <c r="L170" s="114"/>
      <c r="M170" s="114"/>
      <c r="N170" s="114"/>
      <c r="O170" s="114"/>
      <c r="P170" s="211">
        <f t="shared" si="57"/>
        <v>0</v>
      </c>
      <c r="Q170" s="132">
        <f t="shared" si="50"/>
        <v>0</v>
      </c>
      <c r="R170" s="133">
        <f t="shared" si="51"/>
        <v>0</v>
      </c>
      <c r="S170" s="121" t="str">
        <f t="shared" si="58"/>
        <v/>
      </c>
    </row>
    <row r="171" hidden="1" outlineLevel="1">
      <c r="A171" s="110" t="str">
        <f>IFERROR(VLOOKUP(B171,'Статьи'!$A$2:C193,3,0)," ")</f>
        <v> </v>
      </c>
      <c r="B171" s="111"/>
      <c r="C171" s="170"/>
      <c r="I171" s="211">
        <f t="shared" si="52"/>
        <v>0</v>
      </c>
      <c r="J171" s="122"/>
      <c r="K171" s="114"/>
      <c r="L171" s="114"/>
      <c r="M171" s="114"/>
      <c r="N171" s="114"/>
      <c r="O171" s="114"/>
      <c r="P171" s="211">
        <f t="shared" si="57"/>
        <v>0</v>
      </c>
      <c r="Q171" s="132">
        <f t="shared" si="50"/>
        <v>0</v>
      </c>
      <c r="R171" s="133">
        <f t="shared" si="51"/>
        <v>0</v>
      </c>
      <c r="S171" s="121" t="str">
        <f t="shared" si="58"/>
        <v/>
      </c>
    </row>
    <row r="172">
      <c r="A172" s="110" t="str">
        <f>IFERROR(VLOOKUP(B172,'Статьи'!$A$2:C194,3,0)," ")</f>
        <v> </v>
      </c>
      <c r="B172" s="111"/>
      <c r="C172" s="170"/>
      <c r="D172" s="149"/>
      <c r="E172" s="149"/>
      <c r="F172" s="149"/>
      <c r="G172" s="149"/>
      <c r="H172" s="149"/>
      <c r="I172" s="211">
        <f t="shared" si="52"/>
        <v>0</v>
      </c>
      <c r="J172" s="122"/>
      <c r="K172" s="114"/>
      <c r="L172" s="114"/>
      <c r="M172" s="114"/>
      <c r="N172" s="114"/>
      <c r="O172" s="114"/>
      <c r="P172" s="211">
        <f>sum(F172:J172)</f>
        <v>0</v>
      </c>
      <c r="Q172" s="132">
        <f t="shared" si="50"/>
        <v>0</v>
      </c>
      <c r="R172" s="133">
        <f t="shared" si="51"/>
        <v>0</v>
      </c>
      <c r="S172" s="121" t="str">
        <f t="shared" si="58"/>
        <v/>
      </c>
    </row>
    <row r="173">
      <c r="A173" s="152"/>
      <c r="B173" s="153" t="s">
        <v>144</v>
      </c>
      <c r="C173" s="154">
        <f t="shared" ref="C173:K173" si="59">C142+C155+C145</f>
        <v>4</v>
      </c>
      <c r="D173" s="155">
        <f t="shared" si="59"/>
        <v>0</v>
      </c>
      <c r="E173" s="155">
        <f t="shared" si="59"/>
        <v>0</v>
      </c>
      <c r="F173" s="155">
        <f t="shared" si="59"/>
        <v>0</v>
      </c>
      <c r="G173" s="155">
        <f t="shared" si="59"/>
        <v>0</v>
      </c>
      <c r="H173" s="155">
        <f t="shared" si="59"/>
        <v>0</v>
      </c>
      <c r="I173" s="157">
        <f t="shared" si="59"/>
        <v>4</v>
      </c>
      <c r="J173" s="154">
        <f t="shared" si="59"/>
        <v>0</v>
      </c>
      <c r="K173" s="155">
        <f t="shared" si="59"/>
        <v>0</v>
      </c>
      <c r="L173" s="155"/>
      <c r="M173" s="155"/>
      <c r="N173" s="155"/>
      <c r="O173" s="155"/>
      <c r="P173" s="157">
        <f>P142+P155+P145</f>
        <v>0</v>
      </c>
      <c r="Q173" s="155">
        <f t="shared" si="50"/>
        <v>4</v>
      </c>
      <c r="R173" s="158">
        <f t="shared" si="51"/>
        <v>0</v>
      </c>
      <c r="S173" s="159" t="str">
        <f>IF(Q173=0,"",IF(R173&gt;1,"выполнение","план не выполнен"))</f>
        <v>план не выполнен</v>
      </c>
    </row>
    <row r="174">
      <c r="A174" s="160"/>
      <c r="B174" s="161" t="s">
        <v>145</v>
      </c>
      <c r="C174" s="216">
        <f t="shared" ref="C174:K174" si="60">IFERROR(C173/C$3,0)</f>
        <v>1</v>
      </c>
      <c r="D174" s="217">
        <f t="shared" si="60"/>
        <v>0</v>
      </c>
      <c r="E174" s="217">
        <f t="shared" si="60"/>
        <v>0</v>
      </c>
      <c r="F174" s="217">
        <f t="shared" si="60"/>
        <v>0</v>
      </c>
      <c r="G174" s="217">
        <f t="shared" si="60"/>
        <v>0</v>
      </c>
      <c r="H174" s="217">
        <f t="shared" si="60"/>
        <v>0</v>
      </c>
      <c r="I174" s="218">
        <f t="shared" si="60"/>
        <v>1</v>
      </c>
      <c r="J174" s="216">
        <f t="shared" si="60"/>
        <v>0</v>
      </c>
      <c r="K174" s="217">
        <f t="shared" si="60"/>
        <v>0</v>
      </c>
      <c r="L174" s="217"/>
      <c r="M174" s="217"/>
      <c r="N174" s="217"/>
      <c r="O174" s="217"/>
      <c r="P174" s="218">
        <f>IFERROR(P173/P$3,0)</f>
        <v>0</v>
      </c>
      <c r="Q174" s="219"/>
      <c r="R174" s="219"/>
      <c r="S174" s="219"/>
    </row>
    <row r="175">
      <c r="A175" s="110"/>
      <c r="B175" s="111"/>
      <c r="C175" s="115"/>
      <c r="D175" s="115"/>
      <c r="E175" s="115"/>
      <c r="F175" s="115"/>
      <c r="G175" s="115"/>
      <c r="H175" s="115"/>
      <c r="I175" s="118"/>
      <c r="J175" s="118"/>
      <c r="K175" s="118"/>
      <c r="L175" s="118"/>
      <c r="M175" s="118"/>
      <c r="N175" s="118"/>
      <c r="O175" s="118"/>
      <c r="P175" s="118"/>
      <c r="Q175" s="118"/>
      <c r="R175" s="220"/>
      <c r="S175" s="220"/>
    </row>
    <row r="176">
      <c r="A176" s="142"/>
      <c r="B176" s="125"/>
      <c r="C176" s="115"/>
      <c r="D176" s="115"/>
      <c r="E176" s="115"/>
      <c r="F176" s="114"/>
      <c r="G176" s="115"/>
      <c r="H176" s="115"/>
      <c r="I176" s="118"/>
      <c r="J176" s="118"/>
      <c r="K176" s="118"/>
      <c r="L176" s="118"/>
      <c r="M176" s="118"/>
      <c r="N176" s="118"/>
      <c r="O176" s="118"/>
      <c r="P176" s="118"/>
      <c r="Q176" s="118"/>
      <c r="R176" s="220"/>
      <c r="S176" s="220"/>
    </row>
    <row r="177">
      <c r="A177" s="110"/>
      <c r="B177" s="111"/>
      <c r="C177" s="115"/>
      <c r="D177" s="115"/>
      <c r="E177" s="115"/>
      <c r="F177" s="115"/>
      <c r="G177" s="115"/>
      <c r="H177" s="115"/>
      <c r="I177" s="118"/>
      <c r="J177" s="118"/>
      <c r="K177" s="118"/>
      <c r="L177" s="118"/>
      <c r="M177" s="118"/>
      <c r="N177" s="118"/>
      <c r="O177" s="118"/>
      <c r="P177" s="118"/>
      <c r="Q177" s="118"/>
      <c r="R177" s="220"/>
      <c r="S177" s="220"/>
    </row>
  </sheetData>
  <mergeCells count="11">
    <mergeCell ref="C168:H168"/>
    <mergeCell ref="C169:H169"/>
    <mergeCell ref="C170:H170"/>
    <mergeCell ref="C171:H171"/>
    <mergeCell ref="C1:I1"/>
    <mergeCell ref="J1:P1"/>
    <mergeCell ref="Q1:R1"/>
    <mergeCell ref="C164:H164"/>
    <mergeCell ref="C165:H165"/>
    <mergeCell ref="C166:H166"/>
    <mergeCell ref="C167:H167"/>
  </mergeCells>
  <conditionalFormatting sqref="C13:H54">
    <cfRule type="expression" dxfId="4" priority="1">
      <formula>C$2=""</formula>
    </cfRule>
  </conditionalFormatting>
  <conditionalFormatting sqref="C13:H54">
    <cfRule type="expression" dxfId="2" priority="2">
      <formula>OR(#REF!=C$2,#REF!=C$2,#REF!=C$2,#REF!=C$2,#REF!=C$2,#REF!=C$2,#REF!=C$2,#REF!=C$2,#REF!=C$2)</formula>
    </cfRule>
  </conditionalFormatting>
  <conditionalFormatting sqref="C59:H84 C91:C93">
    <cfRule type="expression" dxfId="4" priority="3">
      <formula>C$2=""</formula>
    </cfRule>
  </conditionalFormatting>
  <conditionalFormatting sqref="C59:H84 C91:C93">
    <cfRule type="expression" dxfId="2" priority="4">
      <formula>OR(#REF!=C$2,#REF!=C$2,#REF!=C$2,#REF!=C$2,#REF!=C$2,#REF!=C$2,#REF!=C$2,#REF!=C$2,#REF!=C$2)</formula>
    </cfRule>
  </conditionalFormatting>
  <conditionalFormatting sqref="A1:A2">
    <cfRule type="notContainsBlanks" dxfId="2" priority="5">
      <formula>LEN(TRIM(A1))&gt;0</formula>
    </cfRule>
  </conditionalFormatting>
  <conditionalFormatting sqref="S1:S177">
    <cfRule type="containsText" dxfId="2" priority="6" operator="containsText" text="выполнение">
      <formula>NOT(ISERROR(SEARCH(("выполнение"),(S1))))</formula>
    </cfRule>
  </conditionalFormatting>
  <conditionalFormatting sqref="S1:S177">
    <cfRule type="containsText" dxfId="3" priority="7" operator="containsText" text="план не выполнен">
      <formula>NOT(ISERROR(SEARCH(("план не выполнен"),(S1))))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7.13"/>
    <col customWidth="1" min="2" max="2" width="38.25"/>
    <col customWidth="1" min="3" max="3" width="10.63"/>
    <col collapsed="1" customWidth="1" min="4" max="4" width="10.63"/>
    <col customWidth="1" hidden="1" min="5" max="8" width="10.63" outlineLevel="1"/>
    <col customWidth="1" min="9" max="10" width="10.63"/>
    <col collapsed="1" customWidth="1" min="11" max="11" width="10.63"/>
    <col customWidth="1" hidden="1" min="12" max="15" width="10.63" outlineLevel="1"/>
    <col customWidth="1" min="16" max="16" width="10.63"/>
    <col customWidth="1" min="17" max="18" width="11.38"/>
    <col customWidth="1" min="19" max="19" width="16.88"/>
  </cols>
  <sheetData>
    <row r="1">
      <c r="A1" s="88"/>
      <c r="B1" s="89"/>
      <c r="C1" s="90" t="s">
        <v>127</v>
      </c>
      <c r="D1" s="91"/>
      <c r="E1" s="91"/>
      <c r="F1" s="91"/>
      <c r="G1" s="91"/>
      <c r="H1" s="91"/>
      <c r="I1" s="92"/>
      <c r="J1" s="93" t="s">
        <v>128</v>
      </c>
      <c r="K1" s="91"/>
      <c r="L1" s="91"/>
      <c r="M1" s="91"/>
      <c r="N1" s="91"/>
      <c r="O1" s="91"/>
      <c r="P1" s="92"/>
      <c r="Q1" s="94" t="s">
        <v>129</v>
      </c>
      <c r="S1" s="94"/>
    </row>
    <row r="2">
      <c r="A2" s="88" t="s">
        <v>130</v>
      </c>
      <c r="B2" s="89"/>
      <c r="C2" s="95" t="str">
        <f t="array" ref="C2:H2">TRANSPOSE('Справочник'!D2:D7)</f>
        <v>ООО "Весело живем"</v>
      </c>
      <c r="D2" s="96" t="s">
        <v>84</v>
      </c>
      <c r="E2" s="97">
        <v>3.0</v>
      </c>
      <c r="F2" s="97">
        <v>4.0</v>
      </c>
      <c r="G2" s="97">
        <v>5.0</v>
      </c>
      <c r="H2" s="97">
        <v>6.0</v>
      </c>
      <c r="I2" s="98" t="s">
        <v>131</v>
      </c>
      <c r="J2" s="95" t="str">
        <f t="array" ref="J2:O2">TRANSPOSE('Справочник'!D2:D7)</f>
        <v>ООО "Весело живем"</v>
      </c>
      <c r="K2" s="96" t="s">
        <v>84</v>
      </c>
      <c r="L2" s="97">
        <v>3.0</v>
      </c>
      <c r="M2" s="97">
        <v>4.0</v>
      </c>
      <c r="N2" s="97">
        <v>5.0</v>
      </c>
      <c r="O2" s="97">
        <v>6.0</v>
      </c>
      <c r="P2" s="98" t="s">
        <v>131</v>
      </c>
      <c r="Q2" s="99" t="s">
        <v>154</v>
      </c>
      <c r="R2" s="100" t="s">
        <v>133</v>
      </c>
      <c r="S2" s="101" t="s">
        <v>134</v>
      </c>
    </row>
    <row r="3">
      <c r="A3" s="102"/>
      <c r="B3" s="103" t="s">
        <v>86</v>
      </c>
      <c r="C3" s="104">
        <f t="shared" ref="C3:H3" si="1">SUM(C4:C10)</f>
        <v>5</v>
      </c>
      <c r="D3" s="105">
        <f t="shared" si="1"/>
        <v>0</v>
      </c>
      <c r="E3" s="105">
        <f t="shared" si="1"/>
        <v>0</v>
      </c>
      <c r="F3" s="105">
        <f t="shared" si="1"/>
        <v>0</v>
      </c>
      <c r="G3" s="105">
        <f t="shared" si="1"/>
        <v>0</v>
      </c>
      <c r="H3" s="105">
        <f t="shared" si="1"/>
        <v>0</v>
      </c>
      <c r="I3" s="106">
        <f>sum(C3:H3)</f>
        <v>5</v>
      </c>
      <c r="J3" s="104">
        <f t="shared" ref="J3:K3" si="2">SUM(J4:J10)</f>
        <v>0</v>
      </c>
      <c r="K3" s="105">
        <f t="shared" si="2"/>
        <v>0</v>
      </c>
      <c r="L3" s="105"/>
      <c r="M3" s="105"/>
      <c r="N3" s="105"/>
      <c r="O3" s="105"/>
      <c r="P3" s="107">
        <f>SUM(P4:P10)</f>
        <v>0</v>
      </c>
      <c r="Q3" s="105">
        <f t="shared" ref="Q3:Q55" si="3">I3-P3</f>
        <v>5</v>
      </c>
      <c r="R3" s="108">
        <f t="shared" ref="R3:R55" si="4">IFERROR(I3/P3,0)</f>
        <v>0</v>
      </c>
      <c r="S3" s="109" t="str">
        <f>IF(Q3=0,"",IF(R3&gt;1,"выполнение","план не выполнен"))</f>
        <v>план не выполнен</v>
      </c>
    </row>
    <row r="4">
      <c r="A4" s="110" t="str">
        <f>IFERROR(VLOOKUP(B4,'Статьи'!$A$2:C26,3,0)," ")</f>
        <v>1С сч 90.01 убрать НДС!</v>
      </c>
      <c r="B4" s="111" t="str">
        <f>IFERROR(__xludf.DUMMYFUNCTION("iferror(filter('Статьи'!$A$1:$A177,'Статьи'!$B$1:$B177=$B$3))"),"Выручка от аренды машиноместа")</f>
        <v>Выручка от аренды машиноместа</v>
      </c>
      <c r="C4" s="112">
        <v>5.0</v>
      </c>
      <c r="D4" s="113"/>
      <c r="E4" s="114"/>
      <c r="F4" s="115"/>
      <c r="G4" s="115"/>
      <c r="H4" s="115"/>
      <c r="I4" s="116">
        <f t="shared" ref="I4:I8" si="5">SUM(C4:H4)</f>
        <v>5</v>
      </c>
      <c r="J4" s="117"/>
      <c r="K4" s="118"/>
      <c r="L4" s="118"/>
      <c r="M4" s="118"/>
      <c r="N4" s="118"/>
      <c r="O4" s="118"/>
      <c r="P4" s="116">
        <f t="shared" ref="P4:P5" si="6">SUM(J4:K4)</f>
        <v>0</v>
      </c>
      <c r="Q4" s="119">
        <f t="shared" si="3"/>
        <v>5</v>
      </c>
      <c r="R4" s="120">
        <f t="shared" si="4"/>
        <v>0</v>
      </c>
      <c r="S4" s="121" t="str">
        <f t="shared" ref="S4:S10" si="7">IF(Q4=0,"",IF(R4=0,"обратить внимание",IF(R4&gt;1,"выполнение","план не выполнен")))</f>
        <v>обратить внимание</v>
      </c>
    </row>
    <row r="5" collapsed="1">
      <c r="A5" s="110" t="str">
        <f>IFERROR(VLOOKUP(B5,'Статьи'!$A$2:C27,3,0)," ")</f>
        <v>1С сч 90.01 убрать НДС!</v>
      </c>
      <c r="B5" s="111" t="str">
        <f>IFERROR(__xludf.DUMMYFUNCTION("""COMPUTED_VALUE"""),"Выручка за грузоперевозки")</f>
        <v>Выручка за грузоперевозки</v>
      </c>
      <c r="C5" s="112"/>
      <c r="D5" s="113"/>
      <c r="E5" s="114"/>
      <c r="F5" s="115"/>
      <c r="G5" s="115"/>
      <c r="H5" s="115"/>
      <c r="I5" s="116">
        <f t="shared" si="5"/>
        <v>0</v>
      </c>
      <c r="J5" s="117"/>
      <c r="K5" s="118"/>
      <c r="L5" s="118"/>
      <c r="M5" s="118"/>
      <c r="N5" s="118"/>
      <c r="O5" s="118"/>
      <c r="P5" s="116">
        <f t="shared" si="6"/>
        <v>0</v>
      </c>
      <c r="Q5" s="119">
        <f t="shared" si="3"/>
        <v>0</v>
      </c>
      <c r="R5" s="120">
        <f t="shared" si="4"/>
        <v>0</v>
      </c>
      <c r="S5" s="121" t="str">
        <f t="shared" si="7"/>
        <v/>
      </c>
    </row>
    <row r="6" hidden="1" outlineLevel="1">
      <c r="A6" s="110" t="str">
        <f>IFERROR(VLOOKUP(B6,'Статьи'!$A$2:C28,3,0)," ")</f>
        <v> </v>
      </c>
      <c r="B6" s="111"/>
      <c r="C6" s="122"/>
      <c r="D6" s="115"/>
      <c r="E6" s="115"/>
      <c r="F6" s="114"/>
      <c r="G6" s="114"/>
      <c r="H6" s="114"/>
      <c r="I6" s="116">
        <f t="shared" si="5"/>
        <v>0</v>
      </c>
      <c r="J6" s="123"/>
      <c r="K6" s="118"/>
      <c r="L6" s="118"/>
      <c r="M6" s="118"/>
      <c r="N6" s="118"/>
      <c r="O6" s="118"/>
      <c r="P6" s="116">
        <f t="shared" ref="P6:P8" si="8">SUM(F6:J6)</f>
        <v>0</v>
      </c>
      <c r="Q6" s="119">
        <f t="shared" si="3"/>
        <v>0</v>
      </c>
      <c r="R6" s="120">
        <f t="shared" si="4"/>
        <v>0</v>
      </c>
      <c r="S6" s="121" t="str">
        <f t="shared" si="7"/>
        <v/>
      </c>
    </row>
    <row r="7" hidden="1" outlineLevel="1">
      <c r="A7" s="110" t="str">
        <f>IFERROR(VLOOKUP(B7,'Статьи'!$A$2:C29,3,0)," ")</f>
        <v> </v>
      </c>
      <c r="B7" s="111"/>
      <c r="C7" s="122"/>
      <c r="D7" s="115"/>
      <c r="E7" s="115"/>
      <c r="F7" s="115"/>
      <c r="G7" s="115"/>
      <c r="H7" s="115"/>
      <c r="I7" s="116">
        <f t="shared" si="5"/>
        <v>0</v>
      </c>
      <c r="J7" s="123"/>
      <c r="K7" s="118"/>
      <c r="L7" s="118"/>
      <c r="M7" s="118"/>
      <c r="N7" s="118"/>
      <c r="O7" s="118"/>
      <c r="P7" s="116">
        <f t="shared" si="8"/>
        <v>0</v>
      </c>
      <c r="Q7" s="119">
        <f t="shared" si="3"/>
        <v>0</v>
      </c>
      <c r="R7" s="120">
        <f t="shared" si="4"/>
        <v>0</v>
      </c>
      <c r="S7" s="121" t="str">
        <f t="shared" si="7"/>
        <v/>
      </c>
    </row>
    <row r="8" hidden="1" outlineLevel="1">
      <c r="A8" s="110" t="str">
        <f>IFERROR(VLOOKUP(B8,'Статьи'!$A$2:C30,3,0)," ")</f>
        <v> </v>
      </c>
      <c r="B8" s="111"/>
      <c r="C8" s="122"/>
      <c r="D8" s="115"/>
      <c r="E8" s="115"/>
      <c r="F8" s="115"/>
      <c r="G8" s="115"/>
      <c r="H8" s="115"/>
      <c r="I8" s="116">
        <f t="shared" si="5"/>
        <v>0</v>
      </c>
      <c r="J8" s="123"/>
      <c r="K8" s="118"/>
      <c r="L8" s="118"/>
      <c r="M8" s="118"/>
      <c r="N8" s="118"/>
      <c r="O8" s="118"/>
      <c r="P8" s="116">
        <f t="shared" si="8"/>
        <v>0</v>
      </c>
      <c r="Q8" s="119">
        <f t="shared" si="3"/>
        <v>0</v>
      </c>
      <c r="R8" s="120">
        <f t="shared" si="4"/>
        <v>0</v>
      </c>
      <c r="S8" s="121" t="str">
        <f t="shared" si="7"/>
        <v/>
      </c>
    </row>
    <row r="9" hidden="1" outlineLevel="1">
      <c r="A9" s="110" t="str">
        <f>IFERROR(VLOOKUP(B9,'Статьи'!$A$2:C31,3,0)," ")</f>
        <v> </v>
      </c>
      <c r="B9" s="111"/>
      <c r="C9" s="124"/>
      <c r="D9" s="115"/>
      <c r="E9" s="115"/>
      <c r="F9" s="115"/>
      <c r="G9" s="115"/>
      <c r="H9" s="115"/>
      <c r="I9" s="116"/>
      <c r="J9" s="123"/>
      <c r="K9" s="118"/>
      <c r="L9" s="118"/>
      <c r="M9" s="118"/>
      <c r="N9" s="118"/>
      <c r="O9" s="118"/>
      <c r="P9" s="116"/>
      <c r="Q9" s="119">
        <f t="shared" si="3"/>
        <v>0</v>
      </c>
      <c r="R9" s="120">
        <f t="shared" si="4"/>
        <v>0</v>
      </c>
      <c r="S9" s="121" t="str">
        <f t="shared" si="7"/>
        <v/>
      </c>
    </row>
    <row r="10">
      <c r="A10" s="110" t="str">
        <f>IFERROR(VLOOKUP(B10,'Статьи'!$A$2:C32,3,0)," ")</f>
        <v> </v>
      </c>
      <c r="B10" s="125"/>
      <c r="C10" s="122"/>
      <c r="D10" s="115"/>
      <c r="E10" s="115"/>
      <c r="F10" s="115"/>
      <c r="G10" s="115"/>
      <c r="H10" s="115"/>
      <c r="I10" s="116"/>
      <c r="J10" s="123"/>
      <c r="K10" s="118"/>
      <c r="L10" s="118"/>
      <c r="M10" s="118"/>
      <c r="N10" s="118"/>
      <c r="O10" s="118"/>
      <c r="P10" s="116"/>
      <c r="Q10" s="119">
        <f t="shared" si="3"/>
        <v>0</v>
      </c>
      <c r="R10" s="120">
        <f t="shared" si="4"/>
        <v>0</v>
      </c>
      <c r="S10" s="121" t="str">
        <f t="shared" si="7"/>
        <v/>
      </c>
    </row>
    <row r="11">
      <c r="A11" s="126"/>
      <c r="B11" s="127" t="s">
        <v>135</v>
      </c>
      <c r="C11" s="128">
        <f t="shared" ref="C11:K11" si="9">C12+C58</f>
        <v>0</v>
      </c>
      <c r="D11" s="129">
        <f t="shared" si="9"/>
        <v>0</v>
      </c>
      <c r="E11" s="129">
        <f t="shared" si="9"/>
        <v>0</v>
      </c>
      <c r="F11" s="129">
        <f t="shared" si="9"/>
        <v>0</v>
      </c>
      <c r="G11" s="129">
        <f t="shared" si="9"/>
        <v>0</v>
      </c>
      <c r="H11" s="129">
        <f t="shared" si="9"/>
        <v>0</v>
      </c>
      <c r="I11" s="130">
        <f t="shared" si="9"/>
        <v>0</v>
      </c>
      <c r="J11" s="128">
        <f t="shared" si="9"/>
        <v>0</v>
      </c>
      <c r="K11" s="129">
        <f t="shared" si="9"/>
        <v>0</v>
      </c>
      <c r="L11" s="129"/>
      <c r="M11" s="129"/>
      <c r="N11" s="129"/>
      <c r="O11" s="129"/>
      <c r="P11" s="131">
        <f>P12+P58</f>
        <v>0</v>
      </c>
      <c r="Q11" s="132">
        <f t="shared" si="3"/>
        <v>0</v>
      </c>
      <c r="R11" s="133">
        <f t="shared" si="4"/>
        <v>0</v>
      </c>
      <c r="S11" s="134" t="str">
        <f>IF(Q11=0,"",IF(R11&gt;1,"план не выполнен","выполнение"))</f>
        <v/>
      </c>
    </row>
    <row r="12">
      <c r="A12" s="135"/>
      <c r="B12" s="136" t="s">
        <v>99</v>
      </c>
      <c r="C12" s="137">
        <f t="shared" ref="C12:K12" si="10">sum(C13:C54)</f>
        <v>0</v>
      </c>
      <c r="D12" s="138">
        <f t="shared" si="10"/>
        <v>0</v>
      </c>
      <c r="E12" s="138">
        <f t="shared" si="10"/>
        <v>0</v>
      </c>
      <c r="F12" s="138">
        <f t="shared" si="10"/>
        <v>0</v>
      </c>
      <c r="G12" s="138">
        <f t="shared" si="10"/>
        <v>0</v>
      </c>
      <c r="H12" s="138">
        <f t="shared" si="10"/>
        <v>0</v>
      </c>
      <c r="I12" s="139">
        <f t="shared" si="10"/>
        <v>0</v>
      </c>
      <c r="J12" s="137">
        <f t="shared" si="10"/>
        <v>0</v>
      </c>
      <c r="K12" s="138">
        <f t="shared" si="10"/>
        <v>0</v>
      </c>
      <c r="L12" s="138"/>
      <c r="M12" s="138"/>
      <c r="N12" s="138"/>
      <c r="O12" s="138"/>
      <c r="P12" s="140">
        <f>sum(P13:P54)</f>
        <v>0</v>
      </c>
      <c r="Q12" s="119">
        <f t="shared" si="3"/>
        <v>0</v>
      </c>
      <c r="R12" s="120">
        <f t="shared" si="4"/>
        <v>0</v>
      </c>
      <c r="S12" s="121" t="str">
        <f t="shared" ref="S12:S17" si="11">IF(Q12=0,"",IF(R12=0,"обратить внимание",IF(R12&gt;1,"перерасход","экономия")))</f>
        <v/>
      </c>
    </row>
    <row r="13">
      <c r="A13" s="142" t="str">
        <f>IFERROR(VLOOKUP(B13,'Статьи'!$A$2:C35,3,0)," ")</f>
        <v>ДДС отчетного месяца. Без НДС!</v>
      </c>
      <c r="B13" s="125" t="str">
        <f>IFERROR(__xludf.DUMMYFUNCTION("iferror(filter('Статьи'!$A$1:$A177,'Статьи'!$B$1:$B177=$B$12))"),"Комиссия топливных компаний")</f>
        <v>Комиссия топливных компаний</v>
      </c>
      <c r="C13" s="112"/>
      <c r="D13" s="113"/>
      <c r="E13" s="114"/>
      <c r="F13" s="114"/>
      <c r="G13" s="114"/>
      <c r="H13" s="143"/>
      <c r="I13" s="116">
        <f t="shared" ref="I13:I54" si="12">sum(C13:H13)</f>
        <v>0</v>
      </c>
      <c r="J13" s="117"/>
      <c r="K13" s="118"/>
      <c r="L13" s="118"/>
      <c r="M13" s="118"/>
      <c r="N13" s="118"/>
      <c r="O13" s="118"/>
      <c r="P13" s="116">
        <f t="shared" ref="P13:P16" si="13">SUM(J13:K13)</f>
        <v>0</v>
      </c>
      <c r="Q13" s="119">
        <f t="shared" si="3"/>
        <v>0</v>
      </c>
      <c r="R13" s="120">
        <f t="shared" si="4"/>
        <v>0</v>
      </c>
      <c r="S13" s="121" t="str">
        <f t="shared" si="11"/>
        <v/>
      </c>
    </row>
    <row r="14">
      <c r="A14" s="142" t="str">
        <f>IFERROR(VLOOKUP(B14,'Статьи'!$A$2:C36,3,0)," ")</f>
        <v>1С</v>
      </c>
      <c r="B14" s="125" t="str">
        <f>IFERROR(__xludf.DUMMYFUNCTION("""COMPUTED_VALUE"""),"Топливо для грузовых авто ")</f>
        <v>Топливо для грузовых авто </v>
      </c>
      <c r="C14" s="145"/>
      <c r="D14" s="113"/>
      <c r="E14" s="114"/>
      <c r="F14" s="146"/>
      <c r="G14" s="146"/>
      <c r="H14" s="143"/>
      <c r="I14" s="116">
        <f t="shared" si="12"/>
        <v>0</v>
      </c>
      <c r="J14" s="117"/>
      <c r="K14" s="118"/>
      <c r="L14" s="118"/>
      <c r="M14" s="118"/>
      <c r="N14" s="118"/>
      <c r="O14" s="118"/>
      <c r="P14" s="116">
        <f t="shared" si="13"/>
        <v>0</v>
      </c>
      <c r="Q14" s="119">
        <f t="shared" si="3"/>
        <v>0</v>
      </c>
      <c r="R14" s="120">
        <f t="shared" si="4"/>
        <v>0</v>
      </c>
      <c r="S14" s="121" t="str">
        <f t="shared" si="11"/>
        <v/>
      </c>
    </row>
    <row r="15">
      <c r="A15" s="142" t="str">
        <f>IFERROR(VLOOKUP(B15,'Статьи'!$A$2:C37,3,0)," ")</f>
        <v> </v>
      </c>
      <c r="B15" s="144"/>
      <c r="C15" s="145"/>
      <c r="D15" s="113"/>
      <c r="E15" s="114"/>
      <c r="F15" s="146"/>
      <c r="G15" s="146"/>
      <c r="H15" s="143"/>
      <c r="I15" s="116">
        <f t="shared" si="12"/>
        <v>0</v>
      </c>
      <c r="J15" s="117"/>
      <c r="K15" s="118"/>
      <c r="L15" s="118"/>
      <c r="M15" s="118"/>
      <c r="N15" s="118"/>
      <c r="O15" s="118"/>
      <c r="P15" s="116">
        <f t="shared" si="13"/>
        <v>0</v>
      </c>
      <c r="Q15" s="119">
        <f t="shared" si="3"/>
        <v>0</v>
      </c>
      <c r="R15" s="120">
        <f t="shared" si="4"/>
        <v>0</v>
      </c>
      <c r="S15" s="121" t="str">
        <f t="shared" si="11"/>
        <v/>
      </c>
    </row>
    <row r="16">
      <c r="A16" s="142" t="str">
        <f>IFERROR(VLOOKUP(B16,'Статьи'!$A$2:C38,3,0)," ")</f>
        <v> </v>
      </c>
      <c r="B16" s="144"/>
      <c r="C16" s="145"/>
      <c r="D16" s="113"/>
      <c r="E16" s="114"/>
      <c r="F16" s="146"/>
      <c r="G16" s="146"/>
      <c r="H16" s="143"/>
      <c r="I16" s="116">
        <f t="shared" si="12"/>
        <v>0</v>
      </c>
      <c r="J16" s="117"/>
      <c r="K16" s="118"/>
      <c r="L16" s="118"/>
      <c r="M16" s="118"/>
      <c r="N16" s="118"/>
      <c r="O16" s="118"/>
      <c r="P16" s="116">
        <f t="shared" si="13"/>
        <v>0</v>
      </c>
      <c r="Q16" s="119">
        <f t="shared" si="3"/>
        <v>0</v>
      </c>
      <c r="R16" s="120">
        <f t="shared" si="4"/>
        <v>0</v>
      </c>
      <c r="S16" s="121" t="str">
        <f t="shared" si="11"/>
        <v/>
      </c>
    </row>
    <row r="17" collapsed="1">
      <c r="A17" s="147" t="str">
        <f>IFERROR(VLOOKUP(B17,'Статьи'!$A$2:C39,3,0)," ")</f>
        <v> </v>
      </c>
      <c r="B17" s="144"/>
      <c r="C17" s="145"/>
      <c r="D17" s="114"/>
      <c r="E17" s="114"/>
      <c r="F17" s="146"/>
      <c r="G17" s="146"/>
      <c r="H17" s="143"/>
      <c r="I17" s="116">
        <f t="shared" si="12"/>
        <v>0</v>
      </c>
      <c r="J17" s="123"/>
      <c r="K17" s="118"/>
      <c r="L17" s="118"/>
      <c r="M17" s="118"/>
      <c r="N17" s="118"/>
      <c r="O17" s="118"/>
      <c r="P17" s="116">
        <f t="shared" ref="P17:P54" si="14">sum(F17:J17)</f>
        <v>0</v>
      </c>
      <c r="Q17" s="119">
        <f t="shared" si="3"/>
        <v>0</v>
      </c>
      <c r="R17" s="120">
        <f t="shared" si="4"/>
        <v>0</v>
      </c>
      <c r="S17" s="121" t="str">
        <f t="shared" si="11"/>
        <v/>
      </c>
    </row>
    <row r="18" hidden="1" outlineLevel="1">
      <c r="A18" s="147"/>
      <c r="B18" s="144"/>
      <c r="C18" s="145"/>
      <c r="D18" s="114"/>
      <c r="E18" s="114"/>
      <c r="F18" s="146"/>
      <c r="G18" s="146"/>
      <c r="H18" s="143"/>
      <c r="I18" s="116">
        <f t="shared" si="12"/>
        <v>0</v>
      </c>
      <c r="J18" s="123"/>
      <c r="K18" s="118"/>
      <c r="L18" s="118"/>
      <c r="M18" s="118"/>
      <c r="N18" s="118"/>
      <c r="O18" s="118"/>
      <c r="P18" s="116">
        <f t="shared" si="14"/>
        <v>0</v>
      </c>
      <c r="Q18" s="132">
        <f t="shared" si="3"/>
        <v>0</v>
      </c>
      <c r="R18" s="133">
        <f t="shared" si="4"/>
        <v>0</v>
      </c>
      <c r="S18" s="133">
        <f t="shared" ref="S18:S54" si="15">IF(Q18=0,0,IF(R18&gt;1,"перерасход","экономия"))</f>
        <v>0</v>
      </c>
    </row>
    <row r="19" hidden="1" outlineLevel="1">
      <c r="A19" s="147"/>
      <c r="B19" s="144"/>
      <c r="C19" s="148"/>
      <c r="D19" s="114"/>
      <c r="E19" s="114"/>
      <c r="F19" s="146"/>
      <c r="G19" s="146"/>
      <c r="H19" s="143"/>
      <c r="I19" s="116">
        <f t="shared" si="12"/>
        <v>0</v>
      </c>
      <c r="J19" s="123"/>
      <c r="K19" s="118"/>
      <c r="L19" s="118"/>
      <c r="M19" s="118"/>
      <c r="N19" s="118"/>
      <c r="O19" s="118"/>
      <c r="P19" s="116">
        <f t="shared" si="14"/>
        <v>0</v>
      </c>
      <c r="Q19" s="132">
        <f t="shared" si="3"/>
        <v>0</v>
      </c>
      <c r="R19" s="133">
        <f t="shared" si="4"/>
        <v>0</v>
      </c>
      <c r="S19" s="133">
        <f t="shared" si="15"/>
        <v>0</v>
      </c>
    </row>
    <row r="20" hidden="1" outlineLevel="1">
      <c r="A20" s="147"/>
      <c r="B20" s="144"/>
      <c r="C20" s="148"/>
      <c r="D20" s="114"/>
      <c r="E20" s="114"/>
      <c r="F20" s="146"/>
      <c r="G20" s="146"/>
      <c r="H20" s="143"/>
      <c r="I20" s="116">
        <f t="shared" si="12"/>
        <v>0</v>
      </c>
      <c r="J20" s="123"/>
      <c r="K20" s="118"/>
      <c r="L20" s="118"/>
      <c r="M20" s="118"/>
      <c r="N20" s="118"/>
      <c r="O20" s="118"/>
      <c r="P20" s="116">
        <f t="shared" si="14"/>
        <v>0</v>
      </c>
      <c r="Q20" s="132">
        <f t="shared" si="3"/>
        <v>0</v>
      </c>
      <c r="R20" s="133">
        <f t="shared" si="4"/>
        <v>0</v>
      </c>
      <c r="S20" s="133">
        <f t="shared" si="15"/>
        <v>0</v>
      </c>
    </row>
    <row r="21" hidden="1" outlineLevel="1">
      <c r="A21" s="147"/>
      <c r="B21" s="144"/>
      <c r="C21" s="148"/>
      <c r="D21" s="114"/>
      <c r="E21" s="114"/>
      <c r="F21" s="146"/>
      <c r="G21" s="146"/>
      <c r="H21" s="143"/>
      <c r="I21" s="116">
        <f t="shared" si="12"/>
        <v>0</v>
      </c>
      <c r="J21" s="123"/>
      <c r="K21" s="118"/>
      <c r="L21" s="118"/>
      <c r="M21" s="118"/>
      <c r="N21" s="118"/>
      <c r="O21" s="118"/>
      <c r="P21" s="116">
        <f t="shared" si="14"/>
        <v>0</v>
      </c>
      <c r="Q21" s="132">
        <f t="shared" si="3"/>
        <v>0</v>
      </c>
      <c r="R21" s="133">
        <f t="shared" si="4"/>
        <v>0</v>
      </c>
      <c r="S21" s="133">
        <f t="shared" si="15"/>
        <v>0</v>
      </c>
    </row>
    <row r="22" hidden="1" outlineLevel="1">
      <c r="A22" s="147"/>
      <c r="B22" s="144"/>
      <c r="C22" s="145"/>
      <c r="D22" s="114"/>
      <c r="E22" s="114"/>
      <c r="F22" s="146"/>
      <c r="G22" s="146"/>
      <c r="H22" s="149"/>
      <c r="I22" s="116">
        <f t="shared" si="12"/>
        <v>0</v>
      </c>
      <c r="J22" s="123"/>
      <c r="K22" s="118"/>
      <c r="L22" s="118"/>
      <c r="M22" s="118"/>
      <c r="N22" s="118"/>
      <c r="O22" s="118"/>
      <c r="P22" s="116">
        <f t="shared" si="14"/>
        <v>0</v>
      </c>
      <c r="Q22" s="132">
        <f t="shared" si="3"/>
        <v>0</v>
      </c>
      <c r="R22" s="133">
        <f t="shared" si="4"/>
        <v>0</v>
      </c>
      <c r="S22" s="133">
        <f t="shared" si="15"/>
        <v>0</v>
      </c>
    </row>
    <row r="23" hidden="1" outlineLevel="1">
      <c r="A23" s="150"/>
      <c r="B23" s="151"/>
      <c r="C23" s="148"/>
      <c r="D23" s="114"/>
      <c r="E23" s="114"/>
      <c r="F23" s="146"/>
      <c r="G23" s="146"/>
      <c r="H23" s="143"/>
      <c r="I23" s="116">
        <f t="shared" si="12"/>
        <v>0</v>
      </c>
      <c r="J23" s="123"/>
      <c r="K23" s="118"/>
      <c r="L23" s="118"/>
      <c r="M23" s="118"/>
      <c r="N23" s="118"/>
      <c r="O23" s="118"/>
      <c r="P23" s="116">
        <f t="shared" si="14"/>
        <v>0</v>
      </c>
      <c r="Q23" s="132">
        <f t="shared" si="3"/>
        <v>0</v>
      </c>
      <c r="R23" s="133">
        <f t="shared" si="4"/>
        <v>0</v>
      </c>
      <c r="S23" s="133">
        <f t="shared" si="15"/>
        <v>0</v>
      </c>
    </row>
    <row r="24" hidden="1" outlineLevel="1">
      <c r="A24" s="142"/>
      <c r="B24" s="125"/>
      <c r="C24" s="148"/>
      <c r="D24" s="114"/>
      <c r="E24" s="114"/>
      <c r="F24" s="146"/>
      <c r="G24" s="146"/>
      <c r="H24" s="143"/>
      <c r="I24" s="116">
        <f t="shared" si="12"/>
        <v>0</v>
      </c>
      <c r="J24" s="123"/>
      <c r="K24" s="118"/>
      <c r="L24" s="118"/>
      <c r="M24" s="118"/>
      <c r="N24" s="118"/>
      <c r="O24" s="118"/>
      <c r="P24" s="116">
        <f t="shared" si="14"/>
        <v>0</v>
      </c>
      <c r="Q24" s="132">
        <f t="shared" si="3"/>
        <v>0</v>
      </c>
      <c r="R24" s="133">
        <f t="shared" si="4"/>
        <v>0</v>
      </c>
      <c r="S24" s="133">
        <f t="shared" si="15"/>
        <v>0</v>
      </c>
    </row>
    <row r="25" hidden="1" outlineLevel="1">
      <c r="A25" s="142"/>
      <c r="B25" s="125"/>
      <c r="C25" s="123"/>
      <c r="D25" s="114"/>
      <c r="E25" s="114"/>
      <c r="F25" s="114"/>
      <c r="G25" s="114"/>
      <c r="H25" s="143"/>
      <c r="I25" s="116">
        <f t="shared" si="12"/>
        <v>0</v>
      </c>
      <c r="J25" s="123"/>
      <c r="K25" s="118"/>
      <c r="L25" s="118"/>
      <c r="M25" s="118"/>
      <c r="N25" s="118"/>
      <c r="O25" s="118"/>
      <c r="P25" s="116">
        <f t="shared" si="14"/>
        <v>0</v>
      </c>
      <c r="Q25" s="132">
        <f t="shared" si="3"/>
        <v>0</v>
      </c>
      <c r="R25" s="133">
        <f t="shared" si="4"/>
        <v>0</v>
      </c>
      <c r="S25" s="133">
        <f t="shared" si="15"/>
        <v>0</v>
      </c>
    </row>
    <row r="26" hidden="1" outlineLevel="1">
      <c r="A26" s="142"/>
      <c r="B26" s="125"/>
      <c r="C26" s="123"/>
      <c r="D26" s="114"/>
      <c r="E26" s="114"/>
      <c r="F26" s="114"/>
      <c r="G26" s="114"/>
      <c r="H26" s="143"/>
      <c r="I26" s="116">
        <f t="shared" si="12"/>
        <v>0</v>
      </c>
      <c r="J26" s="123"/>
      <c r="K26" s="118"/>
      <c r="L26" s="118"/>
      <c r="M26" s="118"/>
      <c r="N26" s="118"/>
      <c r="O26" s="118"/>
      <c r="P26" s="116">
        <f t="shared" si="14"/>
        <v>0</v>
      </c>
      <c r="Q26" s="132">
        <f t="shared" si="3"/>
        <v>0</v>
      </c>
      <c r="R26" s="133">
        <f t="shared" si="4"/>
        <v>0</v>
      </c>
      <c r="S26" s="133">
        <f t="shared" si="15"/>
        <v>0</v>
      </c>
    </row>
    <row r="27" hidden="1" outlineLevel="1">
      <c r="A27" s="142"/>
      <c r="B27" s="125"/>
      <c r="C27" s="123"/>
      <c r="D27" s="114"/>
      <c r="E27" s="114"/>
      <c r="F27" s="114"/>
      <c r="G27" s="114"/>
      <c r="H27" s="143"/>
      <c r="I27" s="116">
        <f t="shared" si="12"/>
        <v>0</v>
      </c>
      <c r="J27" s="123"/>
      <c r="K27" s="118"/>
      <c r="L27" s="118"/>
      <c r="M27" s="118"/>
      <c r="N27" s="118"/>
      <c r="O27" s="118"/>
      <c r="P27" s="116">
        <f t="shared" si="14"/>
        <v>0</v>
      </c>
      <c r="Q27" s="132">
        <f t="shared" si="3"/>
        <v>0</v>
      </c>
      <c r="R27" s="133">
        <f t="shared" si="4"/>
        <v>0</v>
      </c>
      <c r="S27" s="133">
        <f t="shared" si="15"/>
        <v>0</v>
      </c>
    </row>
    <row r="28" hidden="1" outlineLevel="1">
      <c r="A28" s="142"/>
      <c r="B28" s="125"/>
      <c r="C28" s="123"/>
      <c r="D28" s="114"/>
      <c r="E28" s="114"/>
      <c r="F28" s="114"/>
      <c r="G28" s="114"/>
      <c r="H28" s="143"/>
      <c r="I28" s="116">
        <f t="shared" si="12"/>
        <v>0</v>
      </c>
      <c r="J28" s="123"/>
      <c r="K28" s="118"/>
      <c r="L28" s="118"/>
      <c r="M28" s="118"/>
      <c r="N28" s="118"/>
      <c r="O28" s="118"/>
      <c r="P28" s="116">
        <f t="shared" si="14"/>
        <v>0</v>
      </c>
      <c r="Q28" s="132">
        <f t="shared" si="3"/>
        <v>0</v>
      </c>
      <c r="R28" s="133">
        <f t="shared" si="4"/>
        <v>0</v>
      </c>
      <c r="S28" s="133">
        <f t="shared" si="15"/>
        <v>0</v>
      </c>
    </row>
    <row r="29" hidden="1" outlineLevel="1">
      <c r="A29" s="142"/>
      <c r="B29" s="125"/>
      <c r="C29" s="123"/>
      <c r="D29" s="114"/>
      <c r="E29" s="114"/>
      <c r="F29" s="114"/>
      <c r="G29" s="114"/>
      <c r="H29" s="143"/>
      <c r="I29" s="116">
        <f t="shared" si="12"/>
        <v>0</v>
      </c>
      <c r="J29" s="123"/>
      <c r="K29" s="118"/>
      <c r="L29" s="118"/>
      <c r="M29" s="118"/>
      <c r="N29" s="118"/>
      <c r="O29" s="118"/>
      <c r="P29" s="116">
        <f t="shared" si="14"/>
        <v>0</v>
      </c>
      <c r="Q29" s="132">
        <f t="shared" si="3"/>
        <v>0</v>
      </c>
      <c r="R29" s="133">
        <f t="shared" si="4"/>
        <v>0</v>
      </c>
      <c r="S29" s="133">
        <f t="shared" si="15"/>
        <v>0</v>
      </c>
    </row>
    <row r="30" hidden="1" outlineLevel="1">
      <c r="A30" s="142"/>
      <c r="B30" s="125"/>
      <c r="C30" s="123"/>
      <c r="D30" s="114"/>
      <c r="E30" s="114"/>
      <c r="F30" s="114"/>
      <c r="G30" s="114"/>
      <c r="H30" s="143"/>
      <c r="I30" s="116">
        <f t="shared" si="12"/>
        <v>0</v>
      </c>
      <c r="J30" s="123"/>
      <c r="K30" s="118"/>
      <c r="L30" s="118"/>
      <c r="M30" s="118"/>
      <c r="N30" s="118"/>
      <c r="O30" s="118"/>
      <c r="P30" s="116">
        <f t="shared" si="14"/>
        <v>0</v>
      </c>
      <c r="Q30" s="132">
        <f t="shared" si="3"/>
        <v>0</v>
      </c>
      <c r="R30" s="133">
        <f t="shared" si="4"/>
        <v>0</v>
      </c>
      <c r="S30" s="133">
        <f t="shared" si="15"/>
        <v>0</v>
      </c>
    </row>
    <row r="31" hidden="1" outlineLevel="1">
      <c r="A31" s="142"/>
      <c r="B31" s="125"/>
      <c r="C31" s="123"/>
      <c r="D31" s="114"/>
      <c r="E31" s="114"/>
      <c r="F31" s="114"/>
      <c r="G31" s="114"/>
      <c r="H31" s="143"/>
      <c r="I31" s="116">
        <f t="shared" si="12"/>
        <v>0</v>
      </c>
      <c r="J31" s="123"/>
      <c r="K31" s="118"/>
      <c r="L31" s="118"/>
      <c r="M31" s="118"/>
      <c r="N31" s="118"/>
      <c r="O31" s="118"/>
      <c r="P31" s="116">
        <f t="shared" si="14"/>
        <v>0</v>
      </c>
      <c r="Q31" s="132">
        <f t="shared" si="3"/>
        <v>0</v>
      </c>
      <c r="R31" s="133">
        <f t="shared" si="4"/>
        <v>0</v>
      </c>
      <c r="S31" s="133">
        <f t="shared" si="15"/>
        <v>0</v>
      </c>
    </row>
    <row r="32" hidden="1" outlineLevel="1">
      <c r="A32" s="142"/>
      <c r="B32" s="125"/>
      <c r="C32" s="123"/>
      <c r="D32" s="114"/>
      <c r="E32" s="114"/>
      <c r="F32" s="114"/>
      <c r="G32" s="114"/>
      <c r="H32" s="143"/>
      <c r="I32" s="116">
        <f t="shared" si="12"/>
        <v>0</v>
      </c>
      <c r="J32" s="123"/>
      <c r="K32" s="118"/>
      <c r="L32" s="118"/>
      <c r="M32" s="118"/>
      <c r="N32" s="118"/>
      <c r="O32" s="118"/>
      <c r="P32" s="116">
        <f t="shared" si="14"/>
        <v>0</v>
      </c>
      <c r="Q32" s="132">
        <f t="shared" si="3"/>
        <v>0</v>
      </c>
      <c r="R32" s="133">
        <f t="shared" si="4"/>
        <v>0</v>
      </c>
      <c r="S32" s="133">
        <f t="shared" si="15"/>
        <v>0</v>
      </c>
    </row>
    <row r="33" hidden="1" outlineLevel="1">
      <c r="A33" s="142"/>
      <c r="B33" s="125"/>
      <c r="C33" s="123"/>
      <c r="D33" s="114"/>
      <c r="E33" s="114"/>
      <c r="F33" s="114"/>
      <c r="G33" s="114"/>
      <c r="H33" s="143"/>
      <c r="I33" s="116">
        <f t="shared" si="12"/>
        <v>0</v>
      </c>
      <c r="J33" s="123"/>
      <c r="K33" s="118"/>
      <c r="L33" s="118"/>
      <c r="M33" s="118"/>
      <c r="N33" s="118"/>
      <c r="O33" s="118"/>
      <c r="P33" s="116">
        <f t="shared" si="14"/>
        <v>0</v>
      </c>
      <c r="Q33" s="132">
        <f t="shared" si="3"/>
        <v>0</v>
      </c>
      <c r="R33" s="133">
        <f t="shared" si="4"/>
        <v>0</v>
      </c>
      <c r="S33" s="133">
        <f t="shared" si="15"/>
        <v>0</v>
      </c>
    </row>
    <row r="34" hidden="1" outlineLevel="1">
      <c r="A34" s="142"/>
      <c r="B34" s="125"/>
      <c r="C34" s="123"/>
      <c r="D34" s="114"/>
      <c r="E34" s="114"/>
      <c r="F34" s="114"/>
      <c r="G34" s="114"/>
      <c r="H34" s="143"/>
      <c r="I34" s="116">
        <f t="shared" si="12"/>
        <v>0</v>
      </c>
      <c r="J34" s="123"/>
      <c r="K34" s="118"/>
      <c r="L34" s="118"/>
      <c r="M34" s="118"/>
      <c r="N34" s="118"/>
      <c r="O34" s="118"/>
      <c r="P34" s="116">
        <f t="shared" si="14"/>
        <v>0</v>
      </c>
      <c r="Q34" s="132">
        <f t="shared" si="3"/>
        <v>0</v>
      </c>
      <c r="R34" s="133">
        <f t="shared" si="4"/>
        <v>0</v>
      </c>
      <c r="S34" s="133">
        <f t="shared" si="15"/>
        <v>0</v>
      </c>
    </row>
    <row r="35" hidden="1" outlineLevel="1">
      <c r="A35" s="142"/>
      <c r="B35" s="125"/>
      <c r="C35" s="123"/>
      <c r="D35" s="114"/>
      <c r="E35" s="114"/>
      <c r="F35" s="114"/>
      <c r="G35" s="114"/>
      <c r="H35" s="143"/>
      <c r="I35" s="116">
        <f t="shared" si="12"/>
        <v>0</v>
      </c>
      <c r="J35" s="123"/>
      <c r="K35" s="118"/>
      <c r="L35" s="118"/>
      <c r="M35" s="118"/>
      <c r="N35" s="118"/>
      <c r="O35" s="118"/>
      <c r="P35" s="116">
        <f t="shared" si="14"/>
        <v>0</v>
      </c>
      <c r="Q35" s="132">
        <f t="shared" si="3"/>
        <v>0</v>
      </c>
      <c r="R35" s="133">
        <f t="shared" si="4"/>
        <v>0</v>
      </c>
      <c r="S35" s="133">
        <f t="shared" si="15"/>
        <v>0</v>
      </c>
    </row>
    <row r="36" hidden="1" outlineLevel="1">
      <c r="A36" s="142"/>
      <c r="B36" s="125"/>
      <c r="C36" s="123"/>
      <c r="D36" s="114"/>
      <c r="E36" s="114"/>
      <c r="F36" s="114"/>
      <c r="G36" s="114"/>
      <c r="H36" s="143"/>
      <c r="I36" s="116">
        <f t="shared" si="12"/>
        <v>0</v>
      </c>
      <c r="J36" s="123"/>
      <c r="K36" s="118"/>
      <c r="L36" s="118"/>
      <c r="M36" s="118"/>
      <c r="N36" s="118"/>
      <c r="O36" s="118"/>
      <c r="P36" s="116">
        <f t="shared" si="14"/>
        <v>0</v>
      </c>
      <c r="Q36" s="132">
        <f t="shared" si="3"/>
        <v>0</v>
      </c>
      <c r="R36" s="133">
        <f t="shared" si="4"/>
        <v>0</v>
      </c>
      <c r="S36" s="133">
        <f t="shared" si="15"/>
        <v>0</v>
      </c>
    </row>
    <row r="37" hidden="1" outlineLevel="1">
      <c r="A37" s="142"/>
      <c r="B37" s="125"/>
      <c r="C37" s="123"/>
      <c r="D37" s="114"/>
      <c r="E37" s="114"/>
      <c r="F37" s="114"/>
      <c r="G37" s="114"/>
      <c r="H37" s="143"/>
      <c r="I37" s="116">
        <f t="shared" si="12"/>
        <v>0</v>
      </c>
      <c r="J37" s="123"/>
      <c r="K37" s="118"/>
      <c r="L37" s="118"/>
      <c r="M37" s="118"/>
      <c r="N37" s="118"/>
      <c r="O37" s="118"/>
      <c r="P37" s="116">
        <f t="shared" si="14"/>
        <v>0</v>
      </c>
      <c r="Q37" s="132">
        <f t="shared" si="3"/>
        <v>0</v>
      </c>
      <c r="R37" s="133">
        <f t="shared" si="4"/>
        <v>0</v>
      </c>
      <c r="S37" s="133">
        <f t="shared" si="15"/>
        <v>0</v>
      </c>
    </row>
    <row r="38" hidden="1" outlineLevel="1">
      <c r="A38" s="142"/>
      <c r="B38" s="125"/>
      <c r="C38" s="123"/>
      <c r="D38" s="114"/>
      <c r="E38" s="114"/>
      <c r="F38" s="114"/>
      <c r="G38" s="114"/>
      <c r="H38" s="143"/>
      <c r="I38" s="116">
        <f t="shared" si="12"/>
        <v>0</v>
      </c>
      <c r="J38" s="123"/>
      <c r="K38" s="118"/>
      <c r="L38" s="118"/>
      <c r="M38" s="118"/>
      <c r="N38" s="118"/>
      <c r="O38" s="118"/>
      <c r="P38" s="116">
        <f t="shared" si="14"/>
        <v>0</v>
      </c>
      <c r="Q38" s="132">
        <f t="shared" si="3"/>
        <v>0</v>
      </c>
      <c r="R38" s="133">
        <f t="shared" si="4"/>
        <v>0</v>
      </c>
      <c r="S38" s="133">
        <f t="shared" si="15"/>
        <v>0</v>
      </c>
    </row>
    <row r="39" hidden="1" outlineLevel="1">
      <c r="A39" s="142"/>
      <c r="B39" s="125"/>
      <c r="C39" s="123"/>
      <c r="D39" s="114"/>
      <c r="E39" s="114"/>
      <c r="F39" s="114"/>
      <c r="G39" s="114"/>
      <c r="H39" s="143"/>
      <c r="I39" s="116">
        <f t="shared" si="12"/>
        <v>0</v>
      </c>
      <c r="J39" s="123"/>
      <c r="K39" s="118"/>
      <c r="L39" s="118"/>
      <c r="M39" s="118"/>
      <c r="N39" s="118"/>
      <c r="O39" s="118"/>
      <c r="P39" s="116">
        <f t="shared" si="14"/>
        <v>0</v>
      </c>
      <c r="Q39" s="132">
        <f t="shared" si="3"/>
        <v>0</v>
      </c>
      <c r="R39" s="133">
        <f t="shared" si="4"/>
        <v>0</v>
      </c>
      <c r="S39" s="133">
        <f t="shared" si="15"/>
        <v>0</v>
      </c>
    </row>
    <row r="40" hidden="1" outlineLevel="1">
      <c r="A40" s="142"/>
      <c r="B40" s="125"/>
      <c r="C40" s="123"/>
      <c r="D40" s="114"/>
      <c r="E40" s="114"/>
      <c r="F40" s="114"/>
      <c r="G40" s="114"/>
      <c r="H40" s="143"/>
      <c r="I40" s="116">
        <f t="shared" si="12"/>
        <v>0</v>
      </c>
      <c r="J40" s="123"/>
      <c r="K40" s="118"/>
      <c r="L40" s="118"/>
      <c r="M40" s="118"/>
      <c r="N40" s="118"/>
      <c r="O40" s="118"/>
      <c r="P40" s="116">
        <f t="shared" si="14"/>
        <v>0</v>
      </c>
      <c r="Q40" s="132">
        <f t="shared" si="3"/>
        <v>0</v>
      </c>
      <c r="R40" s="133">
        <f t="shared" si="4"/>
        <v>0</v>
      </c>
      <c r="S40" s="133">
        <f t="shared" si="15"/>
        <v>0</v>
      </c>
    </row>
    <row r="41" hidden="1" outlineLevel="1">
      <c r="A41" s="142"/>
      <c r="B41" s="125"/>
      <c r="C41" s="123"/>
      <c r="D41" s="114"/>
      <c r="E41" s="114"/>
      <c r="F41" s="114"/>
      <c r="G41" s="114"/>
      <c r="H41" s="143"/>
      <c r="I41" s="116">
        <f t="shared" si="12"/>
        <v>0</v>
      </c>
      <c r="J41" s="123"/>
      <c r="K41" s="118"/>
      <c r="L41" s="118"/>
      <c r="M41" s="118"/>
      <c r="N41" s="118"/>
      <c r="O41" s="118"/>
      <c r="P41" s="116">
        <f t="shared" si="14"/>
        <v>0</v>
      </c>
      <c r="Q41" s="132">
        <f t="shared" si="3"/>
        <v>0</v>
      </c>
      <c r="R41" s="133">
        <f t="shared" si="4"/>
        <v>0</v>
      </c>
      <c r="S41" s="133">
        <f t="shared" si="15"/>
        <v>0</v>
      </c>
    </row>
    <row r="42" hidden="1" outlineLevel="1">
      <c r="A42" s="142"/>
      <c r="B42" s="125"/>
      <c r="C42" s="123"/>
      <c r="D42" s="114"/>
      <c r="E42" s="114"/>
      <c r="F42" s="114"/>
      <c r="G42" s="114"/>
      <c r="H42" s="143"/>
      <c r="I42" s="116">
        <f t="shared" si="12"/>
        <v>0</v>
      </c>
      <c r="J42" s="123"/>
      <c r="K42" s="118"/>
      <c r="L42" s="118"/>
      <c r="M42" s="118"/>
      <c r="N42" s="118"/>
      <c r="O42" s="118"/>
      <c r="P42" s="116">
        <f t="shared" si="14"/>
        <v>0</v>
      </c>
      <c r="Q42" s="132">
        <f t="shared" si="3"/>
        <v>0</v>
      </c>
      <c r="R42" s="133">
        <f t="shared" si="4"/>
        <v>0</v>
      </c>
      <c r="S42" s="133">
        <f t="shared" si="15"/>
        <v>0</v>
      </c>
    </row>
    <row r="43" hidden="1" outlineLevel="1">
      <c r="A43" s="142"/>
      <c r="B43" s="125"/>
      <c r="C43" s="123"/>
      <c r="D43" s="114"/>
      <c r="E43" s="114"/>
      <c r="F43" s="114"/>
      <c r="G43" s="114"/>
      <c r="H43" s="143"/>
      <c r="I43" s="116">
        <f t="shared" si="12"/>
        <v>0</v>
      </c>
      <c r="J43" s="123"/>
      <c r="K43" s="118"/>
      <c r="L43" s="118"/>
      <c r="M43" s="118"/>
      <c r="N43" s="118"/>
      <c r="O43" s="118"/>
      <c r="P43" s="116">
        <f t="shared" si="14"/>
        <v>0</v>
      </c>
      <c r="Q43" s="132">
        <f t="shared" si="3"/>
        <v>0</v>
      </c>
      <c r="R43" s="133">
        <f t="shared" si="4"/>
        <v>0</v>
      </c>
      <c r="S43" s="133">
        <f t="shared" si="15"/>
        <v>0</v>
      </c>
    </row>
    <row r="44" hidden="1" outlineLevel="1">
      <c r="A44" s="142"/>
      <c r="B44" s="125"/>
      <c r="C44" s="123"/>
      <c r="D44" s="114"/>
      <c r="E44" s="114"/>
      <c r="F44" s="114"/>
      <c r="G44" s="114"/>
      <c r="H44" s="143"/>
      <c r="I44" s="116">
        <f t="shared" si="12"/>
        <v>0</v>
      </c>
      <c r="J44" s="123"/>
      <c r="K44" s="118"/>
      <c r="L44" s="118"/>
      <c r="M44" s="118"/>
      <c r="N44" s="118"/>
      <c r="O44" s="118"/>
      <c r="P44" s="116">
        <f t="shared" si="14"/>
        <v>0</v>
      </c>
      <c r="Q44" s="132">
        <f t="shared" si="3"/>
        <v>0</v>
      </c>
      <c r="R44" s="133">
        <f t="shared" si="4"/>
        <v>0</v>
      </c>
      <c r="S44" s="133">
        <f t="shared" si="15"/>
        <v>0</v>
      </c>
    </row>
    <row r="45" hidden="1" outlineLevel="1">
      <c r="A45" s="142"/>
      <c r="B45" s="125"/>
      <c r="C45" s="123"/>
      <c r="D45" s="114"/>
      <c r="E45" s="114"/>
      <c r="F45" s="114"/>
      <c r="G45" s="114"/>
      <c r="H45" s="143"/>
      <c r="I45" s="116">
        <f t="shared" si="12"/>
        <v>0</v>
      </c>
      <c r="J45" s="123"/>
      <c r="K45" s="118"/>
      <c r="L45" s="118"/>
      <c r="M45" s="118"/>
      <c r="N45" s="118"/>
      <c r="O45" s="118"/>
      <c r="P45" s="116">
        <f t="shared" si="14"/>
        <v>0</v>
      </c>
      <c r="Q45" s="132">
        <f t="shared" si="3"/>
        <v>0</v>
      </c>
      <c r="R45" s="133">
        <f t="shared" si="4"/>
        <v>0</v>
      </c>
      <c r="S45" s="133">
        <f t="shared" si="15"/>
        <v>0</v>
      </c>
    </row>
    <row r="46" hidden="1" outlineLevel="1">
      <c r="A46" s="142"/>
      <c r="B46" s="125"/>
      <c r="C46" s="123"/>
      <c r="D46" s="114"/>
      <c r="E46" s="114"/>
      <c r="F46" s="114"/>
      <c r="G46" s="114"/>
      <c r="H46" s="143"/>
      <c r="I46" s="116">
        <f t="shared" si="12"/>
        <v>0</v>
      </c>
      <c r="J46" s="123"/>
      <c r="K46" s="118"/>
      <c r="L46" s="118"/>
      <c r="M46" s="118"/>
      <c r="N46" s="118"/>
      <c r="O46" s="118"/>
      <c r="P46" s="116">
        <f t="shared" si="14"/>
        <v>0</v>
      </c>
      <c r="Q46" s="132">
        <f t="shared" si="3"/>
        <v>0</v>
      </c>
      <c r="R46" s="133">
        <f t="shared" si="4"/>
        <v>0</v>
      </c>
      <c r="S46" s="133">
        <f t="shared" si="15"/>
        <v>0</v>
      </c>
    </row>
    <row r="47" hidden="1" outlineLevel="1">
      <c r="A47" s="142"/>
      <c r="B47" s="125"/>
      <c r="C47" s="123"/>
      <c r="D47" s="114"/>
      <c r="E47" s="114"/>
      <c r="F47" s="114"/>
      <c r="G47" s="114"/>
      <c r="H47" s="143"/>
      <c r="I47" s="116">
        <f t="shared" si="12"/>
        <v>0</v>
      </c>
      <c r="J47" s="123"/>
      <c r="K47" s="118"/>
      <c r="L47" s="118"/>
      <c r="M47" s="118"/>
      <c r="N47" s="118"/>
      <c r="O47" s="118"/>
      <c r="P47" s="116">
        <f t="shared" si="14"/>
        <v>0</v>
      </c>
      <c r="Q47" s="132">
        <f t="shared" si="3"/>
        <v>0</v>
      </c>
      <c r="R47" s="133">
        <f t="shared" si="4"/>
        <v>0</v>
      </c>
      <c r="S47" s="133">
        <f t="shared" si="15"/>
        <v>0</v>
      </c>
    </row>
    <row r="48" hidden="1" outlineLevel="1">
      <c r="A48" s="142"/>
      <c r="B48" s="125"/>
      <c r="C48" s="123"/>
      <c r="D48" s="114"/>
      <c r="E48" s="114"/>
      <c r="F48" s="114"/>
      <c r="G48" s="114"/>
      <c r="H48" s="143"/>
      <c r="I48" s="116">
        <f t="shared" si="12"/>
        <v>0</v>
      </c>
      <c r="J48" s="123"/>
      <c r="K48" s="118"/>
      <c r="L48" s="118"/>
      <c r="M48" s="118"/>
      <c r="N48" s="118"/>
      <c r="O48" s="118"/>
      <c r="P48" s="116">
        <f t="shared" si="14"/>
        <v>0</v>
      </c>
      <c r="Q48" s="132">
        <f t="shared" si="3"/>
        <v>0</v>
      </c>
      <c r="R48" s="133">
        <f t="shared" si="4"/>
        <v>0</v>
      </c>
      <c r="S48" s="133">
        <f t="shared" si="15"/>
        <v>0</v>
      </c>
    </row>
    <row r="49" hidden="1" outlineLevel="1">
      <c r="A49" s="142"/>
      <c r="B49" s="125"/>
      <c r="C49" s="123"/>
      <c r="D49" s="143"/>
      <c r="E49" s="114"/>
      <c r="F49" s="114"/>
      <c r="G49" s="114"/>
      <c r="H49" s="143"/>
      <c r="I49" s="116">
        <f t="shared" si="12"/>
        <v>0</v>
      </c>
      <c r="J49" s="123"/>
      <c r="K49" s="118"/>
      <c r="L49" s="118"/>
      <c r="M49" s="118"/>
      <c r="N49" s="118"/>
      <c r="O49" s="118"/>
      <c r="P49" s="116">
        <f t="shared" si="14"/>
        <v>0</v>
      </c>
      <c r="Q49" s="132">
        <f t="shared" si="3"/>
        <v>0</v>
      </c>
      <c r="R49" s="133">
        <f t="shared" si="4"/>
        <v>0</v>
      </c>
      <c r="S49" s="133">
        <f t="shared" si="15"/>
        <v>0</v>
      </c>
    </row>
    <row r="50" hidden="1" outlineLevel="1">
      <c r="A50" s="142"/>
      <c r="B50" s="125"/>
      <c r="C50" s="123"/>
      <c r="D50" s="114"/>
      <c r="E50" s="114"/>
      <c r="F50" s="114"/>
      <c r="G50" s="114"/>
      <c r="H50" s="143"/>
      <c r="I50" s="116">
        <f t="shared" si="12"/>
        <v>0</v>
      </c>
      <c r="J50" s="123"/>
      <c r="K50" s="118"/>
      <c r="L50" s="118"/>
      <c r="M50" s="118"/>
      <c r="N50" s="118"/>
      <c r="O50" s="118"/>
      <c r="P50" s="116">
        <f t="shared" si="14"/>
        <v>0</v>
      </c>
      <c r="Q50" s="132">
        <f t="shared" si="3"/>
        <v>0</v>
      </c>
      <c r="R50" s="133">
        <f t="shared" si="4"/>
        <v>0</v>
      </c>
      <c r="S50" s="133">
        <f t="shared" si="15"/>
        <v>0</v>
      </c>
    </row>
    <row r="51" hidden="1" outlineLevel="1">
      <c r="A51" s="142"/>
      <c r="B51" s="125"/>
      <c r="C51" s="123"/>
      <c r="D51" s="114"/>
      <c r="E51" s="114"/>
      <c r="F51" s="114"/>
      <c r="G51" s="114"/>
      <c r="H51" s="143"/>
      <c r="I51" s="116">
        <f t="shared" si="12"/>
        <v>0</v>
      </c>
      <c r="J51" s="123"/>
      <c r="K51" s="118"/>
      <c r="L51" s="118"/>
      <c r="M51" s="118"/>
      <c r="N51" s="118"/>
      <c r="O51" s="118"/>
      <c r="P51" s="116">
        <f t="shared" si="14"/>
        <v>0</v>
      </c>
      <c r="Q51" s="132">
        <f t="shared" si="3"/>
        <v>0</v>
      </c>
      <c r="R51" s="133">
        <f t="shared" si="4"/>
        <v>0</v>
      </c>
      <c r="S51" s="133">
        <f t="shared" si="15"/>
        <v>0</v>
      </c>
    </row>
    <row r="52" hidden="1" outlineLevel="1">
      <c r="A52" s="142"/>
      <c r="B52" s="125"/>
      <c r="C52" s="123"/>
      <c r="D52" s="114"/>
      <c r="E52" s="114"/>
      <c r="F52" s="114"/>
      <c r="G52" s="114"/>
      <c r="H52" s="149"/>
      <c r="I52" s="116">
        <f t="shared" si="12"/>
        <v>0</v>
      </c>
      <c r="J52" s="123"/>
      <c r="K52" s="118"/>
      <c r="L52" s="118"/>
      <c r="M52" s="118"/>
      <c r="N52" s="118"/>
      <c r="O52" s="118"/>
      <c r="P52" s="116">
        <f t="shared" si="14"/>
        <v>0</v>
      </c>
      <c r="Q52" s="132">
        <f t="shared" si="3"/>
        <v>0</v>
      </c>
      <c r="R52" s="133">
        <f t="shared" si="4"/>
        <v>0</v>
      </c>
      <c r="S52" s="133">
        <f t="shared" si="15"/>
        <v>0</v>
      </c>
    </row>
    <row r="53" hidden="1" outlineLevel="1">
      <c r="A53" s="142"/>
      <c r="B53" s="125"/>
      <c r="C53" s="123"/>
      <c r="D53" s="114"/>
      <c r="E53" s="114"/>
      <c r="F53" s="114"/>
      <c r="G53" s="114"/>
      <c r="H53" s="143"/>
      <c r="I53" s="116">
        <f t="shared" si="12"/>
        <v>0</v>
      </c>
      <c r="J53" s="123"/>
      <c r="K53" s="118"/>
      <c r="L53" s="118"/>
      <c r="M53" s="118"/>
      <c r="N53" s="118"/>
      <c r="O53" s="118"/>
      <c r="P53" s="116">
        <f t="shared" si="14"/>
        <v>0</v>
      </c>
      <c r="Q53" s="132">
        <f t="shared" si="3"/>
        <v>0</v>
      </c>
      <c r="R53" s="133">
        <f t="shared" si="4"/>
        <v>0</v>
      </c>
      <c r="S53" s="133">
        <f t="shared" si="15"/>
        <v>0</v>
      </c>
    </row>
    <row r="54" hidden="1" outlineLevel="1">
      <c r="A54" s="142"/>
      <c r="B54" s="125"/>
      <c r="C54" s="122"/>
      <c r="D54" s="114"/>
      <c r="E54" s="114"/>
      <c r="F54" s="114"/>
      <c r="G54" s="114"/>
      <c r="H54" s="143"/>
      <c r="I54" s="116">
        <f t="shared" si="12"/>
        <v>0</v>
      </c>
      <c r="J54" s="123"/>
      <c r="K54" s="118"/>
      <c r="L54" s="118"/>
      <c r="M54" s="118"/>
      <c r="N54" s="118"/>
      <c r="O54" s="118"/>
      <c r="P54" s="116">
        <f t="shared" si="14"/>
        <v>0</v>
      </c>
      <c r="Q54" s="132">
        <f t="shared" si="3"/>
        <v>0</v>
      </c>
      <c r="R54" s="133">
        <f t="shared" si="4"/>
        <v>0</v>
      </c>
      <c r="S54" s="133">
        <f t="shared" si="15"/>
        <v>0</v>
      </c>
    </row>
    <row r="55">
      <c r="A55" s="152"/>
      <c r="B55" s="153" t="s">
        <v>136</v>
      </c>
      <c r="C55" s="154">
        <f t="shared" ref="C55:K55" si="16">C3+C12</f>
        <v>5</v>
      </c>
      <c r="D55" s="155">
        <f t="shared" si="16"/>
        <v>0</v>
      </c>
      <c r="E55" s="155">
        <f t="shared" si="16"/>
        <v>0</v>
      </c>
      <c r="F55" s="155">
        <f t="shared" si="16"/>
        <v>0</v>
      </c>
      <c r="G55" s="155">
        <f t="shared" si="16"/>
        <v>0</v>
      </c>
      <c r="H55" s="156">
        <f t="shared" si="16"/>
        <v>0</v>
      </c>
      <c r="I55" s="157">
        <f t="shared" si="16"/>
        <v>5</v>
      </c>
      <c r="J55" s="154">
        <f t="shared" si="16"/>
        <v>0</v>
      </c>
      <c r="K55" s="155">
        <f t="shared" si="16"/>
        <v>0</v>
      </c>
      <c r="L55" s="155"/>
      <c r="M55" s="155"/>
      <c r="N55" s="155"/>
      <c r="O55" s="155"/>
      <c r="P55" s="157">
        <f>P3+P12</f>
        <v>0</v>
      </c>
      <c r="Q55" s="155">
        <f t="shared" si="3"/>
        <v>5</v>
      </c>
      <c r="R55" s="158">
        <f t="shared" si="4"/>
        <v>0</v>
      </c>
      <c r="S55" s="159" t="str">
        <f>IF(Q55=0,"",IF(R55&gt;1,"выполнение","план не выполнен"))</f>
        <v>план не выполнен</v>
      </c>
    </row>
    <row r="56">
      <c r="A56" s="160"/>
      <c r="B56" s="161" t="s">
        <v>137</v>
      </c>
      <c r="C56" s="162">
        <f t="shared" ref="C56:K56" si="17">IFERROR(C55/C$3,"")</f>
        <v>1</v>
      </c>
      <c r="D56" s="163" t="str">
        <f t="shared" si="17"/>
        <v/>
      </c>
      <c r="E56" s="163" t="str">
        <f t="shared" si="17"/>
        <v/>
      </c>
      <c r="F56" s="163" t="str">
        <f t="shared" si="17"/>
        <v/>
      </c>
      <c r="G56" s="163" t="str">
        <f t="shared" si="17"/>
        <v/>
      </c>
      <c r="H56" s="163" t="str">
        <f t="shared" si="17"/>
        <v/>
      </c>
      <c r="I56" s="164">
        <f t="shared" si="17"/>
        <v>1</v>
      </c>
      <c r="J56" s="163" t="str">
        <f t="shared" si="17"/>
        <v/>
      </c>
      <c r="K56" s="163" t="str">
        <f t="shared" si="17"/>
        <v/>
      </c>
      <c r="L56" s="163"/>
      <c r="M56" s="163"/>
      <c r="N56" s="163"/>
      <c r="O56" s="163"/>
      <c r="P56" s="164" t="str">
        <f>IFERROR(P55/P$3,"")</f>
        <v/>
      </c>
      <c r="Q56" s="121"/>
      <c r="R56" s="121"/>
      <c r="S56" s="121"/>
    </row>
    <row r="57">
      <c r="A57" s="142"/>
      <c r="B57" s="125"/>
      <c r="C57" s="122"/>
      <c r="D57" s="114"/>
      <c r="E57" s="114"/>
      <c r="F57" s="114"/>
      <c r="G57" s="114"/>
      <c r="H57" s="114"/>
      <c r="I57" s="116"/>
      <c r="J57" s="123"/>
      <c r="K57" s="118"/>
      <c r="L57" s="118"/>
      <c r="M57" s="118"/>
      <c r="N57" s="118"/>
      <c r="O57" s="118"/>
      <c r="P57" s="116"/>
      <c r="Q57" s="121"/>
      <c r="R57" s="121"/>
      <c r="S57" s="121"/>
    </row>
    <row r="58">
      <c r="A58" s="135"/>
      <c r="B58" s="136" t="s">
        <v>94</v>
      </c>
      <c r="C58" s="165">
        <f t="shared" ref="C58:H58" si="18">sum(C59:C79)</f>
        <v>0</v>
      </c>
      <c r="D58" s="166">
        <f t="shared" si="18"/>
        <v>0</v>
      </c>
      <c r="E58" s="166">
        <f t="shared" si="18"/>
        <v>0</v>
      </c>
      <c r="F58" s="166">
        <f t="shared" si="18"/>
        <v>0</v>
      </c>
      <c r="G58" s="166">
        <f t="shared" si="18"/>
        <v>0</v>
      </c>
      <c r="H58" s="166">
        <f t="shared" si="18"/>
        <v>0</v>
      </c>
      <c r="I58" s="167">
        <f t="shared" ref="I58:K58" si="19">SUM(I59:I84)</f>
        <v>0</v>
      </c>
      <c r="J58" s="165">
        <f t="shared" si="19"/>
        <v>0</v>
      </c>
      <c r="K58" s="166">
        <f t="shared" si="19"/>
        <v>0</v>
      </c>
      <c r="L58" s="166"/>
      <c r="M58" s="166"/>
      <c r="N58" s="166"/>
      <c r="O58" s="166"/>
      <c r="P58" s="168">
        <f>SUM(P59:P84)</f>
        <v>0</v>
      </c>
      <c r="Q58" s="166">
        <f t="shared" ref="Q58:Q85" si="20">I58-P58</f>
        <v>0</v>
      </c>
      <c r="R58" s="169">
        <f t="shared" ref="R58:R85" si="21">IFERROR(I58/P58,0)</f>
        <v>0</v>
      </c>
      <c r="S58" s="141" t="str">
        <f>IF(Q58=0,"",IF(R58&gt;1,"план не выполнен","выполнение"))</f>
        <v/>
      </c>
    </row>
    <row r="59">
      <c r="A59" s="142" t="str">
        <f>IFERROR(VLOOKUP(B59,'Статьи'!$A$2:C81,3,0)," ")</f>
        <v>1С</v>
      </c>
      <c r="B59" s="125" t="str">
        <f>IFERROR(__xludf.DUMMYFUNCTION("iferror(filter('Статьи'!$A$1:$A177,'Статьи'!$B$1:$B177=$B$58))"),"Зарплата производственного персонала")</f>
        <v>Зарплата производственного персонала</v>
      </c>
      <c r="C59" s="170"/>
      <c r="D59" s="149"/>
      <c r="E59" s="143"/>
      <c r="F59" s="143"/>
      <c r="G59" s="143"/>
      <c r="H59" s="143"/>
      <c r="I59" s="116">
        <f t="shared" ref="I59:I84" si="22">SUM(C59:H59)</f>
        <v>0</v>
      </c>
      <c r="J59" s="117"/>
      <c r="K59" s="118"/>
      <c r="L59" s="118"/>
      <c r="M59" s="118"/>
      <c r="N59" s="118"/>
      <c r="O59" s="118"/>
      <c r="P59" s="116">
        <f t="shared" ref="P59:P84" si="23">SUM(J59:K59)</f>
        <v>0</v>
      </c>
      <c r="Q59" s="119">
        <f t="shared" si="20"/>
        <v>0</v>
      </c>
      <c r="R59" s="120">
        <f t="shared" si="21"/>
        <v>0</v>
      </c>
      <c r="S59" s="121" t="str">
        <f t="shared" ref="S59:S84" si="24">IF(Q59=0,"",IF(R59=0,"обратить внимание",IF(R59&gt;1,"перерасход","экономия")))</f>
        <v/>
      </c>
    </row>
    <row r="60">
      <c r="A60" s="142" t="str">
        <f>IFERROR(VLOOKUP(B60,'Статьи'!$A$2:C82,3,0)," ")</f>
        <v>ДДС отчетного месяца. Без НДС!</v>
      </c>
      <c r="B60" s="125" t="str">
        <f>IFERROR(__xludf.DUMMYFUNCTION("""COMPUTED_VALUE"""),"Таможенные расходы")</f>
        <v>Таможенные расходы</v>
      </c>
      <c r="C60" s="171"/>
      <c r="D60" s="149"/>
      <c r="E60" s="143"/>
      <c r="F60" s="143"/>
      <c r="G60" s="143"/>
      <c r="H60" s="149"/>
      <c r="I60" s="116">
        <f t="shared" si="22"/>
        <v>0</v>
      </c>
      <c r="J60" s="117"/>
      <c r="K60" s="118"/>
      <c r="L60" s="118"/>
      <c r="M60" s="118"/>
      <c r="N60" s="118"/>
      <c r="O60" s="118"/>
      <c r="P60" s="116">
        <f t="shared" si="23"/>
        <v>0</v>
      </c>
      <c r="Q60" s="119">
        <f t="shared" si="20"/>
        <v>0</v>
      </c>
      <c r="R60" s="120">
        <f t="shared" si="21"/>
        <v>0</v>
      </c>
      <c r="S60" s="121" t="str">
        <f t="shared" si="24"/>
        <v/>
      </c>
    </row>
    <row r="61">
      <c r="A61" s="142" t="str">
        <f>IFERROR(VLOOKUP(B61,'Статьи'!$A$2:C83,3,0)," ")</f>
        <v> </v>
      </c>
      <c r="B61" s="125"/>
      <c r="C61" s="171"/>
      <c r="D61" s="172"/>
      <c r="E61" s="143"/>
      <c r="F61" s="143"/>
      <c r="G61" s="143"/>
      <c r="H61" s="149"/>
      <c r="I61" s="116">
        <f t="shared" si="22"/>
        <v>0</v>
      </c>
      <c r="J61" s="117"/>
      <c r="K61" s="118"/>
      <c r="L61" s="118"/>
      <c r="M61" s="118"/>
      <c r="N61" s="118"/>
      <c r="O61" s="118"/>
      <c r="P61" s="116">
        <f t="shared" si="23"/>
        <v>0</v>
      </c>
      <c r="Q61" s="119">
        <f t="shared" si="20"/>
        <v>0</v>
      </c>
      <c r="R61" s="120">
        <f t="shared" si="21"/>
        <v>0</v>
      </c>
      <c r="S61" s="121" t="str">
        <f t="shared" si="24"/>
        <v/>
      </c>
    </row>
    <row r="62">
      <c r="A62" s="142" t="str">
        <f>IFERROR(VLOOKUP(B62,'Статьи'!$A$2:C84,3,0)," ")</f>
        <v> </v>
      </c>
      <c r="B62" s="125"/>
      <c r="C62" s="171"/>
      <c r="D62" s="172"/>
      <c r="E62" s="143"/>
      <c r="F62" s="143"/>
      <c r="G62" s="143"/>
      <c r="H62" s="149"/>
      <c r="I62" s="116">
        <f t="shared" si="22"/>
        <v>0</v>
      </c>
      <c r="J62" s="123"/>
      <c r="K62" s="118"/>
      <c r="L62" s="118"/>
      <c r="M62" s="118"/>
      <c r="N62" s="118"/>
      <c r="O62" s="118"/>
      <c r="P62" s="116">
        <f t="shared" si="23"/>
        <v>0</v>
      </c>
      <c r="Q62" s="119">
        <f t="shared" si="20"/>
        <v>0</v>
      </c>
      <c r="R62" s="120">
        <f t="shared" si="21"/>
        <v>0</v>
      </c>
      <c r="S62" s="121" t="str">
        <f t="shared" si="24"/>
        <v/>
      </c>
    </row>
    <row r="63">
      <c r="A63" s="142" t="str">
        <f>IFERROR(VLOOKUP(B63,'Статьи'!$A$2:C85,3,0)," ")</f>
        <v> </v>
      </c>
      <c r="B63" s="125"/>
      <c r="C63" s="171"/>
      <c r="D63" s="172"/>
      <c r="E63" s="143"/>
      <c r="F63" s="143"/>
      <c r="G63" s="143"/>
      <c r="H63" s="149"/>
      <c r="I63" s="116">
        <f t="shared" si="22"/>
        <v>0</v>
      </c>
      <c r="J63" s="117"/>
      <c r="K63" s="118"/>
      <c r="L63" s="118"/>
      <c r="M63" s="118"/>
      <c r="N63" s="118"/>
      <c r="O63" s="118"/>
      <c r="P63" s="116">
        <f t="shared" si="23"/>
        <v>0</v>
      </c>
      <c r="Q63" s="119">
        <f t="shared" si="20"/>
        <v>0</v>
      </c>
      <c r="R63" s="120">
        <f t="shared" si="21"/>
        <v>0</v>
      </c>
      <c r="S63" s="121" t="str">
        <f t="shared" si="24"/>
        <v/>
      </c>
    </row>
    <row r="64">
      <c r="A64" s="142" t="str">
        <f>IFERROR(VLOOKUP(B64,'Статьи'!$A$2:C86,3,0)," ")</f>
        <v> </v>
      </c>
      <c r="B64" s="125"/>
      <c r="C64" s="171"/>
      <c r="D64" s="172"/>
      <c r="E64" s="143"/>
      <c r="F64" s="143"/>
      <c r="G64" s="143"/>
      <c r="H64" s="149"/>
      <c r="I64" s="116">
        <f t="shared" si="22"/>
        <v>0</v>
      </c>
      <c r="J64" s="117"/>
      <c r="K64" s="118"/>
      <c r="L64" s="118"/>
      <c r="M64" s="118"/>
      <c r="N64" s="118"/>
      <c r="O64" s="118"/>
      <c r="P64" s="116">
        <f t="shared" si="23"/>
        <v>0</v>
      </c>
      <c r="Q64" s="119">
        <f t="shared" si="20"/>
        <v>0</v>
      </c>
      <c r="R64" s="120">
        <f t="shared" si="21"/>
        <v>0</v>
      </c>
      <c r="S64" s="121" t="str">
        <f t="shared" si="24"/>
        <v/>
      </c>
    </row>
    <row r="65">
      <c r="A65" s="142" t="str">
        <f>IFERROR(VLOOKUP(B65,'Статьи'!$A$2:C87,3,0)," ")</f>
        <v> </v>
      </c>
      <c r="B65" s="125"/>
      <c r="C65" s="171"/>
      <c r="D65" s="172"/>
      <c r="E65" s="143"/>
      <c r="F65" s="143"/>
      <c r="G65" s="143"/>
      <c r="H65" s="149"/>
      <c r="I65" s="116">
        <f t="shared" si="22"/>
        <v>0</v>
      </c>
      <c r="J65" s="117"/>
      <c r="K65" s="118"/>
      <c r="L65" s="118"/>
      <c r="M65" s="118"/>
      <c r="N65" s="118"/>
      <c r="O65" s="118"/>
      <c r="P65" s="116">
        <f t="shared" si="23"/>
        <v>0</v>
      </c>
      <c r="Q65" s="119">
        <f t="shared" si="20"/>
        <v>0</v>
      </c>
      <c r="R65" s="120">
        <f t="shared" si="21"/>
        <v>0</v>
      </c>
      <c r="S65" s="121" t="str">
        <f t="shared" si="24"/>
        <v/>
      </c>
    </row>
    <row r="66">
      <c r="A66" s="142" t="str">
        <f>IFERROR(VLOOKUP(B66,'Статьи'!$A$2:C88,3,0)," ")</f>
        <v> </v>
      </c>
      <c r="B66" s="125"/>
      <c r="C66" s="171"/>
      <c r="D66" s="172"/>
      <c r="E66" s="143"/>
      <c r="F66" s="143"/>
      <c r="G66" s="143"/>
      <c r="H66" s="149"/>
      <c r="I66" s="116">
        <f t="shared" si="22"/>
        <v>0</v>
      </c>
      <c r="J66" s="117"/>
      <c r="K66" s="118"/>
      <c r="L66" s="118"/>
      <c r="M66" s="118"/>
      <c r="N66" s="118"/>
      <c r="O66" s="118"/>
      <c r="P66" s="116">
        <f t="shared" si="23"/>
        <v>0</v>
      </c>
      <c r="Q66" s="119">
        <f t="shared" si="20"/>
        <v>0</v>
      </c>
      <c r="R66" s="120">
        <f t="shared" si="21"/>
        <v>0</v>
      </c>
      <c r="S66" s="121" t="str">
        <f t="shared" si="24"/>
        <v/>
      </c>
    </row>
    <row r="67">
      <c r="A67" s="142" t="str">
        <f>IFERROR(VLOOKUP(B67,'Статьи'!$A$2:C89,3,0)," ")</f>
        <v> </v>
      </c>
      <c r="B67" s="125"/>
      <c r="C67" s="171"/>
      <c r="D67" s="172"/>
      <c r="E67" s="143"/>
      <c r="F67" s="143"/>
      <c r="G67" s="143"/>
      <c r="H67" s="149"/>
      <c r="I67" s="116">
        <f t="shared" si="22"/>
        <v>0</v>
      </c>
      <c r="J67" s="117"/>
      <c r="K67" s="118"/>
      <c r="L67" s="118"/>
      <c r="M67" s="118"/>
      <c r="N67" s="118"/>
      <c r="O67" s="118"/>
      <c r="P67" s="116">
        <f t="shared" si="23"/>
        <v>0</v>
      </c>
      <c r="Q67" s="119">
        <f t="shared" si="20"/>
        <v>0</v>
      </c>
      <c r="R67" s="120">
        <f t="shared" si="21"/>
        <v>0</v>
      </c>
      <c r="S67" s="121" t="str">
        <f t="shared" si="24"/>
        <v/>
      </c>
    </row>
    <row r="68">
      <c r="A68" s="142" t="str">
        <f>IFERROR(VLOOKUP(B68,'Статьи'!$A$2:C90,3,0)," ")</f>
        <v> </v>
      </c>
      <c r="B68" s="125"/>
      <c r="C68" s="171"/>
      <c r="D68" s="172"/>
      <c r="E68" s="143"/>
      <c r="F68" s="143"/>
      <c r="G68" s="143"/>
      <c r="H68" s="149"/>
      <c r="I68" s="116">
        <f t="shared" si="22"/>
        <v>0</v>
      </c>
      <c r="J68" s="123"/>
      <c r="K68" s="118"/>
      <c r="L68" s="118"/>
      <c r="M68" s="118"/>
      <c r="N68" s="118"/>
      <c r="O68" s="118"/>
      <c r="P68" s="116">
        <f t="shared" si="23"/>
        <v>0</v>
      </c>
      <c r="Q68" s="119">
        <f t="shared" si="20"/>
        <v>0</v>
      </c>
      <c r="R68" s="120">
        <f t="shared" si="21"/>
        <v>0</v>
      </c>
      <c r="S68" s="121" t="str">
        <f t="shared" si="24"/>
        <v/>
      </c>
    </row>
    <row r="69">
      <c r="A69" s="142" t="str">
        <f>IFERROR(VLOOKUP(B69,'Статьи'!$A$2:C91,3,0)," ")</f>
        <v> </v>
      </c>
      <c r="B69" s="125"/>
      <c r="C69" s="171"/>
      <c r="D69" s="172"/>
      <c r="E69" s="143"/>
      <c r="F69" s="143"/>
      <c r="G69" s="143"/>
      <c r="H69" s="149"/>
      <c r="I69" s="116">
        <f t="shared" si="22"/>
        <v>0</v>
      </c>
      <c r="J69" s="117"/>
      <c r="K69" s="118"/>
      <c r="L69" s="118"/>
      <c r="M69" s="118"/>
      <c r="N69" s="118"/>
      <c r="O69" s="118"/>
      <c r="P69" s="116">
        <f t="shared" si="23"/>
        <v>0</v>
      </c>
      <c r="Q69" s="119">
        <f t="shared" si="20"/>
        <v>0</v>
      </c>
      <c r="R69" s="120">
        <f t="shared" si="21"/>
        <v>0</v>
      </c>
      <c r="S69" s="121" t="str">
        <f t="shared" si="24"/>
        <v/>
      </c>
    </row>
    <row r="70">
      <c r="A70" s="142" t="str">
        <f>IFERROR(VLOOKUP(B70,'Статьи'!$A$2:C92,3,0)," ")</f>
        <v> </v>
      </c>
      <c r="B70" s="125"/>
      <c r="C70" s="171"/>
      <c r="D70" s="172"/>
      <c r="E70" s="143"/>
      <c r="F70" s="143"/>
      <c r="G70" s="143"/>
      <c r="H70" s="149"/>
      <c r="I70" s="116">
        <f t="shared" si="22"/>
        <v>0</v>
      </c>
      <c r="J70" s="117"/>
      <c r="K70" s="118"/>
      <c r="L70" s="118"/>
      <c r="M70" s="118"/>
      <c r="N70" s="118"/>
      <c r="O70" s="118"/>
      <c r="P70" s="116">
        <f t="shared" si="23"/>
        <v>0</v>
      </c>
      <c r="Q70" s="119">
        <f t="shared" si="20"/>
        <v>0</v>
      </c>
      <c r="R70" s="120">
        <f t="shared" si="21"/>
        <v>0</v>
      </c>
      <c r="S70" s="121" t="str">
        <f t="shared" si="24"/>
        <v/>
      </c>
    </row>
    <row r="71" collapsed="1">
      <c r="A71" s="142" t="str">
        <f>IFERROR(VLOOKUP(B71,'Статьи'!$A$2:C93,3,0)," ")</f>
        <v> </v>
      </c>
      <c r="B71" s="125"/>
      <c r="C71" s="171"/>
      <c r="D71" s="172"/>
      <c r="E71" s="143"/>
      <c r="F71" s="143"/>
      <c r="G71" s="143"/>
      <c r="H71" s="149"/>
      <c r="I71" s="116">
        <f t="shared" si="22"/>
        <v>0</v>
      </c>
      <c r="J71" s="117"/>
      <c r="K71" s="118"/>
      <c r="L71" s="118"/>
      <c r="M71" s="118"/>
      <c r="N71" s="118"/>
      <c r="O71" s="118"/>
      <c r="P71" s="116">
        <f t="shared" si="23"/>
        <v>0</v>
      </c>
      <c r="Q71" s="119">
        <f t="shared" si="20"/>
        <v>0</v>
      </c>
      <c r="R71" s="120">
        <f t="shared" si="21"/>
        <v>0</v>
      </c>
      <c r="S71" s="121" t="str">
        <f t="shared" si="24"/>
        <v/>
      </c>
    </row>
    <row r="72" hidden="1" outlineLevel="1">
      <c r="A72" s="142" t="str">
        <f>IFERROR(VLOOKUP(B72,'Статьи'!$A$2:C94,3,0)," ")</f>
        <v> </v>
      </c>
      <c r="B72" s="125"/>
      <c r="C72" s="170"/>
      <c r="D72" s="149"/>
      <c r="E72" s="143"/>
      <c r="F72" s="143"/>
      <c r="G72" s="143"/>
      <c r="H72" s="149"/>
      <c r="I72" s="116">
        <f t="shared" si="22"/>
        <v>0</v>
      </c>
      <c r="J72" s="123"/>
      <c r="K72" s="118"/>
      <c r="L72" s="118"/>
      <c r="M72" s="118"/>
      <c r="N72" s="118"/>
      <c r="O72" s="118"/>
      <c r="P72" s="116">
        <f t="shared" si="23"/>
        <v>0</v>
      </c>
      <c r="Q72" s="119">
        <f t="shared" si="20"/>
        <v>0</v>
      </c>
      <c r="R72" s="120">
        <f t="shared" si="21"/>
        <v>0</v>
      </c>
      <c r="S72" s="121" t="str">
        <f t="shared" si="24"/>
        <v/>
      </c>
    </row>
    <row r="73" hidden="1" outlineLevel="1">
      <c r="A73" s="142" t="str">
        <f>IFERROR(VLOOKUP(B73,'Статьи'!$A$2:C95,3,0)," ")</f>
        <v> </v>
      </c>
      <c r="B73" s="125"/>
      <c r="C73" s="170"/>
      <c r="D73" s="149"/>
      <c r="E73" s="143"/>
      <c r="F73" s="143"/>
      <c r="G73" s="143"/>
      <c r="H73" s="149"/>
      <c r="I73" s="116">
        <f t="shared" si="22"/>
        <v>0</v>
      </c>
      <c r="J73" s="123"/>
      <c r="K73" s="118"/>
      <c r="L73" s="118"/>
      <c r="M73" s="118"/>
      <c r="N73" s="118"/>
      <c r="O73" s="118"/>
      <c r="P73" s="116">
        <f t="shared" si="23"/>
        <v>0</v>
      </c>
      <c r="Q73" s="119">
        <f t="shared" si="20"/>
        <v>0</v>
      </c>
      <c r="R73" s="120">
        <f t="shared" si="21"/>
        <v>0</v>
      </c>
      <c r="S73" s="121" t="str">
        <f t="shared" si="24"/>
        <v/>
      </c>
    </row>
    <row r="74" hidden="1" outlineLevel="1">
      <c r="A74" s="142" t="str">
        <f>IFERROR(VLOOKUP(B74,'Статьи'!$A$2:C96,3,0)," ")</f>
        <v> </v>
      </c>
      <c r="B74" s="125"/>
      <c r="C74" s="170"/>
      <c r="D74" s="149"/>
      <c r="E74" s="143"/>
      <c r="F74" s="143"/>
      <c r="G74" s="143"/>
      <c r="H74" s="149"/>
      <c r="I74" s="116">
        <f t="shared" si="22"/>
        <v>0</v>
      </c>
      <c r="J74" s="123"/>
      <c r="K74" s="118"/>
      <c r="L74" s="118"/>
      <c r="M74" s="118"/>
      <c r="N74" s="118"/>
      <c r="O74" s="118"/>
      <c r="P74" s="116">
        <f t="shared" si="23"/>
        <v>0</v>
      </c>
      <c r="Q74" s="119">
        <f t="shared" si="20"/>
        <v>0</v>
      </c>
      <c r="R74" s="120">
        <f t="shared" si="21"/>
        <v>0</v>
      </c>
      <c r="S74" s="121" t="str">
        <f t="shared" si="24"/>
        <v/>
      </c>
    </row>
    <row r="75" hidden="1" outlineLevel="1">
      <c r="A75" s="142" t="str">
        <f>IFERROR(VLOOKUP(B75,'Статьи'!$A$2:C97,3,0)," ")</f>
        <v> </v>
      </c>
      <c r="B75" s="125"/>
      <c r="C75" s="170"/>
      <c r="D75" s="149"/>
      <c r="E75" s="143"/>
      <c r="F75" s="143"/>
      <c r="G75" s="143"/>
      <c r="H75" s="149"/>
      <c r="I75" s="116">
        <f t="shared" si="22"/>
        <v>0</v>
      </c>
      <c r="J75" s="123"/>
      <c r="K75" s="118"/>
      <c r="L75" s="118"/>
      <c r="M75" s="118"/>
      <c r="N75" s="118"/>
      <c r="O75" s="118"/>
      <c r="P75" s="116">
        <f t="shared" si="23"/>
        <v>0</v>
      </c>
      <c r="Q75" s="119">
        <f t="shared" si="20"/>
        <v>0</v>
      </c>
      <c r="R75" s="120">
        <f t="shared" si="21"/>
        <v>0</v>
      </c>
      <c r="S75" s="121" t="str">
        <f t="shared" si="24"/>
        <v/>
      </c>
    </row>
    <row r="76" hidden="1" outlineLevel="1">
      <c r="A76" s="142" t="str">
        <f>IFERROR(VLOOKUP(B76,'Статьи'!$A$2:C98,3,0)," ")</f>
        <v> </v>
      </c>
      <c r="B76" s="125"/>
      <c r="C76" s="173"/>
      <c r="D76" s="143"/>
      <c r="E76" s="149"/>
      <c r="F76" s="143"/>
      <c r="G76" s="143"/>
      <c r="H76" s="143"/>
      <c r="I76" s="116">
        <f t="shared" si="22"/>
        <v>0</v>
      </c>
      <c r="J76" s="123"/>
      <c r="K76" s="118"/>
      <c r="L76" s="118"/>
      <c r="M76" s="118"/>
      <c r="N76" s="118"/>
      <c r="O76" s="118"/>
      <c r="P76" s="116">
        <f t="shared" si="23"/>
        <v>0</v>
      </c>
      <c r="Q76" s="119">
        <f t="shared" si="20"/>
        <v>0</v>
      </c>
      <c r="R76" s="120">
        <f t="shared" si="21"/>
        <v>0</v>
      </c>
      <c r="S76" s="121" t="str">
        <f t="shared" si="24"/>
        <v/>
      </c>
    </row>
    <row r="77" hidden="1" outlineLevel="1">
      <c r="A77" s="142" t="str">
        <f>IFERROR(VLOOKUP(B77,'Статьи'!$A$2:C99,3,0)," ")</f>
        <v> </v>
      </c>
      <c r="B77" s="125"/>
      <c r="C77" s="170"/>
      <c r="D77" s="174"/>
      <c r="E77" s="174"/>
      <c r="F77" s="174"/>
      <c r="G77" s="174"/>
      <c r="H77" s="174"/>
      <c r="I77" s="116">
        <f t="shared" si="22"/>
        <v>0</v>
      </c>
      <c r="J77" s="123"/>
      <c r="K77" s="118"/>
      <c r="L77" s="118"/>
      <c r="M77" s="118"/>
      <c r="N77" s="118"/>
      <c r="O77" s="118"/>
      <c r="P77" s="116">
        <f t="shared" si="23"/>
        <v>0</v>
      </c>
      <c r="Q77" s="119">
        <f t="shared" si="20"/>
        <v>0</v>
      </c>
      <c r="R77" s="120">
        <f t="shared" si="21"/>
        <v>0</v>
      </c>
      <c r="S77" s="121" t="str">
        <f t="shared" si="24"/>
        <v/>
      </c>
    </row>
    <row r="78" hidden="1" outlineLevel="1">
      <c r="A78" s="175" t="str">
        <f>IFERROR(VLOOKUP(B78,'Статьи'!$A$2:C100,3,0)," ")</f>
        <v> </v>
      </c>
      <c r="B78" s="176"/>
      <c r="C78" s="122"/>
      <c r="D78" s="114"/>
      <c r="E78" s="114"/>
      <c r="F78" s="114"/>
      <c r="G78" s="114"/>
      <c r="H78" s="149"/>
      <c r="I78" s="116">
        <f t="shared" si="22"/>
        <v>0</v>
      </c>
      <c r="J78" s="123"/>
      <c r="K78" s="118"/>
      <c r="L78" s="118"/>
      <c r="M78" s="118"/>
      <c r="N78" s="118"/>
      <c r="O78" s="118"/>
      <c r="P78" s="116">
        <f t="shared" si="23"/>
        <v>0</v>
      </c>
      <c r="Q78" s="119">
        <f t="shared" si="20"/>
        <v>0</v>
      </c>
      <c r="R78" s="120">
        <f t="shared" si="21"/>
        <v>0</v>
      </c>
      <c r="S78" s="121" t="str">
        <f t="shared" si="24"/>
        <v/>
      </c>
    </row>
    <row r="79" hidden="1" outlineLevel="1">
      <c r="A79" s="110" t="str">
        <f>IFERROR(VLOOKUP(B79,'Статьи'!$A$2:C101,3,0)," ")</f>
        <v> </v>
      </c>
      <c r="B79" s="111"/>
      <c r="C79" s="122"/>
      <c r="D79" s="115"/>
      <c r="E79" s="115"/>
      <c r="F79" s="115"/>
      <c r="G79" s="115"/>
      <c r="H79" s="115"/>
      <c r="I79" s="116">
        <f t="shared" si="22"/>
        <v>0</v>
      </c>
      <c r="J79" s="123"/>
      <c r="K79" s="118"/>
      <c r="L79" s="118"/>
      <c r="M79" s="118"/>
      <c r="N79" s="118"/>
      <c r="O79" s="118"/>
      <c r="P79" s="116">
        <f t="shared" si="23"/>
        <v>0</v>
      </c>
      <c r="Q79" s="119">
        <f t="shared" si="20"/>
        <v>0</v>
      </c>
      <c r="R79" s="120">
        <f t="shared" si="21"/>
        <v>0</v>
      </c>
      <c r="S79" s="121" t="str">
        <f t="shared" si="24"/>
        <v/>
      </c>
    </row>
    <row r="80" hidden="1" outlineLevel="1">
      <c r="A80" s="110" t="str">
        <f>IFERROR(VLOOKUP(B80,'Статьи'!$A$2:C102,3,0)," ")</f>
        <v> </v>
      </c>
      <c r="B80" s="111"/>
      <c r="C80" s="122"/>
      <c r="D80" s="115"/>
      <c r="E80" s="115"/>
      <c r="F80" s="115"/>
      <c r="G80" s="115"/>
      <c r="H80" s="115"/>
      <c r="I80" s="116">
        <f t="shared" si="22"/>
        <v>0</v>
      </c>
      <c r="J80" s="123"/>
      <c r="K80" s="118"/>
      <c r="L80" s="118"/>
      <c r="M80" s="118"/>
      <c r="N80" s="118"/>
      <c r="O80" s="118"/>
      <c r="P80" s="116">
        <f t="shared" si="23"/>
        <v>0</v>
      </c>
      <c r="Q80" s="119">
        <f t="shared" si="20"/>
        <v>0</v>
      </c>
      <c r="R80" s="120">
        <f t="shared" si="21"/>
        <v>0</v>
      </c>
      <c r="S80" s="121" t="str">
        <f t="shared" si="24"/>
        <v/>
      </c>
    </row>
    <row r="81" hidden="1" outlineLevel="1">
      <c r="A81" s="110" t="str">
        <f>IFERROR(VLOOKUP(B81,'Статьи'!$A$2:C103,3,0)," ")</f>
        <v> </v>
      </c>
      <c r="B81" s="111"/>
      <c r="C81" s="122"/>
      <c r="D81" s="115"/>
      <c r="E81" s="115"/>
      <c r="F81" s="115"/>
      <c r="G81" s="115"/>
      <c r="H81" s="115"/>
      <c r="I81" s="116">
        <f t="shared" si="22"/>
        <v>0</v>
      </c>
      <c r="J81" s="123"/>
      <c r="K81" s="118"/>
      <c r="L81" s="118"/>
      <c r="M81" s="118"/>
      <c r="N81" s="118"/>
      <c r="O81" s="118"/>
      <c r="P81" s="116">
        <f t="shared" si="23"/>
        <v>0</v>
      </c>
      <c r="Q81" s="119">
        <f t="shared" si="20"/>
        <v>0</v>
      </c>
      <c r="R81" s="120">
        <f t="shared" si="21"/>
        <v>0</v>
      </c>
      <c r="S81" s="121" t="str">
        <f t="shared" si="24"/>
        <v/>
      </c>
    </row>
    <row r="82" hidden="1" outlineLevel="1">
      <c r="A82" s="110" t="str">
        <f>IFERROR(VLOOKUP(B82,'Статьи'!$A$2:C104,3,0)," ")</f>
        <v> </v>
      </c>
      <c r="B82" s="111"/>
      <c r="C82" s="122"/>
      <c r="D82" s="115"/>
      <c r="E82" s="115"/>
      <c r="F82" s="115"/>
      <c r="G82" s="115"/>
      <c r="H82" s="115"/>
      <c r="I82" s="116">
        <f t="shared" si="22"/>
        <v>0</v>
      </c>
      <c r="J82" s="123"/>
      <c r="K82" s="118"/>
      <c r="L82" s="118"/>
      <c r="M82" s="118"/>
      <c r="N82" s="118"/>
      <c r="O82" s="118"/>
      <c r="P82" s="116">
        <f t="shared" si="23"/>
        <v>0</v>
      </c>
      <c r="Q82" s="119">
        <f t="shared" si="20"/>
        <v>0</v>
      </c>
      <c r="R82" s="120">
        <f t="shared" si="21"/>
        <v>0</v>
      </c>
      <c r="S82" s="121" t="str">
        <f t="shared" si="24"/>
        <v/>
      </c>
    </row>
    <row r="83" hidden="1" outlineLevel="1">
      <c r="A83" s="110" t="str">
        <f>IFERROR(VLOOKUP(B83,'Статьи'!$A$2:C105,3,0)," ")</f>
        <v> </v>
      </c>
      <c r="B83" s="111"/>
      <c r="C83" s="122"/>
      <c r="D83" s="115"/>
      <c r="E83" s="115"/>
      <c r="F83" s="115"/>
      <c r="G83" s="115"/>
      <c r="H83" s="115"/>
      <c r="I83" s="116">
        <f t="shared" si="22"/>
        <v>0</v>
      </c>
      <c r="J83" s="123"/>
      <c r="K83" s="118"/>
      <c r="L83" s="118"/>
      <c r="M83" s="118"/>
      <c r="N83" s="118"/>
      <c r="O83" s="118"/>
      <c r="P83" s="116">
        <f t="shared" si="23"/>
        <v>0</v>
      </c>
      <c r="Q83" s="119">
        <f t="shared" si="20"/>
        <v>0</v>
      </c>
      <c r="R83" s="120">
        <f t="shared" si="21"/>
        <v>0</v>
      </c>
      <c r="S83" s="121" t="str">
        <f t="shared" si="24"/>
        <v/>
      </c>
    </row>
    <row r="84">
      <c r="A84" s="110" t="str">
        <f>IFERROR(VLOOKUP(B84,'Статьи'!$A$2:C106,3,0)," ")</f>
        <v> </v>
      </c>
      <c r="B84" s="111"/>
      <c r="C84" s="122"/>
      <c r="D84" s="115"/>
      <c r="E84" s="115"/>
      <c r="F84" s="115"/>
      <c r="G84" s="115"/>
      <c r="H84" s="115"/>
      <c r="I84" s="116">
        <f t="shared" si="22"/>
        <v>0</v>
      </c>
      <c r="J84" s="123"/>
      <c r="K84" s="118"/>
      <c r="L84" s="118"/>
      <c r="M84" s="118"/>
      <c r="N84" s="118"/>
      <c r="O84" s="118"/>
      <c r="P84" s="116">
        <f t="shared" si="23"/>
        <v>0</v>
      </c>
      <c r="Q84" s="119">
        <f t="shared" si="20"/>
        <v>0</v>
      </c>
      <c r="R84" s="120">
        <f t="shared" si="21"/>
        <v>0</v>
      </c>
      <c r="S84" s="121" t="str">
        <f t="shared" si="24"/>
        <v/>
      </c>
    </row>
    <row r="85">
      <c r="A85" s="152"/>
      <c r="B85" s="153" t="s">
        <v>138</v>
      </c>
      <c r="C85" s="154">
        <f t="shared" ref="C85:K85" si="25">C55+C58</f>
        <v>5</v>
      </c>
      <c r="D85" s="155">
        <f t="shared" si="25"/>
        <v>0</v>
      </c>
      <c r="E85" s="155">
        <f t="shared" si="25"/>
        <v>0</v>
      </c>
      <c r="F85" s="155">
        <f t="shared" si="25"/>
        <v>0</v>
      </c>
      <c r="G85" s="155">
        <f t="shared" si="25"/>
        <v>0</v>
      </c>
      <c r="H85" s="155">
        <f t="shared" si="25"/>
        <v>0</v>
      </c>
      <c r="I85" s="157">
        <f t="shared" si="25"/>
        <v>5</v>
      </c>
      <c r="J85" s="154">
        <f t="shared" si="25"/>
        <v>0</v>
      </c>
      <c r="K85" s="155">
        <f t="shared" si="25"/>
        <v>0</v>
      </c>
      <c r="L85" s="155"/>
      <c r="M85" s="155"/>
      <c r="N85" s="155"/>
      <c r="O85" s="155"/>
      <c r="P85" s="157">
        <f>P55+P58</f>
        <v>0</v>
      </c>
      <c r="Q85" s="155">
        <f t="shared" si="20"/>
        <v>5</v>
      </c>
      <c r="R85" s="158">
        <f t="shared" si="21"/>
        <v>0</v>
      </c>
      <c r="S85" s="177" t="str">
        <f>IF(Q85=0,"",IF(R85&gt;1,"выполнение","план не выполнен"))</f>
        <v>план не выполнен</v>
      </c>
    </row>
    <row r="86">
      <c r="A86" s="160"/>
      <c r="B86" s="161" t="s">
        <v>139</v>
      </c>
      <c r="C86" s="162">
        <f t="shared" ref="C86:K86" si="26">IFERROR(C85/C$3,"")</f>
        <v>1</v>
      </c>
      <c r="D86" s="163" t="str">
        <f t="shared" si="26"/>
        <v/>
      </c>
      <c r="E86" s="163" t="str">
        <f t="shared" si="26"/>
        <v/>
      </c>
      <c r="F86" s="163" t="str">
        <f t="shared" si="26"/>
        <v/>
      </c>
      <c r="G86" s="163" t="str">
        <f t="shared" si="26"/>
        <v/>
      </c>
      <c r="H86" s="163" t="str">
        <f t="shared" si="26"/>
        <v/>
      </c>
      <c r="I86" s="164">
        <f t="shared" si="26"/>
        <v>1</v>
      </c>
      <c r="J86" s="162" t="str">
        <f t="shared" si="26"/>
        <v/>
      </c>
      <c r="K86" s="163" t="str">
        <f t="shared" si="26"/>
        <v/>
      </c>
      <c r="L86" s="163"/>
      <c r="M86" s="163"/>
      <c r="N86" s="163"/>
      <c r="O86" s="163"/>
      <c r="P86" s="164" t="str">
        <f>IFERROR(P85/P$3,"")</f>
        <v/>
      </c>
      <c r="Q86" s="121"/>
      <c r="R86" s="121"/>
      <c r="S86" s="121" t="str">
        <f t="shared" ref="S86:S87" si="27">IF(Q86=0,"",IF(Q86=0,0,IF(R86&gt;1,"перерасход","экономия")))</f>
        <v/>
      </c>
    </row>
    <row r="87">
      <c r="A87" s="178"/>
      <c r="B87" s="179"/>
      <c r="C87" s="124"/>
      <c r="D87" s="115"/>
      <c r="E87" s="115"/>
      <c r="F87" s="115"/>
      <c r="G87" s="115"/>
      <c r="H87" s="115"/>
      <c r="I87" s="116"/>
      <c r="J87" s="123"/>
      <c r="K87" s="118"/>
      <c r="L87" s="118"/>
      <c r="M87" s="118"/>
      <c r="N87" s="118"/>
      <c r="O87" s="118"/>
      <c r="P87" s="116"/>
      <c r="Q87" s="180"/>
      <c r="R87" s="121"/>
      <c r="S87" s="121" t="str">
        <f t="shared" si="27"/>
        <v/>
      </c>
    </row>
    <row r="88">
      <c r="A88" s="181"/>
      <c r="B88" s="127" t="s">
        <v>140</v>
      </c>
      <c r="C88" s="182">
        <f t="shared" ref="C88:K88" si="28">C101+C132+C89</f>
        <v>0</v>
      </c>
      <c r="D88" s="183">
        <f t="shared" si="28"/>
        <v>0</v>
      </c>
      <c r="E88" s="183">
        <f t="shared" si="28"/>
        <v>0</v>
      </c>
      <c r="F88" s="183">
        <f t="shared" si="28"/>
        <v>0</v>
      </c>
      <c r="G88" s="183">
        <f t="shared" si="28"/>
        <v>0</v>
      </c>
      <c r="H88" s="183">
        <f t="shared" si="28"/>
        <v>0</v>
      </c>
      <c r="I88" s="184">
        <f t="shared" si="28"/>
        <v>0</v>
      </c>
      <c r="J88" s="182">
        <f t="shared" si="28"/>
        <v>0</v>
      </c>
      <c r="K88" s="183">
        <f t="shared" si="28"/>
        <v>0</v>
      </c>
      <c r="L88" s="183"/>
      <c r="M88" s="183"/>
      <c r="N88" s="183"/>
      <c r="O88" s="183"/>
      <c r="P88" s="185">
        <f>P101+P132+P89</f>
        <v>0</v>
      </c>
      <c r="Q88" s="183">
        <f t="shared" ref="Q88:Q142" si="30">I88-P88</f>
        <v>0</v>
      </c>
      <c r="R88" s="186">
        <f t="shared" ref="R88:R142" si="31">IFERROR(I88/P88,0)</f>
        <v>0</v>
      </c>
      <c r="S88" s="134" t="str">
        <f>IF(Q88=0,"",IF(R88&gt;1,"план не выполнен","выполнение"))</f>
        <v/>
      </c>
    </row>
    <row r="89">
      <c r="A89" s="135"/>
      <c r="B89" s="136" t="s">
        <v>141</v>
      </c>
      <c r="C89" s="137">
        <f t="shared" ref="C89:K89" si="29">SUM(C90:C100)</f>
        <v>0</v>
      </c>
      <c r="D89" s="138">
        <f t="shared" si="29"/>
        <v>0</v>
      </c>
      <c r="E89" s="138">
        <f t="shared" si="29"/>
        <v>0</v>
      </c>
      <c r="F89" s="138">
        <f t="shared" si="29"/>
        <v>0</v>
      </c>
      <c r="G89" s="138">
        <f t="shared" si="29"/>
        <v>0</v>
      </c>
      <c r="H89" s="138">
        <f t="shared" si="29"/>
        <v>0</v>
      </c>
      <c r="I89" s="139">
        <f t="shared" si="29"/>
        <v>0</v>
      </c>
      <c r="J89" s="137">
        <f t="shared" si="29"/>
        <v>0</v>
      </c>
      <c r="K89" s="138">
        <f t="shared" si="29"/>
        <v>0</v>
      </c>
      <c r="L89" s="138"/>
      <c r="M89" s="138"/>
      <c r="N89" s="138"/>
      <c r="O89" s="138"/>
      <c r="P89" s="140">
        <f>SUM(P90:P100)</f>
        <v>0</v>
      </c>
      <c r="Q89" s="138">
        <f t="shared" si="30"/>
        <v>0</v>
      </c>
      <c r="R89" s="187">
        <f t="shared" si="31"/>
        <v>0</v>
      </c>
      <c r="S89" s="141" t="str">
        <f>IF(Q89=0,"",IF(Q89=0,0,IF(R89&gt;1,"перерасход","экономия")))</f>
        <v/>
      </c>
    </row>
    <row r="90">
      <c r="A90" s="142" t="str">
        <f>IFERROR(VLOOKUP(B90,'Статьи'!$A$2:C112,3,0)," ")</f>
        <v> </v>
      </c>
      <c r="B90" s="125" t="str">
        <f>IFERROR(__xludf.DUMMYFUNCTION("iferror(filter('Статьи'!$A$1:$A177,'Статьи'!$B$1:$B177=$B$89))"),"")</f>
        <v/>
      </c>
      <c r="C90" s="171"/>
      <c r="D90" s="172"/>
      <c r="E90" s="149"/>
      <c r="F90" s="149"/>
      <c r="G90" s="149"/>
      <c r="H90" s="149"/>
      <c r="I90" s="188">
        <f t="shared" ref="I90:I100" si="32">sum(C90:H90)</f>
        <v>0</v>
      </c>
      <c r="J90" s="170"/>
      <c r="K90" s="149"/>
      <c r="L90" s="149"/>
      <c r="M90" s="149"/>
      <c r="N90" s="149"/>
      <c r="O90" s="149"/>
      <c r="P90" s="188">
        <f t="shared" ref="P90:P94" si="33">SUM(J90:K90)</f>
        <v>0</v>
      </c>
      <c r="Q90" s="132">
        <f t="shared" si="30"/>
        <v>0</v>
      </c>
      <c r="R90" s="133">
        <f t="shared" si="31"/>
        <v>0</v>
      </c>
      <c r="S90" s="121" t="str">
        <f t="shared" ref="S90:S94" si="34">IF(Q90=0,"",IF(R90=0,"обратить внимание",IF(R90&gt;1,"перерасход","экономия")))</f>
        <v/>
      </c>
    </row>
    <row r="91">
      <c r="A91" s="142" t="str">
        <f>IFERROR(VLOOKUP(B91,'Статьи'!$A$2:C113,3,0)," ")</f>
        <v> </v>
      </c>
      <c r="B91" s="125"/>
      <c r="C91" s="171"/>
      <c r="D91" s="172"/>
      <c r="E91" s="149"/>
      <c r="F91" s="149"/>
      <c r="G91" s="149"/>
      <c r="H91" s="149"/>
      <c r="I91" s="188">
        <f t="shared" si="32"/>
        <v>0</v>
      </c>
      <c r="J91" s="189"/>
      <c r="K91" s="149"/>
      <c r="L91" s="149"/>
      <c r="M91" s="149"/>
      <c r="N91" s="149"/>
      <c r="O91" s="149"/>
      <c r="P91" s="188">
        <f t="shared" si="33"/>
        <v>0</v>
      </c>
      <c r="Q91" s="132">
        <f t="shared" si="30"/>
        <v>0</v>
      </c>
      <c r="R91" s="133">
        <f t="shared" si="31"/>
        <v>0</v>
      </c>
      <c r="S91" s="121" t="str">
        <f t="shared" si="34"/>
        <v/>
      </c>
    </row>
    <row r="92">
      <c r="A92" s="142" t="str">
        <f>IFERROR(VLOOKUP(B92,'Статьи'!$A$2:C114,3,0)," ")</f>
        <v> </v>
      </c>
      <c r="B92" s="125"/>
      <c r="C92" s="171"/>
      <c r="D92" s="172"/>
      <c r="E92" s="149"/>
      <c r="F92" s="149"/>
      <c r="G92" s="149"/>
      <c r="H92" s="149"/>
      <c r="I92" s="188">
        <f t="shared" si="32"/>
        <v>0</v>
      </c>
      <c r="J92" s="189"/>
      <c r="K92" s="149"/>
      <c r="L92" s="149"/>
      <c r="M92" s="149"/>
      <c r="N92" s="149"/>
      <c r="O92" s="149"/>
      <c r="P92" s="188">
        <f t="shared" si="33"/>
        <v>0</v>
      </c>
      <c r="Q92" s="132">
        <f t="shared" si="30"/>
        <v>0</v>
      </c>
      <c r="R92" s="133">
        <f t="shared" si="31"/>
        <v>0</v>
      </c>
      <c r="S92" s="121" t="str">
        <f t="shared" si="34"/>
        <v/>
      </c>
    </row>
    <row r="93">
      <c r="A93" s="142" t="str">
        <f>IFERROR(VLOOKUP(B93,'Статьи'!$A$2:C115,3,0)," ")</f>
        <v> </v>
      </c>
      <c r="B93" s="125"/>
      <c r="C93" s="171"/>
      <c r="D93" s="172"/>
      <c r="E93" s="149"/>
      <c r="F93" s="149"/>
      <c r="G93" s="149"/>
      <c r="H93" s="149"/>
      <c r="I93" s="188">
        <f t="shared" si="32"/>
        <v>0</v>
      </c>
      <c r="J93" s="170"/>
      <c r="K93" s="149"/>
      <c r="L93" s="149"/>
      <c r="M93" s="149"/>
      <c r="N93" s="149"/>
      <c r="O93" s="149"/>
      <c r="P93" s="188">
        <f t="shared" si="33"/>
        <v>0</v>
      </c>
      <c r="Q93" s="132">
        <f t="shared" si="30"/>
        <v>0</v>
      </c>
      <c r="R93" s="133">
        <f t="shared" si="31"/>
        <v>0</v>
      </c>
      <c r="S93" s="121" t="str">
        <f t="shared" si="34"/>
        <v/>
      </c>
    </row>
    <row r="94" collapsed="1">
      <c r="A94" s="190" t="str">
        <f>IFERROR(VLOOKUP(B94,'Статьи'!$A$2:C116,3,0)," ")</f>
        <v> </v>
      </c>
      <c r="B94" s="125"/>
      <c r="C94" s="170"/>
      <c r="D94" s="149"/>
      <c r="E94" s="149"/>
      <c r="F94" s="149"/>
      <c r="G94" s="149"/>
      <c r="H94" s="149"/>
      <c r="I94" s="188">
        <f t="shared" si="32"/>
        <v>0</v>
      </c>
      <c r="J94" s="170"/>
      <c r="K94" s="149"/>
      <c r="L94" s="149"/>
      <c r="M94" s="149"/>
      <c r="N94" s="149"/>
      <c r="O94" s="149"/>
      <c r="P94" s="188">
        <f t="shared" si="33"/>
        <v>0</v>
      </c>
      <c r="Q94" s="132">
        <f t="shared" si="30"/>
        <v>0</v>
      </c>
      <c r="R94" s="133">
        <f t="shared" si="31"/>
        <v>0</v>
      </c>
      <c r="S94" s="121" t="str">
        <f t="shared" si="34"/>
        <v/>
      </c>
    </row>
    <row r="95" hidden="1" outlineLevel="1">
      <c r="A95" s="190"/>
      <c r="B95" s="125"/>
      <c r="C95" s="170"/>
      <c r="D95" s="149"/>
      <c r="E95" s="149"/>
      <c r="F95" s="149"/>
      <c r="G95" s="149"/>
      <c r="H95" s="149"/>
      <c r="I95" s="188">
        <f t="shared" si="32"/>
        <v>0</v>
      </c>
      <c r="J95" s="170"/>
      <c r="K95" s="149"/>
      <c r="L95" s="149"/>
      <c r="M95" s="149"/>
      <c r="N95" s="149"/>
      <c r="O95" s="149"/>
      <c r="P95" s="188">
        <f t="shared" ref="P95:P100" si="35">sum(F95:J95)</f>
        <v>0</v>
      </c>
      <c r="Q95" s="132">
        <f t="shared" si="30"/>
        <v>0</v>
      </c>
      <c r="R95" s="133">
        <f t="shared" si="31"/>
        <v>0</v>
      </c>
      <c r="S95" s="121" t="str">
        <f t="shared" ref="S95:S100" si="36">IF(Q95=0,"",IF(Q95=0,0,IF(R95&gt;1,"перерасход","экономия")))</f>
        <v/>
      </c>
    </row>
    <row r="96" hidden="1" outlineLevel="1">
      <c r="A96" s="190"/>
      <c r="B96" s="125"/>
      <c r="C96" s="170"/>
      <c r="D96" s="149"/>
      <c r="E96" s="149"/>
      <c r="F96" s="149"/>
      <c r="G96" s="149"/>
      <c r="H96" s="149"/>
      <c r="I96" s="188">
        <f t="shared" si="32"/>
        <v>0</v>
      </c>
      <c r="J96" s="170"/>
      <c r="K96" s="149"/>
      <c r="L96" s="149"/>
      <c r="M96" s="149"/>
      <c r="N96" s="149"/>
      <c r="O96" s="149"/>
      <c r="P96" s="188">
        <f t="shared" si="35"/>
        <v>0</v>
      </c>
      <c r="Q96" s="132">
        <f t="shared" si="30"/>
        <v>0</v>
      </c>
      <c r="R96" s="133">
        <f t="shared" si="31"/>
        <v>0</v>
      </c>
      <c r="S96" s="121" t="str">
        <f t="shared" si="36"/>
        <v/>
      </c>
    </row>
    <row r="97" hidden="1" outlineLevel="1">
      <c r="A97" s="190"/>
      <c r="B97" s="125"/>
      <c r="C97" s="170"/>
      <c r="D97" s="149"/>
      <c r="E97" s="149"/>
      <c r="F97" s="149"/>
      <c r="G97" s="149"/>
      <c r="H97" s="149"/>
      <c r="I97" s="188">
        <f t="shared" si="32"/>
        <v>0</v>
      </c>
      <c r="J97" s="170"/>
      <c r="K97" s="149"/>
      <c r="L97" s="149"/>
      <c r="M97" s="149"/>
      <c r="N97" s="149"/>
      <c r="O97" s="149"/>
      <c r="P97" s="188">
        <f t="shared" si="35"/>
        <v>0</v>
      </c>
      <c r="Q97" s="132">
        <f t="shared" si="30"/>
        <v>0</v>
      </c>
      <c r="R97" s="133">
        <f t="shared" si="31"/>
        <v>0</v>
      </c>
      <c r="S97" s="121" t="str">
        <f t="shared" si="36"/>
        <v/>
      </c>
    </row>
    <row r="98" hidden="1" outlineLevel="1">
      <c r="A98" s="190"/>
      <c r="B98" s="125"/>
      <c r="C98" s="170"/>
      <c r="D98" s="149"/>
      <c r="E98" s="149"/>
      <c r="F98" s="149"/>
      <c r="G98" s="149"/>
      <c r="H98" s="149"/>
      <c r="I98" s="188">
        <f t="shared" si="32"/>
        <v>0</v>
      </c>
      <c r="J98" s="170"/>
      <c r="K98" s="149"/>
      <c r="L98" s="149"/>
      <c r="M98" s="149"/>
      <c r="N98" s="149"/>
      <c r="O98" s="149"/>
      <c r="P98" s="188">
        <f t="shared" si="35"/>
        <v>0</v>
      </c>
      <c r="Q98" s="132">
        <f t="shared" si="30"/>
        <v>0</v>
      </c>
      <c r="R98" s="133">
        <f t="shared" si="31"/>
        <v>0</v>
      </c>
      <c r="S98" s="121" t="str">
        <f t="shared" si="36"/>
        <v/>
      </c>
    </row>
    <row r="99" hidden="1" outlineLevel="1">
      <c r="A99" s="190"/>
      <c r="B99" s="125"/>
      <c r="C99" s="170"/>
      <c r="D99" s="149"/>
      <c r="E99" s="149"/>
      <c r="F99" s="149"/>
      <c r="G99" s="149"/>
      <c r="H99" s="149"/>
      <c r="I99" s="188">
        <f t="shared" si="32"/>
        <v>0</v>
      </c>
      <c r="J99" s="170"/>
      <c r="K99" s="149"/>
      <c r="L99" s="149"/>
      <c r="M99" s="149"/>
      <c r="N99" s="149"/>
      <c r="O99" s="149"/>
      <c r="P99" s="188">
        <f t="shared" si="35"/>
        <v>0</v>
      </c>
      <c r="Q99" s="132">
        <f t="shared" si="30"/>
        <v>0</v>
      </c>
      <c r="R99" s="133">
        <f t="shared" si="31"/>
        <v>0</v>
      </c>
      <c r="S99" s="121" t="str">
        <f t="shared" si="36"/>
        <v/>
      </c>
    </row>
    <row r="100" hidden="1" outlineLevel="1">
      <c r="A100" s="190"/>
      <c r="B100" s="125"/>
      <c r="C100" s="170"/>
      <c r="D100" s="149"/>
      <c r="E100" s="149"/>
      <c r="F100" s="149"/>
      <c r="G100" s="149"/>
      <c r="H100" s="149"/>
      <c r="I100" s="188">
        <f t="shared" si="32"/>
        <v>0</v>
      </c>
      <c r="J100" s="170"/>
      <c r="K100" s="149"/>
      <c r="L100" s="149"/>
      <c r="M100" s="149"/>
      <c r="N100" s="149"/>
      <c r="O100" s="149"/>
      <c r="P100" s="188">
        <f t="shared" si="35"/>
        <v>0</v>
      </c>
      <c r="Q100" s="132">
        <f t="shared" si="30"/>
        <v>0</v>
      </c>
      <c r="R100" s="133">
        <f t="shared" si="31"/>
        <v>0</v>
      </c>
      <c r="S100" s="121" t="str">
        <f t="shared" si="36"/>
        <v/>
      </c>
    </row>
    <row r="101">
      <c r="A101" s="135"/>
      <c r="B101" s="136" t="s">
        <v>90</v>
      </c>
      <c r="C101" s="137">
        <f t="shared" ref="C101:K101" si="37">SUM(C102:C131)</f>
        <v>0</v>
      </c>
      <c r="D101" s="138">
        <f t="shared" si="37"/>
        <v>0</v>
      </c>
      <c r="E101" s="138">
        <f t="shared" si="37"/>
        <v>0</v>
      </c>
      <c r="F101" s="138">
        <f t="shared" si="37"/>
        <v>0</v>
      </c>
      <c r="G101" s="138">
        <f t="shared" si="37"/>
        <v>0</v>
      </c>
      <c r="H101" s="138">
        <f t="shared" si="37"/>
        <v>0</v>
      </c>
      <c r="I101" s="139">
        <f t="shared" si="37"/>
        <v>0</v>
      </c>
      <c r="J101" s="137">
        <f t="shared" si="37"/>
        <v>0</v>
      </c>
      <c r="K101" s="138">
        <f t="shared" si="37"/>
        <v>0</v>
      </c>
      <c r="L101" s="138"/>
      <c r="M101" s="138"/>
      <c r="N101" s="138"/>
      <c r="O101" s="138"/>
      <c r="P101" s="140">
        <f>SUM(P102:P131)</f>
        <v>0</v>
      </c>
      <c r="Q101" s="138">
        <f t="shared" si="30"/>
        <v>0</v>
      </c>
      <c r="R101" s="187">
        <f t="shared" si="31"/>
        <v>0</v>
      </c>
      <c r="S101" s="141" t="str">
        <f>IF(Q101=0,"",IF(R101&gt;1,"план не выполнен","выполнение"))</f>
        <v/>
      </c>
    </row>
    <row r="102">
      <c r="A102" s="142" t="str">
        <f>IFERROR(VLOOKUP(B102,'Статьи'!$A$2:C124,3,0)," ")</f>
        <v>1С</v>
      </c>
      <c r="B102" s="125" t="str">
        <f>IFERROR(__xludf.DUMMYFUNCTION("iferror(filter('Статьи'!$A$1:$A177,'Статьи'!$B$1:$B177=$B$101))"),"Аренда, коммунальные услуги")</f>
        <v>Аренда, коммунальные услуги</v>
      </c>
      <c r="C102" s="171"/>
      <c r="D102" s="172"/>
      <c r="E102" s="149"/>
      <c r="F102" s="149"/>
      <c r="G102" s="149"/>
      <c r="H102" s="149"/>
      <c r="I102" s="188">
        <f t="shared" ref="I102:I141" si="38">sum(C102:H102)</f>
        <v>0</v>
      </c>
      <c r="J102" s="170"/>
      <c r="K102" s="149"/>
      <c r="L102" s="149"/>
      <c r="M102" s="149"/>
      <c r="N102" s="149"/>
      <c r="O102" s="149"/>
      <c r="P102" s="188">
        <f t="shared" ref="P102:P131" si="39">SUM(J102:K102)</f>
        <v>0</v>
      </c>
      <c r="Q102" s="132">
        <f t="shared" si="30"/>
        <v>0</v>
      </c>
      <c r="R102" s="133">
        <f t="shared" si="31"/>
        <v>0</v>
      </c>
      <c r="S102" s="121" t="str">
        <f t="shared" ref="S102:S131" si="40">IF(Q102=0,"",IF(R102=0,"обратить внимание",IF(R102&gt;1,"перерасход","экономия")))</f>
        <v/>
      </c>
    </row>
    <row r="103">
      <c r="A103" s="191" t="str">
        <f>IFERROR(VLOOKUP(B103,'Статьи'!$A$2:C125,3,0)," ")</f>
        <v>1С</v>
      </c>
      <c r="B103" s="192" t="str">
        <f>IFERROR(__xludf.DUMMYFUNCTION("""COMPUTED_VALUE"""),"Аутсорсинг и прочие услуги")</f>
        <v>Аутсорсинг и прочие услуги</v>
      </c>
      <c r="C103" s="171"/>
      <c r="D103" s="172"/>
      <c r="E103" s="149"/>
      <c r="F103" s="149"/>
      <c r="G103" s="149"/>
      <c r="H103" s="149"/>
      <c r="I103" s="188">
        <f t="shared" si="38"/>
        <v>0</v>
      </c>
      <c r="J103" s="170"/>
      <c r="K103" s="149"/>
      <c r="L103" s="149"/>
      <c r="M103" s="149"/>
      <c r="N103" s="149"/>
      <c r="O103" s="149"/>
      <c r="P103" s="188">
        <f t="shared" si="39"/>
        <v>0</v>
      </c>
      <c r="Q103" s="132">
        <f t="shared" si="30"/>
        <v>0</v>
      </c>
      <c r="R103" s="133">
        <f t="shared" si="31"/>
        <v>0</v>
      </c>
      <c r="S103" s="121" t="str">
        <f t="shared" si="40"/>
        <v/>
      </c>
    </row>
    <row r="104">
      <c r="A104" s="193" t="str">
        <f>IFERROR(VLOOKUP(B104,'Статьи'!$A$2:C126,3,0)," ")</f>
        <v>1С</v>
      </c>
      <c r="B104" s="194" t="str">
        <f>IFERROR(__xludf.DUMMYFUNCTION("""COMPUTED_VALUE"""),"Командировочные расходы")</f>
        <v>Командировочные расходы</v>
      </c>
      <c r="C104" s="171"/>
      <c r="D104" s="172"/>
      <c r="E104" s="149"/>
      <c r="F104" s="149"/>
      <c r="G104" s="149"/>
      <c r="H104" s="149"/>
      <c r="I104" s="188">
        <f t="shared" si="38"/>
        <v>0</v>
      </c>
      <c r="J104" s="170"/>
      <c r="K104" s="149"/>
      <c r="L104" s="149"/>
      <c r="M104" s="149"/>
      <c r="N104" s="149"/>
      <c r="O104" s="149"/>
      <c r="P104" s="188">
        <f t="shared" si="39"/>
        <v>0</v>
      </c>
      <c r="Q104" s="132">
        <f t="shared" si="30"/>
        <v>0</v>
      </c>
      <c r="R104" s="133">
        <f t="shared" si="31"/>
        <v>0</v>
      </c>
      <c r="S104" s="121" t="str">
        <f t="shared" si="40"/>
        <v/>
      </c>
    </row>
    <row r="105">
      <c r="A105" s="195" t="str">
        <f>IFERROR(VLOOKUP(B105,'Статьи'!$A$2:C127,3,0)," ")</f>
        <v>ДДС отчетного месяца. Без НДС!</v>
      </c>
      <c r="B105" s="196" t="str">
        <f>IFERROR(__xludf.DUMMYFUNCTION("""COMPUTED_VALUE"""),"Комиссии банка")</f>
        <v>Комиссии банка</v>
      </c>
      <c r="C105" s="171"/>
      <c r="D105" s="172"/>
      <c r="E105" s="149"/>
      <c r="F105" s="149"/>
      <c r="G105" s="149"/>
      <c r="H105" s="149"/>
      <c r="I105" s="188">
        <f t="shared" si="38"/>
        <v>0</v>
      </c>
      <c r="J105" s="170"/>
      <c r="K105" s="149"/>
      <c r="L105" s="149"/>
      <c r="M105" s="149"/>
      <c r="N105" s="149"/>
      <c r="O105" s="149"/>
      <c r="P105" s="188">
        <f t="shared" si="39"/>
        <v>0</v>
      </c>
      <c r="Q105" s="132">
        <f t="shared" si="30"/>
        <v>0</v>
      </c>
      <c r="R105" s="133">
        <f t="shared" si="31"/>
        <v>0</v>
      </c>
      <c r="S105" s="121" t="str">
        <f t="shared" si="40"/>
        <v/>
      </c>
    </row>
    <row r="106">
      <c r="A106" s="191" t="str">
        <f>IFERROR(VLOOKUP(B106,'Статьи'!$A$2:C128,3,0)," ")</f>
        <v>ДДС отчетного месяца. Без НДС!</v>
      </c>
      <c r="B106" s="192" t="str">
        <f>IFERROR(__xludf.DUMMYFUNCTION("""COMPUTED_VALUE"""),"Обучение сотрудников")</f>
        <v>Обучение сотрудников</v>
      </c>
      <c r="C106" s="171"/>
      <c r="D106" s="172"/>
      <c r="E106" s="149"/>
      <c r="F106" s="149"/>
      <c r="G106" s="149"/>
      <c r="H106" s="149"/>
      <c r="I106" s="188">
        <f t="shared" si="38"/>
        <v>0</v>
      </c>
      <c r="J106" s="170"/>
      <c r="K106" s="149"/>
      <c r="L106" s="149"/>
      <c r="M106" s="149"/>
      <c r="N106" s="149"/>
      <c r="O106" s="149"/>
      <c r="P106" s="188">
        <f t="shared" si="39"/>
        <v>0</v>
      </c>
      <c r="Q106" s="132">
        <f t="shared" si="30"/>
        <v>0</v>
      </c>
      <c r="R106" s="133">
        <f t="shared" si="31"/>
        <v>0</v>
      </c>
      <c r="S106" s="121" t="str">
        <f t="shared" si="40"/>
        <v/>
      </c>
    </row>
    <row r="107">
      <c r="A107" s="142" t="str">
        <f>IFERROR(VLOOKUP(B107,'Статьи'!$A$2:C129,3,0)," ")</f>
        <v>ДДС отчетного месяца. Без НДС!</v>
      </c>
      <c r="B107" s="125" t="str">
        <f>IFERROR(__xludf.DUMMYFUNCTION("""COMPUTED_VALUE"""),"Подбор персонала")</f>
        <v>Подбор персонала</v>
      </c>
      <c r="C107" s="171"/>
      <c r="D107" s="172"/>
      <c r="E107" s="149"/>
      <c r="F107" s="149"/>
      <c r="G107" s="149"/>
      <c r="H107" s="149"/>
      <c r="I107" s="188">
        <f t="shared" si="38"/>
        <v>0</v>
      </c>
      <c r="J107" s="189"/>
      <c r="K107" s="149"/>
      <c r="L107" s="149"/>
      <c r="M107" s="149"/>
      <c r="N107" s="149"/>
      <c r="O107" s="149"/>
      <c r="P107" s="188">
        <f t="shared" si="39"/>
        <v>0</v>
      </c>
      <c r="Q107" s="132">
        <f t="shared" si="30"/>
        <v>0</v>
      </c>
      <c r="R107" s="133">
        <f t="shared" si="31"/>
        <v>0</v>
      </c>
      <c r="S107" s="121" t="str">
        <f t="shared" si="40"/>
        <v/>
      </c>
    </row>
    <row r="108">
      <c r="A108" s="142" t="str">
        <f>IFERROR(VLOOKUP(B108,'Статьи'!$A$2:C130,3,0)," ")</f>
        <v>ДДС отчетного месяца. Без НДС!</v>
      </c>
      <c r="B108" s="125" t="str">
        <f>IFERROR(__xludf.DUMMYFUNCTION("""COMPUTED_VALUE"""),"Почтовые расходы")</f>
        <v>Почтовые расходы</v>
      </c>
      <c r="C108" s="171"/>
      <c r="D108" s="172"/>
      <c r="E108" s="149"/>
      <c r="F108" s="149"/>
      <c r="G108" s="149"/>
      <c r="H108" s="149"/>
      <c r="I108" s="188">
        <f t="shared" si="38"/>
        <v>0</v>
      </c>
      <c r="J108" s="170"/>
      <c r="K108" s="149"/>
      <c r="L108" s="149"/>
      <c r="M108" s="149"/>
      <c r="N108" s="149"/>
      <c r="O108" s="149"/>
      <c r="P108" s="188">
        <f t="shared" si="39"/>
        <v>0</v>
      </c>
      <c r="Q108" s="132">
        <f t="shared" si="30"/>
        <v>0</v>
      </c>
      <c r="R108" s="133">
        <f t="shared" si="31"/>
        <v>0</v>
      </c>
      <c r="S108" s="121" t="str">
        <f t="shared" si="40"/>
        <v/>
      </c>
    </row>
    <row r="109">
      <c r="A109" s="142" t="str">
        <f>IFERROR(VLOOKUP(B109,'Статьи'!$A$2:C131,3,0)," ")</f>
        <v>ДДС отчетного месяца. Без НДС!</v>
      </c>
      <c r="B109" s="125" t="str">
        <f>IFERROR(__xludf.DUMMYFUNCTION("""COMPUTED_VALUE"""),"Представительские расходы")</f>
        <v>Представительские расходы</v>
      </c>
      <c r="C109" s="171"/>
      <c r="D109" s="172"/>
      <c r="E109" s="149"/>
      <c r="F109" s="149"/>
      <c r="G109" s="149"/>
      <c r="H109" s="149"/>
      <c r="I109" s="188">
        <f t="shared" si="38"/>
        <v>0</v>
      </c>
      <c r="J109" s="170"/>
      <c r="K109" s="149"/>
      <c r="L109" s="149"/>
      <c r="M109" s="149"/>
      <c r="N109" s="149"/>
      <c r="O109" s="149"/>
      <c r="P109" s="188">
        <f t="shared" si="39"/>
        <v>0</v>
      </c>
      <c r="Q109" s="132">
        <f t="shared" si="30"/>
        <v>0</v>
      </c>
      <c r="R109" s="133">
        <f t="shared" si="31"/>
        <v>0</v>
      </c>
      <c r="S109" s="121" t="str">
        <f t="shared" si="40"/>
        <v/>
      </c>
    </row>
    <row r="110">
      <c r="A110" s="142" t="str">
        <f>IFERROR(VLOOKUP(B110,'Статьи'!$A$2:C132,3,0)," ")</f>
        <v>ДДС отчетного месяца. Без НДС!</v>
      </c>
      <c r="B110" s="125" t="str">
        <f>IFERROR(__xludf.DUMMYFUNCTION("""COMPUTED_VALUE"""),"Содержание офиса")</f>
        <v>Содержание офиса</v>
      </c>
      <c r="C110" s="171"/>
      <c r="D110" s="172"/>
      <c r="E110" s="149"/>
      <c r="F110" s="149"/>
      <c r="G110" s="149"/>
      <c r="H110" s="149"/>
      <c r="I110" s="188">
        <f t="shared" si="38"/>
        <v>0</v>
      </c>
      <c r="J110" s="189"/>
      <c r="K110" s="149"/>
      <c r="L110" s="149"/>
      <c r="M110" s="149"/>
      <c r="N110" s="149"/>
      <c r="O110" s="149"/>
      <c r="P110" s="188">
        <f t="shared" si="39"/>
        <v>0</v>
      </c>
      <c r="Q110" s="132">
        <f t="shared" si="30"/>
        <v>0</v>
      </c>
      <c r="R110" s="133">
        <f t="shared" si="31"/>
        <v>0</v>
      </c>
      <c r="S110" s="121" t="str">
        <f t="shared" si="40"/>
        <v/>
      </c>
    </row>
    <row r="111">
      <c r="A111" s="142" t="str">
        <f>IFERROR(VLOOKUP(B111,'Статьи'!$A$2:C133,3,0)," ")</f>
        <v>ДДС отчетного месяца. Без НДС!</v>
      </c>
      <c r="B111" s="125" t="str">
        <f>IFERROR(__xludf.DUMMYFUNCTION("""COMPUTED_VALUE"""),"Услуги связи + Интернет")</f>
        <v>Услуги связи + Интернет</v>
      </c>
      <c r="C111" s="171"/>
      <c r="D111" s="172"/>
      <c r="E111" s="149"/>
      <c r="F111" s="149"/>
      <c r="G111" s="149"/>
      <c r="H111" s="149"/>
      <c r="I111" s="188">
        <f t="shared" si="38"/>
        <v>0</v>
      </c>
      <c r="J111" s="189"/>
      <c r="K111" s="149"/>
      <c r="L111" s="149"/>
      <c r="M111" s="149"/>
      <c r="N111" s="149"/>
      <c r="O111" s="149"/>
      <c r="P111" s="188">
        <f t="shared" si="39"/>
        <v>0</v>
      </c>
      <c r="Q111" s="132">
        <f t="shared" si="30"/>
        <v>0</v>
      </c>
      <c r="R111" s="133">
        <f t="shared" si="31"/>
        <v>0</v>
      </c>
      <c r="S111" s="121" t="str">
        <f t="shared" si="40"/>
        <v/>
      </c>
    </row>
    <row r="112">
      <c r="A112" s="142" t="str">
        <f>IFERROR(VLOOKUP(B112,'Статьи'!$A$2:C134,3,0)," ")</f>
        <v>ДДС отчетного месяца. Без НДС!</v>
      </c>
      <c r="B112" s="125" t="str">
        <f>IFERROR(__xludf.DUMMYFUNCTION("""COMPUTED_VALUE"""),"Штрафы")</f>
        <v>Штрафы</v>
      </c>
      <c r="C112" s="171"/>
      <c r="D112" s="172"/>
      <c r="E112" s="149"/>
      <c r="F112" s="149"/>
      <c r="G112" s="149"/>
      <c r="H112" s="149"/>
      <c r="I112" s="188">
        <f t="shared" si="38"/>
        <v>0</v>
      </c>
      <c r="J112" s="189"/>
      <c r="K112" s="149"/>
      <c r="L112" s="149"/>
      <c r="M112" s="149"/>
      <c r="N112" s="149"/>
      <c r="O112" s="149"/>
      <c r="P112" s="188">
        <f t="shared" si="39"/>
        <v>0</v>
      </c>
      <c r="Q112" s="132">
        <f t="shared" si="30"/>
        <v>0</v>
      </c>
      <c r="R112" s="133">
        <f t="shared" si="31"/>
        <v>0</v>
      </c>
      <c r="S112" s="121" t="str">
        <f t="shared" si="40"/>
        <v/>
      </c>
    </row>
    <row r="113" collapsed="1">
      <c r="A113" s="142" t="str">
        <f>IFERROR(VLOOKUP(B113,'Статьи'!$A$2:C135,3,0)," ")</f>
        <v> </v>
      </c>
      <c r="B113" s="125"/>
      <c r="C113" s="197"/>
      <c r="D113" s="149"/>
      <c r="E113" s="149"/>
      <c r="F113" s="149"/>
      <c r="G113" s="149"/>
      <c r="H113" s="149"/>
      <c r="I113" s="188">
        <f t="shared" si="38"/>
        <v>0</v>
      </c>
      <c r="J113" s="189"/>
      <c r="K113" s="149"/>
      <c r="L113" s="149"/>
      <c r="M113" s="149"/>
      <c r="N113" s="149"/>
      <c r="O113" s="149"/>
      <c r="P113" s="188">
        <f t="shared" si="39"/>
        <v>0</v>
      </c>
      <c r="Q113" s="132">
        <f t="shared" si="30"/>
        <v>0</v>
      </c>
      <c r="R113" s="133">
        <f t="shared" si="31"/>
        <v>0</v>
      </c>
      <c r="S113" s="121" t="str">
        <f t="shared" si="40"/>
        <v/>
      </c>
    </row>
    <row r="114" hidden="1" outlineLevel="1">
      <c r="A114" s="142" t="str">
        <f>IFERROR(VLOOKUP(B114,'Статьи'!$A$2:C136,3,0)," ")</f>
        <v> </v>
      </c>
      <c r="B114" s="125"/>
      <c r="C114" s="197"/>
      <c r="D114" s="149"/>
      <c r="E114" s="149"/>
      <c r="F114" s="149"/>
      <c r="G114" s="149"/>
      <c r="H114" s="149"/>
      <c r="I114" s="188">
        <f t="shared" si="38"/>
        <v>0</v>
      </c>
      <c r="J114" s="170"/>
      <c r="K114" s="149"/>
      <c r="L114" s="149"/>
      <c r="M114" s="149"/>
      <c r="N114" s="149"/>
      <c r="O114" s="149"/>
      <c r="P114" s="188">
        <f t="shared" si="39"/>
        <v>0</v>
      </c>
      <c r="Q114" s="132">
        <f t="shared" si="30"/>
        <v>0</v>
      </c>
      <c r="R114" s="133">
        <f t="shared" si="31"/>
        <v>0</v>
      </c>
      <c r="S114" s="121" t="str">
        <f t="shared" si="40"/>
        <v/>
      </c>
    </row>
    <row r="115" hidden="1" outlineLevel="1">
      <c r="A115" s="142" t="str">
        <f>IFERROR(VLOOKUP(B115,'Статьи'!$A$2:C137,3,0)," ")</f>
        <v> </v>
      </c>
      <c r="B115" s="125"/>
      <c r="C115" s="197"/>
      <c r="D115" s="149"/>
      <c r="E115" s="198"/>
      <c r="F115" s="198"/>
      <c r="G115" s="198"/>
      <c r="H115" s="198"/>
      <c r="I115" s="188">
        <f t="shared" si="38"/>
        <v>0</v>
      </c>
      <c r="J115" s="189"/>
      <c r="K115" s="149"/>
      <c r="L115" s="149"/>
      <c r="M115" s="149"/>
      <c r="N115" s="149"/>
      <c r="O115" s="149"/>
      <c r="P115" s="188">
        <f t="shared" si="39"/>
        <v>0</v>
      </c>
      <c r="Q115" s="132">
        <f t="shared" si="30"/>
        <v>0</v>
      </c>
      <c r="R115" s="133">
        <f t="shared" si="31"/>
        <v>0</v>
      </c>
      <c r="S115" s="121" t="str">
        <f t="shared" si="40"/>
        <v/>
      </c>
    </row>
    <row r="116" hidden="1" outlineLevel="1">
      <c r="A116" s="142" t="str">
        <f>IFERROR(VLOOKUP(B116,'Статьи'!$A$2:C138,3,0)," ")</f>
        <v> </v>
      </c>
      <c r="B116" s="125"/>
      <c r="C116" s="197"/>
      <c r="D116" s="149"/>
      <c r="E116" s="149"/>
      <c r="F116" s="149"/>
      <c r="G116" s="149"/>
      <c r="H116" s="149"/>
      <c r="I116" s="188">
        <f t="shared" si="38"/>
        <v>0</v>
      </c>
      <c r="J116" s="189"/>
      <c r="K116" s="149"/>
      <c r="L116" s="149"/>
      <c r="M116" s="149"/>
      <c r="N116" s="149"/>
      <c r="O116" s="149"/>
      <c r="P116" s="188">
        <f t="shared" si="39"/>
        <v>0</v>
      </c>
      <c r="Q116" s="132">
        <f t="shared" si="30"/>
        <v>0</v>
      </c>
      <c r="R116" s="133">
        <f t="shared" si="31"/>
        <v>0</v>
      </c>
      <c r="S116" s="121" t="str">
        <f t="shared" si="40"/>
        <v/>
      </c>
    </row>
    <row r="117" hidden="1" outlineLevel="1">
      <c r="A117" s="142" t="str">
        <f>IFERROR(VLOOKUP(B117,'Статьи'!$A$2:C139,3,0)," ")</f>
        <v> </v>
      </c>
      <c r="B117" s="125"/>
      <c r="C117" s="197"/>
      <c r="D117" s="149"/>
      <c r="E117" s="149"/>
      <c r="F117" s="149"/>
      <c r="G117" s="149"/>
      <c r="H117" s="149"/>
      <c r="I117" s="188">
        <f t="shared" si="38"/>
        <v>0</v>
      </c>
      <c r="J117" s="189"/>
      <c r="K117" s="149"/>
      <c r="L117" s="149"/>
      <c r="M117" s="149"/>
      <c r="N117" s="149"/>
      <c r="O117" s="149"/>
      <c r="P117" s="188">
        <f t="shared" si="39"/>
        <v>0</v>
      </c>
      <c r="Q117" s="132">
        <f t="shared" si="30"/>
        <v>0</v>
      </c>
      <c r="R117" s="133">
        <f t="shared" si="31"/>
        <v>0</v>
      </c>
      <c r="S117" s="121" t="str">
        <f t="shared" si="40"/>
        <v/>
      </c>
    </row>
    <row r="118" hidden="1" outlineLevel="1">
      <c r="A118" s="142" t="str">
        <f>IFERROR(VLOOKUP(B118,'Статьи'!$A$2:C140,3,0)," ")</f>
        <v> </v>
      </c>
      <c r="B118" s="125"/>
      <c r="C118" s="197"/>
      <c r="D118" s="149"/>
      <c r="E118" s="149"/>
      <c r="F118" s="149"/>
      <c r="G118" s="149"/>
      <c r="H118" s="149"/>
      <c r="I118" s="188">
        <f t="shared" si="38"/>
        <v>0</v>
      </c>
      <c r="J118" s="170"/>
      <c r="K118" s="149"/>
      <c r="L118" s="149"/>
      <c r="M118" s="149"/>
      <c r="N118" s="149"/>
      <c r="O118" s="149"/>
      <c r="P118" s="188">
        <f t="shared" si="39"/>
        <v>0</v>
      </c>
      <c r="Q118" s="132">
        <f t="shared" si="30"/>
        <v>0</v>
      </c>
      <c r="R118" s="133">
        <f t="shared" si="31"/>
        <v>0</v>
      </c>
      <c r="S118" s="121" t="str">
        <f t="shared" si="40"/>
        <v/>
      </c>
    </row>
    <row r="119" hidden="1" outlineLevel="1">
      <c r="A119" s="142" t="str">
        <f>IFERROR(VLOOKUP(B119,'Статьи'!$A$2:C141,3,0)," ")</f>
        <v> </v>
      </c>
      <c r="B119" s="125"/>
      <c r="C119" s="197"/>
      <c r="D119" s="149"/>
      <c r="E119" s="149"/>
      <c r="F119" s="149"/>
      <c r="G119" s="149"/>
      <c r="H119" s="149"/>
      <c r="I119" s="188">
        <f t="shared" si="38"/>
        <v>0</v>
      </c>
      <c r="J119" s="189"/>
      <c r="K119" s="149"/>
      <c r="L119" s="149"/>
      <c r="M119" s="149"/>
      <c r="N119" s="149"/>
      <c r="O119" s="149"/>
      <c r="P119" s="188">
        <f t="shared" si="39"/>
        <v>0</v>
      </c>
      <c r="Q119" s="132">
        <f t="shared" si="30"/>
        <v>0</v>
      </c>
      <c r="R119" s="133">
        <f t="shared" si="31"/>
        <v>0</v>
      </c>
      <c r="S119" s="121" t="str">
        <f t="shared" si="40"/>
        <v/>
      </c>
    </row>
    <row r="120" hidden="1" outlineLevel="1">
      <c r="A120" s="142" t="str">
        <f>IFERROR(VLOOKUP(B120,'Статьи'!$A$2:C142,3,0)," ")</f>
        <v> </v>
      </c>
      <c r="B120" s="125"/>
      <c r="C120" s="197"/>
      <c r="D120" s="149"/>
      <c r="E120" s="149"/>
      <c r="F120" s="149"/>
      <c r="G120" s="149"/>
      <c r="H120" s="149"/>
      <c r="I120" s="188">
        <f t="shared" si="38"/>
        <v>0</v>
      </c>
      <c r="J120" s="189"/>
      <c r="K120" s="149"/>
      <c r="L120" s="149"/>
      <c r="M120" s="149"/>
      <c r="N120" s="149"/>
      <c r="O120" s="149"/>
      <c r="P120" s="188">
        <f t="shared" si="39"/>
        <v>0</v>
      </c>
      <c r="Q120" s="132">
        <f t="shared" si="30"/>
        <v>0</v>
      </c>
      <c r="R120" s="133">
        <f t="shared" si="31"/>
        <v>0</v>
      </c>
      <c r="S120" s="121" t="str">
        <f t="shared" si="40"/>
        <v/>
      </c>
    </row>
    <row r="121" hidden="1" outlineLevel="1">
      <c r="A121" s="142" t="str">
        <f>IFERROR(VLOOKUP(B121,'Статьи'!$A$2:C143,3,0)," ")</f>
        <v> </v>
      </c>
      <c r="B121" s="125"/>
      <c r="C121" s="197"/>
      <c r="D121" s="149"/>
      <c r="E121" s="149"/>
      <c r="F121" s="149"/>
      <c r="G121" s="149"/>
      <c r="H121" s="149"/>
      <c r="I121" s="188">
        <f t="shared" si="38"/>
        <v>0</v>
      </c>
      <c r="J121" s="170"/>
      <c r="K121" s="149"/>
      <c r="L121" s="149"/>
      <c r="M121" s="149"/>
      <c r="N121" s="149"/>
      <c r="O121" s="149"/>
      <c r="P121" s="188">
        <f t="shared" si="39"/>
        <v>0</v>
      </c>
      <c r="Q121" s="132">
        <f t="shared" si="30"/>
        <v>0</v>
      </c>
      <c r="R121" s="133">
        <f t="shared" si="31"/>
        <v>0</v>
      </c>
      <c r="S121" s="121" t="str">
        <f t="shared" si="40"/>
        <v/>
      </c>
    </row>
    <row r="122" hidden="1" outlineLevel="1">
      <c r="A122" s="142" t="str">
        <f>IFERROR(VLOOKUP(B122,'Статьи'!$A$2:C144,3,0)," ")</f>
        <v> </v>
      </c>
      <c r="B122" s="125"/>
      <c r="C122" s="197"/>
      <c r="D122" s="149"/>
      <c r="E122" s="149"/>
      <c r="F122" s="149"/>
      <c r="G122" s="149"/>
      <c r="H122" s="149"/>
      <c r="I122" s="188">
        <f t="shared" si="38"/>
        <v>0</v>
      </c>
      <c r="J122" s="189"/>
      <c r="K122" s="149"/>
      <c r="L122" s="149"/>
      <c r="M122" s="149"/>
      <c r="N122" s="149"/>
      <c r="O122" s="149"/>
      <c r="P122" s="188">
        <f t="shared" si="39"/>
        <v>0</v>
      </c>
      <c r="Q122" s="132">
        <f t="shared" si="30"/>
        <v>0</v>
      </c>
      <c r="R122" s="133">
        <f t="shared" si="31"/>
        <v>0</v>
      </c>
      <c r="S122" s="121" t="str">
        <f t="shared" si="40"/>
        <v/>
      </c>
    </row>
    <row r="123" hidden="1" outlineLevel="1">
      <c r="A123" s="142" t="str">
        <f>IFERROR(VLOOKUP(B123,'Статьи'!$A$2:C145,3,0)," ")</f>
        <v> </v>
      </c>
      <c r="B123" s="125"/>
      <c r="C123" s="197"/>
      <c r="D123" s="149"/>
      <c r="E123" s="149"/>
      <c r="F123" s="149"/>
      <c r="G123" s="149"/>
      <c r="H123" s="149"/>
      <c r="I123" s="188">
        <f t="shared" si="38"/>
        <v>0</v>
      </c>
      <c r="J123" s="170"/>
      <c r="K123" s="149"/>
      <c r="L123" s="149"/>
      <c r="M123" s="149"/>
      <c r="N123" s="149"/>
      <c r="O123" s="149"/>
      <c r="P123" s="188">
        <f t="shared" si="39"/>
        <v>0</v>
      </c>
      <c r="Q123" s="132">
        <f t="shared" si="30"/>
        <v>0</v>
      </c>
      <c r="R123" s="133">
        <f t="shared" si="31"/>
        <v>0</v>
      </c>
      <c r="S123" s="121" t="str">
        <f t="shared" si="40"/>
        <v/>
      </c>
    </row>
    <row r="124" hidden="1" outlineLevel="1">
      <c r="A124" s="142" t="str">
        <f>IFERROR(VLOOKUP(B124,'Статьи'!$A$2:C146,3,0)," ")</f>
        <v> </v>
      </c>
      <c r="B124" s="125"/>
      <c r="C124" s="170"/>
      <c r="D124" s="149"/>
      <c r="E124" s="149"/>
      <c r="F124" s="149"/>
      <c r="G124" s="149"/>
      <c r="H124" s="149"/>
      <c r="I124" s="188">
        <f t="shared" si="38"/>
        <v>0</v>
      </c>
      <c r="J124" s="170"/>
      <c r="K124" s="149"/>
      <c r="L124" s="149"/>
      <c r="M124" s="149"/>
      <c r="N124" s="149"/>
      <c r="O124" s="149"/>
      <c r="P124" s="188">
        <f t="shared" si="39"/>
        <v>0</v>
      </c>
      <c r="Q124" s="132">
        <f t="shared" si="30"/>
        <v>0</v>
      </c>
      <c r="R124" s="133">
        <f t="shared" si="31"/>
        <v>0</v>
      </c>
      <c r="S124" s="121" t="str">
        <f t="shared" si="40"/>
        <v/>
      </c>
    </row>
    <row r="125" hidden="1" outlineLevel="1">
      <c r="A125" s="142" t="str">
        <f>IFERROR(VLOOKUP(B125,'Статьи'!$A$2:C147,3,0)," ")</f>
        <v> </v>
      </c>
      <c r="B125" s="125"/>
      <c r="C125" s="170"/>
      <c r="D125" s="149"/>
      <c r="E125" s="149"/>
      <c r="F125" s="149"/>
      <c r="G125" s="149"/>
      <c r="H125" s="149"/>
      <c r="I125" s="188">
        <f t="shared" si="38"/>
        <v>0</v>
      </c>
      <c r="J125" s="170"/>
      <c r="K125" s="149"/>
      <c r="L125" s="149"/>
      <c r="M125" s="149"/>
      <c r="N125" s="149"/>
      <c r="O125" s="149"/>
      <c r="P125" s="188">
        <f t="shared" si="39"/>
        <v>0</v>
      </c>
      <c r="Q125" s="132">
        <f t="shared" si="30"/>
        <v>0</v>
      </c>
      <c r="R125" s="133">
        <f t="shared" si="31"/>
        <v>0</v>
      </c>
      <c r="S125" s="121" t="str">
        <f t="shared" si="40"/>
        <v/>
      </c>
    </row>
    <row r="126" hidden="1" outlineLevel="1">
      <c r="A126" s="142" t="str">
        <f>IFERROR(VLOOKUP(B126,'Статьи'!$A$2:C148,3,0)," ")</f>
        <v> </v>
      </c>
      <c r="B126" s="125"/>
      <c r="C126" s="170"/>
      <c r="D126" s="149"/>
      <c r="E126" s="149"/>
      <c r="F126" s="149"/>
      <c r="G126" s="149"/>
      <c r="H126" s="149"/>
      <c r="I126" s="188">
        <f t="shared" si="38"/>
        <v>0</v>
      </c>
      <c r="J126" s="170"/>
      <c r="K126" s="149"/>
      <c r="L126" s="149"/>
      <c r="M126" s="149"/>
      <c r="N126" s="149"/>
      <c r="O126" s="149"/>
      <c r="P126" s="188">
        <f t="shared" si="39"/>
        <v>0</v>
      </c>
      <c r="Q126" s="132">
        <f t="shared" si="30"/>
        <v>0</v>
      </c>
      <c r="R126" s="133">
        <f t="shared" si="31"/>
        <v>0</v>
      </c>
      <c r="S126" s="121" t="str">
        <f t="shared" si="40"/>
        <v/>
      </c>
    </row>
    <row r="127" hidden="1" outlineLevel="1">
      <c r="A127" s="142" t="str">
        <f>IFERROR(VLOOKUP(B127,'Статьи'!$A$2:C149,3,0)," ")</f>
        <v> </v>
      </c>
      <c r="B127" s="125"/>
      <c r="C127" s="170"/>
      <c r="D127" s="149"/>
      <c r="E127" s="149"/>
      <c r="F127" s="149"/>
      <c r="G127" s="149"/>
      <c r="H127" s="149"/>
      <c r="I127" s="188">
        <f t="shared" si="38"/>
        <v>0</v>
      </c>
      <c r="J127" s="170"/>
      <c r="K127" s="149"/>
      <c r="L127" s="149"/>
      <c r="M127" s="149"/>
      <c r="N127" s="149"/>
      <c r="O127" s="149"/>
      <c r="P127" s="188">
        <f t="shared" si="39"/>
        <v>0</v>
      </c>
      <c r="Q127" s="132">
        <f t="shared" si="30"/>
        <v>0</v>
      </c>
      <c r="R127" s="133">
        <f t="shared" si="31"/>
        <v>0</v>
      </c>
      <c r="S127" s="121" t="str">
        <f t="shared" si="40"/>
        <v/>
      </c>
    </row>
    <row r="128" hidden="1" outlineLevel="1">
      <c r="A128" s="142" t="str">
        <f>IFERROR(VLOOKUP(B128,'Статьи'!$A$2:C150,3,0)," ")</f>
        <v> </v>
      </c>
      <c r="B128" s="125"/>
      <c r="C128" s="170"/>
      <c r="D128" s="149"/>
      <c r="E128" s="149"/>
      <c r="F128" s="149"/>
      <c r="G128" s="149"/>
      <c r="H128" s="149"/>
      <c r="I128" s="188">
        <f t="shared" si="38"/>
        <v>0</v>
      </c>
      <c r="J128" s="170"/>
      <c r="K128" s="149"/>
      <c r="L128" s="149"/>
      <c r="M128" s="149"/>
      <c r="N128" s="149"/>
      <c r="O128" s="149"/>
      <c r="P128" s="188">
        <f t="shared" si="39"/>
        <v>0</v>
      </c>
      <c r="Q128" s="132">
        <f t="shared" si="30"/>
        <v>0</v>
      </c>
      <c r="R128" s="133">
        <f t="shared" si="31"/>
        <v>0</v>
      </c>
      <c r="S128" s="121" t="str">
        <f t="shared" si="40"/>
        <v/>
      </c>
    </row>
    <row r="129" hidden="1" outlineLevel="1">
      <c r="A129" s="142" t="str">
        <f>IFERROR(VLOOKUP(B129,'Статьи'!$A$2:C151,3,0)," ")</f>
        <v> </v>
      </c>
      <c r="B129" s="125"/>
      <c r="C129" s="170"/>
      <c r="D129" s="149"/>
      <c r="E129" s="149"/>
      <c r="F129" s="149"/>
      <c r="G129" s="149"/>
      <c r="H129" s="149"/>
      <c r="I129" s="188">
        <f t="shared" si="38"/>
        <v>0</v>
      </c>
      <c r="J129" s="170"/>
      <c r="K129" s="149"/>
      <c r="L129" s="149"/>
      <c r="M129" s="149"/>
      <c r="N129" s="149"/>
      <c r="O129" s="149"/>
      <c r="P129" s="188">
        <f t="shared" si="39"/>
        <v>0</v>
      </c>
      <c r="Q129" s="132">
        <f t="shared" si="30"/>
        <v>0</v>
      </c>
      <c r="R129" s="133">
        <f t="shared" si="31"/>
        <v>0</v>
      </c>
      <c r="S129" s="121" t="str">
        <f t="shared" si="40"/>
        <v/>
      </c>
    </row>
    <row r="130" hidden="1" outlineLevel="1">
      <c r="A130" s="142" t="str">
        <f>IFERROR(VLOOKUP(B130,'Статьи'!$A$2:C152,3,0)," ")</f>
        <v> </v>
      </c>
      <c r="B130" s="125"/>
      <c r="C130" s="170"/>
      <c r="D130" s="149"/>
      <c r="E130" s="149"/>
      <c r="F130" s="149"/>
      <c r="G130" s="149"/>
      <c r="H130" s="149"/>
      <c r="I130" s="188">
        <f t="shared" si="38"/>
        <v>0</v>
      </c>
      <c r="J130" s="170"/>
      <c r="K130" s="149"/>
      <c r="L130" s="149"/>
      <c r="M130" s="149"/>
      <c r="N130" s="149"/>
      <c r="O130" s="149"/>
      <c r="P130" s="188">
        <f t="shared" si="39"/>
        <v>0</v>
      </c>
      <c r="Q130" s="132">
        <f t="shared" si="30"/>
        <v>0</v>
      </c>
      <c r="R130" s="133">
        <f t="shared" si="31"/>
        <v>0</v>
      </c>
      <c r="S130" s="121" t="str">
        <f t="shared" si="40"/>
        <v/>
      </c>
    </row>
    <row r="131">
      <c r="A131" s="142" t="str">
        <f>IFERROR(VLOOKUP(B131,'Статьи'!$A$2:C153,3,0)," ")</f>
        <v> </v>
      </c>
      <c r="B131" s="125"/>
      <c r="C131" s="170"/>
      <c r="D131" s="149"/>
      <c r="E131" s="149"/>
      <c r="F131" s="149"/>
      <c r="G131" s="149"/>
      <c r="H131" s="149"/>
      <c r="I131" s="188">
        <f t="shared" si="38"/>
        <v>0</v>
      </c>
      <c r="J131" s="170"/>
      <c r="K131" s="149"/>
      <c r="L131" s="149"/>
      <c r="M131" s="149"/>
      <c r="N131" s="149"/>
      <c r="O131" s="149"/>
      <c r="P131" s="188">
        <f t="shared" si="39"/>
        <v>0</v>
      </c>
      <c r="Q131" s="132">
        <f t="shared" si="30"/>
        <v>0</v>
      </c>
      <c r="R131" s="133">
        <f t="shared" si="31"/>
        <v>0</v>
      </c>
      <c r="S131" s="121" t="str">
        <f t="shared" si="40"/>
        <v/>
      </c>
    </row>
    <row r="132">
      <c r="A132" s="135"/>
      <c r="B132" s="136" t="s">
        <v>107</v>
      </c>
      <c r="C132" s="137">
        <f t="shared" ref="C132:H132" si="41">SUM(C133:C141)</f>
        <v>0</v>
      </c>
      <c r="D132" s="138">
        <f t="shared" si="41"/>
        <v>0</v>
      </c>
      <c r="E132" s="138">
        <f t="shared" si="41"/>
        <v>0</v>
      </c>
      <c r="F132" s="138">
        <f t="shared" si="41"/>
        <v>0</v>
      </c>
      <c r="G132" s="138">
        <f t="shared" si="41"/>
        <v>0</v>
      </c>
      <c r="H132" s="138">
        <f t="shared" si="41"/>
        <v>0</v>
      </c>
      <c r="I132" s="139">
        <f t="shared" si="38"/>
        <v>0</v>
      </c>
      <c r="J132" s="137">
        <f t="shared" ref="J132:P132" si="42">SUM(J133:J141)</f>
        <v>0</v>
      </c>
      <c r="K132" s="138">
        <f t="shared" si="42"/>
        <v>0</v>
      </c>
      <c r="L132" s="138">
        <f t="shared" si="42"/>
        <v>0</v>
      </c>
      <c r="M132" s="138">
        <f t="shared" si="42"/>
        <v>0</v>
      </c>
      <c r="N132" s="138">
        <f t="shared" si="42"/>
        <v>0</v>
      </c>
      <c r="O132" s="138">
        <f t="shared" si="42"/>
        <v>0</v>
      </c>
      <c r="P132" s="140">
        <f t="shared" si="42"/>
        <v>0</v>
      </c>
      <c r="Q132" s="138">
        <f t="shared" si="30"/>
        <v>0</v>
      </c>
      <c r="R132" s="187">
        <f t="shared" si="31"/>
        <v>0</v>
      </c>
      <c r="S132" s="229" t="str">
        <f>IF(Q132=0,"",IF(R132&gt;1,"план не выполнен","выполнение"))</f>
        <v/>
      </c>
    </row>
    <row r="133" collapsed="1">
      <c r="A133" s="142" t="str">
        <f>IFERROR(VLOOKUP(B133,'Статьи'!$A$2:C155,3,0)," ")</f>
        <v>ДДС отчетного месяца. Без НДС!</v>
      </c>
      <c r="B133" s="125" t="str">
        <f>IFERROR(__xludf.DUMMYFUNCTION("iferror(filter('Статьи'!$A$1:$A177,'Статьи'!$B$1:$B177=$B$132))"),"Подписка на сайты по поиску клиентов")</f>
        <v>Подписка на сайты по поиску клиентов</v>
      </c>
      <c r="C133" s="170"/>
      <c r="D133" s="149"/>
      <c r="E133" s="149"/>
      <c r="F133" s="149"/>
      <c r="G133" s="149"/>
      <c r="H133" s="149"/>
      <c r="I133" s="188">
        <f t="shared" si="38"/>
        <v>0</v>
      </c>
      <c r="J133" s="170"/>
      <c r="K133" s="149"/>
      <c r="L133" s="149"/>
      <c r="M133" s="149"/>
      <c r="N133" s="149"/>
      <c r="O133" s="149"/>
      <c r="P133" s="188">
        <f t="shared" ref="P133:P140" si="43">SUM(J133:K133)</f>
        <v>0</v>
      </c>
      <c r="Q133" s="132">
        <f t="shared" si="30"/>
        <v>0</v>
      </c>
      <c r="R133" s="133">
        <f t="shared" si="31"/>
        <v>0</v>
      </c>
      <c r="S133" s="121" t="str">
        <f t="shared" ref="S133:S141" si="44">IF(Q133=0,"",IF(R133=0,"обратить внимание",IF(R133&gt;1,"перерасход","экономия")))</f>
        <v/>
      </c>
    </row>
    <row r="134" hidden="1" outlineLevel="1">
      <c r="A134" s="142" t="str">
        <f>IFERROR(VLOOKUP(B134,'Статьи'!$A$2:C156,3,0)," ")</f>
        <v> </v>
      </c>
      <c r="B134" s="125"/>
      <c r="C134" s="170"/>
      <c r="D134" s="149"/>
      <c r="E134" s="149"/>
      <c r="F134" s="149"/>
      <c r="G134" s="149"/>
      <c r="H134" s="149"/>
      <c r="I134" s="188">
        <f t="shared" si="38"/>
        <v>0</v>
      </c>
      <c r="J134" s="170"/>
      <c r="K134" s="149"/>
      <c r="L134" s="149"/>
      <c r="M134" s="149"/>
      <c r="N134" s="149"/>
      <c r="O134" s="149"/>
      <c r="P134" s="188">
        <f t="shared" si="43"/>
        <v>0</v>
      </c>
      <c r="Q134" s="132">
        <f t="shared" si="30"/>
        <v>0</v>
      </c>
      <c r="R134" s="133">
        <f t="shared" si="31"/>
        <v>0</v>
      </c>
      <c r="S134" s="121" t="str">
        <f t="shared" si="44"/>
        <v/>
      </c>
    </row>
    <row r="135" hidden="1" outlineLevel="1">
      <c r="A135" s="175" t="str">
        <f>IFERROR(VLOOKUP(B135,'Статьи'!$A$2:C157,3,0)," ")</f>
        <v> </v>
      </c>
      <c r="B135" s="175"/>
      <c r="C135" s="170"/>
      <c r="D135" s="149"/>
      <c r="E135" s="149"/>
      <c r="F135" s="149"/>
      <c r="G135" s="149"/>
      <c r="H135" s="149"/>
      <c r="I135" s="188">
        <f t="shared" si="38"/>
        <v>0</v>
      </c>
      <c r="J135" s="170"/>
      <c r="K135" s="149"/>
      <c r="L135" s="149"/>
      <c r="M135" s="149"/>
      <c r="N135" s="149"/>
      <c r="O135" s="149"/>
      <c r="P135" s="188">
        <f t="shared" si="43"/>
        <v>0</v>
      </c>
      <c r="Q135" s="132">
        <f t="shared" si="30"/>
        <v>0</v>
      </c>
      <c r="R135" s="133">
        <f t="shared" si="31"/>
        <v>0</v>
      </c>
      <c r="S135" s="121" t="str">
        <f t="shared" si="44"/>
        <v/>
      </c>
    </row>
    <row r="136" hidden="1" outlineLevel="1">
      <c r="A136" s="175" t="str">
        <f>IFERROR(VLOOKUP(B136,'Статьи'!$A$2:C158,3,0)," ")</f>
        <v> </v>
      </c>
      <c r="B136" s="175"/>
      <c r="C136" s="170"/>
      <c r="D136" s="149"/>
      <c r="E136" s="149"/>
      <c r="F136" s="149"/>
      <c r="G136" s="149"/>
      <c r="H136" s="149"/>
      <c r="I136" s="188">
        <f t="shared" si="38"/>
        <v>0</v>
      </c>
      <c r="J136" s="170"/>
      <c r="K136" s="149"/>
      <c r="L136" s="149"/>
      <c r="M136" s="149"/>
      <c r="N136" s="149"/>
      <c r="O136" s="149"/>
      <c r="P136" s="188">
        <f t="shared" si="43"/>
        <v>0</v>
      </c>
      <c r="Q136" s="132">
        <f t="shared" si="30"/>
        <v>0</v>
      </c>
      <c r="R136" s="133">
        <f t="shared" si="31"/>
        <v>0</v>
      </c>
      <c r="S136" s="121" t="str">
        <f t="shared" si="44"/>
        <v/>
      </c>
    </row>
    <row r="137" hidden="1" outlineLevel="1">
      <c r="A137" s="175" t="str">
        <f>IFERROR(VLOOKUP(B137,'Статьи'!$A$2:C159,3,0)," ")</f>
        <v> </v>
      </c>
      <c r="B137" s="175"/>
      <c r="C137" s="170"/>
      <c r="D137" s="149"/>
      <c r="E137" s="149"/>
      <c r="F137" s="149"/>
      <c r="G137" s="149"/>
      <c r="H137" s="149"/>
      <c r="I137" s="188">
        <f t="shared" si="38"/>
        <v>0</v>
      </c>
      <c r="J137" s="170"/>
      <c r="K137" s="149"/>
      <c r="L137" s="149"/>
      <c r="M137" s="149"/>
      <c r="N137" s="149"/>
      <c r="O137" s="149"/>
      <c r="P137" s="188">
        <f t="shared" si="43"/>
        <v>0</v>
      </c>
      <c r="Q137" s="132">
        <f t="shared" si="30"/>
        <v>0</v>
      </c>
      <c r="R137" s="133">
        <f t="shared" si="31"/>
        <v>0</v>
      </c>
      <c r="S137" s="121" t="str">
        <f t="shared" si="44"/>
        <v/>
      </c>
    </row>
    <row r="138" hidden="1" outlineLevel="1">
      <c r="A138" s="175" t="str">
        <f>IFERROR(VLOOKUP(B138,'Статьи'!$A$2:C160,3,0)," ")</f>
        <v> </v>
      </c>
      <c r="B138" s="175"/>
      <c r="C138" s="170"/>
      <c r="D138" s="149"/>
      <c r="E138" s="149"/>
      <c r="F138" s="149"/>
      <c r="G138" s="149"/>
      <c r="H138" s="149"/>
      <c r="I138" s="188">
        <f t="shared" si="38"/>
        <v>0</v>
      </c>
      <c r="J138" s="170"/>
      <c r="K138" s="149"/>
      <c r="L138" s="149"/>
      <c r="M138" s="149"/>
      <c r="N138" s="149"/>
      <c r="O138" s="149"/>
      <c r="P138" s="188">
        <f t="shared" si="43"/>
        <v>0</v>
      </c>
      <c r="Q138" s="132">
        <f t="shared" si="30"/>
        <v>0</v>
      </c>
      <c r="R138" s="133">
        <f t="shared" si="31"/>
        <v>0</v>
      </c>
      <c r="S138" s="121" t="str">
        <f t="shared" si="44"/>
        <v/>
      </c>
    </row>
    <row r="139" hidden="1" outlineLevel="1">
      <c r="A139" s="175" t="str">
        <f>IFERROR(VLOOKUP(B139,'Статьи'!$A$2:C161,3,0)," ")</f>
        <v> </v>
      </c>
      <c r="B139" s="175"/>
      <c r="C139" s="170"/>
      <c r="D139" s="149"/>
      <c r="E139" s="149"/>
      <c r="F139" s="149"/>
      <c r="G139" s="149"/>
      <c r="H139" s="149"/>
      <c r="I139" s="188">
        <f t="shared" si="38"/>
        <v>0</v>
      </c>
      <c r="J139" s="170"/>
      <c r="K139" s="149"/>
      <c r="L139" s="149"/>
      <c r="M139" s="149"/>
      <c r="N139" s="149"/>
      <c r="O139" s="149"/>
      <c r="P139" s="188">
        <f t="shared" si="43"/>
        <v>0</v>
      </c>
      <c r="Q139" s="132">
        <f t="shared" si="30"/>
        <v>0</v>
      </c>
      <c r="R139" s="133">
        <f t="shared" si="31"/>
        <v>0</v>
      </c>
      <c r="S139" s="121" t="str">
        <f t="shared" si="44"/>
        <v/>
      </c>
    </row>
    <row r="140" hidden="1" outlineLevel="1">
      <c r="A140" s="175" t="str">
        <f>IFERROR(VLOOKUP(B140,'Статьи'!$A$2:C162,3,0)," ")</f>
        <v> </v>
      </c>
      <c r="B140" s="175"/>
      <c r="C140" s="170"/>
      <c r="D140" s="149"/>
      <c r="E140" s="149"/>
      <c r="F140" s="149"/>
      <c r="G140" s="149"/>
      <c r="H140" s="149"/>
      <c r="I140" s="188">
        <f t="shared" si="38"/>
        <v>0</v>
      </c>
      <c r="J140" s="170"/>
      <c r="K140" s="149"/>
      <c r="L140" s="149"/>
      <c r="M140" s="149"/>
      <c r="N140" s="149"/>
      <c r="O140" s="149"/>
      <c r="P140" s="188">
        <f t="shared" si="43"/>
        <v>0</v>
      </c>
      <c r="Q140" s="132">
        <f t="shared" si="30"/>
        <v>0</v>
      </c>
      <c r="R140" s="133">
        <f t="shared" si="31"/>
        <v>0</v>
      </c>
      <c r="S140" s="121" t="str">
        <f t="shared" si="44"/>
        <v/>
      </c>
    </row>
    <row r="141">
      <c r="A141" s="175" t="str">
        <f>IFERROR(VLOOKUP(B141,'Статьи'!$A$2:C163,3,0)," ")</f>
        <v> </v>
      </c>
      <c r="B141" s="175"/>
      <c r="C141" s="170"/>
      <c r="D141" s="149"/>
      <c r="E141" s="149"/>
      <c r="F141" s="149"/>
      <c r="G141" s="149"/>
      <c r="H141" s="149"/>
      <c r="I141" s="188">
        <f t="shared" si="38"/>
        <v>0</v>
      </c>
      <c r="J141" s="170"/>
      <c r="K141" s="149"/>
      <c r="L141" s="149"/>
      <c r="M141" s="149"/>
      <c r="N141" s="149"/>
      <c r="O141" s="149"/>
      <c r="P141" s="188">
        <f>sum(F141:J141)</f>
        <v>0</v>
      </c>
      <c r="Q141" s="132">
        <f t="shared" si="30"/>
        <v>0</v>
      </c>
      <c r="R141" s="133">
        <f t="shared" si="31"/>
        <v>0</v>
      </c>
      <c r="S141" s="121" t="str">
        <f t="shared" si="44"/>
        <v/>
      </c>
    </row>
    <row r="142">
      <c r="A142" s="152"/>
      <c r="B142" s="153" t="s">
        <v>142</v>
      </c>
      <c r="C142" s="154">
        <f t="shared" ref="C142:K142" si="45">C85+C88</f>
        <v>5</v>
      </c>
      <c r="D142" s="155">
        <f t="shared" si="45"/>
        <v>0</v>
      </c>
      <c r="E142" s="155">
        <f t="shared" si="45"/>
        <v>0</v>
      </c>
      <c r="F142" s="155">
        <f t="shared" si="45"/>
        <v>0</v>
      </c>
      <c r="G142" s="155">
        <f t="shared" si="45"/>
        <v>0</v>
      </c>
      <c r="H142" s="155">
        <f t="shared" si="45"/>
        <v>0</v>
      </c>
      <c r="I142" s="157">
        <f t="shared" si="45"/>
        <v>5</v>
      </c>
      <c r="J142" s="154">
        <f t="shared" si="45"/>
        <v>0</v>
      </c>
      <c r="K142" s="155">
        <f t="shared" si="45"/>
        <v>0</v>
      </c>
      <c r="L142" s="155"/>
      <c r="M142" s="155"/>
      <c r="N142" s="155"/>
      <c r="O142" s="155"/>
      <c r="P142" s="157">
        <f>P85+P88</f>
        <v>0</v>
      </c>
      <c r="Q142" s="155">
        <f t="shared" si="30"/>
        <v>5</v>
      </c>
      <c r="R142" s="158">
        <f t="shared" si="31"/>
        <v>0</v>
      </c>
      <c r="S142" s="159" t="str">
        <f>IF(Q142=0,"",IF(R142&gt;1,"выполнение","план не выполнен"))</f>
        <v>план не выполнен</v>
      </c>
    </row>
    <row r="143">
      <c r="A143" s="160"/>
      <c r="B143" s="161" t="s">
        <v>143</v>
      </c>
      <c r="C143" s="162">
        <f t="shared" ref="C143:K143" si="46">IFERROR(C142/C$3,"")</f>
        <v>1</v>
      </c>
      <c r="D143" s="163" t="str">
        <f t="shared" si="46"/>
        <v/>
      </c>
      <c r="E143" s="163" t="str">
        <f t="shared" si="46"/>
        <v/>
      </c>
      <c r="F143" s="163" t="str">
        <f t="shared" si="46"/>
        <v/>
      </c>
      <c r="G143" s="163" t="str">
        <f t="shared" si="46"/>
        <v/>
      </c>
      <c r="H143" s="163" t="str">
        <f t="shared" si="46"/>
        <v/>
      </c>
      <c r="I143" s="164">
        <f t="shared" si="46"/>
        <v>1</v>
      </c>
      <c r="J143" s="162" t="str">
        <f t="shared" si="46"/>
        <v/>
      </c>
      <c r="K143" s="163" t="str">
        <f t="shared" si="46"/>
        <v/>
      </c>
      <c r="L143" s="163"/>
      <c r="M143" s="163"/>
      <c r="N143" s="163"/>
      <c r="O143" s="163"/>
      <c r="P143" s="164" t="str">
        <f>IFERROR(P142/P$3,"")</f>
        <v/>
      </c>
      <c r="Q143" s="133"/>
      <c r="R143" s="133"/>
      <c r="S143" s="121" t="str">
        <f t="shared" ref="S143:S144" si="47">IF(Q143=0,"",IF(Q143=0,0,IF(R143&gt;1,"перерасход","экономия")))</f>
        <v/>
      </c>
    </row>
    <row r="144">
      <c r="A144" s="142"/>
      <c r="B144" s="125"/>
      <c r="C144" s="199"/>
      <c r="D144" s="200"/>
      <c r="E144" s="200"/>
      <c r="F144" s="200"/>
      <c r="G144" s="200"/>
      <c r="H144" s="200"/>
      <c r="I144" s="116"/>
      <c r="J144" s="123"/>
      <c r="K144" s="118"/>
      <c r="L144" s="118"/>
      <c r="M144" s="118"/>
      <c r="N144" s="118"/>
      <c r="O144" s="118"/>
      <c r="P144" s="116"/>
      <c r="Q144" s="132"/>
      <c r="R144" s="133"/>
      <c r="S144" s="121" t="str">
        <f t="shared" si="47"/>
        <v/>
      </c>
    </row>
    <row r="145">
      <c r="A145" s="201"/>
      <c r="B145" s="202" t="s">
        <v>111</v>
      </c>
      <c r="C145" s="203">
        <f t="shared" ref="C145:H145" si="48">SUM(C146:C154)</f>
        <v>0</v>
      </c>
      <c r="D145" s="204">
        <f t="shared" si="48"/>
        <v>0</v>
      </c>
      <c r="E145" s="204">
        <f t="shared" si="48"/>
        <v>0</v>
      </c>
      <c r="F145" s="204">
        <f t="shared" si="48"/>
        <v>0</v>
      </c>
      <c r="G145" s="204">
        <f t="shared" si="48"/>
        <v>0</v>
      </c>
      <c r="H145" s="204">
        <f t="shared" si="48"/>
        <v>0</v>
      </c>
      <c r="I145" s="205">
        <f>SUM(C145:H145)</f>
        <v>0</v>
      </c>
      <c r="J145" s="206">
        <f t="shared" ref="J145:P145" si="49">SUM(J146:J154)</f>
        <v>0</v>
      </c>
      <c r="K145" s="207">
        <f t="shared" si="49"/>
        <v>0</v>
      </c>
      <c r="L145" s="207">
        <f t="shared" si="49"/>
        <v>0</v>
      </c>
      <c r="M145" s="207">
        <f t="shared" si="49"/>
        <v>0</v>
      </c>
      <c r="N145" s="207">
        <f t="shared" si="49"/>
        <v>0</v>
      </c>
      <c r="O145" s="207">
        <f t="shared" si="49"/>
        <v>0</v>
      </c>
      <c r="P145" s="208">
        <f t="shared" si="49"/>
        <v>0</v>
      </c>
      <c r="Q145" s="204">
        <f t="shared" ref="Q145:Q173" si="50">I145-P145</f>
        <v>0</v>
      </c>
      <c r="R145" s="209">
        <f t="shared" ref="R145:R173" si="51">IFERROR(I145/P145,0)</f>
        <v>0</v>
      </c>
      <c r="S145" s="210" t="str">
        <f>IF(Q145=0,"",IF(R145&gt;1,"выполнение","план не выполнен"))</f>
        <v/>
      </c>
    </row>
    <row r="146">
      <c r="A146" s="142" t="str">
        <f>IFERROR(VLOOKUP(B146,'Статьи'!$A$2:C168,3,0)," ")</f>
        <v>ДДС отчетного месяца. Без НДС!</v>
      </c>
      <c r="B146" s="125" t="str">
        <f>IFERROR(__xludf.DUMMYFUNCTION("iferror(filter('Статьи'!$A$1:$A177,'Статьи'!$B$1:$B177=B145))"),"Поступления прочие")</f>
        <v>Поступления прочие</v>
      </c>
      <c r="C146" s="170"/>
      <c r="D146" s="149"/>
      <c r="E146" s="149"/>
      <c r="F146" s="149"/>
      <c r="G146" s="149"/>
      <c r="H146" s="149"/>
      <c r="I146" s="211">
        <f t="shared" ref="I146:I172" si="52">sum(C146:H146)</f>
        <v>0</v>
      </c>
      <c r="J146" s="122"/>
      <c r="K146" s="114"/>
      <c r="L146" s="114"/>
      <c r="M146" s="114"/>
      <c r="N146" s="114"/>
      <c r="O146" s="114"/>
      <c r="P146" s="211">
        <f t="shared" ref="P146:P153" si="53">SUM(J146:K146)</f>
        <v>0</v>
      </c>
      <c r="Q146" s="132">
        <f t="shared" si="50"/>
        <v>0</v>
      </c>
      <c r="R146" s="133">
        <f t="shared" si="51"/>
        <v>0</v>
      </c>
      <c r="S146" s="121" t="str">
        <f t="shared" ref="S146:S154" si="54">IF(Q146=0,"",IF(R146=0,"обратить внимание",IF(R146&gt;1,"выполнение","план не выполнен")))</f>
        <v/>
      </c>
    </row>
    <row r="147">
      <c r="A147" s="142" t="str">
        <f>IFERROR(VLOOKUP(B147,'Статьи'!$A$2:C169,3,0)," ")</f>
        <v>ДДС отчетного месяца. Без НДС!</v>
      </c>
      <c r="B147" s="125" t="str">
        <f>IFERROR(__xludf.DUMMYFUNCTION("""COMPUTED_VALUE"""),"Поступления страховые выплаты")</f>
        <v>Поступления страховые выплаты</v>
      </c>
      <c r="C147" s="170"/>
      <c r="D147" s="149"/>
      <c r="E147" s="149"/>
      <c r="F147" s="149"/>
      <c r="G147" s="149"/>
      <c r="H147" s="149"/>
      <c r="I147" s="211">
        <f t="shared" si="52"/>
        <v>0</v>
      </c>
      <c r="J147" s="122"/>
      <c r="K147" s="114"/>
      <c r="L147" s="114"/>
      <c r="M147" s="114"/>
      <c r="N147" s="114"/>
      <c r="O147" s="114"/>
      <c r="P147" s="211">
        <f t="shared" si="53"/>
        <v>0</v>
      </c>
      <c r="Q147" s="132">
        <f t="shared" si="50"/>
        <v>0</v>
      </c>
      <c r="R147" s="133">
        <f t="shared" si="51"/>
        <v>0</v>
      </c>
      <c r="S147" s="121" t="str">
        <f t="shared" si="54"/>
        <v/>
      </c>
    </row>
    <row r="148">
      <c r="A148" s="142" t="str">
        <f>IFERROR(VLOOKUP(B148,'Статьи'!$A$2:C170,3,0)," ")</f>
        <v>отчет Учета ОС Вкладка Свод строка 37</v>
      </c>
      <c r="B148" s="125" t="str">
        <f>IFERROR(__xludf.DUMMYFUNCTION("""COMPUTED_VALUE"""),"Продажа ОС")</f>
        <v>Продажа ОС</v>
      </c>
      <c r="C148" s="170"/>
      <c r="D148" s="149"/>
      <c r="E148" s="149"/>
      <c r="F148" s="149"/>
      <c r="G148" s="149"/>
      <c r="H148" s="149"/>
      <c r="I148" s="211">
        <f t="shared" si="52"/>
        <v>0</v>
      </c>
      <c r="J148" s="122"/>
      <c r="K148" s="114"/>
      <c r="L148" s="114"/>
      <c r="M148" s="114"/>
      <c r="N148" s="114"/>
      <c r="O148" s="114"/>
      <c r="P148" s="211">
        <f t="shared" si="53"/>
        <v>0</v>
      </c>
      <c r="Q148" s="132">
        <f t="shared" si="50"/>
        <v>0</v>
      </c>
      <c r="R148" s="133">
        <f t="shared" si="51"/>
        <v>0</v>
      </c>
      <c r="S148" s="121" t="str">
        <f t="shared" si="54"/>
        <v/>
      </c>
    </row>
    <row r="149">
      <c r="A149" s="142" t="str">
        <f>IFERROR(VLOOKUP(B149,'Статьи'!$A$2:C171,3,0)," ")</f>
        <v>ДДС отчетного месяца. Без НДС!</v>
      </c>
      <c r="B149" s="125" t="str">
        <f>IFERROR(__xludf.DUMMYFUNCTION("""COMPUTED_VALUE"""),"Прочие поступления от фин. операций")</f>
        <v>Прочие поступления от фин. операций</v>
      </c>
      <c r="C149" s="170"/>
      <c r="D149" s="149"/>
      <c r="E149" s="149"/>
      <c r="F149" s="149"/>
      <c r="G149" s="149"/>
      <c r="H149" s="149"/>
      <c r="I149" s="211">
        <f t="shared" si="52"/>
        <v>0</v>
      </c>
      <c r="J149" s="122"/>
      <c r="K149" s="114"/>
      <c r="L149" s="114"/>
      <c r="M149" s="114"/>
      <c r="N149" s="114"/>
      <c r="O149" s="114"/>
      <c r="P149" s="211">
        <f t="shared" si="53"/>
        <v>0</v>
      </c>
      <c r="Q149" s="132">
        <f t="shared" si="50"/>
        <v>0</v>
      </c>
      <c r="R149" s="133">
        <f t="shared" si="51"/>
        <v>0</v>
      </c>
      <c r="S149" s="121" t="str">
        <f t="shared" si="54"/>
        <v/>
      </c>
    </row>
    <row r="150">
      <c r="A150" s="142" t="str">
        <f>IFERROR(VLOOKUP(B150,'Статьи'!$A$2:C172,3,0)," ")</f>
        <v> </v>
      </c>
      <c r="B150" s="125"/>
      <c r="C150" s="170"/>
      <c r="D150" s="149"/>
      <c r="E150" s="149"/>
      <c r="F150" s="149"/>
      <c r="G150" s="149"/>
      <c r="H150" s="149"/>
      <c r="I150" s="211">
        <f t="shared" si="52"/>
        <v>0</v>
      </c>
      <c r="J150" s="122" t="str">
        <f>C150</f>
        <v/>
      </c>
      <c r="K150" s="114"/>
      <c r="L150" s="114"/>
      <c r="M150" s="114"/>
      <c r="N150" s="114"/>
      <c r="O150" s="114"/>
      <c r="P150" s="211">
        <f t="shared" si="53"/>
        <v>0</v>
      </c>
      <c r="Q150" s="132">
        <f t="shared" si="50"/>
        <v>0</v>
      </c>
      <c r="R150" s="133">
        <f t="shared" si="51"/>
        <v>0</v>
      </c>
      <c r="S150" s="121" t="str">
        <f t="shared" si="54"/>
        <v/>
      </c>
    </row>
    <row r="151" collapsed="1">
      <c r="A151" s="142" t="str">
        <f>IFERROR(VLOOKUP(B151,'Статьи'!$A$2:C173,3,0)," ")</f>
        <v> </v>
      </c>
      <c r="B151" s="125"/>
      <c r="C151" s="170"/>
      <c r="D151" s="149"/>
      <c r="E151" s="149"/>
      <c r="F151" s="149"/>
      <c r="G151" s="149"/>
      <c r="H151" s="149"/>
      <c r="I151" s="211">
        <f t="shared" si="52"/>
        <v>0</v>
      </c>
      <c r="J151" s="122"/>
      <c r="K151" s="114"/>
      <c r="L151" s="114"/>
      <c r="M151" s="114"/>
      <c r="N151" s="114"/>
      <c r="O151" s="114"/>
      <c r="P151" s="211">
        <f t="shared" si="53"/>
        <v>0</v>
      </c>
      <c r="Q151" s="132">
        <f t="shared" si="50"/>
        <v>0</v>
      </c>
      <c r="R151" s="133">
        <f t="shared" si="51"/>
        <v>0</v>
      </c>
      <c r="S151" s="121" t="str">
        <f t="shared" si="54"/>
        <v/>
      </c>
    </row>
    <row r="152" hidden="1" outlineLevel="1">
      <c r="A152" s="142" t="str">
        <f>IFERROR(VLOOKUP(B152,'Статьи'!$A$2:C174,3,0)," ")</f>
        <v> </v>
      </c>
      <c r="B152" s="125"/>
      <c r="C152" s="170"/>
      <c r="D152" s="149"/>
      <c r="E152" s="149"/>
      <c r="F152" s="149"/>
      <c r="G152" s="149"/>
      <c r="H152" s="149"/>
      <c r="I152" s="211">
        <f t="shared" si="52"/>
        <v>0</v>
      </c>
      <c r="J152" s="122"/>
      <c r="K152" s="114"/>
      <c r="L152" s="114"/>
      <c r="M152" s="114"/>
      <c r="N152" s="114"/>
      <c r="O152" s="114"/>
      <c r="P152" s="211">
        <f t="shared" si="53"/>
        <v>0</v>
      </c>
      <c r="Q152" s="132">
        <f t="shared" si="50"/>
        <v>0</v>
      </c>
      <c r="R152" s="133">
        <f t="shared" si="51"/>
        <v>0</v>
      </c>
      <c r="S152" s="121" t="str">
        <f t="shared" si="54"/>
        <v/>
      </c>
    </row>
    <row r="153" hidden="1" outlineLevel="1">
      <c r="A153" s="142" t="str">
        <f>IFERROR(VLOOKUP(B153,'Статьи'!$A$2:C175,3,0)," ")</f>
        <v> </v>
      </c>
      <c r="B153" s="125"/>
      <c r="C153" s="170"/>
      <c r="D153" s="149"/>
      <c r="E153" s="149"/>
      <c r="F153" s="149"/>
      <c r="G153" s="149"/>
      <c r="H153" s="149"/>
      <c r="I153" s="211">
        <f t="shared" si="52"/>
        <v>0</v>
      </c>
      <c r="J153" s="122"/>
      <c r="K153" s="114"/>
      <c r="L153" s="114"/>
      <c r="M153" s="114"/>
      <c r="N153" s="114"/>
      <c r="O153" s="114"/>
      <c r="P153" s="211">
        <f t="shared" si="53"/>
        <v>0</v>
      </c>
      <c r="Q153" s="132">
        <f t="shared" si="50"/>
        <v>0</v>
      </c>
      <c r="R153" s="133">
        <f t="shared" si="51"/>
        <v>0</v>
      </c>
      <c r="S153" s="121" t="str">
        <f t="shared" si="54"/>
        <v/>
      </c>
    </row>
    <row r="154">
      <c r="A154" s="142" t="str">
        <f>IFERROR(VLOOKUP(B154,'Статьи'!$A$2:C176,3,0)," ")</f>
        <v> </v>
      </c>
      <c r="B154" s="125"/>
      <c r="C154" s="170"/>
      <c r="D154" s="149"/>
      <c r="E154" s="149"/>
      <c r="F154" s="149"/>
      <c r="G154" s="149"/>
      <c r="H154" s="149"/>
      <c r="I154" s="211">
        <f t="shared" si="52"/>
        <v>0</v>
      </c>
      <c r="J154" s="122"/>
      <c r="K154" s="114"/>
      <c r="L154" s="114"/>
      <c r="M154" s="114"/>
      <c r="N154" s="114"/>
      <c r="O154" s="114"/>
      <c r="P154" s="211">
        <f>sum(F154:J154)</f>
        <v>0</v>
      </c>
      <c r="Q154" s="132">
        <f t="shared" si="50"/>
        <v>0</v>
      </c>
      <c r="R154" s="133">
        <f t="shared" si="51"/>
        <v>0</v>
      </c>
      <c r="S154" s="121" t="str">
        <f t="shared" si="54"/>
        <v/>
      </c>
    </row>
    <row r="155">
      <c r="A155" s="212"/>
      <c r="B155" s="213" t="s">
        <v>101</v>
      </c>
      <c r="C155" s="203">
        <f t="shared" ref="C155:H155" si="55">SUM(C156:C172)</f>
        <v>0</v>
      </c>
      <c r="D155" s="204">
        <f t="shared" si="55"/>
        <v>0</v>
      </c>
      <c r="E155" s="204">
        <f t="shared" si="55"/>
        <v>0</v>
      </c>
      <c r="F155" s="204">
        <f t="shared" si="55"/>
        <v>0</v>
      </c>
      <c r="G155" s="204">
        <f t="shared" si="55"/>
        <v>0</v>
      </c>
      <c r="H155" s="204">
        <f t="shared" si="55"/>
        <v>0</v>
      </c>
      <c r="I155" s="208">
        <f t="shared" si="52"/>
        <v>0</v>
      </c>
      <c r="J155" s="206">
        <f t="shared" ref="J155:K155" si="56">SUM(J156:J172)</f>
        <v>0</v>
      </c>
      <c r="K155" s="207">
        <f t="shared" si="56"/>
        <v>0</v>
      </c>
      <c r="L155" s="207"/>
      <c r="M155" s="207"/>
      <c r="N155" s="207"/>
      <c r="O155" s="207"/>
      <c r="P155" s="208">
        <f>SUM(P156:P172)</f>
        <v>0</v>
      </c>
      <c r="Q155" s="207">
        <f t="shared" si="50"/>
        <v>0</v>
      </c>
      <c r="R155" s="214">
        <f t="shared" si="51"/>
        <v>0</v>
      </c>
      <c r="S155" s="210" t="str">
        <f>IF(Q155=0,"",IF(R155&gt;1,"план не выполнен","выполнение"))</f>
        <v/>
      </c>
    </row>
    <row r="156">
      <c r="A156" s="142" t="str">
        <f>IFERROR(VLOOKUP(B156,'Статьи'!$A$2:C178,3,0)," ")</f>
        <v>ДДС отчетного месяца. Без НДС!</v>
      </c>
      <c r="B156" s="125" t="str">
        <f>IFERROR(__xludf.DUMMYFUNCTION("iferror(filter('Статьи'!$A$1:$A177,'Статьи'!$B$1:$B177=B155))"),"Курсовые разницы")</f>
        <v>Курсовые разницы</v>
      </c>
      <c r="C156" s="171"/>
      <c r="D156" s="149"/>
      <c r="E156" s="149"/>
      <c r="F156" s="149"/>
      <c r="G156" s="149"/>
      <c r="H156" s="149"/>
      <c r="I156" s="211">
        <f t="shared" si="52"/>
        <v>0</v>
      </c>
      <c r="J156" s="122"/>
      <c r="K156" s="114"/>
      <c r="L156" s="114"/>
      <c r="M156" s="114"/>
      <c r="N156" s="114"/>
      <c r="O156" s="114"/>
      <c r="P156" s="211">
        <f t="shared" ref="P156:P171" si="57">SUM(J156:K156)</f>
        <v>0</v>
      </c>
      <c r="Q156" s="132">
        <f t="shared" si="50"/>
        <v>0</v>
      </c>
      <c r="R156" s="133">
        <f t="shared" si="51"/>
        <v>0</v>
      </c>
      <c r="S156" s="121" t="str">
        <f t="shared" ref="S156:S172" si="58">IF(Q156=0,"",IF(R156=0,"обратить внимание",IF(R156&gt;1,"перерасход","экономия")))</f>
        <v/>
      </c>
    </row>
    <row r="157">
      <c r="A157" s="142" t="str">
        <f>IFERROR(VLOOKUP(B157,'Статьи'!$A$2:C179,3,0)," ")</f>
        <v>1С</v>
      </c>
      <c r="B157" s="125" t="str">
        <f>IFERROR(__xludf.DUMMYFUNCTION("""COMPUTED_VALUE"""),"Налог  на прибыль УСН 6%")</f>
        <v>Налог  на прибыль УСН 6%</v>
      </c>
      <c r="C157" s="171"/>
      <c r="D157" s="149"/>
      <c r="E157" s="149"/>
      <c r="F157" s="149"/>
      <c r="G157" s="149"/>
      <c r="H157" s="149"/>
      <c r="I157" s="211">
        <f t="shared" si="52"/>
        <v>0</v>
      </c>
      <c r="J157" s="122"/>
      <c r="K157" s="114"/>
      <c r="L157" s="114"/>
      <c r="M157" s="114"/>
      <c r="N157" s="114"/>
      <c r="O157" s="114"/>
      <c r="P157" s="211">
        <f t="shared" si="57"/>
        <v>0</v>
      </c>
      <c r="Q157" s="132">
        <f t="shared" si="50"/>
        <v>0</v>
      </c>
      <c r="R157" s="133">
        <f t="shared" si="51"/>
        <v>0</v>
      </c>
      <c r="S157" s="121" t="str">
        <f t="shared" si="58"/>
        <v/>
      </c>
    </row>
    <row r="158">
      <c r="A158" s="142" t="str">
        <f>IFERROR(VLOOKUP(B158,'Статьи'!$A$2:C180,3,0)," ")</f>
        <v>1С</v>
      </c>
      <c r="B158" s="125" t="str">
        <f>IFERROR(__xludf.DUMMYFUNCTION("""COMPUTED_VALUE"""),"Налог на прибыль 20%")</f>
        <v>Налог на прибыль 20%</v>
      </c>
      <c r="C158" s="171"/>
      <c r="D158" s="149"/>
      <c r="E158" s="149"/>
      <c r="F158" s="149"/>
      <c r="G158" s="149"/>
      <c r="H158" s="149"/>
      <c r="I158" s="211">
        <f t="shared" si="52"/>
        <v>0</v>
      </c>
      <c r="J158" s="122"/>
      <c r="K158" s="114"/>
      <c r="L158" s="114"/>
      <c r="M158" s="114"/>
      <c r="N158" s="114"/>
      <c r="O158" s="114"/>
      <c r="P158" s="211">
        <f t="shared" si="57"/>
        <v>0</v>
      </c>
      <c r="Q158" s="132">
        <f t="shared" si="50"/>
        <v>0</v>
      </c>
      <c r="R158" s="133">
        <f t="shared" si="51"/>
        <v>0</v>
      </c>
      <c r="S158" s="121" t="str">
        <f t="shared" si="58"/>
        <v/>
      </c>
    </row>
    <row r="159">
      <c r="A159" s="142" t="str">
        <f>IFERROR(VLOOKUP(B159,'Статьи'!$A$2:C181,3,0)," ")</f>
        <v>отчет Учет ОС</v>
      </c>
      <c r="B159" s="125" t="str">
        <f>IFERROR(__xludf.DUMMYFUNCTION("""COMPUTED_VALUE"""),"Амортизация ОС")</f>
        <v>Амортизация ОС</v>
      </c>
      <c r="C159" s="215"/>
      <c r="D159" s="149"/>
      <c r="E159" s="149"/>
      <c r="F159" s="149"/>
      <c r="G159" s="149"/>
      <c r="H159" s="149"/>
      <c r="I159" s="211">
        <f t="shared" si="52"/>
        <v>0</v>
      </c>
      <c r="J159" s="122"/>
      <c r="K159" s="114"/>
      <c r="L159" s="114"/>
      <c r="M159" s="114"/>
      <c r="N159" s="114"/>
      <c r="O159" s="114"/>
      <c r="P159" s="211">
        <f t="shared" si="57"/>
        <v>0</v>
      </c>
      <c r="Q159" s="132">
        <f t="shared" si="50"/>
        <v>0</v>
      </c>
      <c r="R159" s="133">
        <f t="shared" si="51"/>
        <v>0</v>
      </c>
      <c r="S159" s="121" t="str">
        <f t="shared" si="58"/>
        <v/>
      </c>
    </row>
    <row r="160">
      <c r="A160" s="142" t="str">
        <f>IFERROR(VLOOKUP(B160,'Статьи'!$A$2:C182,3,0)," ")</f>
        <v>ДДС отчетного месяца. Без НДС!</v>
      </c>
      <c r="B160" s="125" t="str">
        <f>IFERROR(__xludf.DUMMYFUNCTION("""COMPUTED_VALUE"""),"Прочие расходы")</f>
        <v>Прочие расходы</v>
      </c>
      <c r="C160" s="171"/>
      <c r="D160" s="149"/>
      <c r="E160" s="149"/>
      <c r="F160" s="149"/>
      <c r="G160" s="149"/>
      <c r="H160" s="149"/>
      <c r="I160" s="211">
        <f t="shared" si="52"/>
        <v>0</v>
      </c>
      <c r="J160" s="122"/>
      <c r="K160" s="114"/>
      <c r="L160" s="114"/>
      <c r="M160" s="114"/>
      <c r="N160" s="114"/>
      <c r="O160" s="114"/>
      <c r="P160" s="211">
        <f t="shared" si="57"/>
        <v>0</v>
      </c>
      <c r="Q160" s="132">
        <f t="shared" si="50"/>
        <v>0</v>
      </c>
      <c r="R160" s="133">
        <f t="shared" si="51"/>
        <v>0</v>
      </c>
      <c r="S160" s="121" t="str">
        <f t="shared" si="58"/>
        <v/>
      </c>
    </row>
    <row r="161">
      <c r="A161" s="142" t="str">
        <f>IFERROR(VLOOKUP(B161,'Статьи'!$A$2:C183,3,0)," ")</f>
        <v>ДДС отчетного месяца. Без НДС!</v>
      </c>
      <c r="B161" s="111" t="str">
        <f>IFERROR(__xludf.DUMMYFUNCTION("""COMPUTED_VALUE"""),"Ремонт ОС")</f>
        <v>Ремонт ОС</v>
      </c>
      <c r="C161" s="171"/>
      <c r="D161" s="149"/>
      <c r="E161" s="149"/>
      <c r="F161" s="149"/>
      <c r="G161" s="149"/>
      <c r="H161" s="149"/>
      <c r="I161" s="211">
        <f t="shared" si="52"/>
        <v>0</v>
      </c>
      <c r="J161" s="122"/>
      <c r="K161" s="114"/>
      <c r="L161" s="114"/>
      <c r="M161" s="114"/>
      <c r="N161" s="114"/>
      <c r="O161" s="114"/>
      <c r="P161" s="211">
        <f t="shared" si="57"/>
        <v>0</v>
      </c>
      <c r="Q161" s="132">
        <f t="shared" si="50"/>
        <v>0</v>
      </c>
      <c r="R161" s="133">
        <f t="shared" si="51"/>
        <v>0</v>
      </c>
      <c r="S161" s="121" t="str">
        <f t="shared" si="58"/>
        <v/>
      </c>
    </row>
    <row r="162">
      <c r="A162" s="142" t="str">
        <f>IFERROR(VLOOKUP(B162,'Статьи'!$A$2:C184,3,0)," ")</f>
        <v>отчет Учет ФД</v>
      </c>
      <c r="B162" s="111" t="str">
        <f>IFERROR(__xludf.DUMMYFUNCTION("""COMPUTED_VALUE"""),"Оплаты %  кредиты")</f>
        <v>Оплаты %  кредиты</v>
      </c>
      <c r="C162" s="171"/>
      <c r="D162" s="149"/>
      <c r="E162" s="149"/>
      <c r="F162" s="149"/>
      <c r="G162" s="149"/>
      <c r="H162" s="149"/>
      <c r="I162" s="211">
        <f t="shared" si="52"/>
        <v>0</v>
      </c>
      <c r="J162" s="122"/>
      <c r="K162" s="114"/>
      <c r="L162" s="114"/>
      <c r="M162" s="114"/>
      <c r="N162" s="114"/>
      <c r="O162" s="114"/>
      <c r="P162" s="211">
        <f t="shared" si="57"/>
        <v>0</v>
      </c>
      <c r="Q162" s="132">
        <f t="shared" si="50"/>
        <v>0</v>
      </c>
      <c r="R162" s="133">
        <f t="shared" si="51"/>
        <v>0</v>
      </c>
      <c r="S162" s="121" t="str">
        <f t="shared" si="58"/>
        <v/>
      </c>
    </row>
    <row r="163" collapsed="1">
      <c r="A163" s="110" t="str">
        <f>IFERROR(VLOOKUP(B163,'Статьи'!$A$2:C185,3,0)," ")</f>
        <v> </v>
      </c>
      <c r="B163" s="111"/>
      <c r="C163" s="171"/>
      <c r="D163" s="149"/>
      <c r="E163" s="149"/>
      <c r="F163" s="149"/>
      <c r="G163" s="149"/>
      <c r="H163" s="149"/>
      <c r="I163" s="211">
        <f t="shared" si="52"/>
        <v>0</v>
      </c>
      <c r="J163" s="122"/>
      <c r="K163" s="114"/>
      <c r="L163" s="114"/>
      <c r="M163" s="114"/>
      <c r="N163" s="114"/>
      <c r="O163" s="114"/>
      <c r="P163" s="211">
        <f t="shared" si="57"/>
        <v>0</v>
      </c>
      <c r="Q163" s="132">
        <f t="shared" si="50"/>
        <v>0</v>
      </c>
      <c r="R163" s="133">
        <f t="shared" si="51"/>
        <v>0</v>
      </c>
      <c r="S163" s="121" t="str">
        <f t="shared" si="58"/>
        <v/>
      </c>
    </row>
    <row r="164" hidden="1" outlineLevel="1">
      <c r="A164" s="110" t="str">
        <f>IFERROR(VLOOKUP(B164,'Статьи'!$A$2:C186,3,0)," ")</f>
        <v> </v>
      </c>
      <c r="B164" s="111"/>
      <c r="C164" s="170"/>
      <c r="I164" s="211">
        <f t="shared" si="52"/>
        <v>0</v>
      </c>
      <c r="J164" s="122"/>
      <c r="K164" s="114"/>
      <c r="L164" s="114"/>
      <c r="M164" s="114"/>
      <c r="N164" s="114"/>
      <c r="O164" s="114"/>
      <c r="P164" s="211">
        <f t="shared" si="57"/>
        <v>0</v>
      </c>
      <c r="Q164" s="132">
        <f t="shared" si="50"/>
        <v>0</v>
      </c>
      <c r="R164" s="133">
        <f t="shared" si="51"/>
        <v>0</v>
      </c>
      <c r="S164" s="121" t="str">
        <f t="shared" si="58"/>
        <v/>
      </c>
    </row>
    <row r="165" hidden="1" outlineLevel="1">
      <c r="A165" s="110" t="str">
        <f>IFERROR(VLOOKUP(B165,'Статьи'!$A$2:C187,3,0)," ")</f>
        <v> </v>
      </c>
      <c r="B165" s="111"/>
      <c r="C165" s="170"/>
      <c r="I165" s="211">
        <f t="shared" si="52"/>
        <v>0</v>
      </c>
      <c r="J165" s="122"/>
      <c r="K165" s="114"/>
      <c r="L165" s="114"/>
      <c r="M165" s="114"/>
      <c r="N165" s="114"/>
      <c r="O165" s="114"/>
      <c r="P165" s="211">
        <f t="shared" si="57"/>
        <v>0</v>
      </c>
      <c r="Q165" s="132">
        <f t="shared" si="50"/>
        <v>0</v>
      </c>
      <c r="R165" s="133">
        <f t="shared" si="51"/>
        <v>0</v>
      </c>
      <c r="S165" s="121" t="str">
        <f t="shared" si="58"/>
        <v/>
      </c>
    </row>
    <row r="166" hidden="1" outlineLevel="1">
      <c r="A166" s="110" t="str">
        <f>IFERROR(VLOOKUP(B166,'Статьи'!$A$2:C188,3,0)," ")</f>
        <v> </v>
      </c>
      <c r="B166" s="111"/>
      <c r="C166" s="170"/>
      <c r="I166" s="211">
        <f t="shared" si="52"/>
        <v>0</v>
      </c>
      <c r="J166" s="122"/>
      <c r="K166" s="114"/>
      <c r="L166" s="114"/>
      <c r="M166" s="114"/>
      <c r="N166" s="114"/>
      <c r="O166" s="114"/>
      <c r="P166" s="211">
        <f t="shared" si="57"/>
        <v>0</v>
      </c>
      <c r="Q166" s="132">
        <f t="shared" si="50"/>
        <v>0</v>
      </c>
      <c r="R166" s="133">
        <f t="shared" si="51"/>
        <v>0</v>
      </c>
      <c r="S166" s="121" t="str">
        <f t="shared" si="58"/>
        <v/>
      </c>
    </row>
    <row r="167" hidden="1" outlineLevel="1">
      <c r="A167" s="110" t="str">
        <f>IFERROR(VLOOKUP(B167,'Статьи'!$A$2:C189,3,0)," ")</f>
        <v> </v>
      </c>
      <c r="B167" s="111"/>
      <c r="C167" s="170"/>
      <c r="I167" s="211">
        <f t="shared" si="52"/>
        <v>0</v>
      </c>
      <c r="J167" s="122"/>
      <c r="K167" s="114"/>
      <c r="L167" s="114"/>
      <c r="M167" s="114"/>
      <c r="N167" s="114"/>
      <c r="O167" s="114"/>
      <c r="P167" s="211">
        <f t="shared" si="57"/>
        <v>0</v>
      </c>
      <c r="Q167" s="132">
        <f t="shared" si="50"/>
        <v>0</v>
      </c>
      <c r="R167" s="133">
        <f t="shared" si="51"/>
        <v>0</v>
      </c>
      <c r="S167" s="121" t="str">
        <f t="shared" si="58"/>
        <v/>
      </c>
    </row>
    <row r="168" hidden="1" outlineLevel="1">
      <c r="A168" s="110" t="str">
        <f>IFERROR(VLOOKUP(B168,'Статьи'!$A$2:C190,3,0)," ")</f>
        <v> </v>
      </c>
      <c r="B168" s="111"/>
      <c r="C168" s="170"/>
      <c r="I168" s="211">
        <f t="shared" si="52"/>
        <v>0</v>
      </c>
      <c r="J168" s="122"/>
      <c r="K168" s="114"/>
      <c r="L168" s="114"/>
      <c r="M168" s="114"/>
      <c r="N168" s="114"/>
      <c r="O168" s="114"/>
      <c r="P168" s="211">
        <f t="shared" si="57"/>
        <v>0</v>
      </c>
      <c r="Q168" s="132">
        <f t="shared" si="50"/>
        <v>0</v>
      </c>
      <c r="R168" s="133">
        <f t="shared" si="51"/>
        <v>0</v>
      </c>
      <c r="S168" s="121" t="str">
        <f t="shared" si="58"/>
        <v/>
      </c>
    </row>
    <row r="169" hidden="1" outlineLevel="1">
      <c r="A169" s="110" t="str">
        <f>IFERROR(VLOOKUP(B169,'Статьи'!$A$2:C191,3,0)," ")</f>
        <v> </v>
      </c>
      <c r="B169" s="111"/>
      <c r="C169" s="170"/>
      <c r="I169" s="211">
        <f t="shared" si="52"/>
        <v>0</v>
      </c>
      <c r="J169" s="122"/>
      <c r="K169" s="114"/>
      <c r="L169" s="114"/>
      <c r="M169" s="114"/>
      <c r="N169" s="114"/>
      <c r="O169" s="114"/>
      <c r="P169" s="211">
        <f t="shared" si="57"/>
        <v>0</v>
      </c>
      <c r="Q169" s="132">
        <f t="shared" si="50"/>
        <v>0</v>
      </c>
      <c r="R169" s="133">
        <f t="shared" si="51"/>
        <v>0</v>
      </c>
      <c r="S169" s="121" t="str">
        <f t="shared" si="58"/>
        <v/>
      </c>
    </row>
    <row r="170" hidden="1" outlineLevel="1">
      <c r="A170" s="110" t="str">
        <f>IFERROR(VLOOKUP(B170,'Статьи'!$A$2:C192,3,0)," ")</f>
        <v> </v>
      </c>
      <c r="B170" s="111"/>
      <c r="C170" s="170"/>
      <c r="I170" s="211">
        <f t="shared" si="52"/>
        <v>0</v>
      </c>
      <c r="J170" s="122"/>
      <c r="K170" s="114"/>
      <c r="L170" s="114"/>
      <c r="M170" s="114"/>
      <c r="N170" s="114"/>
      <c r="O170" s="114"/>
      <c r="P170" s="211">
        <f t="shared" si="57"/>
        <v>0</v>
      </c>
      <c r="Q170" s="132">
        <f t="shared" si="50"/>
        <v>0</v>
      </c>
      <c r="R170" s="133">
        <f t="shared" si="51"/>
        <v>0</v>
      </c>
      <c r="S170" s="121" t="str">
        <f t="shared" si="58"/>
        <v/>
      </c>
    </row>
    <row r="171" hidden="1" outlineLevel="1">
      <c r="A171" s="110" t="str">
        <f>IFERROR(VLOOKUP(B171,'Статьи'!$A$2:C193,3,0)," ")</f>
        <v> </v>
      </c>
      <c r="B171" s="111"/>
      <c r="C171" s="170"/>
      <c r="I171" s="211">
        <f t="shared" si="52"/>
        <v>0</v>
      </c>
      <c r="J171" s="122"/>
      <c r="K171" s="114"/>
      <c r="L171" s="114"/>
      <c r="M171" s="114"/>
      <c r="N171" s="114"/>
      <c r="O171" s="114"/>
      <c r="P171" s="211">
        <f t="shared" si="57"/>
        <v>0</v>
      </c>
      <c r="Q171" s="132">
        <f t="shared" si="50"/>
        <v>0</v>
      </c>
      <c r="R171" s="133">
        <f t="shared" si="51"/>
        <v>0</v>
      </c>
      <c r="S171" s="121" t="str">
        <f t="shared" si="58"/>
        <v/>
      </c>
    </row>
    <row r="172">
      <c r="A172" s="110" t="str">
        <f>IFERROR(VLOOKUP(B172,'Статьи'!$A$2:C194,3,0)," ")</f>
        <v> </v>
      </c>
      <c r="B172" s="111"/>
      <c r="C172" s="170"/>
      <c r="D172" s="149"/>
      <c r="E172" s="149"/>
      <c r="F172" s="149"/>
      <c r="G172" s="149"/>
      <c r="H172" s="149"/>
      <c r="I172" s="211">
        <f t="shared" si="52"/>
        <v>0</v>
      </c>
      <c r="J172" s="122"/>
      <c r="K172" s="114"/>
      <c r="L172" s="114"/>
      <c r="M172" s="114"/>
      <c r="N172" s="114"/>
      <c r="O172" s="114"/>
      <c r="P172" s="211">
        <f>sum(F172:J172)</f>
        <v>0</v>
      </c>
      <c r="Q172" s="132">
        <f t="shared" si="50"/>
        <v>0</v>
      </c>
      <c r="R172" s="133">
        <f t="shared" si="51"/>
        <v>0</v>
      </c>
      <c r="S172" s="121" t="str">
        <f t="shared" si="58"/>
        <v/>
      </c>
    </row>
    <row r="173">
      <c r="A173" s="152"/>
      <c r="B173" s="153" t="s">
        <v>144</v>
      </c>
      <c r="C173" s="154">
        <f t="shared" ref="C173:K173" si="59">C142+C155+C145</f>
        <v>5</v>
      </c>
      <c r="D173" s="155">
        <f t="shared" si="59"/>
        <v>0</v>
      </c>
      <c r="E173" s="155">
        <f t="shared" si="59"/>
        <v>0</v>
      </c>
      <c r="F173" s="155">
        <f t="shared" si="59"/>
        <v>0</v>
      </c>
      <c r="G173" s="155">
        <f t="shared" si="59"/>
        <v>0</v>
      </c>
      <c r="H173" s="155">
        <f t="shared" si="59"/>
        <v>0</v>
      </c>
      <c r="I173" s="157">
        <f t="shared" si="59"/>
        <v>5</v>
      </c>
      <c r="J173" s="154">
        <f t="shared" si="59"/>
        <v>0</v>
      </c>
      <c r="K173" s="155">
        <f t="shared" si="59"/>
        <v>0</v>
      </c>
      <c r="L173" s="155"/>
      <c r="M173" s="155"/>
      <c r="N173" s="155"/>
      <c r="O173" s="155"/>
      <c r="P173" s="157">
        <f>P142+P155+P145</f>
        <v>0</v>
      </c>
      <c r="Q173" s="155">
        <f t="shared" si="50"/>
        <v>5</v>
      </c>
      <c r="R173" s="158">
        <f t="shared" si="51"/>
        <v>0</v>
      </c>
      <c r="S173" s="159" t="str">
        <f>IF(Q173=0,"",IF(R173&gt;1,"выполнение","план не выполнен"))</f>
        <v>план не выполнен</v>
      </c>
    </row>
    <row r="174">
      <c r="A174" s="160"/>
      <c r="B174" s="161" t="s">
        <v>145</v>
      </c>
      <c r="C174" s="216">
        <f t="shared" ref="C174:K174" si="60">IFERROR(C173/C$3,0)</f>
        <v>1</v>
      </c>
      <c r="D174" s="217">
        <f t="shared" si="60"/>
        <v>0</v>
      </c>
      <c r="E174" s="217">
        <f t="shared" si="60"/>
        <v>0</v>
      </c>
      <c r="F174" s="217">
        <f t="shared" si="60"/>
        <v>0</v>
      </c>
      <c r="G174" s="217">
        <f t="shared" si="60"/>
        <v>0</v>
      </c>
      <c r="H174" s="217">
        <f t="shared" si="60"/>
        <v>0</v>
      </c>
      <c r="I174" s="218">
        <f t="shared" si="60"/>
        <v>1</v>
      </c>
      <c r="J174" s="216">
        <f t="shared" si="60"/>
        <v>0</v>
      </c>
      <c r="K174" s="217">
        <f t="shared" si="60"/>
        <v>0</v>
      </c>
      <c r="L174" s="217"/>
      <c r="M174" s="217"/>
      <c r="N174" s="217"/>
      <c r="O174" s="217"/>
      <c r="P174" s="218">
        <f>IFERROR(P173/P$3,0)</f>
        <v>0</v>
      </c>
      <c r="Q174" s="219"/>
      <c r="R174" s="219"/>
      <c r="S174" s="219"/>
    </row>
    <row r="175">
      <c r="A175" s="110"/>
      <c r="B175" s="111"/>
      <c r="C175" s="115"/>
      <c r="D175" s="115"/>
      <c r="E175" s="115"/>
      <c r="F175" s="115"/>
      <c r="G175" s="115"/>
      <c r="H175" s="115"/>
      <c r="I175" s="118"/>
      <c r="J175" s="118"/>
      <c r="K175" s="118"/>
      <c r="L175" s="118"/>
      <c r="M175" s="118"/>
      <c r="N175" s="118"/>
      <c r="O175" s="118"/>
      <c r="P175" s="118"/>
      <c r="Q175" s="118"/>
      <c r="R175" s="220"/>
      <c r="S175" s="220"/>
    </row>
    <row r="176">
      <c r="A176" s="142"/>
      <c r="B176" s="125"/>
      <c r="C176" s="115"/>
      <c r="D176" s="115"/>
      <c r="E176" s="115"/>
      <c r="F176" s="114"/>
      <c r="G176" s="115"/>
      <c r="H176" s="115"/>
      <c r="I176" s="118"/>
      <c r="J176" s="118"/>
      <c r="K176" s="118"/>
      <c r="L176" s="118"/>
      <c r="M176" s="118"/>
      <c r="N176" s="118"/>
      <c r="O176" s="118"/>
      <c r="P176" s="118"/>
      <c r="Q176" s="118"/>
      <c r="R176" s="220"/>
      <c r="S176" s="220"/>
    </row>
    <row r="177">
      <c r="A177" s="110"/>
      <c r="B177" s="111"/>
      <c r="C177" s="115"/>
      <c r="D177" s="115"/>
      <c r="E177" s="115"/>
      <c r="F177" s="115"/>
      <c r="G177" s="115"/>
      <c r="H177" s="115"/>
      <c r="I177" s="118"/>
      <c r="J177" s="118"/>
      <c r="K177" s="118"/>
      <c r="L177" s="118"/>
      <c r="M177" s="118"/>
      <c r="N177" s="118"/>
      <c r="O177" s="118"/>
      <c r="P177" s="118"/>
      <c r="Q177" s="118"/>
      <c r="R177" s="220"/>
      <c r="S177" s="220"/>
    </row>
  </sheetData>
  <mergeCells count="11">
    <mergeCell ref="C168:H168"/>
    <mergeCell ref="C169:H169"/>
    <mergeCell ref="C170:H170"/>
    <mergeCell ref="C171:H171"/>
    <mergeCell ref="C1:I1"/>
    <mergeCell ref="J1:P1"/>
    <mergeCell ref="Q1:R1"/>
    <mergeCell ref="C164:H164"/>
    <mergeCell ref="C165:H165"/>
    <mergeCell ref="C166:H166"/>
    <mergeCell ref="C167:H167"/>
  </mergeCells>
  <conditionalFormatting sqref="C13:H54">
    <cfRule type="expression" dxfId="4" priority="1">
      <formula>C$2=""</formula>
    </cfRule>
  </conditionalFormatting>
  <conditionalFormatting sqref="C13:H54">
    <cfRule type="expression" dxfId="2" priority="2">
      <formula>OR(#REF!=C$2,#REF!=C$2,#REF!=C$2,#REF!=C$2,#REF!=C$2,#REF!=C$2,#REF!=C$2,#REF!=C$2,#REF!=C$2)</formula>
    </cfRule>
  </conditionalFormatting>
  <conditionalFormatting sqref="C59:H84 C91:C93">
    <cfRule type="expression" dxfId="4" priority="3">
      <formula>C$2=""</formula>
    </cfRule>
  </conditionalFormatting>
  <conditionalFormatting sqref="C59:H84 C91:C93">
    <cfRule type="expression" dxfId="2" priority="4">
      <formula>OR(#REF!=C$2,#REF!=C$2,#REF!=C$2,#REF!=C$2,#REF!=C$2,#REF!=C$2,#REF!=C$2,#REF!=C$2,#REF!=C$2)</formula>
    </cfRule>
  </conditionalFormatting>
  <conditionalFormatting sqref="A1:A2">
    <cfRule type="notContainsBlanks" dxfId="2" priority="5">
      <formula>LEN(TRIM(A1))&gt;0</formula>
    </cfRule>
  </conditionalFormatting>
  <conditionalFormatting sqref="S1:S177">
    <cfRule type="containsText" dxfId="2" priority="6" operator="containsText" text="выполнение">
      <formula>NOT(ISERROR(SEARCH(("выполнение"),(S1))))</formula>
    </cfRule>
  </conditionalFormatting>
  <conditionalFormatting sqref="S1:S177">
    <cfRule type="containsText" dxfId="3" priority="7" operator="containsText" text="план не выполнен">
      <formula>NOT(ISERROR(SEARCH(("план не выполнен"),(S1))))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7.13"/>
    <col customWidth="1" min="2" max="2" width="38.25"/>
    <col customWidth="1" min="3" max="3" width="10.63"/>
    <col collapsed="1" customWidth="1" min="4" max="4" width="10.63"/>
    <col customWidth="1" hidden="1" min="5" max="8" width="10.63" outlineLevel="1"/>
    <col customWidth="1" min="9" max="10" width="10.63"/>
    <col collapsed="1" customWidth="1" min="11" max="11" width="10.63"/>
    <col customWidth="1" hidden="1" min="12" max="15" width="10.63" outlineLevel="1"/>
    <col customWidth="1" min="16" max="16" width="10.63"/>
    <col customWidth="1" min="17" max="18" width="11.38"/>
    <col customWidth="1" min="19" max="19" width="16.88"/>
  </cols>
  <sheetData>
    <row r="1">
      <c r="A1" s="88"/>
      <c r="B1" s="89"/>
      <c r="C1" s="90" t="s">
        <v>127</v>
      </c>
      <c r="D1" s="91"/>
      <c r="E1" s="91"/>
      <c r="F1" s="91"/>
      <c r="G1" s="91"/>
      <c r="H1" s="91"/>
      <c r="I1" s="92"/>
      <c r="J1" s="93" t="s">
        <v>128</v>
      </c>
      <c r="K1" s="91"/>
      <c r="L1" s="91"/>
      <c r="M1" s="91"/>
      <c r="N1" s="91"/>
      <c r="O1" s="91"/>
      <c r="P1" s="92"/>
      <c r="Q1" s="94" t="s">
        <v>129</v>
      </c>
      <c r="S1" s="94"/>
    </row>
    <row r="2">
      <c r="A2" s="88" t="s">
        <v>130</v>
      </c>
      <c r="B2" s="89"/>
      <c r="C2" s="95" t="str">
        <f t="array" ref="C2:H2">TRANSPOSE('Справочник'!D2:D7)</f>
        <v>ООО "Весело живем"</v>
      </c>
      <c r="D2" s="96" t="s">
        <v>84</v>
      </c>
      <c r="E2" s="97">
        <v>3.0</v>
      </c>
      <c r="F2" s="97">
        <v>4.0</v>
      </c>
      <c r="G2" s="97">
        <v>5.0</v>
      </c>
      <c r="H2" s="97">
        <v>6.0</v>
      </c>
      <c r="I2" s="98" t="s">
        <v>131</v>
      </c>
      <c r="J2" s="95" t="str">
        <f t="array" ref="J2:O2">TRANSPOSE('Справочник'!D2:D7)</f>
        <v>ООО "Весело живем"</v>
      </c>
      <c r="K2" s="96" t="s">
        <v>84</v>
      </c>
      <c r="L2" s="97">
        <v>3.0</v>
      </c>
      <c r="M2" s="97">
        <v>4.0</v>
      </c>
      <c r="N2" s="97">
        <v>5.0</v>
      </c>
      <c r="O2" s="97">
        <v>6.0</v>
      </c>
      <c r="P2" s="98" t="s">
        <v>131</v>
      </c>
      <c r="Q2" s="99" t="s">
        <v>154</v>
      </c>
      <c r="R2" s="100" t="s">
        <v>133</v>
      </c>
      <c r="S2" s="101" t="s">
        <v>134</v>
      </c>
    </row>
    <row r="3">
      <c r="A3" s="102"/>
      <c r="B3" s="103" t="s">
        <v>86</v>
      </c>
      <c r="C3" s="104">
        <f t="shared" ref="C3:H3" si="1">SUM(C4:C10)</f>
        <v>6</v>
      </c>
      <c r="D3" s="105">
        <f t="shared" si="1"/>
        <v>0</v>
      </c>
      <c r="E3" s="105">
        <f t="shared" si="1"/>
        <v>0</v>
      </c>
      <c r="F3" s="105">
        <f t="shared" si="1"/>
        <v>0</v>
      </c>
      <c r="G3" s="105">
        <f t="shared" si="1"/>
        <v>0</v>
      </c>
      <c r="H3" s="105">
        <f t="shared" si="1"/>
        <v>0</v>
      </c>
      <c r="I3" s="106">
        <f>sum(C3:H3)</f>
        <v>6</v>
      </c>
      <c r="J3" s="104">
        <f t="shared" ref="J3:K3" si="2">SUM(J4:J10)</f>
        <v>0</v>
      </c>
      <c r="K3" s="105">
        <f t="shared" si="2"/>
        <v>0</v>
      </c>
      <c r="L3" s="105"/>
      <c r="M3" s="105"/>
      <c r="N3" s="105"/>
      <c r="O3" s="105"/>
      <c r="P3" s="107">
        <f>SUM(P4:P10)</f>
        <v>0</v>
      </c>
      <c r="Q3" s="105">
        <f t="shared" ref="Q3:Q55" si="3">I3-P3</f>
        <v>6</v>
      </c>
      <c r="R3" s="108">
        <f t="shared" ref="R3:R55" si="4">IFERROR(I3/P3,0)</f>
        <v>0</v>
      </c>
      <c r="S3" s="109" t="str">
        <f>IF(Q3=0,"",IF(R3&gt;1,"выполнение","план не выполнен"))</f>
        <v>план не выполнен</v>
      </c>
    </row>
    <row r="4">
      <c r="A4" s="110" t="str">
        <f>IFERROR(VLOOKUP(B4,'Статьи'!$A$2:C26,3,0)," ")</f>
        <v>1С сч 90.01 убрать НДС!</v>
      </c>
      <c r="B4" s="111" t="str">
        <f>IFERROR(__xludf.DUMMYFUNCTION("iferror(filter('Статьи'!$A$1:$A177,'Статьи'!$B$1:$B177=$B$3))"),"Выручка от аренды машиноместа")</f>
        <v>Выручка от аренды машиноместа</v>
      </c>
      <c r="C4" s="112">
        <v>6.0</v>
      </c>
      <c r="D4" s="113"/>
      <c r="E4" s="114"/>
      <c r="F4" s="115"/>
      <c r="G4" s="115"/>
      <c r="H4" s="115"/>
      <c r="I4" s="116">
        <f t="shared" ref="I4:I8" si="5">SUM(C4:H4)</f>
        <v>6</v>
      </c>
      <c r="J4" s="117"/>
      <c r="K4" s="118"/>
      <c r="L4" s="118"/>
      <c r="M4" s="118"/>
      <c r="N4" s="118"/>
      <c r="O4" s="118"/>
      <c r="P4" s="116">
        <f t="shared" ref="P4:P5" si="6">SUM(J4:K4)</f>
        <v>0</v>
      </c>
      <c r="Q4" s="119">
        <f t="shared" si="3"/>
        <v>6</v>
      </c>
      <c r="R4" s="120">
        <f t="shared" si="4"/>
        <v>0</v>
      </c>
      <c r="S4" s="121" t="str">
        <f t="shared" ref="S4:S10" si="7">IF(Q4=0,"",IF(R4=0,"обратить внимание",IF(R4&gt;1,"выполнение","план не выполнен")))</f>
        <v>обратить внимание</v>
      </c>
    </row>
    <row r="5" collapsed="1">
      <c r="A5" s="110" t="str">
        <f>IFERROR(VLOOKUP(B5,'Статьи'!$A$2:C27,3,0)," ")</f>
        <v>1С сч 90.01 убрать НДС!</v>
      </c>
      <c r="B5" s="111" t="str">
        <f>IFERROR(__xludf.DUMMYFUNCTION("""COMPUTED_VALUE"""),"Выручка за грузоперевозки")</f>
        <v>Выручка за грузоперевозки</v>
      </c>
      <c r="C5" s="112"/>
      <c r="D5" s="113"/>
      <c r="E5" s="114"/>
      <c r="F5" s="115"/>
      <c r="G5" s="115"/>
      <c r="H5" s="115"/>
      <c r="I5" s="116">
        <f t="shared" si="5"/>
        <v>0</v>
      </c>
      <c r="J5" s="117"/>
      <c r="K5" s="118"/>
      <c r="L5" s="118"/>
      <c r="M5" s="118"/>
      <c r="N5" s="118"/>
      <c r="O5" s="118"/>
      <c r="P5" s="116">
        <f t="shared" si="6"/>
        <v>0</v>
      </c>
      <c r="Q5" s="119">
        <f t="shared" si="3"/>
        <v>0</v>
      </c>
      <c r="R5" s="120">
        <f t="shared" si="4"/>
        <v>0</v>
      </c>
      <c r="S5" s="121" t="str">
        <f t="shared" si="7"/>
        <v/>
      </c>
    </row>
    <row r="6" hidden="1" outlineLevel="1">
      <c r="A6" s="110" t="str">
        <f>IFERROR(VLOOKUP(B6,'Статьи'!$A$2:C28,3,0)," ")</f>
        <v> </v>
      </c>
      <c r="B6" s="111"/>
      <c r="C6" s="122"/>
      <c r="D6" s="115"/>
      <c r="E6" s="115"/>
      <c r="F6" s="114"/>
      <c r="G6" s="114"/>
      <c r="H6" s="114"/>
      <c r="I6" s="116">
        <f t="shared" si="5"/>
        <v>0</v>
      </c>
      <c r="J6" s="123"/>
      <c r="K6" s="118"/>
      <c r="L6" s="118"/>
      <c r="M6" s="118"/>
      <c r="N6" s="118"/>
      <c r="O6" s="118"/>
      <c r="P6" s="116">
        <f t="shared" ref="P6:P8" si="8">SUM(F6:J6)</f>
        <v>0</v>
      </c>
      <c r="Q6" s="119">
        <f t="shared" si="3"/>
        <v>0</v>
      </c>
      <c r="R6" s="120">
        <f t="shared" si="4"/>
        <v>0</v>
      </c>
      <c r="S6" s="121" t="str">
        <f t="shared" si="7"/>
        <v/>
      </c>
    </row>
    <row r="7" hidden="1" outlineLevel="1">
      <c r="A7" s="110" t="str">
        <f>IFERROR(VLOOKUP(B7,'Статьи'!$A$2:C29,3,0)," ")</f>
        <v> </v>
      </c>
      <c r="B7" s="111"/>
      <c r="C7" s="122"/>
      <c r="D7" s="115"/>
      <c r="E7" s="115"/>
      <c r="F7" s="115"/>
      <c r="G7" s="115"/>
      <c r="H7" s="115"/>
      <c r="I7" s="116">
        <f t="shared" si="5"/>
        <v>0</v>
      </c>
      <c r="J7" s="123"/>
      <c r="K7" s="118"/>
      <c r="L7" s="118"/>
      <c r="M7" s="118"/>
      <c r="N7" s="118"/>
      <c r="O7" s="118"/>
      <c r="P7" s="116">
        <f t="shared" si="8"/>
        <v>0</v>
      </c>
      <c r="Q7" s="119">
        <f t="shared" si="3"/>
        <v>0</v>
      </c>
      <c r="R7" s="120">
        <f t="shared" si="4"/>
        <v>0</v>
      </c>
      <c r="S7" s="121" t="str">
        <f t="shared" si="7"/>
        <v/>
      </c>
    </row>
    <row r="8" hidden="1" outlineLevel="1">
      <c r="A8" s="110" t="str">
        <f>IFERROR(VLOOKUP(B8,'Статьи'!$A$2:C30,3,0)," ")</f>
        <v> </v>
      </c>
      <c r="B8" s="111"/>
      <c r="C8" s="122"/>
      <c r="D8" s="115"/>
      <c r="E8" s="115"/>
      <c r="F8" s="115"/>
      <c r="G8" s="115"/>
      <c r="H8" s="115"/>
      <c r="I8" s="116">
        <f t="shared" si="5"/>
        <v>0</v>
      </c>
      <c r="J8" s="123"/>
      <c r="K8" s="118"/>
      <c r="L8" s="118"/>
      <c r="M8" s="118"/>
      <c r="N8" s="118"/>
      <c r="O8" s="118"/>
      <c r="P8" s="116">
        <f t="shared" si="8"/>
        <v>0</v>
      </c>
      <c r="Q8" s="119">
        <f t="shared" si="3"/>
        <v>0</v>
      </c>
      <c r="R8" s="120">
        <f t="shared" si="4"/>
        <v>0</v>
      </c>
      <c r="S8" s="121" t="str">
        <f t="shared" si="7"/>
        <v/>
      </c>
    </row>
    <row r="9" hidden="1" outlineLevel="1">
      <c r="A9" s="110" t="str">
        <f>IFERROR(VLOOKUP(B9,'Статьи'!$A$2:C31,3,0)," ")</f>
        <v> </v>
      </c>
      <c r="B9" s="111"/>
      <c r="C9" s="124"/>
      <c r="D9" s="115"/>
      <c r="E9" s="115"/>
      <c r="F9" s="115"/>
      <c r="G9" s="115"/>
      <c r="H9" s="115"/>
      <c r="I9" s="116"/>
      <c r="J9" s="123"/>
      <c r="K9" s="118"/>
      <c r="L9" s="118"/>
      <c r="M9" s="118"/>
      <c r="N9" s="118"/>
      <c r="O9" s="118"/>
      <c r="P9" s="116"/>
      <c r="Q9" s="119">
        <f t="shared" si="3"/>
        <v>0</v>
      </c>
      <c r="R9" s="120">
        <f t="shared" si="4"/>
        <v>0</v>
      </c>
      <c r="S9" s="121" t="str">
        <f t="shared" si="7"/>
        <v/>
      </c>
    </row>
    <row r="10">
      <c r="A10" s="110" t="str">
        <f>IFERROR(VLOOKUP(B10,'Статьи'!$A$2:C32,3,0)," ")</f>
        <v> </v>
      </c>
      <c r="B10" s="125"/>
      <c r="C10" s="122"/>
      <c r="D10" s="115"/>
      <c r="E10" s="115"/>
      <c r="F10" s="115"/>
      <c r="G10" s="115"/>
      <c r="H10" s="115"/>
      <c r="I10" s="116"/>
      <c r="J10" s="123"/>
      <c r="K10" s="118"/>
      <c r="L10" s="118"/>
      <c r="M10" s="118"/>
      <c r="N10" s="118"/>
      <c r="O10" s="118"/>
      <c r="P10" s="116"/>
      <c r="Q10" s="119">
        <f t="shared" si="3"/>
        <v>0</v>
      </c>
      <c r="R10" s="120">
        <f t="shared" si="4"/>
        <v>0</v>
      </c>
      <c r="S10" s="121" t="str">
        <f t="shared" si="7"/>
        <v/>
      </c>
    </row>
    <row r="11">
      <c r="A11" s="126"/>
      <c r="B11" s="127" t="s">
        <v>135</v>
      </c>
      <c r="C11" s="128">
        <f t="shared" ref="C11:K11" si="9">C12+C58</f>
        <v>0</v>
      </c>
      <c r="D11" s="129">
        <f t="shared" si="9"/>
        <v>0</v>
      </c>
      <c r="E11" s="129">
        <f t="shared" si="9"/>
        <v>0</v>
      </c>
      <c r="F11" s="129">
        <f t="shared" si="9"/>
        <v>0</v>
      </c>
      <c r="G11" s="129">
        <f t="shared" si="9"/>
        <v>0</v>
      </c>
      <c r="H11" s="129">
        <f t="shared" si="9"/>
        <v>0</v>
      </c>
      <c r="I11" s="130">
        <f t="shared" si="9"/>
        <v>0</v>
      </c>
      <c r="J11" s="128">
        <f t="shared" si="9"/>
        <v>0</v>
      </c>
      <c r="K11" s="129">
        <f t="shared" si="9"/>
        <v>0</v>
      </c>
      <c r="L11" s="129"/>
      <c r="M11" s="129"/>
      <c r="N11" s="129"/>
      <c r="O11" s="129"/>
      <c r="P11" s="131">
        <f>P12+P58</f>
        <v>0</v>
      </c>
      <c r="Q11" s="132">
        <f t="shared" si="3"/>
        <v>0</v>
      </c>
      <c r="R11" s="133">
        <f t="shared" si="4"/>
        <v>0</v>
      </c>
      <c r="S11" s="134" t="str">
        <f>IF(Q11=0,"",IF(R11&gt;1,"план не выполнен","выполнение"))</f>
        <v/>
      </c>
    </row>
    <row r="12">
      <c r="A12" s="135"/>
      <c r="B12" s="136" t="s">
        <v>99</v>
      </c>
      <c r="C12" s="137">
        <f t="shared" ref="C12:K12" si="10">sum(C13:C54)</f>
        <v>0</v>
      </c>
      <c r="D12" s="138">
        <f t="shared" si="10"/>
        <v>0</v>
      </c>
      <c r="E12" s="138">
        <f t="shared" si="10"/>
        <v>0</v>
      </c>
      <c r="F12" s="138">
        <f t="shared" si="10"/>
        <v>0</v>
      </c>
      <c r="G12" s="138">
        <f t="shared" si="10"/>
        <v>0</v>
      </c>
      <c r="H12" s="138">
        <f t="shared" si="10"/>
        <v>0</v>
      </c>
      <c r="I12" s="139">
        <f t="shared" si="10"/>
        <v>0</v>
      </c>
      <c r="J12" s="137">
        <f t="shared" si="10"/>
        <v>0</v>
      </c>
      <c r="K12" s="138">
        <f t="shared" si="10"/>
        <v>0</v>
      </c>
      <c r="L12" s="138"/>
      <c r="M12" s="138"/>
      <c r="N12" s="138"/>
      <c r="O12" s="138"/>
      <c r="P12" s="140">
        <f>sum(P13:P54)</f>
        <v>0</v>
      </c>
      <c r="Q12" s="119">
        <f t="shared" si="3"/>
        <v>0</v>
      </c>
      <c r="R12" s="120">
        <f t="shared" si="4"/>
        <v>0</v>
      </c>
      <c r="S12" s="121" t="str">
        <f t="shared" ref="S12:S17" si="11">IF(Q12=0,"",IF(R12=0,"обратить внимание",IF(R12&gt;1,"перерасход","экономия")))</f>
        <v/>
      </c>
    </row>
    <row r="13">
      <c r="A13" s="142" t="str">
        <f>IFERROR(VLOOKUP(B13,'Статьи'!$A$2:C35,3,0)," ")</f>
        <v>ДДС отчетного месяца. Без НДС!</v>
      </c>
      <c r="B13" s="125" t="str">
        <f>IFERROR(__xludf.DUMMYFUNCTION("iferror(filter('Статьи'!$A$1:$A177,'Статьи'!$B$1:$B177=$B$12))"),"Комиссия топливных компаний")</f>
        <v>Комиссия топливных компаний</v>
      </c>
      <c r="C13" s="112"/>
      <c r="D13" s="113"/>
      <c r="E13" s="114"/>
      <c r="F13" s="114"/>
      <c r="G13" s="114"/>
      <c r="H13" s="143"/>
      <c r="I13" s="116">
        <f t="shared" ref="I13:I54" si="12">sum(C13:H13)</f>
        <v>0</v>
      </c>
      <c r="J13" s="117"/>
      <c r="K13" s="118"/>
      <c r="L13" s="118"/>
      <c r="M13" s="118"/>
      <c r="N13" s="118"/>
      <c r="O13" s="118"/>
      <c r="P13" s="116">
        <f t="shared" ref="P13:P16" si="13">SUM(J13:K13)</f>
        <v>0</v>
      </c>
      <c r="Q13" s="119">
        <f t="shared" si="3"/>
        <v>0</v>
      </c>
      <c r="R13" s="120">
        <f t="shared" si="4"/>
        <v>0</v>
      </c>
      <c r="S13" s="121" t="str">
        <f t="shared" si="11"/>
        <v/>
      </c>
    </row>
    <row r="14">
      <c r="A14" s="142" t="str">
        <f>IFERROR(VLOOKUP(B14,'Статьи'!$A$2:C36,3,0)," ")</f>
        <v>1С</v>
      </c>
      <c r="B14" s="125" t="str">
        <f>IFERROR(__xludf.DUMMYFUNCTION("""COMPUTED_VALUE"""),"Топливо для грузовых авто ")</f>
        <v>Топливо для грузовых авто </v>
      </c>
      <c r="C14" s="145"/>
      <c r="D14" s="113"/>
      <c r="E14" s="114"/>
      <c r="F14" s="146"/>
      <c r="G14" s="146"/>
      <c r="H14" s="143"/>
      <c r="I14" s="116">
        <f t="shared" si="12"/>
        <v>0</v>
      </c>
      <c r="J14" s="117"/>
      <c r="K14" s="118"/>
      <c r="L14" s="118"/>
      <c r="M14" s="118"/>
      <c r="N14" s="118"/>
      <c r="O14" s="118"/>
      <c r="P14" s="116">
        <f t="shared" si="13"/>
        <v>0</v>
      </c>
      <c r="Q14" s="119">
        <f t="shared" si="3"/>
        <v>0</v>
      </c>
      <c r="R14" s="120">
        <f t="shared" si="4"/>
        <v>0</v>
      </c>
      <c r="S14" s="121" t="str">
        <f t="shared" si="11"/>
        <v/>
      </c>
    </row>
    <row r="15">
      <c r="A15" s="142" t="str">
        <f>IFERROR(VLOOKUP(B15,'Статьи'!$A$2:C37,3,0)," ")</f>
        <v> </v>
      </c>
      <c r="B15" s="144"/>
      <c r="C15" s="145"/>
      <c r="D15" s="113"/>
      <c r="E15" s="114"/>
      <c r="F15" s="146"/>
      <c r="G15" s="146"/>
      <c r="H15" s="143"/>
      <c r="I15" s="116">
        <f t="shared" si="12"/>
        <v>0</v>
      </c>
      <c r="J15" s="117"/>
      <c r="K15" s="118"/>
      <c r="L15" s="118"/>
      <c r="M15" s="118"/>
      <c r="N15" s="118"/>
      <c r="O15" s="118"/>
      <c r="P15" s="116">
        <f t="shared" si="13"/>
        <v>0</v>
      </c>
      <c r="Q15" s="119">
        <f t="shared" si="3"/>
        <v>0</v>
      </c>
      <c r="R15" s="120">
        <f t="shared" si="4"/>
        <v>0</v>
      </c>
      <c r="S15" s="121" t="str">
        <f t="shared" si="11"/>
        <v/>
      </c>
    </row>
    <row r="16">
      <c r="A16" s="142" t="str">
        <f>IFERROR(VLOOKUP(B16,'Статьи'!$A$2:C38,3,0)," ")</f>
        <v> </v>
      </c>
      <c r="B16" s="144"/>
      <c r="C16" s="145"/>
      <c r="D16" s="113"/>
      <c r="E16" s="114"/>
      <c r="F16" s="146"/>
      <c r="G16" s="146"/>
      <c r="H16" s="143"/>
      <c r="I16" s="116">
        <f t="shared" si="12"/>
        <v>0</v>
      </c>
      <c r="J16" s="117"/>
      <c r="K16" s="118"/>
      <c r="L16" s="118"/>
      <c r="M16" s="118"/>
      <c r="N16" s="118"/>
      <c r="O16" s="118"/>
      <c r="P16" s="116">
        <f t="shared" si="13"/>
        <v>0</v>
      </c>
      <c r="Q16" s="119">
        <f t="shared" si="3"/>
        <v>0</v>
      </c>
      <c r="R16" s="120">
        <f t="shared" si="4"/>
        <v>0</v>
      </c>
      <c r="S16" s="121" t="str">
        <f t="shared" si="11"/>
        <v/>
      </c>
    </row>
    <row r="17" collapsed="1">
      <c r="A17" s="147" t="str">
        <f>IFERROR(VLOOKUP(B17,'Статьи'!$A$2:C39,3,0)," ")</f>
        <v> </v>
      </c>
      <c r="B17" s="144"/>
      <c r="C17" s="145"/>
      <c r="D17" s="114"/>
      <c r="E17" s="114"/>
      <c r="F17" s="146"/>
      <c r="G17" s="146"/>
      <c r="H17" s="143"/>
      <c r="I17" s="116">
        <f t="shared" si="12"/>
        <v>0</v>
      </c>
      <c r="J17" s="123"/>
      <c r="K17" s="118"/>
      <c r="L17" s="118"/>
      <c r="M17" s="118"/>
      <c r="N17" s="118"/>
      <c r="O17" s="118"/>
      <c r="P17" s="116">
        <f t="shared" ref="P17:P54" si="14">sum(F17:J17)</f>
        <v>0</v>
      </c>
      <c r="Q17" s="119">
        <f t="shared" si="3"/>
        <v>0</v>
      </c>
      <c r="R17" s="120">
        <f t="shared" si="4"/>
        <v>0</v>
      </c>
      <c r="S17" s="121" t="str">
        <f t="shared" si="11"/>
        <v/>
      </c>
    </row>
    <row r="18" hidden="1" outlineLevel="1">
      <c r="A18" s="147"/>
      <c r="B18" s="144"/>
      <c r="C18" s="145"/>
      <c r="D18" s="114"/>
      <c r="E18" s="114"/>
      <c r="F18" s="146"/>
      <c r="G18" s="146"/>
      <c r="H18" s="143"/>
      <c r="I18" s="116">
        <f t="shared" si="12"/>
        <v>0</v>
      </c>
      <c r="J18" s="123"/>
      <c r="K18" s="118"/>
      <c r="L18" s="118"/>
      <c r="M18" s="118"/>
      <c r="N18" s="118"/>
      <c r="O18" s="118"/>
      <c r="P18" s="116">
        <f t="shared" si="14"/>
        <v>0</v>
      </c>
      <c r="Q18" s="132">
        <f t="shared" si="3"/>
        <v>0</v>
      </c>
      <c r="R18" s="133">
        <f t="shared" si="4"/>
        <v>0</v>
      </c>
      <c r="S18" s="133">
        <f t="shared" ref="S18:S54" si="15">IF(Q18=0,0,IF(R18&gt;1,"перерасход","экономия"))</f>
        <v>0</v>
      </c>
    </row>
    <row r="19" hidden="1" outlineLevel="1">
      <c r="A19" s="147"/>
      <c r="B19" s="144"/>
      <c r="C19" s="148"/>
      <c r="D19" s="114"/>
      <c r="E19" s="114"/>
      <c r="F19" s="146"/>
      <c r="G19" s="146"/>
      <c r="H19" s="143"/>
      <c r="I19" s="116">
        <f t="shared" si="12"/>
        <v>0</v>
      </c>
      <c r="J19" s="123"/>
      <c r="K19" s="118"/>
      <c r="L19" s="118"/>
      <c r="M19" s="118"/>
      <c r="N19" s="118"/>
      <c r="O19" s="118"/>
      <c r="P19" s="116">
        <f t="shared" si="14"/>
        <v>0</v>
      </c>
      <c r="Q19" s="132">
        <f t="shared" si="3"/>
        <v>0</v>
      </c>
      <c r="R19" s="133">
        <f t="shared" si="4"/>
        <v>0</v>
      </c>
      <c r="S19" s="133">
        <f t="shared" si="15"/>
        <v>0</v>
      </c>
    </row>
    <row r="20" hidden="1" outlineLevel="1">
      <c r="A20" s="147"/>
      <c r="B20" s="144"/>
      <c r="C20" s="148"/>
      <c r="D20" s="114"/>
      <c r="E20" s="114"/>
      <c r="F20" s="146"/>
      <c r="G20" s="146"/>
      <c r="H20" s="143"/>
      <c r="I20" s="116">
        <f t="shared" si="12"/>
        <v>0</v>
      </c>
      <c r="J20" s="123"/>
      <c r="K20" s="118"/>
      <c r="L20" s="118"/>
      <c r="M20" s="118"/>
      <c r="N20" s="118"/>
      <c r="O20" s="118"/>
      <c r="P20" s="116">
        <f t="shared" si="14"/>
        <v>0</v>
      </c>
      <c r="Q20" s="132">
        <f t="shared" si="3"/>
        <v>0</v>
      </c>
      <c r="R20" s="133">
        <f t="shared" si="4"/>
        <v>0</v>
      </c>
      <c r="S20" s="133">
        <f t="shared" si="15"/>
        <v>0</v>
      </c>
    </row>
    <row r="21" hidden="1" outlineLevel="1">
      <c r="A21" s="147"/>
      <c r="B21" s="144"/>
      <c r="C21" s="148"/>
      <c r="D21" s="114"/>
      <c r="E21" s="114"/>
      <c r="F21" s="146"/>
      <c r="G21" s="146"/>
      <c r="H21" s="143"/>
      <c r="I21" s="116">
        <f t="shared" si="12"/>
        <v>0</v>
      </c>
      <c r="J21" s="123"/>
      <c r="K21" s="118"/>
      <c r="L21" s="118"/>
      <c r="M21" s="118"/>
      <c r="N21" s="118"/>
      <c r="O21" s="118"/>
      <c r="P21" s="116">
        <f t="shared" si="14"/>
        <v>0</v>
      </c>
      <c r="Q21" s="132">
        <f t="shared" si="3"/>
        <v>0</v>
      </c>
      <c r="R21" s="133">
        <f t="shared" si="4"/>
        <v>0</v>
      </c>
      <c r="S21" s="133">
        <f t="shared" si="15"/>
        <v>0</v>
      </c>
    </row>
    <row r="22" hidden="1" outlineLevel="1">
      <c r="A22" s="147"/>
      <c r="B22" s="144"/>
      <c r="C22" s="145"/>
      <c r="D22" s="114"/>
      <c r="E22" s="114"/>
      <c r="F22" s="146"/>
      <c r="G22" s="146"/>
      <c r="H22" s="149"/>
      <c r="I22" s="116">
        <f t="shared" si="12"/>
        <v>0</v>
      </c>
      <c r="J22" s="123"/>
      <c r="K22" s="118"/>
      <c r="L22" s="118"/>
      <c r="M22" s="118"/>
      <c r="N22" s="118"/>
      <c r="O22" s="118"/>
      <c r="P22" s="116">
        <f t="shared" si="14"/>
        <v>0</v>
      </c>
      <c r="Q22" s="132">
        <f t="shared" si="3"/>
        <v>0</v>
      </c>
      <c r="R22" s="133">
        <f t="shared" si="4"/>
        <v>0</v>
      </c>
      <c r="S22" s="133">
        <f t="shared" si="15"/>
        <v>0</v>
      </c>
    </row>
    <row r="23" hidden="1" outlineLevel="1">
      <c r="A23" s="150"/>
      <c r="B23" s="151"/>
      <c r="C23" s="148"/>
      <c r="D23" s="114"/>
      <c r="E23" s="114"/>
      <c r="F23" s="146"/>
      <c r="G23" s="146"/>
      <c r="H23" s="143"/>
      <c r="I23" s="116">
        <f t="shared" si="12"/>
        <v>0</v>
      </c>
      <c r="J23" s="123"/>
      <c r="K23" s="118"/>
      <c r="L23" s="118"/>
      <c r="M23" s="118"/>
      <c r="N23" s="118"/>
      <c r="O23" s="118"/>
      <c r="P23" s="116">
        <f t="shared" si="14"/>
        <v>0</v>
      </c>
      <c r="Q23" s="132">
        <f t="shared" si="3"/>
        <v>0</v>
      </c>
      <c r="R23" s="133">
        <f t="shared" si="4"/>
        <v>0</v>
      </c>
      <c r="S23" s="133">
        <f t="shared" si="15"/>
        <v>0</v>
      </c>
    </row>
    <row r="24" hidden="1" outlineLevel="1">
      <c r="A24" s="142"/>
      <c r="B24" s="125"/>
      <c r="C24" s="148"/>
      <c r="D24" s="114"/>
      <c r="E24" s="114"/>
      <c r="F24" s="146"/>
      <c r="G24" s="146"/>
      <c r="H24" s="143"/>
      <c r="I24" s="116">
        <f t="shared" si="12"/>
        <v>0</v>
      </c>
      <c r="J24" s="123"/>
      <c r="K24" s="118"/>
      <c r="L24" s="118"/>
      <c r="M24" s="118"/>
      <c r="N24" s="118"/>
      <c r="O24" s="118"/>
      <c r="P24" s="116">
        <f t="shared" si="14"/>
        <v>0</v>
      </c>
      <c r="Q24" s="132">
        <f t="shared" si="3"/>
        <v>0</v>
      </c>
      <c r="R24" s="133">
        <f t="shared" si="4"/>
        <v>0</v>
      </c>
      <c r="S24" s="133">
        <f t="shared" si="15"/>
        <v>0</v>
      </c>
    </row>
    <row r="25" hidden="1" outlineLevel="1">
      <c r="A25" s="142"/>
      <c r="B25" s="125"/>
      <c r="C25" s="123"/>
      <c r="D25" s="114"/>
      <c r="E25" s="114"/>
      <c r="F25" s="114"/>
      <c r="G25" s="114"/>
      <c r="H25" s="143"/>
      <c r="I25" s="116">
        <f t="shared" si="12"/>
        <v>0</v>
      </c>
      <c r="J25" s="123"/>
      <c r="K25" s="118"/>
      <c r="L25" s="118"/>
      <c r="M25" s="118"/>
      <c r="N25" s="118"/>
      <c r="O25" s="118"/>
      <c r="P25" s="116">
        <f t="shared" si="14"/>
        <v>0</v>
      </c>
      <c r="Q25" s="132">
        <f t="shared" si="3"/>
        <v>0</v>
      </c>
      <c r="R25" s="133">
        <f t="shared" si="4"/>
        <v>0</v>
      </c>
      <c r="S25" s="133">
        <f t="shared" si="15"/>
        <v>0</v>
      </c>
    </row>
    <row r="26" hidden="1" outlineLevel="1">
      <c r="A26" s="142"/>
      <c r="B26" s="125"/>
      <c r="C26" s="123"/>
      <c r="D26" s="114"/>
      <c r="E26" s="114"/>
      <c r="F26" s="114"/>
      <c r="G26" s="114"/>
      <c r="H26" s="143"/>
      <c r="I26" s="116">
        <f t="shared" si="12"/>
        <v>0</v>
      </c>
      <c r="J26" s="123"/>
      <c r="K26" s="118"/>
      <c r="L26" s="118"/>
      <c r="M26" s="118"/>
      <c r="N26" s="118"/>
      <c r="O26" s="118"/>
      <c r="P26" s="116">
        <f t="shared" si="14"/>
        <v>0</v>
      </c>
      <c r="Q26" s="132">
        <f t="shared" si="3"/>
        <v>0</v>
      </c>
      <c r="R26" s="133">
        <f t="shared" si="4"/>
        <v>0</v>
      </c>
      <c r="S26" s="133">
        <f t="shared" si="15"/>
        <v>0</v>
      </c>
    </row>
    <row r="27" hidden="1" outlineLevel="1">
      <c r="A27" s="142"/>
      <c r="B27" s="125"/>
      <c r="C27" s="123"/>
      <c r="D27" s="114"/>
      <c r="E27" s="114"/>
      <c r="F27" s="114"/>
      <c r="G27" s="114"/>
      <c r="H27" s="143"/>
      <c r="I27" s="116">
        <f t="shared" si="12"/>
        <v>0</v>
      </c>
      <c r="J27" s="123"/>
      <c r="K27" s="118"/>
      <c r="L27" s="118"/>
      <c r="M27" s="118"/>
      <c r="N27" s="118"/>
      <c r="O27" s="118"/>
      <c r="P27" s="116">
        <f t="shared" si="14"/>
        <v>0</v>
      </c>
      <c r="Q27" s="132">
        <f t="shared" si="3"/>
        <v>0</v>
      </c>
      <c r="R27" s="133">
        <f t="shared" si="4"/>
        <v>0</v>
      </c>
      <c r="S27" s="133">
        <f t="shared" si="15"/>
        <v>0</v>
      </c>
    </row>
    <row r="28" hidden="1" outlineLevel="1">
      <c r="A28" s="142"/>
      <c r="B28" s="125"/>
      <c r="C28" s="123"/>
      <c r="D28" s="114"/>
      <c r="E28" s="114"/>
      <c r="F28" s="114"/>
      <c r="G28" s="114"/>
      <c r="H28" s="143"/>
      <c r="I28" s="116">
        <f t="shared" si="12"/>
        <v>0</v>
      </c>
      <c r="J28" s="123"/>
      <c r="K28" s="118"/>
      <c r="L28" s="118"/>
      <c r="M28" s="118"/>
      <c r="N28" s="118"/>
      <c r="O28" s="118"/>
      <c r="P28" s="116">
        <f t="shared" si="14"/>
        <v>0</v>
      </c>
      <c r="Q28" s="132">
        <f t="shared" si="3"/>
        <v>0</v>
      </c>
      <c r="R28" s="133">
        <f t="shared" si="4"/>
        <v>0</v>
      </c>
      <c r="S28" s="133">
        <f t="shared" si="15"/>
        <v>0</v>
      </c>
    </row>
    <row r="29" hidden="1" outlineLevel="1">
      <c r="A29" s="142"/>
      <c r="B29" s="125"/>
      <c r="C29" s="123"/>
      <c r="D29" s="114"/>
      <c r="E29" s="114"/>
      <c r="F29" s="114"/>
      <c r="G29" s="114"/>
      <c r="H29" s="143"/>
      <c r="I29" s="116">
        <f t="shared" si="12"/>
        <v>0</v>
      </c>
      <c r="J29" s="123"/>
      <c r="K29" s="118"/>
      <c r="L29" s="118"/>
      <c r="M29" s="118"/>
      <c r="N29" s="118"/>
      <c r="O29" s="118"/>
      <c r="P29" s="116">
        <f t="shared" si="14"/>
        <v>0</v>
      </c>
      <c r="Q29" s="132">
        <f t="shared" si="3"/>
        <v>0</v>
      </c>
      <c r="R29" s="133">
        <f t="shared" si="4"/>
        <v>0</v>
      </c>
      <c r="S29" s="133">
        <f t="shared" si="15"/>
        <v>0</v>
      </c>
    </row>
    <row r="30" hidden="1" outlineLevel="1">
      <c r="A30" s="142"/>
      <c r="B30" s="125"/>
      <c r="C30" s="123"/>
      <c r="D30" s="114"/>
      <c r="E30" s="114"/>
      <c r="F30" s="114"/>
      <c r="G30" s="114"/>
      <c r="H30" s="143"/>
      <c r="I30" s="116">
        <f t="shared" si="12"/>
        <v>0</v>
      </c>
      <c r="J30" s="123"/>
      <c r="K30" s="118"/>
      <c r="L30" s="118"/>
      <c r="M30" s="118"/>
      <c r="N30" s="118"/>
      <c r="O30" s="118"/>
      <c r="P30" s="116">
        <f t="shared" si="14"/>
        <v>0</v>
      </c>
      <c r="Q30" s="132">
        <f t="shared" si="3"/>
        <v>0</v>
      </c>
      <c r="R30" s="133">
        <f t="shared" si="4"/>
        <v>0</v>
      </c>
      <c r="S30" s="133">
        <f t="shared" si="15"/>
        <v>0</v>
      </c>
    </row>
    <row r="31" hidden="1" outlineLevel="1">
      <c r="A31" s="142"/>
      <c r="B31" s="125"/>
      <c r="C31" s="123"/>
      <c r="D31" s="114"/>
      <c r="E31" s="114"/>
      <c r="F31" s="114"/>
      <c r="G31" s="114"/>
      <c r="H31" s="143"/>
      <c r="I31" s="116">
        <f t="shared" si="12"/>
        <v>0</v>
      </c>
      <c r="J31" s="123"/>
      <c r="K31" s="118"/>
      <c r="L31" s="118"/>
      <c r="M31" s="118"/>
      <c r="N31" s="118"/>
      <c r="O31" s="118"/>
      <c r="P31" s="116">
        <f t="shared" si="14"/>
        <v>0</v>
      </c>
      <c r="Q31" s="132">
        <f t="shared" si="3"/>
        <v>0</v>
      </c>
      <c r="R31" s="133">
        <f t="shared" si="4"/>
        <v>0</v>
      </c>
      <c r="S31" s="133">
        <f t="shared" si="15"/>
        <v>0</v>
      </c>
    </row>
    <row r="32" hidden="1" outlineLevel="1">
      <c r="A32" s="142"/>
      <c r="B32" s="125"/>
      <c r="C32" s="123"/>
      <c r="D32" s="114"/>
      <c r="E32" s="114"/>
      <c r="F32" s="114"/>
      <c r="G32" s="114"/>
      <c r="H32" s="143"/>
      <c r="I32" s="116">
        <f t="shared" si="12"/>
        <v>0</v>
      </c>
      <c r="J32" s="123"/>
      <c r="K32" s="118"/>
      <c r="L32" s="118"/>
      <c r="M32" s="118"/>
      <c r="N32" s="118"/>
      <c r="O32" s="118"/>
      <c r="P32" s="116">
        <f t="shared" si="14"/>
        <v>0</v>
      </c>
      <c r="Q32" s="132">
        <f t="shared" si="3"/>
        <v>0</v>
      </c>
      <c r="R32" s="133">
        <f t="shared" si="4"/>
        <v>0</v>
      </c>
      <c r="S32" s="133">
        <f t="shared" si="15"/>
        <v>0</v>
      </c>
    </row>
    <row r="33" hidden="1" outlineLevel="1">
      <c r="A33" s="142"/>
      <c r="B33" s="125"/>
      <c r="C33" s="123"/>
      <c r="D33" s="114"/>
      <c r="E33" s="114"/>
      <c r="F33" s="114"/>
      <c r="G33" s="114"/>
      <c r="H33" s="143"/>
      <c r="I33" s="116">
        <f t="shared" si="12"/>
        <v>0</v>
      </c>
      <c r="J33" s="123"/>
      <c r="K33" s="118"/>
      <c r="L33" s="118"/>
      <c r="M33" s="118"/>
      <c r="N33" s="118"/>
      <c r="O33" s="118"/>
      <c r="P33" s="116">
        <f t="shared" si="14"/>
        <v>0</v>
      </c>
      <c r="Q33" s="132">
        <f t="shared" si="3"/>
        <v>0</v>
      </c>
      <c r="R33" s="133">
        <f t="shared" si="4"/>
        <v>0</v>
      </c>
      <c r="S33" s="133">
        <f t="shared" si="15"/>
        <v>0</v>
      </c>
    </row>
    <row r="34" hidden="1" outlineLevel="1">
      <c r="A34" s="142"/>
      <c r="B34" s="125"/>
      <c r="C34" s="123"/>
      <c r="D34" s="114"/>
      <c r="E34" s="114"/>
      <c r="F34" s="114"/>
      <c r="G34" s="114"/>
      <c r="H34" s="143"/>
      <c r="I34" s="116">
        <f t="shared" si="12"/>
        <v>0</v>
      </c>
      <c r="J34" s="123"/>
      <c r="K34" s="118"/>
      <c r="L34" s="118"/>
      <c r="M34" s="118"/>
      <c r="N34" s="118"/>
      <c r="O34" s="118"/>
      <c r="P34" s="116">
        <f t="shared" si="14"/>
        <v>0</v>
      </c>
      <c r="Q34" s="132">
        <f t="shared" si="3"/>
        <v>0</v>
      </c>
      <c r="R34" s="133">
        <f t="shared" si="4"/>
        <v>0</v>
      </c>
      <c r="S34" s="133">
        <f t="shared" si="15"/>
        <v>0</v>
      </c>
    </row>
    <row r="35" hidden="1" outlineLevel="1">
      <c r="A35" s="142"/>
      <c r="B35" s="125"/>
      <c r="C35" s="123"/>
      <c r="D35" s="114"/>
      <c r="E35" s="114"/>
      <c r="F35" s="114"/>
      <c r="G35" s="114"/>
      <c r="H35" s="143"/>
      <c r="I35" s="116">
        <f t="shared" si="12"/>
        <v>0</v>
      </c>
      <c r="J35" s="123"/>
      <c r="K35" s="118"/>
      <c r="L35" s="118"/>
      <c r="M35" s="118"/>
      <c r="N35" s="118"/>
      <c r="O35" s="118"/>
      <c r="P35" s="116">
        <f t="shared" si="14"/>
        <v>0</v>
      </c>
      <c r="Q35" s="132">
        <f t="shared" si="3"/>
        <v>0</v>
      </c>
      <c r="R35" s="133">
        <f t="shared" si="4"/>
        <v>0</v>
      </c>
      <c r="S35" s="133">
        <f t="shared" si="15"/>
        <v>0</v>
      </c>
    </row>
    <row r="36" hidden="1" outlineLevel="1">
      <c r="A36" s="142"/>
      <c r="B36" s="125"/>
      <c r="C36" s="123"/>
      <c r="D36" s="114"/>
      <c r="E36" s="114"/>
      <c r="F36" s="114"/>
      <c r="G36" s="114"/>
      <c r="H36" s="143"/>
      <c r="I36" s="116">
        <f t="shared" si="12"/>
        <v>0</v>
      </c>
      <c r="J36" s="123"/>
      <c r="K36" s="118"/>
      <c r="L36" s="118"/>
      <c r="M36" s="118"/>
      <c r="N36" s="118"/>
      <c r="O36" s="118"/>
      <c r="P36" s="116">
        <f t="shared" si="14"/>
        <v>0</v>
      </c>
      <c r="Q36" s="132">
        <f t="shared" si="3"/>
        <v>0</v>
      </c>
      <c r="R36" s="133">
        <f t="shared" si="4"/>
        <v>0</v>
      </c>
      <c r="S36" s="133">
        <f t="shared" si="15"/>
        <v>0</v>
      </c>
    </row>
    <row r="37" hidden="1" outlineLevel="1">
      <c r="A37" s="142"/>
      <c r="B37" s="125"/>
      <c r="C37" s="123"/>
      <c r="D37" s="114"/>
      <c r="E37" s="114"/>
      <c r="F37" s="114"/>
      <c r="G37" s="114"/>
      <c r="H37" s="143"/>
      <c r="I37" s="116">
        <f t="shared" si="12"/>
        <v>0</v>
      </c>
      <c r="J37" s="123"/>
      <c r="K37" s="118"/>
      <c r="L37" s="118"/>
      <c r="M37" s="118"/>
      <c r="N37" s="118"/>
      <c r="O37" s="118"/>
      <c r="P37" s="116">
        <f t="shared" si="14"/>
        <v>0</v>
      </c>
      <c r="Q37" s="132">
        <f t="shared" si="3"/>
        <v>0</v>
      </c>
      <c r="R37" s="133">
        <f t="shared" si="4"/>
        <v>0</v>
      </c>
      <c r="S37" s="133">
        <f t="shared" si="15"/>
        <v>0</v>
      </c>
    </row>
    <row r="38" hidden="1" outlineLevel="1">
      <c r="A38" s="142"/>
      <c r="B38" s="125"/>
      <c r="C38" s="123"/>
      <c r="D38" s="114"/>
      <c r="E38" s="114"/>
      <c r="F38" s="114"/>
      <c r="G38" s="114"/>
      <c r="H38" s="143"/>
      <c r="I38" s="116">
        <f t="shared" si="12"/>
        <v>0</v>
      </c>
      <c r="J38" s="123"/>
      <c r="K38" s="118"/>
      <c r="L38" s="118"/>
      <c r="M38" s="118"/>
      <c r="N38" s="118"/>
      <c r="O38" s="118"/>
      <c r="P38" s="116">
        <f t="shared" si="14"/>
        <v>0</v>
      </c>
      <c r="Q38" s="132">
        <f t="shared" si="3"/>
        <v>0</v>
      </c>
      <c r="R38" s="133">
        <f t="shared" si="4"/>
        <v>0</v>
      </c>
      <c r="S38" s="133">
        <f t="shared" si="15"/>
        <v>0</v>
      </c>
    </row>
    <row r="39" hidden="1" outlineLevel="1">
      <c r="A39" s="142"/>
      <c r="B39" s="125"/>
      <c r="C39" s="123"/>
      <c r="D39" s="114"/>
      <c r="E39" s="114"/>
      <c r="F39" s="114"/>
      <c r="G39" s="114"/>
      <c r="H39" s="143"/>
      <c r="I39" s="116">
        <f t="shared" si="12"/>
        <v>0</v>
      </c>
      <c r="J39" s="123"/>
      <c r="K39" s="118"/>
      <c r="L39" s="118"/>
      <c r="M39" s="118"/>
      <c r="N39" s="118"/>
      <c r="O39" s="118"/>
      <c r="P39" s="116">
        <f t="shared" si="14"/>
        <v>0</v>
      </c>
      <c r="Q39" s="132">
        <f t="shared" si="3"/>
        <v>0</v>
      </c>
      <c r="R39" s="133">
        <f t="shared" si="4"/>
        <v>0</v>
      </c>
      <c r="S39" s="133">
        <f t="shared" si="15"/>
        <v>0</v>
      </c>
    </row>
    <row r="40" hidden="1" outlineLevel="1">
      <c r="A40" s="142"/>
      <c r="B40" s="125"/>
      <c r="C40" s="123"/>
      <c r="D40" s="114"/>
      <c r="E40" s="114"/>
      <c r="F40" s="114"/>
      <c r="G40" s="114"/>
      <c r="H40" s="143"/>
      <c r="I40" s="116">
        <f t="shared" si="12"/>
        <v>0</v>
      </c>
      <c r="J40" s="123"/>
      <c r="K40" s="118"/>
      <c r="L40" s="118"/>
      <c r="M40" s="118"/>
      <c r="N40" s="118"/>
      <c r="O40" s="118"/>
      <c r="P40" s="116">
        <f t="shared" si="14"/>
        <v>0</v>
      </c>
      <c r="Q40" s="132">
        <f t="shared" si="3"/>
        <v>0</v>
      </c>
      <c r="R40" s="133">
        <f t="shared" si="4"/>
        <v>0</v>
      </c>
      <c r="S40" s="133">
        <f t="shared" si="15"/>
        <v>0</v>
      </c>
    </row>
    <row r="41" hidden="1" outlineLevel="1">
      <c r="A41" s="142"/>
      <c r="B41" s="125"/>
      <c r="C41" s="123"/>
      <c r="D41" s="114"/>
      <c r="E41" s="114"/>
      <c r="F41" s="114"/>
      <c r="G41" s="114"/>
      <c r="H41" s="143"/>
      <c r="I41" s="116">
        <f t="shared" si="12"/>
        <v>0</v>
      </c>
      <c r="J41" s="123"/>
      <c r="K41" s="118"/>
      <c r="L41" s="118"/>
      <c r="M41" s="118"/>
      <c r="N41" s="118"/>
      <c r="O41" s="118"/>
      <c r="P41" s="116">
        <f t="shared" si="14"/>
        <v>0</v>
      </c>
      <c r="Q41" s="132">
        <f t="shared" si="3"/>
        <v>0</v>
      </c>
      <c r="R41" s="133">
        <f t="shared" si="4"/>
        <v>0</v>
      </c>
      <c r="S41" s="133">
        <f t="shared" si="15"/>
        <v>0</v>
      </c>
    </row>
    <row r="42" hidden="1" outlineLevel="1">
      <c r="A42" s="142"/>
      <c r="B42" s="125"/>
      <c r="C42" s="123"/>
      <c r="D42" s="114"/>
      <c r="E42" s="114"/>
      <c r="F42" s="114"/>
      <c r="G42" s="114"/>
      <c r="H42" s="143"/>
      <c r="I42" s="116">
        <f t="shared" si="12"/>
        <v>0</v>
      </c>
      <c r="J42" s="123"/>
      <c r="K42" s="118"/>
      <c r="L42" s="118"/>
      <c r="M42" s="118"/>
      <c r="N42" s="118"/>
      <c r="O42" s="118"/>
      <c r="P42" s="116">
        <f t="shared" si="14"/>
        <v>0</v>
      </c>
      <c r="Q42" s="132">
        <f t="shared" si="3"/>
        <v>0</v>
      </c>
      <c r="R42" s="133">
        <f t="shared" si="4"/>
        <v>0</v>
      </c>
      <c r="S42" s="133">
        <f t="shared" si="15"/>
        <v>0</v>
      </c>
    </row>
    <row r="43" hidden="1" outlineLevel="1">
      <c r="A43" s="142"/>
      <c r="B43" s="125"/>
      <c r="C43" s="123"/>
      <c r="D43" s="114"/>
      <c r="E43" s="114"/>
      <c r="F43" s="114"/>
      <c r="G43" s="114"/>
      <c r="H43" s="143"/>
      <c r="I43" s="116">
        <f t="shared" si="12"/>
        <v>0</v>
      </c>
      <c r="J43" s="123"/>
      <c r="K43" s="118"/>
      <c r="L43" s="118"/>
      <c r="M43" s="118"/>
      <c r="N43" s="118"/>
      <c r="O43" s="118"/>
      <c r="P43" s="116">
        <f t="shared" si="14"/>
        <v>0</v>
      </c>
      <c r="Q43" s="132">
        <f t="shared" si="3"/>
        <v>0</v>
      </c>
      <c r="R43" s="133">
        <f t="shared" si="4"/>
        <v>0</v>
      </c>
      <c r="S43" s="133">
        <f t="shared" si="15"/>
        <v>0</v>
      </c>
    </row>
    <row r="44" hidden="1" outlineLevel="1">
      <c r="A44" s="142"/>
      <c r="B44" s="125"/>
      <c r="C44" s="123"/>
      <c r="D44" s="114"/>
      <c r="E44" s="114"/>
      <c r="F44" s="114"/>
      <c r="G44" s="114"/>
      <c r="H44" s="143"/>
      <c r="I44" s="116">
        <f t="shared" si="12"/>
        <v>0</v>
      </c>
      <c r="J44" s="123"/>
      <c r="K44" s="118"/>
      <c r="L44" s="118"/>
      <c r="M44" s="118"/>
      <c r="N44" s="118"/>
      <c r="O44" s="118"/>
      <c r="P44" s="116">
        <f t="shared" si="14"/>
        <v>0</v>
      </c>
      <c r="Q44" s="132">
        <f t="shared" si="3"/>
        <v>0</v>
      </c>
      <c r="R44" s="133">
        <f t="shared" si="4"/>
        <v>0</v>
      </c>
      <c r="S44" s="133">
        <f t="shared" si="15"/>
        <v>0</v>
      </c>
    </row>
    <row r="45" hidden="1" outlineLevel="1">
      <c r="A45" s="142"/>
      <c r="B45" s="125"/>
      <c r="C45" s="123"/>
      <c r="D45" s="114"/>
      <c r="E45" s="114"/>
      <c r="F45" s="114"/>
      <c r="G45" s="114"/>
      <c r="H45" s="143"/>
      <c r="I45" s="116">
        <f t="shared" si="12"/>
        <v>0</v>
      </c>
      <c r="J45" s="123"/>
      <c r="K45" s="118"/>
      <c r="L45" s="118"/>
      <c r="M45" s="118"/>
      <c r="N45" s="118"/>
      <c r="O45" s="118"/>
      <c r="P45" s="116">
        <f t="shared" si="14"/>
        <v>0</v>
      </c>
      <c r="Q45" s="132">
        <f t="shared" si="3"/>
        <v>0</v>
      </c>
      <c r="R45" s="133">
        <f t="shared" si="4"/>
        <v>0</v>
      </c>
      <c r="S45" s="133">
        <f t="shared" si="15"/>
        <v>0</v>
      </c>
    </row>
    <row r="46" hidden="1" outlineLevel="1">
      <c r="A46" s="142"/>
      <c r="B46" s="125"/>
      <c r="C46" s="123"/>
      <c r="D46" s="114"/>
      <c r="E46" s="114"/>
      <c r="F46" s="114"/>
      <c r="G46" s="114"/>
      <c r="H46" s="143"/>
      <c r="I46" s="116">
        <f t="shared" si="12"/>
        <v>0</v>
      </c>
      <c r="J46" s="123"/>
      <c r="K46" s="118"/>
      <c r="L46" s="118"/>
      <c r="M46" s="118"/>
      <c r="N46" s="118"/>
      <c r="O46" s="118"/>
      <c r="P46" s="116">
        <f t="shared" si="14"/>
        <v>0</v>
      </c>
      <c r="Q46" s="132">
        <f t="shared" si="3"/>
        <v>0</v>
      </c>
      <c r="R46" s="133">
        <f t="shared" si="4"/>
        <v>0</v>
      </c>
      <c r="S46" s="133">
        <f t="shared" si="15"/>
        <v>0</v>
      </c>
    </row>
    <row r="47" hidden="1" outlineLevel="1">
      <c r="A47" s="142"/>
      <c r="B47" s="125"/>
      <c r="C47" s="123"/>
      <c r="D47" s="114"/>
      <c r="E47" s="114"/>
      <c r="F47" s="114"/>
      <c r="G47" s="114"/>
      <c r="H47" s="143"/>
      <c r="I47" s="116">
        <f t="shared" si="12"/>
        <v>0</v>
      </c>
      <c r="J47" s="123"/>
      <c r="K47" s="118"/>
      <c r="L47" s="118"/>
      <c r="M47" s="118"/>
      <c r="N47" s="118"/>
      <c r="O47" s="118"/>
      <c r="P47" s="116">
        <f t="shared" si="14"/>
        <v>0</v>
      </c>
      <c r="Q47" s="132">
        <f t="shared" si="3"/>
        <v>0</v>
      </c>
      <c r="R47" s="133">
        <f t="shared" si="4"/>
        <v>0</v>
      </c>
      <c r="S47" s="133">
        <f t="shared" si="15"/>
        <v>0</v>
      </c>
    </row>
    <row r="48" hidden="1" outlineLevel="1">
      <c r="A48" s="142"/>
      <c r="B48" s="125"/>
      <c r="C48" s="123"/>
      <c r="D48" s="114"/>
      <c r="E48" s="114"/>
      <c r="F48" s="114"/>
      <c r="G48" s="114"/>
      <c r="H48" s="143"/>
      <c r="I48" s="116">
        <f t="shared" si="12"/>
        <v>0</v>
      </c>
      <c r="J48" s="123"/>
      <c r="K48" s="118"/>
      <c r="L48" s="118"/>
      <c r="M48" s="118"/>
      <c r="N48" s="118"/>
      <c r="O48" s="118"/>
      <c r="P48" s="116">
        <f t="shared" si="14"/>
        <v>0</v>
      </c>
      <c r="Q48" s="132">
        <f t="shared" si="3"/>
        <v>0</v>
      </c>
      <c r="R48" s="133">
        <f t="shared" si="4"/>
        <v>0</v>
      </c>
      <c r="S48" s="133">
        <f t="shared" si="15"/>
        <v>0</v>
      </c>
    </row>
    <row r="49" hidden="1" outlineLevel="1">
      <c r="A49" s="142"/>
      <c r="B49" s="125"/>
      <c r="C49" s="123"/>
      <c r="D49" s="143"/>
      <c r="E49" s="114"/>
      <c r="F49" s="114"/>
      <c r="G49" s="114"/>
      <c r="H49" s="143"/>
      <c r="I49" s="116">
        <f t="shared" si="12"/>
        <v>0</v>
      </c>
      <c r="J49" s="123"/>
      <c r="K49" s="118"/>
      <c r="L49" s="118"/>
      <c r="M49" s="118"/>
      <c r="N49" s="118"/>
      <c r="O49" s="118"/>
      <c r="P49" s="116">
        <f t="shared" si="14"/>
        <v>0</v>
      </c>
      <c r="Q49" s="132">
        <f t="shared" si="3"/>
        <v>0</v>
      </c>
      <c r="R49" s="133">
        <f t="shared" si="4"/>
        <v>0</v>
      </c>
      <c r="S49" s="133">
        <f t="shared" si="15"/>
        <v>0</v>
      </c>
    </row>
    <row r="50" hidden="1" outlineLevel="1">
      <c r="A50" s="142"/>
      <c r="B50" s="125"/>
      <c r="C50" s="123"/>
      <c r="D50" s="114"/>
      <c r="E50" s="114"/>
      <c r="F50" s="114"/>
      <c r="G50" s="114"/>
      <c r="H50" s="143"/>
      <c r="I50" s="116">
        <f t="shared" si="12"/>
        <v>0</v>
      </c>
      <c r="J50" s="123"/>
      <c r="K50" s="118"/>
      <c r="L50" s="118"/>
      <c r="M50" s="118"/>
      <c r="N50" s="118"/>
      <c r="O50" s="118"/>
      <c r="P50" s="116">
        <f t="shared" si="14"/>
        <v>0</v>
      </c>
      <c r="Q50" s="132">
        <f t="shared" si="3"/>
        <v>0</v>
      </c>
      <c r="R50" s="133">
        <f t="shared" si="4"/>
        <v>0</v>
      </c>
      <c r="S50" s="133">
        <f t="shared" si="15"/>
        <v>0</v>
      </c>
    </row>
    <row r="51" hidden="1" outlineLevel="1">
      <c r="A51" s="142"/>
      <c r="B51" s="125"/>
      <c r="C51" s="123"/>
      <c r="D51" s="114"/>
      <c r="E51" s="114"/>
      <c r="F51" s="114"/>
      <c r="G51" s="114"/>
      <c r="H51" s="143"/>
      <c r="I51" s="116">
        <f t="shared" si="12"/>
        <v>0</v>
      </c>
      <c r="J51" s="123"/>
      <c r="K51" s="118"/>
      <c r="L51" s="118"/>
      <c r="M51" s="118"/>
      <c r="N51" s="118"/>
      <c r="O51" s="118"/>
      <c r="P51" s="116">
        <f t="shared" si="14"/>
        <v>0</v>
      </c>
      <c r="Q51" s="132">
        <f t="shared" si="3"/>
        <v>0</v>
      </c>
      <c r="R51" s="133">
        <f t="shared" si="4"/>
        <v>0</v>
      </c>
      <c r="S51" s="133">
        <f t="shared" si="15"/>
        <v>0</v>
      </c>
    </row>
    <row r="52" hidden="1" outlineLevel="1">
      <c r="A52" s="142"/>
      <c r="B52" s="125"/>
      <c r="C52" s="123"/>
      <c r="D52" s="114"/>
      <c r="E52" s="114"/>
      <c r="F52" s="114"/>
      <c r="G52" s="114"/>
      <c r="H52" s="149"/>
      <c r="I52" s="116">
        <f t="shared" si="12"/>
        <v>0</v>
      </c>
      <c r="J52" s="123"/>
      <c r="K52" s="118"/>
      <c r="L52" s="118"/>
      <c r="M52" s="118"/>
      <c r="N52" s="118"/>
      <c r="O52" s="118"/>
      <c r="P52" s="116">
        <f t="shared" si="14"/>
        <v>0</v>
      </c>
      <c r="Q52" s="132">
        <f t="shared" si="3"/>
        <v>0</v>
      </c>
      <c r="R52" s="133">
        <f t="shared" si="4"/>
        <v>0</v>
      </c>
      <c r="S52" s="133">
        <f t="shared" si="15"/>
        <v>0</v>
      </c>
    </row>
    <row r="53" hidden="1" outlineLevel="1">
      <c r="A53" s="142"/>
      <c r="B53" s="125"/>
      <c r="C53" s="123"/>
      <c r="D53" s="114"/>
      <c r="E53" s="114"/>
      <c r="F53" s="114"/>
      <c r="G53" s="114"/>
      <c r="H53" s="143"/>
      <c r="I53" s="116">
        <f t="shared" si="12"/>
        <v>0</v>
      </c>
      <c r="J53" s="123"/>
      <c r="K53" s="118"/>
      <c r="L53" s="118"/>
      <c r="M53" s="118"/>
      <c r="N53" s="118"/>
      <c r="O53" s="118"/>
      <c r="P53" s="116">
        <f t="shared" si="14"/>
        <v>0</v>
      </c>
      <c r="Q53" s="132">
        <f t="shared" si="3"/>
        <v>0</v>
      </c>
      <c r="R53" s="133">
        <f t="shared" si="4"/>
        <v>0</v>
      </c>
      <c r="S53" s="133">
        <f t="shared" si="15"/>
        <v>0</v>
      </c>
    </row>
    <row r="54" hidden="1" outlineLevel="1">
      <c r="A54" s="142"/>
      <c r="B54" s="125"/>
      <c r="C54" s="122"/>
      <c r="D54" s="114"/>
      <c r="E54" s="114"/>
      <c r="F54" s="114"/>
      <c r="G54" s="114"/>
      <c r="H54" s="143"/>
      <c r="I54" s="116">
        <f t="shared" si="12"/>
        <v>0</v>
      </c>
      <c r="J54" s="123"/>
      <c r="K54" s="118"/>
      <c r="L54" s="118"/>
      <c r="M54" s="118"/>
      <c r="N54" s="118"/>
      <c r="O54" s="118"/>
      <c r="P54" s="116">
        <f t="shared" si="14"/>
        <v>0</v>
      </c>
      <c r="Q54" s="132">
        <f t="shared" si="3"/>
        <v>0</v>
      </c>
      <c r="R54" s="133">
        <f t="shared" si="4"/>
        <v>0</v>
      </c>
      <c r="S54" s="133">
        <f t="shared" si="15"/>
        <v>0</v>
      </c>
    </row>
    <row r="55">
      <c r="A55" s="152"/>
      <c r="B55" s="153" t="s">
        <v>136</v>
      </c>
      <c r="C55" s="154">
        <f t="shared" ref="C55:K55" si="16">C3+C12</f>
        <v>6</v>
      </c>
      <c r="D55" s="155">
        <f t="shared" si="16"/>
        <v>0</v>
      </c>
      <c r="E55" s="155">
        <f t="shared" si="16"/>
        <v>0</v>
      </c>
      <c r="F55" s="155">
        <f t="shared" si="16"/>
        <v>0</v>
      </c>
      <c r="G55" s="155">
        <f t="shared" si="16"/>
        <v>0</v>
      </c>
      <c r="H55" s="156">
        <f t="shared" si="16"/>
        <v>0</v>
      </c>
      <c r="I55" s="157">
        <f t="shared" si="16"/>
        <v>6</v>
      </c>
      <c r="J55" s="154">
        <f t="shared" si="16"/>
        <v>0</v>
      </c>
      <c r="K55" s="155">
        <f t="shared" si="16"/>
        <v>0</v>
      </c>
      <c r="L55" s="155"/>
      <c r="M55" s="155"/>
      <c r="N55" s="155"/>
      <c r="O55" s="155"/>
      <c r="P55" s="157">
        <f>P3+P12</f>
        <v>0</v>
      </c>
      <c r="Q55" s="155">
        <f t="shared" si="3"/>
        <v>6</v>
      </c>
      <c r="R55" s="158">
        <f t="shared" si="4"/>
        <v>0</v>
      </c>
      <c r="S55" s="159" t="str">
        <f>IF(Q55=0,"",IF(R55&gt;1,"выполнение","план не выполнен"))</f>
        <v>план не выполнен</v>
      </c>
    </row>
    <row r="56">
      <c r="A56" s="160"/>
      <c r="B56" s="161" t="s">
        <v>137</v>
      </c>
      <c r="C56" s="162">
        <f t="shared" ref="C56:K56" si="17">IFERROR(C55/C$3,"")</f>
        <v>1</v>
      </c>
      <c r="D56" s="163" t="str">
        <f t="shared" si="17"/>
        <v/>
      </c>
      <c r="E56" s="163" t="str">
        <f t="shared" si="17"/>
        <v/>
      </c>
      <c r="F56" s="163" t="str">
        <f t="shared" si="17"/>
        <v/>
      </c>
      <c r="G56" s="163" t="str">
        <f t="shared" si="17"/>
        <v/>
      </c>
      <c r="H56" s="163" t="str">
        <f t="shared" si="17"/>
        <v/>
      </c>
      <c r="I56" s="164">
        <f t="shared" si="17"/>
        <v>1</v>
      </c>
      <c r="J56" s="163" t="str">
        <f t="shared" si="17"/>
        <v/>
      </c>
      <c r="K56" s="163" t="str">
        <f t="shared" si="17"/>
        <v/>
      </c>
      <c r="L56" s="163"/>
      <c r="M56" s="163"/>
      <c r="N56" s="163"/>
      <c r="O56" s="163"/>
      <c r="P56" s="164" t="str">
        <f>IFERROR(P55/P$3,"")</f>
        <v/>
      </c>
      <c r="Q56" s="121"/>
      <c r="R56" s="121"/>
      <c r="S56" s="121"/>
    </row>
    <row r="57">
      <c r="A57" s="142"/>
      <c r="B57" s="125"/>
      <c r="C57" s="122"/>
      <c r="D57" s="114"/>
      <c r="E57" s="114"/>
      <c r="F57" s="114"/>
      <c r="G57" s="114"/>
      <c r="H57" s="114"/>
      <c r="I57" s="116"/>
      <c r="J57" s="123"/>
      <c r="K57" s="118"/>
      <c r="L57" s="118"/>
      <c r="M57" s="118"/>
      <c r="N57" s="118"/>
      <c r="O57" s="118"/>
      <c r="P57" s="116"/>
      <c r="Q57" s="121"/>
      <c r="R57" s="121"/>
      <c r="S57" s="121"/>
    </row>
    <row r="58">
      <c r="A58" s="135"/>
      <c r="B58" s="136" t="s">
        <v>94</v>
      </c>
      <c r="C58" s="165">
        <f t="shared" ref="C58:H58" si="18">sum(C59:C79)</f>
        <v>0</v>
      </c>
      <c r="D58" s="166">
        <f t="shared" si="18"/>
        <v>0</v>
      </c>
      <c r="E58" s="166">
        <f t="shared" si="18"/>
        <v>0</v>
      </c>
      <c r="F58" s="166">
        <f t="shared" si="18"/>
        <v>0</v>
      </c>
      <c r="G58" s="166">
        <f t="shared" si="18"/>
        <v>0</v>
      </c>
      <c r="H58" s="166">
        <f t="shared" si="18"/>
        <v>0</v>
      </c>
      <c r="I58" s="167">
        <f t="shared" ref="I58:K58" si="19">SUM(I59:I84)</f>
        <v>0</v>
      </c>
      <c r="J58" s="165">
        <f t="shared" si="19"/>
        <v>0</v>
      </c>
      <c r="K58" s="166">
        <f t="shared" si="19"/>
        <v>0</v>
      </c>
      <c r="L58" s="166"/>
      <c r="M58" s="166"/>
      <c r="N58" s="166"/>
      <c r="O58" s="166"/>
      <c r="P58" s="168">
        <f>SUM(P59:P84)</f>
        <v>0</v>
      </c>
      <c r="Q58" s="166">
        <f t="shared" ref="Q58:Q85" si="20">I58-P58</f>
        <v>0</v>
      </c>
      <c r="R58" s="169">
        <f t="shared" ref="R58:R85" si="21">IFERROR(I58/P58,0)</f>
        <v>0</v>
      </c>
      <c r="S58" s="141" t="str">
        <f>IF(Q58=0,"",IF(R58&gt;1,"план не выполнен","выполнение"))</f>
        <v/>
      </c>
    </row>
    <row r="59">
      <c r="A59" s="142" t="str">
        <f>IFERROR(VLOOKUP(B59,'Статьи'!$A$2:C81,3,0)," ")</f>
        <v>1С</v>
      </c>
      <c r="B59" s="125" t="str">
        <f>IFERROR(__xludf.DUMMYFUNCTION("iferror(filter('Статьи'!$A$1:$A177,'Статьи'!$B$1:$B177=$B$58))"),"Зарплата производственного персонала")</f>
        <v>Зарплата производственного персонала</v>
      </c>
      <c r="C59" s="170"/>
      <c r="D59" s="149"/>
      <c r="E59" s="143"/>
      <c r="F59" s="143"/>
      <c r="G59" s="143"/>
      <c r="H59" s="143"/>
      <c r="I59" s="116">
        <f t="shared" ref="I59:I84" si="22">SUM(C59:H59)</f>
        <v>0</v>
      </c>
      <c r="J59" s="117"/>
      <c r="K59" s="118"/>
      <c r="L59" s="118"/>
      <c r="M59" s="118"/>
      <c r="N59" s="118"/>
      <c r="O59" s="118"/>
      <c r="P59" s="116">
        <f t="shared" ref="P59:P84" si="23">SUM(J59:K59)</f>
        <v>0</v>
      </c>
      <c r="Q59" s="119">
        <f t="shared" si="20"/>
        <v>0</v>
      </c>
      <c r="R59" s="120">
        <f t="shared" si="21"/>
        <v>0</v>
      </c>
      <c r="S59" s="121" t="str">
        <f t="shared" ref="S59:S84" si="24">IF(Q59=0,"",IF(R59=0,"обратить внимание",IF(R59&gt;1,"перерасход","экономия")))</f>
        <v/>
      </c>
    </row>
    <row r="60">
      <c r="A60" s="142" t="str">
        <f>IFERROR(VLOOKUP(B60,'Статьи'!$A$2:C82,3,0)," ")</f>
        <v>ДДС отчетного месяца. Без НДС!</v>
      </c>
      <c r="B60" s="125" t="str">
        <f>IFERROR(__xludf.DUMMYFUNCTION("""COMPUTED_VALUE"""),"Таможенные расходы")</f>
        <v>Таможенные расходы</v>
      </c>
      <c r="C60" s="171"/>
      <c r="D60" s="149"/>
      <c r="E60" s="143"/>
      <c r="F60" s="143"/>
      <c r="G60" s="143"/>
      <c r="H60" s="149"/>
      <c r="I60" s="116">
        <f t="shared" si="22"/>
        <v>0</v>
      </c>
      <c r="J60" s="117"/>
      <c r="K60" s="118"/>
      <c r="L60" s="118"/>
      <c r="M60" s="118"/>
      <c r="N60" s="118"/>
      <c r="O60" s="118"/>
      <c r="P60" s="116">
        <f t="shared" si="23"/>
        <v>0</v>
      </c>
      <c r="Q60" s="119">
        <f t="shared" si="20"/>
        <v>0</v>
      </c>
      <c r="R60" s="120">
        <f t="shared" si="21"/>
        <v>0</v>
      </c>
      <c r="S60" s="121" t="str">
        <f t="shared" si="24"/>
        <v/>
      </c>
    </row>
    <row r="61">
      <c r="A61" s="142" t="str">
        <f>IFERROR(VLOOKUP(B61,'Статьи'!$A$2:C83,3,0)," ")</f>
        <v> </v>
      </c>
      <c r="B61" s="125"/>
      <c r="C61" s="171"/>
      <c r="D61" s="172"/>
      <c r="E61" s="143"/>
      <c r="F61" s="143"/>
      <c r="G61" s="143"/>
      <c r="H61" s="149"/>
      <c r="I61" s="116">
        <f t="shared" si="22"/>
        <v>0</v>
      </c>
      <c r="J61" s="117"/>
      <c r="K61" s="118"/>
      <c r="L61" s="118"/>
      <c r="M61" s="118"/>
      <c r="N61" s="118"/>
      <c r="O61" s="118"/>
      <c r="P61" s="116">
        <f t="shared" si="23"/>
        <v>0</v>
      </c>
      <c r="Q61" s="119">
        <f t="shared" si="20"/>
        <v>0</v>
      </c>
      <c r="R61" s="120">
        <f t="shared" si="21"/>
        <v>0</v>
      </c>
      <c r="S61" s="121" t="str">
        <f t="shared" si="24"/>
        <v/>
      </c>
    </row>
    <row r="62">
      <c r="A62" s="142" t="str">
        <f>IFERROR(VLOOKUP(B62,'Статьи'!$A$2:C84,3,0)," ")</f>
        <v> </v>
      </c>
      <c r="B62" s="125"/>
      <c r="C62" s="171"/>
      <c r="D62" s="172"/>
      <c r="E62" s="143"/>
      <c r="F62" s="143"/>
      <c r="G62" s="143"/>
      <c r="H62" s="149"/>
      <c r="I62" s="116">
        <f t="shared" si="22"/>
        <v>0</v>
      </c>
      <c r="J62" s="123"/>
      <c r="K62" s="118"/>
      <c r="L62" s="118"/>
      <c r="M62" s="118"/>
      <c r="N62" s="118"/>
      <c r="O62" s="118"/>
      <c r="P62" s="116">
        <f t="shared" si="23"/>
        <v>0</v>
      </c>
      <c r="Q62" s="119">
        <f t="shared" si="20"/>
        <v>0</v>
      </c>
      <c r="R62" s="120">
        <f t="shared" si="21"/>
        <v>0</v>
      </c>
      <c r="S62" s="121" t="str">
        <f t="shared" si="24"/>
        <v/>
      </c>
    </row>
    <row r="63">
      <c r="A63" s="142" t="str">
        <f>IFERROR(VLOOKUP(B63,'Статьи'!$A$2:C85,3,0)," ")</f>
        <v> </v>
      </c>
      <c r="B63" s="125"/>
      <c r="C63" s="171"/>
      <c r="D63" s="172"/>
      <c r="E63" s="143"/>
      <c r="F63" s="143"/>
      <c r="G63" s="143"/>
      <c r="H63" s="149"/>
      <c r="I63" s="116">
        <f t="shared" si="22"/>
        <v>0</v>
      </c>
      <c r="J63" s="117"/>
      <c r="K63" s="118"/>
      <c r="L63" s="118"/>
      <c r="M63" s="118"/>
      <c r="N63" s="118"/>
      <c r="O63" s="118"/>
      <c r="P63" s="116">
        <f t="shared" si="23"/>
        <v>0</v>
      </c>
      <c r="Q63" s="119">
        <f t="shared" si="20"/>
        <v>0</v>
      </c>
      <c r="R63" s="120">
        <f t="shared" si="21"/>
        <v>0</v>
      </c>
      <c r="S63" s="121" t="str">
        <f t="shared" si="24"/>
        <v/>
      </c>
    </row>
    <row r="64">
      <c r="A64" s="142" t="str">
        <f>IFERROR(VLOOKUP(B64,'Статьи'!$A$2:C86,3,0)," ")</f>
        <v> </v>
      </c>
      <c r="B64" s="125"/>
      <c r="C64" s="171"/>
      <c r="D64" s="172"/>
      <c r="E64" s="143"/>
      <c r="F64" s="143"/>
      <c r="G64" s="143"/>
      <c r="H64" s="149"/>
      <c r="I64" s="116">
        <f t="shared" si="22"/>
        <v>0</v>
      </c>
      <c r="J64" s="117"/>
      <c r="K64" s="118"/>
      <c r="L64" s="118"/>
      <c r="M64" s="118"/>
      <c r="N64" s="118"/>
      <c r="O64" s="118"/>
      <c r="P64" s="116">
        <f t="shared" si="23"/>
        <v>0</v>
      </c>
      <c r="Q64" s="119">
        <f t="shared" si="20"/>
        <v>0</v>
      </c>
      <c r="R64" s="120">
        <f t="shared" si="21"/>
        <v>0</v>
      </c>
      <c r="S64" s="121" t="str">
        <f t="shared" si="24"/>
        <v/>
      </c>
    </row>
    <row r="65">
      <c r="A65" s="142" t="str">
        <f>IFERROR(VLOOKUP(B65,'Статьи'!$A$2:C87,3,0)," ")</f>
        <v> </v>
      </c>
      <c r="B65" s="125"/>
      <c r="C65" s="171"/>
      <c r="D65" s="172"/>
      <c r="E65" s="143"/>
      <c r="F65" s="143"/>
      <c r="G65" s="143"/>
      <c r="H65" s="149"/>
      <c r="I65" s="116">
        <f t="shared" si="22"/>
        <v>0</v>
      </c>
      <c r="J65" s="117"/>
      <c r="K65" s="118"/>
      <c r="L65" s="118"/>
      <c r="M65" s="118"/>
      <c r="N65" s="118"/>
      <c r="O65" s="118"/>
      <c r="P65" s="116">
        <f t="shared" si="23"/>
        <v>0</v>
      </c>
      <c r="Q65" s="119">
        <f t="shared" si="20"/>
        <v>0</v>
      </c>
      <c r="R65" s="120">
        <f t="shared" si="21"/>
        <v>0</v>
      </c>
      <c r="S65" s="121" t="str">
        <f t="shared" si="24"/>
        <v/>
      </c>
    </row>
    <row r="66">
      <c r="A66" s="142" t="str">
        <f>IFERROR(VLOOKUP(B66,'Статьи'!$A$2:C88,3,0)," ")</f>
        <v> </v>
      </c>
      <c r="B66" s="125"/>
      <c r="C66" s="171"/>
      <c r="D66" s="172"/>
      <c r="E66" s="143"/>
      <c r="F66" s="143"/>
      <c r="G66" s="143"/>
      <c r="H66" s="149"/>
      <c r="I66" s="116">
        <f t="shared" si="22"/>
        <v>0</v>
      </c>
      <c r="J66" s="117"/>
      <c r="K66" s="118"/>
      <c r="L66" s="118"/>
      <c r="M66" s="118"/>
      <c r="N66" s="118"/>
      <c r="O66" s="118"/>
      <c r="P66" s="116">
        <f t="shared" si="23"/>
        <v>0</v>
      </c>
      <c r="Q66" s="119">
        <f t="shared" si="20"/>
        <v>0</v>
      </c>
      <c r="R66" s="120">
        <f t="shared" si="21"/>
        <v>0</v>
      </c>
      <c r="S66" s="121" t="str">
        <f t="shared" si="24"/>
        <v/>
      </c>
    </row>
    <row r="67">
      <c r="A67" s="142" t="str">
        <f>IFERROR(VLOOKUP(B67,'Статьи'!$A$2:C89,3,0)," ")</f>
        <v> </v>
      </c>
      <c r="B67" s="125"/>
      <c r="C67" s="171"/>
      <c r="D67" s="172"/>
      <c r="E67" s="143"/>
      <c r="F67" s="143"/>
      <c r="G67" s="143"/>
      <c r="H67" s="149"/>
      <c r="I67" s="116">
        <f t="shared" si="22"/>
        <v>0</v>
      </c>
      <c r="J67" s="117"/>
      <c r="K67" s="118"/>
      <c r="L67" s="118"/>
      <c r="M67" s="118"/>
      <c r="N67" s="118"/>
      <c r="O67" s="118"/>
      <c r="P67" s="116">
        <f t="shared" si="23"/>
        <v>0</v>
      </c>
      <c r="Q67" s="119">
        <f t="shared" si="20"/>
        <v>0</v>
      </c>
      <c r="R67" s="120">
        <f t="shared" si="21"/>
        <v>0</v>
      </c>
      <c r="S67" s="121" t="str">
        <f t="shared" si="24"/>
        <v/>
      </c>
    </row>
    <row r="68">
      <c r="A68" s="142" t="str">
        <f>IFERROR(VLOOKUP(B68,'Статьи'!$A$2:C90,3,0)," ")</f>
        <v> </v>
      </c>
      <c r="B68" s="125"/>
      <c r="C68" s="171"/>
      <c r="D68" s="172"/>
      <c r="E68" s="143"/>
      <c r="F68" s="143"/>
      <c r="G68" s="143"/>
      <c r="H68" s="149"/>
      <c r="I68" s="116">
        <f t="shared" si="22"/>
        <v>0</v>
      </c>
      <c r="J68" s="123"/>
      <c r="K68" s="118"/>
      <c r="L68" s="118"/>
      <c r="M68" s="118"/>
      <c r="N68" s="118"/>
      <c r="O68" s="118"/>
      <c r="P68" s="116">
        <f t="shared" si="23"/>
        <v>0</v>
      </c>
      <c r="Q68" s="119">
        <f t="shared" si="20"/>
        <v>0</v>
      </c>
      <c r="R68" s="120">
        <f t="shared" si="21"/>
        <v>0</v>
      </c>
      <c r="S68" s="121" t="str">
        <f t="shared" si="24"/>
        <v/>
      </c>
    </row>
    <row r="69">
      <c r="A69" s="142" t="str">
        <f>IFERROR(VLOOKUP(B69,'Статьи'!$A$2:C91,3,0)," ")</f>
        <v> </v>
      </c>
      <c r="B69" s="125"/>
      <c r="C69" s="171"/>
      <c r="D69" s="172"/>
      <c r="E69" s="143"/>
      <c r="F69" s="143"/>
      <c r="G69" s="143"/>
      <c r="H69" s="149"/>
      <c r="I69" s="116">
        <f t="shared" si="22"/>
        <v>0</v>
      </c>
      <c r="J69" s="117"/>
      <c r="K69" s="118"/>
      <c r="L69" s="118"/>
      <c r="M69" s="118"/>
      <c r="N69" s="118"/>
      <c r="O69" s="118"/>
      <c r="P69" s="116">
        <f t="shared" si="23"/>
        <v>0</v>
      </c>
      <c r="Q69" s="119">
        <f t="shared" si="20"/>
        <v>0</v>
      </c>
      <c r="R69" s="120">
        <f t="shared" si="21"/>
        <v>0</v>
      </c>
      <c r="S69" s="121" t="str">
        <f t="shared" si="24"/>
        <v/>
      </c>
    </row>
    <row r="70">
      <c r="A70" s="142" t="str">
        <f>IFERROR(VLOOKUP(B70,'Статьи'!$A$2:C92,3,0)," ")</f>
        <v> </v>
      </c>
      <c r="B70" s="125"/>
      <c r="C70" s="171"/>
      <c r="D70" s="172"/>
      <c r="E70" s="143"/>
      <c r="F70" s="143"/>
      <c r="G70" s="143"/>
      <c r="H70" s="149"/>
      <c r="I70" s="116">
        <f t="shared" si="22"/>
        <v>0</v>
      </c>
      <c r="J70" s="117"/>
      <c r="K70" s="118"/>
      <c r="L70" s="118"/>
      <c r="M70" s="118"/>
      <c r="N70" s="118"/>
      <c r="O70" s="118"/>
      <c r="P70" s="116">
        <f t="shared" si="23"/>
        <v>0</v>
      </c>
      <c r="Q70" s="119">
        <f t="shared" si="20"/>
        <v>0</v>
      </c>
      <c r="R70" s="120">
        <f t="shared" si="21"/>
        <v>0</v>
      </c>
      <c r="S70" s="121" t="str">
        <f t="shared" si="24"/>
        <v/>
      </c>
    </row>
    <row r="71" collapsed="1">
      <c r="A71" s="142" t="str">
        <f>IFERROR(VLOOKUP(B71,'Статьи'!$A$2:C93,3,0)," ")</f>
        <v> </v>
      </c>
      <c r="B71" s="125"/>
      <c r="C71" s="171"/>
      <c r="D71" s="172"/>
      <c r="E71" s="143"/>
      <c r="F71" s="143"/>
      <c r="G71" s="143"/>
      <c r="H71" s="149"/>
      <c r="I71" s="116">
        <f t="shared" si="22"/>
        <v>0</v>
      </c>
      <c r="J71" s="117"/>
      <c r="K71" s="118"/>
      <c r="L71" s="118"/>
      <c r="M71" s="118"/>
      <c r="N71" s="118"/>
      <c r="O71" s="118"/>
      <c r="P71" s="116">
        <f t="shared" si="23"/>
        <v>0</v>
      </c>
      <c r="Q71" s="119">
        <f t="shared" si="20"/>
        <v>0</v>
      </c>
      <c r="R71" s="120">
        <f t="shared" si="21"/>
        <v>0</v>
      </c>
      <c r="S71" s="121" t="str">
        <f t="shared" si="24"/>
        <v/>
      </c>
    </row>
    <row r="72" hidden="1" outlineLevel="1">
      <c r="A72" s="142" t="str">
        <f>IFERROR(VLOOKUP(B72,'Статьи'!$A$2:C94,3,0)," ")</f>
        <v> </v>
      </c>
      <c r="B72" s="125"/>
      <c r="C72" s="170"/>
      <c r="D72" s="149"/>
      <c r="E72" s="143"/>
      <c r="F72" s="143"/>
      <c r="G72" s="143"/>
      <c r="H72" s="149"/>
      <c r="I72" s="116">
        <f t="shared" si="22"/>
        <v>0</v>
      </c>
      <c r="J72" s="123"/>
      <c r="K72" s="118"/>
      <c r="L72" s="118"/>
      <c r="M72" s="118"/>
      <c r="N72" s="118"/>
      <c r="O72" s="118"/>
      <c r="P72" s="116">
        <f t="shared" si="23"/>
        <v>0</v>
      </c>
      <c r="Q72" s="119">
        <f t="shared" si="20"/>
        <v>0</v>
      </c>
      <c r="R72" s="120">
        <f t="shared" si="21"/>
        <v>0</v>
      </c>
      <c r="S72" s="121" t="str">
        <f t="shared" si="24"/>
        <v/>
      </c>
    </row>
    <row r="73" hidden="1" outlineLevel="1">
      <c r="A73" s="142" t="str">
        <f>IFERROR(VLOOKUP(B73,'Статьи'!$A$2:C95,3,0)," ")</f>
        <v> </v>
      </c>
      <c r="B73" s="125"/>
      <c r="C73" s="170"/>
      <c r="D73" s="149"/>
      <c r="E73" s="143"/>
      <c r="F73" s="143"/>
      <c r="G73" s="143"/>
      <c r="H73" s="149"/>
      <c r="I73" s="116">
        <f t="shared" si="22"/>
        <v>0</v>
      </c>
      <c r="J73" s="123"/>
      <c r="K73" s="118"/>
      <c r="L73" s="118"/>
      <c r="M73" s="118"/>
      <c r="N73" s="118"/>
      <c r="O73" s="118"/>
      <c r="P73" s="116">
        <f t="shared" si="23"/>
        <v>0</v>
      </c>
      <c r="Q73" s="119">
        <f t="shared" si="20"/>
        <v>0</v>
      </c>
      <c r="R73" s="120">
        <f t="shared" si="21"/>
        <v>0</v>
      </c>
      <c r="S73" s="121" t="str">
        <f t="shared" si="24"/>
        <v/>
      </c>
    </row>
    <row r="74" hidden="1" outlineLevel="1">
      <c r="A74" s="142" t="str">
        <f>IFERROR(VLOOKUP(B74,'Статьи'!$A$2:C96,3,0)," ")</f>
        <v> </v>
      </c>
      <c r="B74" s="125"/>
      <c r="C74" s="170"/>
      <c r="D74" s="149"/>
      <c r="E74" s="143"/>
      <c r="F74" s="143"/>
      <c r="G74" s="143"/>
      <c r="H74" s="149"/>
      <c r="I74" s="116">
        <f t="shared" si="22"/>
        <v>0</v>
      </c>
      <c r="J74" s="123"/>
      <c r="K74" s="118"/>
      <c r="L74" s="118"/>
      <c r="M74" s="118"/>
      <c r="N74" s="118"/>
      <c r="O74" s="118"/>
      <c r="P74" s="116">
        <f t="shared" si="23"/>
        <v>0</v>
      </c>
      <c r="Q74" s="119">
        <f t="shared" si="20"/>
        <v>0</v>
      </c>
      <c r="R74" s="120">
        <f t="shared" si="21"/>
        <v>0</v>
      </c>
      <c r="S74" s="121" t="str">
        <f t="shared" si="24"/>
        <v/>
      </c>
    </row>
    <row r="75" hidden="1" outlineLevel="1">
      <c r="A75" s="142" t="str">
        <f>IFERROR(VLOOKUP(B75,'Статьи'!$A$2:C97,3,0)," ")</f>
        <v> </v>
      </c>
      <c r="B75" s="125"/>
      <c r="C75" s="170"/>
      <c r="D75" s="149"/>
      <c r="E75" s="143"/>
      <c r="F75" s="143"/>
      <c r="G75" s="143"/>
      <c r="H75" s="149"/>
      <c r="I75" s="116">
        <f t="shared" si="22"/>
        <v>0</v>
      </c>
      <c r="J75" s="123"/>
      <c r="K75" s="118"/>
      <c r="L75" s="118"/>
      <c r="M75" s="118"/>
      <c r="N75" s="118"/>
      <c r="O75" s="118"/>
      <c r="P75" s="116">
        <f t="shared" si="23"/>
        <v>0</v>
      </c>
      <c r="Q75" s="119">
        <f t="shared" si="20"/>
        <v>0</v>
      </c>
      <c r="R75" s="120">
        <f t="shared" si="21"/>
        <v>0</v>
      </c>
      <c r="S75" s="121" t="str">
        <f t="shared" si="24"/>
        <v/>
      </c>
    </row>
    <row r="76" hidden="1" outlineLevel="1">
      <c r="A76" s="142" t="str">
        <f>IFERROR(VLOOKUP(B76,'Статьи'!$A$2:C98,3,0)," ")</f>
        <v> </v>
      </c>
      <c r="B76" s="125"/>
      <c r="C76" s="173"/>
      <c r="D76" s="143"/>
      <c r="E76" s="149"/>
      <c r="F76" s="143"/>
      <c r="G76" s="143"/>
      <c r="H76" s="143"/>
      <c r="I76" s="116">
        <f t="shared" si="22"/>
        <v>0</v>
      </c>
      <c r="J76" s="123"/>
      <c r="K76" s="118"/>
      <c r="L76" s="118"/>
      <c r="M76" s="118"/>
      <c r="N76" s="118"/>
      <c r="O76" s="118"/>
      <c r="P76" s="116">
        <f t="shared" si="23"/>
        <v>0</v>
      </c>
      <c r="Q76" s="119">
        <f t="shared" si="20"/>
        <v>0</v>
      </c>
      <c r="R76" s="120">
        <f t="shared" si="21"/>
        <v>0</v>
      </c>
      <c r="S76" s="121" t="str">
        <f t="shared" si="24"/>
        <v/>
      </c>
    </row>
    <row r="77" hidden="1" outlineLevel="1">
      <c r="A77" s="142" t="str">
        <f>IFERROR(VLOOKUP(B77,'Статьи'!$A$2:C99,3,0)," ")</f>
        <v> </v>
      </c>
      <c r="B77" s="125"/>
      <c r="C77" s="170"/>
      <c r="D77" s="174"/>
      <c r="E77" s="174"/>
      <c r="F77" s="174"/>
      <c r="G77" s="174"/>
      <c r="H77" s="174"/>
      <c r="I77" s="116">
        <f t="shared" si="22"/>
        <v>0</v>
      </c>
      <c r="J77" s="123"/>
      <c r="K77" s="118"/>
      <c r="L77" s="118"/>
      <c r="M77" s="118"/>
      <c r="N77" s="118"/>
      <c r="O77" s="118"/>
      <c r="P77" s="116">
        <f t="shared" si="23"/>
        <v>0</v>
      </c>
      <c r="Q77" s="119">
        <f t="shared" si="20"/>
        <v>0</v>
      </c>
      <c r="R77" s="120">
        <f t="shared" si="21"/>
        <v>0</v>
      </c>
      <c r="S77" s="121" t="str">
        <f t="shared" si="24"/>
        <v/>
      </c>
    </row>
    <row r="78" hidden="1" outlineLevel="1">
      <c r="A78" s="175" t="str">
        <f>IFERROR(VLOOKUP(B78,'Статьи'!$A$2:C100,3,0)," ")</f>
        <v> </v>
      </c>
      <c r="B78" s="176"/>
      <c r="C78" s="122"/>
      <c r="D78" s="114"/>
      <c r="E78" s="114"/>
      <c r="F78" s="114"/>
      <c r="G78" s="114"/>
      <c r="H78" s="149"/>
      <c r="I78" s="116">
        <f t="shared" si="22"/>
        <v>0</v>
      </c>
      <c r="J78" s="123"/>
      <c r="K78" s="118"/>
      <c r="L78" s="118"/>
      <c r="M78" s="118"/>
      <c r="N78" s="118"/>
      <c r="O78" s="118"/>
      <c r="P78" s="116">
        <f t="shared" si="23"/>
        <v>0</v>
      </c>
      <c r="Q78" s="119">
        <f t="shared" si="20"/>
        <v>0</v>
      </c>
      <c r="R78" s="120">
        <f t="shared" si="21"/>
        <v>0</v>
      </c>
      <c r="S78" s="121" t="str">
        <f t="shared" si="24"/>
        <v/>
      </c>
    </row>
    <row r="79" hidden="1" outlineLevel="1">
      <c r="A79" s="110" t="str">
        <f>IFERROR(VLOOKUP(B79,'Статьи'!$A$2:C101,3,0)," ")</f>
        <v> </v>
      </c>
      <c r="B79" s="111"/>
      <c r="C79" s="122"/>
      <c r="D79" s="115"/>
      <c r="E79" s="115"/>
      <c r="F79" s="115"/>
      <c r="G79" s="115"/>
      <c r="H79" s="115"/>
      <c r="I79" s="116">
        <f t="shared" si="22"/>
        <v>0</v>
      </c>
      <c r="J79" s="123"/>
      <c r="K79" s="118"/>
      <c r="L79" s="118"/>
      <c r="M79" s="118"/>
      <c r="N79" s="118"/>
      <c r="O79" s="118"/>
      <c r="P79" s="116">
        <f t="shared" si="23"/>
        <v>0</v>
      </c>
      <c r="Q79" s="119">
        <f t="shared" si="20"/>
        <v>0</v>
      </c>
      <c r="R79" s="120">
        <f t="shared" si="21"/>
        <v>0</v>
      </c>
      <c r="S79" s="121" t="str">
        <f t="shared" si="24"/>
        <v/>
      </c>
    </row>
    <row r="80" hidden="1" outlineLevel="1">
      <c r="A80" s="110" t="str">
        <f>IFERROR(VLOOKUP(B80,'Статьи'!$A$2:C102,3,0)," ")</f>
        <v> </v>
      </c>
      <c r="B80" s="111"/>
      <c r="C80" s="122"/>
      <c r="D80" s="115"/>
      <c r="E80" s="115"/>
      <c r="F80" s="115"/>
      <c r="G80" s="115"/>
      <c r="H80" s="115"/>
      <c r="I80" s="116">
        <f t="shared" si="22"/>
        <v>0</v>
      </c>
      <c r="J80" s="123"/>
      <c r="K80" s="118"/>
      <c r="L80" s="118"/>
      <c r="M80" s="118"/>
      <c r="N80" s="118"/>
      <c r="O80" s="118"/>
      <c r="P80" s="116">
        <f t="shared" si="23"/>
        <v>0</v>
      </c>
      <c r="Q80" s="119">
        <f t="shared" si="20"/>
        <v>0</v>
      </c>
      <c r="R80" s="120">
        <f t="shared" si="21"/>
        <v>0</v>
      </c>
      <c r="S80" s="121" t="str">
        <f t="shared" si="24"/>
        <v/>
      </c>
    </row>
    <row r="81" hidden="1" outlineLevel="1">
      <c r="A81" s="110" t="str">
        <f>IFERROR(VLOOKUP(B81,'Статьи'!$A$2:C103,3,0)," ")</f>
        <v> </v>
      </c>
      <c r="B81" s="111"/>
      <c r="C81" s="122"/>
      <c r="D81" s="115"/>
      <c r="E81" s="115"/>
      <c r="F81" s="115"/>
      <c r="G81" s="115"/>
      <c r="H81" s="115"/>
      <c r="I81" s="116">
        <f t="shared" si="22"/>
        <v>0</v>
      </c>
      <c r="J81" s="123"/>
      <c r="K81" s="118"/>
      <c r="L81" s="118"/>
      <c r="M81" s="118"/>
      <c r="N81" s="118"/>
      <c r="O81" s="118"/>
      <c r="P81" s="116">
        <f t="shared" si="23"/>
        <v>0</v>
      </c>
      <c r="Q81" s="119">
        <f t="shared" si="20"/>
        <v>0</v>
      </c>
      <c r="R81" s="120">
        <f t="shared" si="21"/>
        <v>0</v>
      </c>
      <c r="S81" s="121" t="str">
        <f t="shared" si="24"/>
        <v/>
      </c>
    </row>
    <row r="82" hidden="1" outlineLevel="1">
      <c r="A82" s="110" t="str">
        <f>IFERROR(VLOOKUP(B82,'Статьи'!$A$2:C104,3,0)," ")</f>
        <v> </v>
      </c>
      <c r="B82" s="111"/>
      <c r="C82" s="122"/>
      <c r="D82" s="115"/>
      <c r="E82" s="115"/>
      <c r="F82" s="115"/>
      <c r="G82" s="115"/>
      <c r="H82" s="115"/>
      <c r="I82" s="116">
        <f t="shared" si="22"/>
        <v>0</v>
      </c>
      <c r="J82" s="123"/>
      <c r="K82" s="118"/>
      <c r="L82" s="118"/>
      <c r="M82" s="118"/>
      <c r="N82" s="118"/>
      <c r="O82" s="118"/>
      <c r="P82" s="116">
        <f t="shared" si="23"/>
        <v>0</v>
      </c>
      <c r="Q82" s="119">
        <f t="shared" si="20"/>
        <v>0</v>
      </c>
      <c r="R82" s="120">
        <f t="shared" si="21"/>
        <v>0</v>
      </c>
      <c r="S82" s="121" t="str">
        <f t="shared" si="24"/>
        <v/>
      </c>
    </row>
    <row r="83" hidden="1" outlineLevel="1">
      <c r="A83" s="110" t="str">
        <f>IFERROR(VLOOKUP(B83,'Статьи'!$A$2:C105,3,0)," ")</f>
        <v> </v>
      </c>
      <c r="B83" s="111"/>
      <c r="C83" s="122"/>
      <c r="D83" s="115"/>
      <c r="E83" s="115"/>
      <c r="F83" s="115"/>
      <c r="G83" s="115"/>
      <c r="H83" s="115"/>
      <c r="I83" s="116">
        <f t="shared" si="22"/>
        <v>0</v>
      </c>
      <c r="J83" s="123"/>
      <c r="K83" s="118"/>
      <c r="L83" s="118"/>
      <c r="M83" s="118"/>
      <c r="N83" s="118"/>
      <c r="O83" s="118"/>
      <c r="P83" s="116">
        <f t="shared" si="23"/>
        <v>0</v>
      </c>
      <c r="Q83" s="119">
        <f t="shared" si="20"/>
        <v>0</v>
      </c>
      <c r="R83" s="120">
        <f t="shared" si="21"/>
        <v>0</v>
      </c>
      <c r="S83" s="121" t="str">
        <f t="shared" si="24"/>
        <v/>
      </c>
    </row>
    <row r="84">
      <c r="A84" s="110" t="str">
        <f>IFERROR(VLOOKUP(B84,'Статьи'!$A$2:C106,3,0)," ")</f>
        <v> </v>
      </c>
      <c r="B84" s="111"/>
      <c r="C84" s="122"/>
      <c r="D84" s="115"/>
      <c r="E84" s="115"/>
      <c r="F84" s="115"/>
      <c r="G84" s="115"/>
      <c r="H84" s="115"/>
      <c r="I84" s="116">
        <f t="shared" si="22"/>
        <v>0</v>
      </c>
      <c r="J84" s="123"/>
      <c r="K84" s="118"/>
      <c r="L84" s="118"/>
      <c r="M84" s="118"/>
      <c r="N84" s="118"/>
      <c r="O84" s="118"/>
      <c r="P84" s="116">
        <f t="shared" si="23"/>
        <v>0</v>
      </c>
      <c r="Q84" s="119">
        <f t="shared" si="20"/>
        <v>0</v>
      </c>
      <c r="R84" s="120">
        <f t="shared" si="21"/>
        <v>0</v>
      </c>
      <c r="S84" s="121" t="str">
        <f t="shared" si="24"/>
        <v/>
      </c>
    </row>
    <row r="85">
      <c r="A85" s="152"/>
      <c r="B85" s="153" t="s">
        <v>138</v>
      </c>
      <c r="C85" s="154">
        <f t="shared" ref="C85:K85" si="25">C55+C58</f>
        <v>6</v>
      </c>
      <c r="D85" s="155">
        <f t="shared" si="25"/>
        <v>0</v>
      </c>
      <c r="E85" s="155">
        <f t="shared" si="25"/>
        <v>0</v>
      </c>
      <c r="F85" s="155">
        <f t="shared" si="25"/>
        <v>0</v>
      </c>
      <c r="G85" s="155">
        <f t="shared" si="25"/>
        <v>0</v>
      </c>
      <c r="H85" s="155">
        <f t="shared" si="25"/>
        <v>0</v>
      </c>
      <c r="I85" s="157">
        <f t="shared" si="25"/>
        <v>6</v>
      </c>
      <c r="J85" s="154">
        <f t="shared" si="25"/>
        <v>0</v>
      </c>
      <c r="K85" s="155">
        <f t="shared" si="25"/>
        <v>0</v>
      </c>
      <c r="L85" s="155"/>
      <c r="M85" s="155"/>
      <c r="N85" s="155"/>
      <c r="O85" s="155"/>
      <c r="P85" s="157">
        <f>P55+P58</f>
        <v>0</v>
      </c>
      <c r="Q85" s="155">
        <f t="shared" si="20"/>
        <v>6</v>
      </c>
      <c r="R85" s="158">
        <f t="shared" si="21"/>
        <v>0</v>
      </c>
      <c r="S85" s="177" t="str">
        <f>IF(Q85=0,"",IF(R85&gt;1,"выполнение","план не выполнен"))</f>
        <v>план не выполнен</v>
      </c>
    </row>
    <row r="86">
      <c r="A86" s="160"/>
      <c r="B86" s="161" t="s">
        <v>139</v>
      </c>
      <c r="C86" s="162">
        <f t="shared" ref="C86:K86" si="26">IFERROR(C85/C$3,"")</f>
        <v>1</v>
      </c>
      <c r="D86" s="163" t="str">
        <f t="shared" si="26"/>
        <v/>
      </c>
      <c r="E86" s="163" t="str">
        <f t="shared" si="26"/>
        <v/>
      </c>
      <c r="F86" s="163" t="str">
        <f t="shared" si="26"/>
        <v/>
      </c>
      <c r="G86" s="163" t="str">
        <f t="shared" si="26"/>
        <v/>
      </c>
      <c r="H86" s="163" t="str">
        <f t="shared" si="26"/>
        <v/>
      </c>
      <c r="I86" s="164">
        <f t="shared" si="26"/>
        <v>1</v>
      </c>
      <c r="J86" s="162" t="str">
        <f t="shared" si="26"/>
        <v/>
      </c>
      <c r="K86" s="163" t="str">
        <f t="shared" si="26"/>
        <v/>
      </c>
      <c r="L86" s="163"/>
      <c r="M86" s="163"/>
      <c r="N86" s="163"/>
      <c r="O86" s="163"/>
      <c r="P86" s="164" t="str">
        <f>IFERROR(P85/P$3,"")</f>
        <v/>
      </c>
      <c r="Q86" s="121"/>
      <c r="R86" s="121"/>
      <c r="S86" s="121" t="str">
        <f t="shared" ref="S86:S87" si="27">IF(Q86=0,"",IF(Q86=0,0,IF(R86&gt;1,"перерасход","экономия")))</f>
        <v/>
      </c>
    </row>
    <row r="87">
      <c r="A87" s="178"/>
      <c r="B87" s="179"/>
      <c r="C87" s="124"/>
      <c r="D87" s="115"/>
      <c r="E87" s="115"/>
      <c r="F87" s="115"/>
      <c r="G87" s="115"/>
      <c r="H87" s="115"/>
      <c r="I87" s="116"/>
      <c r="J87" s="123"/>
      <c r="K87" s="118"/>
      <c r="L87" s="118"/>
      <c r="M87" s="118"/>
      <c r="N87" s="118"/>
      <c r="O87" s="118"/>
      <c r="P87" s="116"/>
      <c r="Q87" s="180"/>
      <c r="R87" s="121"/>
      <c r="S87" s="121" t="str">
        <f t="shared" si="27"/>
        <v/>
      </c>
    </row>
    <row r="88">
      <c r="A88" s="181"/>
      <c r="B88" s="127" t="s">
        <v>140</v>
      </c>
      <c r="C88" s="182">
        <f t="shared" ref="C88:K88" si="28">C101+C132+C89</f>
        <v>0</v>
      </c>
      <c r="D88" s="183">
        <f t="shared" si="28"/>
        <v>0</v>
      </c>
      <c r="E88" s="183">
        <f t="shared" si="28"/>
        <v>0</v>
      </c>
      <c r="F88" s="183">
        <f t="shared" si="28"/>
        <v>0</v>
      </c>
      <c r="G88" s="183">
        <f t="shared" si="28"/>
        <v>0</v>
      </c>
      <c r="H88" s="183">
        <f t="shared" si="28"/>
        <v>0</v>
      </c>
      <c r="I88" s="184">
        <f t="shared" si="28"/>
        <v>0</v>
      </c>
      <c r="J88" s="182">
        <f t="shared" si="28"/>
        <v>0</v>
      </c>
      <c r="K88" s="183">
        <f t="shared" si="28"/>
        <v>0</v>
      </c>
      <c r="L88" s="183"/>
      <c r="M88" s="183"/>
      <c r="N88" s="183"/>
      <c r="O88" s="183"/>
      <c r="P88" s="185">
        <f>P101+P132+P89</f>
        <v>0</v>
      </c>
      <c r="Q88" s="183">
        <f t="shared" ref="Q88:Q142" si="30">I88-P88</f>
        <v>0</v>
      </c>
      <c r="R88" s="186">
        <f t="shared" ref="R88:R142" si="31">IFERROR(I88/P88,0)</f>
        <v>0</v>
      </c>
      <c r="S88" s="134" t="str">
        <f>IF(Q88=0,"",IF(R88&gt;1,"план не выполнен","выполнение"))</f>
        <v/>
      </c>
    </row>
    <row r="89">
      <c r="A89" s="135"/>
      <c r="B89" s="136" t="s">
        <v>141</v>
      </c>
      <c r="C89" s="137">
        <f t="shared" ref="C89:K89" si="29">SUM(C90:C100)</f>
        <v>0</v>
      </c>
      <c r="D89" s="138">
        <f t="shared" si="29"/>
        <v>0</v>
      </c>
      <c r="E89" s="138">
        <f t="shared" si="29"/>
        <v>0</v>
      </c>
      <c r="F89" s="138">
        <f t="shared" si="29"/>
        <v>0</v>
      </c>
      <c r="G89" s="138">
        <f t="shared" si="29"/>
        <v>0</v>
      </c>
      <c r="H89" s="138">
        <f t="shared" si="29"/>
        <v>0</v>
      </c>
      <c r="I89" s="139">
        <f t="shared" si="29"/>
        <v>0</v>
      </c>
      <c r="J89" s="137">
        <f t="shared" si="29"/>
        <v>0</v>
      </c>
      <c r="K89" s="138">
        <f t="shared" si="29"/>
        <v>0</v>
      </c>
      <c r="L89" s="138"/>
      <c r="M89" s="138"/>
      <c r="N89" s="138"/>
      <c r="O89" s="138"/>
      <c r="P89" s="140">
        <f>SUM(P90:P100)</f>
        <v>0</v>
      </c>
      <c r="Q89" s="138">
        <f t="shared" si="30"/>
        <v>0</v>
      </c>
      <c r="R89" s="187">
        <f t="shared" si="31"/>
        <v>0</v>
      </c>
      <c r="S89" s="141" t="str">
        <f>IF(Q89=0,"",IF(Q89=0,0,IF(R89&gt;1,"перерасход","экономия")))</f>
        <v/>
      </c>
    </row>
    <row r="90">
      <c r="A90" s="142" t="str">
        <f>IFERROR(VLOOKUP(B90,'Статьи'!$A$2:C112,3,0)," ")</f>
        <v> </v>
      </c>
      <c r="B90" s="125" t="str">
        <f>IFERROR(__xludf.DUMMYFUNCTION("iferror(filter('Статьи'!$A$1:$A177,'Статьи'!$B$1:$B177=$B$89))"),"")</f>
        <v/>
      </c>
      <c r="C90" s="171"/>
      <c r="D90" s="172"/>
      <c r="E90" s="149"/>
      <c r="F90" s="149"/>
      <c r="G90" s="149"/>
      <c r="H90" s="149"/>
      <c r="I90" s="188">
        <f t="shared" ref="I90:I100" si="32">sum(C90:H90)</f>
        <v>0</v>
      </c>
      <c r="J90" s="170"/>
      <c r="K90" s="149"/>
      <c r="L90" s="149"/>
      <c r="M90" s="149"/>
      <c r="N90" s="149"/>
      <c r="O90" s="149"/>
      <c r="P90" s="188">
        <f t="shared" ref="P90:P94" si="33">SUM(J90:K90)</f>
        <v>0</v>
      </c>
      <c r="Q90" s="132">
        <f t="shared" si="30"/>
        <v>0</v>
      </c>
      <c r="R90" s="133">
        <f t="shared" si="31"/>
        <v>0</v>
      </c>
      <c r="S90" s="121" t="str">
        <f t="shared" ref="S90:S94" si="34">IF(Q90=0,"",IF(R90=0,"обратить внимание",IF(R90&gt;1,"перерасход","экономия")))</f>
        <v/>
      </c>
    </row>
    <row r="91">
      <c r="A91" s="142" t="str">
        <f>IFERROR(VLOOKUP(B91,'Статьи'!$A$2:C113,3,0)," ")</f>
        <v> </v>
      </c>
      <c r="B91" s="125"/>
      <c r="C91" s="171"/>
      <c r="D91" s="172"/>
      <c r="E91" s="149"/>
      <c r="F91" s="149"/>
      <c r="G91" s="149"/>
      <c r="H91" s="149"/>
      <c r="I91" s="188">
        <f t="shared" si="32"/>
        <v>0</v>
      </c>
      <c r="J91" s="189"/>
      <c r="K91" s="149"/>
      <c r="L91" s="149"/>
      <c r="M91" s="149"/>
      <c r="N91" s="149"/>
      <c r="O91" s="149"/>
      <c r="P91" s="188">
        <f t="shared" si="33"/>
        <v>0</v>
      </c>
      <c r="Q91" s="132">
        <f t="shared" si="30"/>
        <v>0</v>
      </c>
      <c r="R91" s="133">
        <f t="shared" si="31"/>
        <v>0</v>
      </c>
      <c r="S91" s="121" t="str">
        <f t="shared" si="34"/>
        <v/>
      </c>
    </row>
    <row r="92">
      <c r="A92" s="142" t="str">
        <f>IFERROR(VLOOKUP(B92,'Статьи'!$A$2:C114,3,0)," ")</f>
        <v> </v>
      </c>
      <c r="B92" s="125"/>
      <c r="C92" s="171"/>
      <c r="D92" s="172"/>
      <c r="E92" s="149"/>
      <c r="F92" s="149"/>
      <c r="G92" s="149"/>
      <c r="H92" s="149"/>
      <c r="I92" s="188">
        <f t="shared" si="32"/>
        <v>0</v>
      </c>
      <c r="J92" s="189"/>
      <c r="K92" s="149"/>
      <c r="L92" s="149"/>
      <c r="M92" s="149"/>
      <c r="N92" s="149"/>
      <c r="O92" s="149"/>
      <c r="P92" s="188">
        <f t="shared" si="33"/>
        <v>0</v>
      </c>
      <c r="Q92" s="132">
        <f t="shared" si="30"/>
        <v>0</v>
      </c>
      <c r="R92" s="133">
        <f t="shared" si="31"/>
        <v>0</v>
      </c>
      <c r="S92" s="121" t="str">
        <f t="shared" si="34"/>
        <v/>
      </c>
    </row>
    <row r="93">
      <c r="A93" s="142" t="str">
        <f>IFERROR(VLOOKUP(B93,'Статьи'!$A$2:C115,3,0)," ")</f>
        <v> </v>
      </c>
      <c r="B93" s="125"/>
      <c r="C93" s="171"/>
      <c r="D93" s="172"/>
      <c r="E93" s="149"/>
      <c r="F93" s="149"/>
      <c r="G93" s="149"/>
      <c r="H93" s="149"/>
      <c r="I93" s="188">
        <f t="shared" si="32"/>
        <v>0</v>
      </c>
      <c r="J93" s="170"/>
      <c r="K93" s="149"/>
      <c r="L93" s="149"/>
      <c r="M93" s="149"/>
      <c r="N93" s="149"/>
      <c r="O93" s="149"/>
      <c r="P93" s="188">
        <f t="shared" si="33"/>
        <v>0</v>
      </c>
      <c r="Q93" s="132">
        <f t="shared" si="30"/>
        <v>0</v>
      </c>
      <c r="R93" s="133">
        <f t="shared" si="31"/>
        <v>0</v>
      </c>
      <c r="S93" s="121" t="str">
        <f t="shared" si="34"/>
        <v/>
      </c>
    </row>
    <row r="94" collapsed="1">
      <c r="A94" s="190" t="str">
        <f>IFERROR(VLOOKUP(B94,'Статьи'!$A$2:C116,3,0)," ")</f>
        <v> </v>
      </c>
      <c r="B94" s="125"/>
      <c r="C94" s="170"/>
      <c r="D94" s="149"/>
      <c r="E94" s="149"/>
      <c r="F94" s="149"/>
      <c r="G94" s="149"/>
      <c r="H94" s="149"/>
      <c r="I94" s="188">
        <f t="shared" si="32"/>
        <v>0</v>
      </c>
      <c r="J94" s="170"/>
      <c r="K94" s="149"/>
      <c r="L94" s="149"/>
      <c r="M94" s="149"/>
      <c r="N94" s="149"/>
      <c r="O94" s="149"/>
      <c r="P94" s="188">
        <f t="shared" si="33"/>
        <v>0</v>
      </c>
      <c r="Q94" s="132">
        <f t="shared" si="30"/>
        <v>0</v>
      </c>
      <c r="R94" s="133">
        <f t="shared" si="31"/>
        <v>0</v>
      </c>
      <c r="S94" s="121" t="str">
        <f t="shared" si="34"/>
        <v/>
      </c>
    </row>
    <row r="95" hidden="1" outlineLevel="1">
      <c r="A95" s="190"/>
      <c r="B95" s="125"/>
      <c r="C95" s="170"/>
      <c r="D95" s="149"/>
      <c r="E95" s="149"/>
      <c r="F95" s="149"/>
      <c r="G95" s="149"/>
      <c r="H95" s="149"/>
      <c r="I95" s="188">
        <f t="shared" si="32"/>
        <v>0</v>
      </c>
      <c r="J95" s="170"/>
      <c r="K95" s="149"/>
      <c r="L95" s="149"/>
      <c r="M95" s="149"/>
      <c r="N95" s="149"/>
      <c r="O95" s="149"/>
      <c r="P95" s="188">
        <f t="shared" ref="P95:P100" si="35">sum(F95:J95)</f>
        <v>0</v>
      </c>
      <c r="Q95" s="132">
        <f t="shared" si="30"/>
        <v>0</v>
      </c>
      <c r="R95" s="133">
        <f t="shared" si="31"/>
        <v>0</v>
      </c>
      <c r="S95" s="121" t="str">
        <f t="shared" ref="S95:S100" si="36">IF(Q95=0,"",IF(Q95=0,0,IF(R95&gt;1,"перерасход","экономия")))</f>
        <v/>
      </c>
    </row>
    <row r="96" hidden="1" outlineLevel="1">
      <c r="A96" s="190"/>
      <c r="B96" s="125"/>
      <c r="C96" s="170"/>
      <c r="D96" s="149"/>
      <c r="E96" s="149"/>
      <c r="F96" s="149"/>
      <c r="G96" s="149"/>
      <c r="H96" s="149"/>
      <c r="I96" s="188">
        <f t="shared" si="32"/>
        <v>0</v>
      </c>
      <c r="J96" s="170"/>
      <c r="K96" s="149"/>
      <c r="L96" s="149"/>
      <c r="M96" s="149"/>
      <c r="N96" s="149"/>
      <c r="O96" s="149"/>
      <c r="P96" s="188">
        <f t="shared" si="35"/>
        <v>0</v>
      </c>
      <c r="Q96" s="132">
        <f t="shared" si="30"/>
        <v>0</v>
      </c>
      <c r="R96" s="133">
        <f t="shared" si="31"/>
        <v>0</v>
      </c>
      <c r="S96" s="121" t="str">
        <f t="shared" si="36"/>
        <v/>
      </c>
    </row>
    <row r="97" hidden="1" outlineLevel="1">
      <c r="A97" s="190"/>
      <c r="B97" s="125"/>
      <c r="C97" s="170"/>
      <c r="D97" s="149"/>
      <c r="E97" s="149"/>
      <c r="F97" s="149"/>
      <c r="G97" s="149"/>
      <c r="H97" s="149"/>
      <c r="I97" s="188">
        <f t="shared" si="32"/>
        <v>0</v>
      </c>
      <c r="J97" s="170"/>
      <c r="K97" s="149"/>
      <c r="L97" s="149"/>
      <c r="M97" s="149"/>
      <c r="N97" s="149"/>
      <c r="O97" s="149"/>
      <c r="P97" s="188">
        <f t="shared" si="35"/>
        <v>0</v>
      </c>
      <c r="Q97" s="132">
        <f t="shared" si="30"/>
        <v>0</v>
      </c>
      <c r="R97" s="133">
        <f t="shared" si="31"/>
        <v>0</v>
      </c>
      <c r="S97" s="121" t="str">
        <f t="shared" si="36"/>
        <v/>
      </c>
    </row>
    <row r="98" hidden="1" outlineLevel="1">
      <c r="A98" s="190"/>
      <c r="B98" s="125"/>
      <c r="C98" s="170"/>
      <c r="D98" s="149"/>
      <c r="E98" s="149"/>
      <c r="F98" s="149"/>
      <c r="G98" s="149"/>
      <c r="H98" s="149"/>
      <c r="I98" s="188">
        <f t="shared" si="32"/>
        <v>0</v>
      </c>
      <c r="J98" s="170"/>
      <c r="K98" s="149"/>
      <c r="L98" s="149"/>
      <c r="M98" s="149"/>
      <c r="N98" s="149"/>
      <c r="O98" s="149"/>
      <c r="P98" s="188">
        <f t="shared" si="35"/>
        <v>0</v>
      </c>
      <c r="Q98" s="132">
        <f t="shared" si="30"/>
        <v>0</v>
      </c>
      <c r="R98" s="133">
        <f t="shared" si="31"/>
        <v>0</v>
      </c>
      <c r="S98" s="121" t="str">
        <f t="shared" si="36"/>
        <v/>
      </c>
    </row>
    <row r="99" hidden="1" outlineLevel="1">
      <c r="A99" s="190"/>
      <c r="B99" s="125"/>
      <c r="C99" s="170"/>
      <c r="D99" s="149"/>
      <c r="E99" s="149"/>
      <c r="F99" s="149"/>
      <c r="G99" s="149"/>
      <c r="H99" s="149"/>
      <c r="I99" s="188">
        <f t="shared" si="32"/>
        <v>0</v>
      </c>
      <c r="J99" s="170"/>
      <c r="K99" s="149"/>
      <c r="L99" s="149"/>
      <c r="M99" s="149"/>
      <c r="N99" s="149"/>
      <c r="O99" s="149"/>
      <c r="P99" s="188">
        <f t="shared" si="35"/>
        <v>0</v>
      </c>
      <c r="Q99" s="132">
        <f t="shared" si="30"/>
        <v>0</v>
      </c>
      <c r="R99" s="133">
        <f t="shared" si="31"/>
        <v>0</v>
      </c>
      <c r="S99" s="121" t="str">
        <f t="shared" si="36"/>
        <v/>
      </c>
    </row>
    <row r="100" hidden="1" outlineLevel="1">
      <c r="A100" s="190"/>
      <c r="B100" s="125"/>
      <c r="C100" s="170"/>
      <c r="D100" s="149"/>
      <c r="E100" s="149"/>
      <c r="F100" s="149"/>
      <c r="G100" s="149"/>
      <c r="H100" s="149"/>
      <c r="I100" s="188">
        <f t="shared" si="32"/>
        <v>0</v>
      </c>
      <c r="J100" s="170"/>
      <c r="K100" s="149"/>
      <c r="L100" s="149"/>
      <c r="M100" s="149"/>
      <c r="N100" s="149"/>
      <c r="O100" s="149"/>
      <c r="P100" s="188">
        <f t="shared" si="35"/>
        <v>0</v>
      </c>
      <c r="Q100" s="132">
        <f t="shared" si="30"/>
        <v>0</v>
      </c>
      <c r="R100" s="133">
        <f t="shared" si="31"/>
        <v>0</v>
      </c>
      <c r="S100" s="121" t="str">
        <f t="shared" si="36"/>
        <v/>
      </c>
    </row>
    <row r="101">
      <c r="A101" s="135"/>
      <c r="B101" s="136" t="s">
        <v>90</v>
      </c>
      <c r="C101" s="137">
        <f t="shared" ref="C101:K101" si="37">SUM(C102:C131)</f>
        <v>0</v>
      </c>
      <c r="D101" s="138">
        <f t="shared" si="37"/>
        <v>0</v>
      </c>
      <c r="E101" s="138">
        <f t="shared" si="37"/>
        <v>0</v>
      </c>
      <c r="F101" s="138">
        <f t="shared" si="37"/>
        <v>0</v>
      </c>
      <c r="G101" s="138">
        <f t="shared" si="37"/>
        <v>0</v>
      </c>
      <c r="H101" s="138">
        <f t="shared" si="37"/>
        <v>0</v>
      </c>
      <c r="I101" s="139">
        <f t="shared" si="37"/>
        <v>0</v>
      </c>
      <c r="J101" s="137">
        <f t="shared" si="37"/>
        <v>0</v>
      </c>
      <c r="K101" s="138">
        <f t="shared" si="37"/>
        <v>0</v>
      </c>
      <c r="L101" s="138"/>
      <c r="M101" s="138"/>
      <c r="N101" s="138"/>
      <c r="O101" s="138"/>
      <c r="P101" s="140">
        <f>SUM(P102:P131)</f>
        <v>0</v>
      </c>
      <c r="Q101" s="138">
        <f t="shared" si="30"/>
        <v>0</v>
      </c>
      <c r="R101" s="187">
        <f t="shared" si="31"/>
        <v>0</v>
      </c>
      <c r="S101" s="141" t="str">
        <f>IF(Q101=0,"",IF(R101&gt;1,"план не выполнен","выполнение"))</f>
        <v/>
      </c>
    </row>
    <row r="102">
      <c r="A102" s="142" t="str">
        <f>IFERROR(VLOOKUP(B102,'Статьи'!$A$2:C124,3,0)," ")</f>
        <v>1С</v>
      </c>
      <c r="B102" s="125" t="str">
        <f>IFERROR(__xludf.DUMMYFUNCTION("iferror(filter('Статьи'!$A$1:$A177,'Статьи'!$B$1:$B177=$B$101))"),"Аренда, коммунальные услуги")</f>
        <v>Аренда, коммунальные услуги</v>
      </c>
      <c r="C102" s="171"/>
      <c r="D102" s="172"/>
      <c r="E102" s="149"/>
      <c r="F102" s="149"/>
      <c r="G102" s="149"/>
      <c r="H102" s="149"/>
      <c r="I102" s="188">
        <f t="shared" ref="I102:I141" si="38">sum(C102:H102)</f>
        <v>0</v>
      </c>
      <c r="J102" s="170"/>
      <c r="K102" s="149"/>
      <c r="L102" s="149"/>
      <c r="M102" s="149"/>
      <c r="N102" s="149"/>
      <c r="O102" s="149"/>
      <c r="P102" s="188">
        <f t="shared" ref="P102:P131" si="39">SUM(J102:K102)</f>
        <v>0</v>
      </c>
      <c r="Q102" s="132">
        <f t="shared" si="30"/>
        <v>0</v>
      </c>
      <c r="R102" s="133">
        <f t="shared" si="31"/>
        <v>0</v>
      </c>
      <c r="S102" s="121" t="str">
        <f t="shared" ref="S102:S131" si="40">IF(Q102=0,"",IF(R102=0,"обратить внимание",IF(R102&gt;1,"перерасход","экономия")))</f>
        <v/>
      </c>
    </row>
    <row r="103">
      <c r="A103" s="191" t="str">
        <f>IFERROR(VLOOKUP(B103,'Статьи'!$A$2:C125,3,0)," ")</f>
        <v>1С</v>
      </c>
      <c r="B103" s="192" t="str">
        <f>IFERROR(__xludf.DUMMYFUNCTION("""COMPUTED_VALUE"""),"Аутсорсинг и прочие услуги")</f>
        <v>Аутсорсинг и прочие услуги</v>
      </c>
      <c r="C103" s="171"/>
      <c r="D103" s="172"/>
      <c r="E103" s="149"/>
      <c r="F103" s="149"/>
      <c r="G103" s="149"/>
      <c r="H103" s="149"/>
      <c r="I103" s="188">
        <f t="shared" si="38"/>
        <v>0</v>
      </c>
      <c r="J103" s="170"/>
      <c r="K103" s="149"/>
      <c r="L103" s="149"/>
      <c r="M103" s="149"/>
      <c r="N103" s="149"/>
      <c r="O103" s="149"/>
      <c r="P103" s="188">
        <f t="shared" si="39"/>
        <v>0</v>
      </c>
      <c r="Q103" s="132">
        <f t="shared" si="30"/>
        <v>0</v>
      </c>
      <c r="R103" s="133">
        <f t="shared" si="31"/>
        <v>0</v>
      </c>
      <c r="S103" s="121" t="str">
        <f t="shared" si="40"/>
        <v/>
      </c>
    </row>
    <row r="104">
      <c r="A104" s="193" t="str">
        <f>IFERROR(VLOOKUP(B104,'Статьи'!$A$2:C126,3,0)," ")</f>
        <v>1С</v>
      </c>
      <c r="B104" s="194" t="str">
        <f>IFERROR(__xludf.DUMMYFUNCTION("""COMPUTED_VALUE"""),"Командировочные расходы")</f>
        <v>Командировочные расходы</v>
      </c>
      <c r="C104" s="171"/>
      <c r="D104" s="172"/>
      <c r="E104" s="149"/>
      <c r="F104" s="149"/>
      <c r="G104" s="149"/>
      <c r="H104" s="149"/>
      <c r="I104" s="188">
        <f t="shared" si="38"/>
        <v>0</v>
      </c>
      <c r="J104" s="170"/>
      <c r="K104" s="149"/>
      <c r="L104" s="149"/>
      <c r="M104" s="149"/>
      <c r="N104" s="149"/>
      <c r="O104" s="149"/>
      <c r="P104" s="188">
        <f t="shared" si="39"/>
        <v>0</v>
      </c>
      <c r="Q104" s="132">
        <f t="shared" si="30"/>
        <v>0</v>
      </c>
      <c r="R104" s="133">
        <f t="shared" si="31"/>
        <v>0</v>
      </c>
      <c r="S104" s="121" t="str">
        <f t="shared" si="40"/>
        <v/>
      </c>
    </row>
    <row r="105">
      <c r="A105" s="195" t="str">
        <f>IFERROR(VLOOKUP(B105,'Статьи'!$A$2:C127,3,0)," ")</f>
        <v>ДДС отчетного месяца. Без НДС!</v>
      </c>
      <c r="B105" s="196" t="str">
        <f>IFERROR(__xludf.DUMMYFUNCTION("""COMPUTED_VALUE"""),"Комиссии банка")</f>
        <v>Комиссии банка</v>
      </c>
      <c r="C105" s="171"/>
      <c r="D105" s="172"/>
      <c r="E105" s="149"/>
      <c r="F105" s="149"/>
      <c r="G105" s="149"/>
      <c r="H105" s="149"/>
      <c r="I105" s="188">
        <f t="shared" si="38"/>
        <v>0</v>
      </c>
      <c r="J105" s="170"/>
      <c r="K105" s="149"/>
      <c r="L105" s="149"/>
      <c r="M105" s="149"/>
      <c r="N105" s="149"/>
      <c r="O105" s="149"/>
      <c r="P105" s="188">
        <f t="shared" si="39"/>
        <v>0</v>
      </c>
      <c r="Q105" s="132">
        <f t="shared" si="30"/>
        <v>0</v>
      </c>
      <c r="R105" s="133">
        <f t="shared" si="31"/>
        <v>0</v>
      </c>
      <c r="S105" s="121" t="str">
        <f t="shared" si="40"/>
        <v/>
      </c>
    </row>
    <row r="106">
      <c r="A106" s="191" t="str">
        <f>IFERROR(VLOOKUP(B106,'Статьи'!$A$2:C128,3,0)," ")</f>
        <v>ДДС отчетного месяца. Без НДС!</v>
      </c>
      <c r="B106" s="192" t="str">
        <f>IFERROR(__xludf.DUMMYFUNCTION("""COMPUTED_VALUE"""),"Обучение сотрудников")</f>
        <v>Обучение сотрудников</v>
      </c>
      <c r="C106" s="171"/>
      <c r="D106" s="172"/>
      <c r="E106" s="149"/>
      <c r="F106" s="149"/>
      <c r="G106" s="149"/>
      <c r="H106" s="149"/>
      <c r="I106" s="188">
        <f t="shared" si="38"/>
        <v>0</v>
      </c>
      <c r="J106" s="170"/>
      <c r="K106" s="149"/>
      <c r="L106" s="149"/>
      <c r="M106" s="149"/>
      <c r="N106" s="149"/>
      <c r="O106" s="149"/>
      <c r="P106" s="188">
        <f t="shared" si="39"/>
        <v>0</v>
      </c>
      <c r="Q106" s="132">
        <f t="shared" si="30"/>
        <v>0</v>
      </c>
      <c r="R106" s="133">
        <f t="shared" si="31"/>
        <v>0</v>
      </c>
      <c r="S106" s="121" t="str">
        <f t="shared" si="40"/>
        <v/>
      </c>
    </row>
    <row r="107">
      <c r="A107" s="142" t="str">
        <f>IFERROR(VLOOKUP(B107,'Статьи'!$A$2:C129,3,0)," ")</f>
        <v>ДДС отчетного месяца. Без НДС!</v>
      </c>
      <c r="B107" s="125" t="str">
        <f>IFERROR(__xludf.DUMMYFUNCTION("""COMPUTED_VALUE"""),"Подбор персонала")</f>
        <v>Подбор персонала</v>
      </c>
      <c r="C107" s="171"/>
      <c r="D107" s="172"/>
      <c r="E107" s="149"/>
      <c r="F107" s="149"/>
      <c r="G107" s="149"/>
      <c r="H107" s="149"/>
      <c r="I107" s="188">
        <f t="shared" si="38"/>
        <v>0</v>
      </c>
      <c r="J107" s="189"/>
      <c r="K107" s="149"/>
      <c r="L107" s="149"/>
      <c r="M107" s="149"/>
      <c r="N107" s="149"/>
      <c r="O107" s="149"/>
      <c r="P107" s="188">
        <f t="shared" si="39"/>
        <v>0</v>
      </c>
      <c r="Q107" s="132">
        <f t="shared" si="30"/>
        <v>0</v>
      </c>
      <c r="R107" s="133">
        <f t="shared" si="31"/>
        <v>0</v>
      </c>
      <c r="S107" s="121" t="str">
        <f t="shared" si="40"/>
        <v/>
      </c>
    </row>
    <row r="108">
      <c r="A108" s="142" t="str">
        <f>IFERROR(VLOOKUP(B108,'Статьи'!$A$2:C130,3,0)," ")</f>
        <v>ДДС отчетного месяца. Без НДС!</v>
      </c>
      <c r="B108" s="125" t="str">
        <f>IFERROR(__xludf.DUMMYFUNCTION("""COMPUTED_VALUE"""),"Почтовые расходы")</f>
        <v>Почтовые расходы</v>
      </c>
      <c r="C108" s="171"/>
      <c r="D108" s="172"/>
      <c r="E108" s="149"/>
      <c r="F108" s="149"/>
      <c r="G108" s="149"/>
      <c r="H108" s="149"/>
      <c r="I108" s="188">
        <f t="shared" si="38"/>
        <v>0</v>
      </c>
      <c r="J108" s="170"/>
      <c r="K108" s="149"/>
      <c r="L108" s="149"/>
      <c r="M108" s="149"/>
      <c r="N108" s="149"/>
      <c r="O108" s="149"/>
      <c r="P108" s="188">
        <f t="shared" si="39"/>
        <v>0</v>
      </c>
      <c r="Q108" s="132">
        <f t="shared" si="30"/>
        <v>0</v>
      </c>
      <c r="R108" s="133">
        <f t="shared" si="31"/>
        <v>0</v>
      </c>
      <c r="S108" s="121" t="str">
        <f t="shared" si="40"/>
        <v/>
      </c>
    </row>
    <row r="109">
      <c r="A109" s="142" t="str">
        <f>IFERROR(VLOOKUP(B109,'Статьи'!$A$2:C131,3,0)," ")</f>
        <v>ДДС отчетного месяца. Без НДС!</v>
      </c>
      <c r="B109" s="125" t="str">
        <f>IFERROR(__xludf.DUMMYFUNCTION("""COMPUTED_VALUE"""),"Представительские расходы")</f>
        <v>Представительские расходы</v>
      </c>
      <c r="C109" s="171"/>
      <c r="D109" s="172"/>
      <c r="E109" s="149"/>
      <c r="F109" s="149"/>
      <c r="G109" s="149"/>
      <c r="H109" s="149"/>
      <c r="I109" s="188">
        <f t="shared" si="38"/>
        <v>0</v>
      </c>
      <c r="J109" s="170"/>
      <c r="K109" s="149"/>
      <c r="L109" s="149"/>
      <c r="M109" s="149"/>
      <c r="N109" s="149"/>
      <c r="O109" s="149"/>
      <c r="P109" s="188">
        <f t="shared" si="39"/>
        <v>0</v>
      </c>
      <c r="Q109" s="132">
        <f t="shared" si="30"/>
        <v>0</v>
      </c>
      <c r="R109" s="133">
        <f t="shared" si="31"/>
        <v>0</v>
      </c>
      <c r="S109" s="121" t="str">
        <f t="shared" si="40"/>
        <v/>
      </c>
    </row>
    <row r="110">
      <c r="A110" s="142" t="str">
        <f>IFERROR(VLOOKUP(B110,'Статьи'!$A$2:C132,3,0)," ")</f>
        <v>ДДС отчетного месяца. Без НДС!</v>
      </c>
      <c r="B110" s="125" t="str">
        <f>IFERROR(__xludf.DUMMYFUNCTION("""COMPUTED_VALUE"""),"Содержание офиса")</f>
        <v>Содержание офиса</v>
      </c>
      <c r="C110" s="171"/>
      <c r="D110" s="172"/>
      <c r="E110" s="149"/>
      <c r="F110" s="149"/>
      <c r="G110" s="149"/>
      <c r="H110" s="149"/>
      <c r="I110" s="188">
        <f t="shared" si="38"/>
        <v>0</v>
      </c>
      <c r="J110" s="189"/>
      <c r="K110" s="149"/>
      <c r="L110" s="149"/>
      <c r="M110" s="149"/>
      <c r="N110" s="149"/>
      <c r="O110" s="149"/>
      <c r="P110" s="188">
        <f t="shared" si="39"/>
        <v>0</v>
      </c>
      <c r="Q110" s="132">
        <f t="shared" si="30"/>
        <v>0</v>
      </c>
      <c r="R110" s="133">
        <f t="shared" si="31"/>
        <v>0</v>
      </c>
      <c r="S110" s="121" t="str">
        <f t="shared" si="40"/>
        <v/>
      </c>
    </row>
    <row r="111">
      <c r="A111" s="142" t="str">
        <f>IFERROR(VLOOKUP(B111,'Статьи'!$A$2:C133,3,0)," ")</f>
        <v>ДДС отчетного месяца. Без НДС!</v>
      </c>
      <c r="B111" s="125" t="str">
        <f>IFERROR(__xludf.DUMMYFUNCTION("""COMPUTED_VALUE"""),"Услуги связи + Интернет")</f>
        <v>Услуги связи + Интернет</v>
      </c>
      <c r="C111" s="171"/>
      <c r="D111" s="172"/>
      <c r="E111" s="149"/>
      <c r="F111" s="149"/>
      <c r="G111" s="149"/>
      <c r="H111" s="149"/>
      <c r="I111" s="188">
        <f t="shared" si="38"/>
        <v>0</v>
      </c>
      <c r="J111" s="189"/>
      <c r="K111" s="149"/>
      <c r="L111" s="149"/>
      <c r="M111" s="149"/>
      <c r="N111" s="149"/>
      <c r="O111" s="149"/>
      <c r="P111" s="188">
        <f t="shared" si="39"/>
        <v>0</v>
      </c>
      <c r="Q111" s="132">
        <f t="shared" si="30"/>
        <v>0</v>
      </c>
      <c r="R111" s="133">
        <f t="shared" si="31"/>
        <v>0</v>
      </c>
      <c r="S111" s="121" t="str">
        <f t="shared" si="40"/>
        <v/>
      </c>
    </row>
    <row r="112">
      <c r="A112" s="142" t="str">
        <f>IFERROR(VLOOKUP(B112,'Статьи'!$A$2:C134,3,0)," ")</f>
        <v>ДДС отчетного месяца. Без НДС!</v>
      </c>
      <c r="B112" s="125" t="str">
        <f>IFERROR(__xludf.DUMMYFUNCTION("""COMPUTED_VALUE"""),"Штрафы")</f>
        <v>Штрафы</v>
      </c>
      <c r="C112" s="171"/>
      <c r="D112" s="172"/>
      <c r="E112" s="149"/>
      <c r="F112" s="149"/>
      <c r="G112" s="149"/>
      <c r="H112" s="149"/>
      <c r="I112" s="188">
        <f t="shared" si="38"/>
        <v>0</v>
      </c>
      <c r="J112" s="189"/>
      <c r="K112" s="149"/>
      <c r="L112" s="149"/>
      <c r="M112" s="149"/>
      <c r="N112" s="149"/>
      <c r="O112" s="149"/>
      <c r="P112" s="188">
        <f t="shared" si="39"/>
        <v>0</v>
      </c>
      <c r="Q112" s="132">
        <f t="shared" si="30"/>
        <v>0</v>
      </c>
      <c r="R112" s="133">
        <f t="shared" si="31"/>
        <v>0</v>
      </c>
      <c r="S112" s="121" t="str">
        <f t="shared" si="40"/>
        <v/>
      </c>
    </row>
    <row r="113" collapsed="1">
      <c r="A113" s="142" t="str">
        <f>IFERROR(VLOOKUP(B113,'Статьи'!$A$2:C135,3,0)," ")</f>
        <v> </v>
      </c>
      <c r="B113" s="125"/>
      <c r="C113" s="197"/>
      <c r="D113" s="149"/>
      <c r="E113" s="149"/>
      <c r="F113" s="149"/>
      <c r="G113" s="149"/>
      <c r="H113" s="149"/>
      <c r="I113" s="188">
        <f t="shared" si="38"/>
        <v>0</v>
      </c>
      <c r="J113" s="189"/>
      <c r="K113" s="149"/>
      <c r="L113" s="149"/>
      <c r="M113" s="149"/>
      <c r="N113" s="149"/>
      <c r="O113" s="149"/>
      <c r="P113" s="188">
        <f t="shared" si="39"/>
        <v>0</v>
      </c>
      <c r="Q113" s="132">
        <f t="shared" si="30"/>
        <v>0</v>
      </c>
      <c r="R113" s="133">
        <f t="shared" si="31"/>
        <v>0</v>
      </c>
      <c r="S113" s="121" t="str">
        <f t="shared" si="40"/>
        <v/>
      </c>
    </row>
    <row r="114" hidden="1" outlineLevel="1">
      <c r="A114" s="142" t="str">
        <f>IFERROR(VLOOKUP(B114,'Статьи'!$A$2:C136,3,0)," ")</f>
        <v> </v>
      </c>
      <c r="B114" s="125"/>
      <c r="C114" s="197"/>
      <c r="D114" s="149"/>
      <c r="E114" s="149"/>
      <c r="F114" s="149"/>
      <c r="G114" s="149"/>
      <c r="H114" s="149"/>
      <c r="I114" s="188">
        <f t="shared" si="38"/>
        <v>0</v>
      </c>
      <c r="J114" s="170"/>
      <c r="K114" s="149"/>
      <c r="L114" s="149"/>
      <c r="M114" s="149"/>
      <c r="N114" s="149"/>
      <c r="O114" s="149"/>
      <c r="P114" s="188">
        <f t="shared" si="39"/>
        <v>0</v>
      </c>
      <c r="Q114" s="132">
        <f t="shared" si="30"/>
        <v>0</v>
      </c>
      <c r="R114" s="133">
        <f t="shared" si="31"/>
        <v>0</v>
      </c>
      <c r="S114" s="121" t="str">
        <f t="shared" si="40"/>
        <v/>
      </c>
    </row>
    <row r="115" hidden="1" outlineLevel="1">
      <c r="A115" s="142" t="str">
        <f>IFERROR(VLOOKUP(B115,'Статьи'!$A$2:C137,3,0)," ")</f>
        <v> </v>
      </c>
      <c r="B115" s="125"/>
      <c r="C115" s="197"/>
      <c r="D115" s="149"/>
      <c r="E115" s="198"/>
      <c r="F115" s="198"/>
      <c r="G115" s="198"/>
      <c r="H115" s="198"/>
      <c r="I115" s="188">
        <f t="shared" si="38"/>
        <v>0</v>
      </c>
      <c r="J115" s="189"/>
      <c r="K115" s="149"/>
      <c r="L115" s="149"/>
      <c r="M115" s="149"/>
      <c r="N115" s="149"/>
      <c r="O115" s="149"/>
      <c r="P115" s="188">
        <f t="shared" si="39"/>
        <v>0</v>
      </c>
      <c r="Q115" s="132">
        <f t="shared" si="30"/>
        <v>0</v>
      </c>
      <c r="R115" s="133">
        <f t="shared" si="31"/>
        <v>0</v>
      </c>
      <c r="S115" s="121" t="str">
        <f t="shared" si="40"/>
        <v/>
      </c>
    </row>
    <row r="116" hidden="1" outlineLevel="1">
      <c r="A116" s="142" t="str">
        <f>IFERROR(VLOOKUP(B116,'Статьи'!$A$2:C138,3,0)," ")</f>
        <v> </v>
      </c>
      <c r="B116" s="125"/>
      <c r="C116" s="197"/>
      <c r="D116" s="149"/>
      <c r="E116" s="149"/>
      <c r="F116" s="149"/>
      <c r="G116" s="149"/>
      <c r="H116" s="149"/>
      <c r="I116" s="188">
        <f t="shared" si="38"/>
        <v>0</v>
      </c>
      <c r="J116" s="189"/>
      <c r="K116" s="149"/>
      <c r="L116" s="149"/>
      <c r="M116" s="149"/>
      <c r="N116" s="149"/>
      <c r="O116" s="149"/>
      <c r="P116" s="188">
        <f t="shared" si="39"/>
        <v>0</v>
      </c>
      <c r="Q116" s="132">
        <f t="shared" si="30"/>
        <v>0</v>
      </c>
      <c r="R116" s="133">
        <f t="shared" si="31"/>
        <v>0</v>
      </c>
      <c r="S116" s="121" t="str">
        <f t="shared" si="40"/>
        <v/>
      </c>
    </row>
    <row r="117" hidden="1" outlineLevel="1">
      <c r="A117" s="142" t="str">
        <f>IFERROR(VLOOKUP(B117,'Статьи'!$A$2:C139,3,0)," ")</f>
        <v> </v>
      </c>
      <c r="B117" s="125"/>
      <c r="C117" s="197"/>
      <c r="D117" s="149"/>
      <c r="E117" s="149"/>
      <c r="F117" s="149"/>
      <c r="G117" s="149"/>
      <c r="H117" s="149"/>
      <c r="I117" s="188">
        <f t="shared" si="38"/>
        <v>0</v>
      </c>
      <c r="J117" s="189"/>
      <c r="K117" s="149"/>
      <c r="L117" s="149"/>
      <c r="M117" s="149"/>
      <c r="N117" s="149"/>
      <c r="O117" s="149"/>
      <c r="P117" s="188">
        <f t="shared" si="39"/>
        <v>0</v>
      </c>
      <c r="Q117" s="132">
        <f t="shared" si="30"/>
        <v>0</v>
      </c>
      <c r="R117" s="133">
        <f t="shared" si="31"/>
        <v>0</v>
      </c>
      <c r="S117" s="121" t="str">
        <f t="shared" si="40"/>
        <v/>
      </c>
    </row>
    <row r="118" hidden="1" outlineLevel="1">
      <c r="A118" s="142" t="str">
        <f>IFERROR(VLOOKUP(B118,'Статьи'!$A$2:C140,3,0)," ")</f>
        <v> </v>
      </c>
      <c r="B118" s="125"/>
      <c r="C118" s="197"/>
      <c r="D118" s="149"/>
      <c r="E118" s="149"/>
      <c r="F118" s="149"/>
      <c r="G118" s="149"/>
      <c r="H118" s="149"/>
      <c r="I118" s="188">
        <f t="shared" si="38"/>
        <v>0</v>
      </c>
      <c r="J118" s="170"/>
      <c r="K118" s="149"/>
      <c r="L118" s="149"/>
      <c r="M118" s="149"/>
      <c r="N118" s="149"/>
      <c r="O118" s="149"/>
      <c r="P118" s="188">
        <f t="shared" si="39"/>
        <v>0</v>
      </c>
      <c r="Q118" s="132">
        <f t="shared" si="30"/>
        <v>0</v>
      </c>
      <c r="R118" s="133">
        <f t="shared" si="31"/>
        <v>0</v>
      </c>
      <c r="S118" s="121" t="str">
        <f t="shared" si="40"/>
        <v/>
      </c>
    </row>
    <row r="119" hidden="1" outlineLevel="1">
      <c r="A119" s="142" t="str">
        <f>IFERROR(VLOOKUP(B119,'Статьи'!$A$2:C141,3,0)," ")</f>
        <v> </v>
      </c>
      <c r="B119" s="125"/>
      <c r="C119" s="197"/>
      <c r="D119" s="149"/>
      <c r="E119" s="149"/>
      <c r="F119" s="149"/>
      <c r="G119" s="149"/>
      <c r="H119" s="149"/>
      <c r="I119" s="188">
        <f t="shared" si="38"/>
        <v>0</v>
      </c>
      <c r="J119" s="189"/>
      <c r="K119" s="149"/>
      <c r="L119" s="149"/>
      <c r="M119" s="149"/>
      <c r="N119" s="149"/>
      <c r="O119" s="149"/>
      <c r="P119" s="188">
        <f t="shared" si="39"/>
        <v>0</v>
      </c>
      <c r="Q119" s="132">
        <f t="shared" si="30"/>
        <v>0</v>
      </c>
      <c r="R119" s="133">
        <f t="shared" si="31"/>
        <v>0</v>
      </c>
      <c r="S119" s="121" t="str">
        <f t="shared" si="40"/>
        <v/>
      </c>
    </row>
    <row r="120" hidden="1" outlineLevel="1">
      <c r="A120" s="142" t="str">
        <f>IFERROR(VLOOKUP(B120,'Статьи'!$A$2:C142,3,0)," ")</f>
        <v> </v>
      </c>
      <c r="B120" s="125"/>
      <c r="C120" s="197"/>
      <c r="D120" s="149"/>
      <c r="E120" s="149"/>
      <c r="F120" s="149"/>
      <c r="G120" s="149"/>
      <c r="H120" s="149"/>
      <c r="I120" s="188">
        <f t="shared" si="38"/>
        <v>0</v>
      </c>
      <c r="J120" s="189"/>
      <c r="K120" s="149"/>
      <c r="L120" s="149"/>
      <c r="M120" s="149"/>
      <c r="N120" s="149"/>
      <c r="O120" s="149"/>
      <c r="P120" s="188">
        <f t="shared" si="39"/>
        <v>0</v>
      </c>
      <c r="Q120" s="132">
        <f t="shared" si="30"/>
        <v>0</v>
      </c>
      <c r="R120" s="133">
        <f t="shared" si="31"/>
        <v>0</v>
      </c>
      <c r="S120" s="121" t="str">
        <f t="shared" si="40"/>
        <v/>
      </c>
    </row>
    <row r="121" hidden="1" outlineLevel="1">
      <c r="A121" s="142" t="str">
        <f>IFERROR(VLOOKUP(B121,'Статьи'!$A$2:C143,3,0)," ")</f>
        <v> </v>
      </c>
      <c r="B121" s="125"/>
      <c r="C121" s="197"/>
      <c r="D121" s="149"/>
      <c r="E121" s="149"/>
      <c r="F121" s="149"/>
      <c r="G121" s="149"/>
      <c r="H121" s="149"/>
      <c r="I121" s="188">
        <f t="shared" si="38"/>
        <v>0</v>
      </c>
      <c r="J121" s="170"/>
      <c r="K121" s="149"/>
      <c r="L121" s="149"/>
      <c r="M121" s="149"/>
      <c r="N121" s="149"/>
      <c r="O121" s="149"/>
      <c r="P121" s="188">
        <f t="shared" si="39"/>
        <v>0</v>
      </c>
      <c r="Q121" s="132">
        <f t="shared" si="30"/>
        <v>0</v>
      </c>
      <c r="R121" s="133">
        <f t="shared" si="31"/>
        <v>0</v>
      </c>
      <c r="S121" s="121" t="str">
        <f t="shared" si="40"/>
        <v/>
      </c>
    </row>
    <row r="122" hidden="1" outlineLevel="1">
      <c r="A122" s="142" t="str">
        <f>IFERROR(VLOOKUP(B122,'Статьи'!$A$2:C144,3,0)," ")</f>
        <v> </v>
      </c>
      <c r="B122" s="125"/>
      <c r="C122" s="197"/>
      <c r="D122" s="149"/>
      <c r="E122" s="149"/>
      <c r="F122" s="149"/>
      <c r="G122" s="149"/>
      <c r="H122" s="149"/>
      <c r="I122" s="188">
        <f t="shared" si="38"/>
        <v>0</v>
      </c>
      <c r="J122" s="189"/>
      <c r="K122" s="149"/>
      <c r="L122" s="149"/>
      <c r="M122" s="149"/>
      <c r="N122" s="149"/>
      <c r="O122" s="149"/>
      <c r="P122" s="188">
        <f t="shared" si="39"/>
        <v>0</v>
      </c>
      <c r="Q122" s="132">
        <f t="shared" si="30"/>
        <v>0</v>
      </c>
      <c r="R122" s="133">
        <f t="shared" si="31"/>
        <v>0</v>
      </c>
      <c r="S122" s="121" t="str">
        <f t="shared" si="40"/>
        <v/>
      </c>
    </row>
    <row r="123" hidden="1" outlineLevel="1">
      <c r="A123" s="142" t="str">
        <f>IFERROR(VLOOKUP(B123,'Статьи'!$A$2:C145,3,0)," ")</f>
        <v> </v>
      </c>
      <c r="B123" s="125"/>
      <c r="C123" s="197"/>
      <c r="D123" s="149"/>
      <c r="E123" s="149"/>
      <c r="F123" s="149"/>
      <c r="G123" s="149"/>
      <c r="H123" s="149"/>
      <c r="I123" s="188">
        <f t="shared" si="38"/>
        <v>0</v>
      </c>
      <c r="J123" s="170"/>
      <c r="K123" s="149"/>
      <c r="L123" s="149"/>
      <c r="M123" s="149"/>
      <c r="N123" s="149"/>
      <c r="O123" s="149"/>
      <c r="P123" s="188">
        <f t="shared" si="39"/>
        <v>0</v>
      </c>
      <c r="Q123" s="132">
        <f t="shared" si="30"/>
        <v>0</v>
      </c>
      <c r="R123" s="133">
        <f t="shared" si="31"/>
        <v>0</v>
      </c>
      <c r="S123" s="121" t="str">
        <f t="shared" si="40"/>
        <v/>
      </c>
    </row>
    <row r="124" hidden="1" outlineLevel="1">
      <c r="A124" s="142" t="str">
        <f>IFERROR(VLOOKUP(B124,'Статьи'!$A$2:C146,3,0)," ")</f>
        <v> </v>
      </c>
      <c r="B124" s="125"/>
      <c r="C124" s="170"/>
      <c r="D124" s="149"/>
      <c r="E124" s="149"/>
      <c r="F124" s="149"/>
      <c r="G124" s="149"/>
      <c r="H124" s="149"/>
      <c r="I124" s="188">
        <f t="shared" si="38"/>
        <v>0</v>
      </c>
      <c r="J124" s="170"/>
      <c r="K124" s="149"/>
      <c r="L124" s="149"/>
      <c r="M124" s="149"/>
      <c r="N124" s="149"/>
      <c r="O124" s="149"/>
      <c r="P124" s="188">
        <f t="shared" si="39"/>
        <v>0</v>
      </c>
      <c r="Q124" s="132">
        <f t="shared" si="30"/>
        <v>0</v>
      </c>
      <c r="R124" s="133">
        <f t="shared" si="31"/>
        <v>0</v>
      </c>
      <c r="S124" s="121" t="str">
        <f t="shared" si="40"/>
        <v/>
      </c>
    </row>
    <row r="125" hidden="1" outlineLevel="1">
      <c r="A125" s="142" t="str">
        <f>IFERROR(VLOOKUP(B125,'Статьи'!$A$2:C147,3,0)," ")</f>
        <v> </v>
      </c>
      <c r="B125" s="125"/>
      <c r="C125" s="170"/>
      <c r="D125" s="149"/>
      <c r="E125" s="149"/>
      <c r="F125" s="149"/>
      <c r="G125" s="149"/>
      <c r="H125" s="149"/>
      <c r="I125" s="188">
        <f t="shared" si="38"/>
        <v>0</v>
      </c>
      <c r="J125" s="170"/>
      <c r="K125" s="149"/>
      <c r="L125" s="149"/>
      <c r="M125" s="149"/>
      <c r="N125" s="149"/>
      <c r="O125" s="149"/>
      <c r="P125" s="188">
        <f t="shared" si="39"/>
        <v>0</v>
      </c>
      <c r="Q125" s="132">
        <f t="shared" si="30"/>
        <v>0</v>
      </c>
      <c r="R125" s="133">
        <f t="shared" si="31"/>
        <v>0</v>
      </c>
      <c r="S125" s="121" t="str">
        <f t="shared" si="40"/>
        <v/>
      </c>
    </row>
    <row r="126" hidden="1" outlineLevel="1">
      <c r="A126" s="142" t="str">
        <f>IFERROR(VLOOKUP(B126,'Статьи'!$A$2:C148,3,0)," ")</f>
        <v> </v>
      </c>
      <c r="B126" s="125"/>
      <c r="C126" s="170"/>
      <c r="D126" s="149"/>
      <c r="E126" s="149"/>
      <c r="F126" s="149"/>
      <c r="G126" s="149"/>
      <c r="H126" s="149"/>
      <c r="I126" s="188">
        <f t="shared" si="38"/>
        <v>0</v>
      </c>
      <c r="J126" s="170"/>
      <c r="K126" s="149"/>
      <c r="L126" s="149"/>
      <c r="M126" s="149"/>
      <c r="N126" s="149"/>
      <c r="O126" s="149"/>
      <c r="P126" s="188">
        <f t="shared" si="39"/>
        <v>0</v>
      </c>
      <c r="Q126" s="132">
        <f t="shared" si="30"/>
        <v>0</v>
      </c>
      <c r="R126" s="133">
        <f t="shared" si="31"/>
        <v>0</v>
      </c>
      <c r="S126" s="121" t="str">
        <f t="shared" si="40"/>
        <v/>
      </c>
    </row>
    <row r="127" hidden="1" outlineLevel="1">
      <c r="A127" s="142" t="str">
        <f>IFERROR(VLOOKUP(B127,'Статьи'!$A$2:C149,3,0)," ")</f>
        <v> </v>
      </c>
      <c r="B127" s="125"/>
      <c r="C127" s="170"/>
      <c r="D127" s="149"/>
      <c r="E127" s="149"/>
      <c r="F127" s="149"/>
      <c r="G127" s="149"/>
      <c r="H127" s="149"/>
      <c r="I127" s="188">
        <f t="shared" si="38"/>
        <v>0</v>
      </c>
      <c r="J127" s="170"/>
      <c r="K127" s="149"/>
      <c r="L127" s="149"/>
      <c r="M127" s="149"/>
      <c r="N127" s="149"/>
      <c r="O127" s="149"/>
      <c r="P127" s="188">
        <f t="shared" si="39"/>
        <v>0</v>
      </c>
      <c r="Q127" s="132">
        <f t="shared" si="30"/>
        <v>0</v>
      </c>
      <c r="R127" s="133">
        <f t="shared" si="31"/>
        <v>0</v>
      </c>
      <c r="S127" s="121" t="str">
        <f t="shared" si="40"/>
        <v/>
      </c>
    </row>
    <row r="128" hidden="1" outlineLevel="1">
      <c r="A128" s="142" t="str">
        <f>IFERROR(VLOOKUP(B128,'Статьи'!$A$2:C150,3,0)," ")</f>
        <v> </v>
      </c>
      <c r="B128" s="125"/>
      <c r="C128" s="170"/>
      <c r="D128" s="149"/>
      <c r="E128" s="149"/>
      <c r="F128" s="149"/>
      <c r="G128" s="149"/>
      <c r="H128" s="149"/>
      <c r="I128" s="188">
        <f t="shared" si="38"/>
        <v>0</v>
      </c>
      <c r="J128" s="170"/>
      <c r="K128" s="149"/>
      <c r="L128" s="149"/>
      <c r="M128" s="149"/>
      <c r="N128" s="149"/>
      <c r="O128" s="149"/>
      <c r="P128" s="188">
        <f t="shared" si="39"/>
        <v>0</v>
      </c>
      <c r="Q128" s="132">
        <f t="shared" si="30"/>
        <v>0</v>
      </c>
      <c r="R128" s="133">
        <f t="shared" si="31"/>
        <v>0</v>
      </c>
      <c r="S128" s="121" t="str">
        <f t="shared" si="40"/>
        <v/>
      </c>
    </row>
    <row r="129" hidden="1" outlineLevel="1">
      <c r="A129" s="142" t="str">
        <f>IFERROR(VLOOKUP(B129,'Статьи'!$A$2:C151,3,0)," ")</f>
        <v> </v>
      </c>
      <c r="B129" s="125"/>
      <c r="C129" s="170"/>
      <c r="D129" s="149"/>
      <c r="E129" s="149"/>
      <c r="F129" s="149"/>
      <c r="G129" s="149"/>
      <c r="H129" s="149"/>
      <c r="I129" s="188">
        <f t="shared" si="38"/>
        <v>0</v>
      </c>
      <c r="J129" s="170"/>
      <c r="K129" s="149"/>
      <c r="L129" s="149"/>
      <c r="M129" s="149"/>
      <c r="N129" s="149"/>
      <c r="O129" s="149"/>
      <c r="P129" s="188">
        <f t="shared" si="39"/>
        <v>0</v>
      </c>
      <c r="Q129" s="132">
        <f t="shared" si="30"/>
        <v>0</v>
      </c>
      <c r="R129" s="133">
        <f t="shared" si="31"/>
        <v>0</v>
      </c>
      <c r="S129" s="121" t="str">
        <f t="shared" si="40"/>
        <v/>
      </c>
    </row>
    <row r="130" hidden="1" outlineLevel="1">
      <c r="A130" s="142" t="str">
        <f>IFERROR(VLOOKUP(B130,'Статьи'!$A$2:C152,3,0)," ")</f>
        <v> </v>
      </c>
      <c r="B130" s="125"/>
      <c r="C130" s="170"/>
      <c r="D130" s="149"/>
      <c r="E130" s="149"/>
      <c r="F130" s="149"/>
      <c r="G130" s="149"/>
      <c r="H130" s="149"/>
      <c r="I130" s="188">
        <f t="shared" si="38"/>
        <v>0</v>
      </c>
      <c r="J130" s="170"/>
      <c r="K130" s="149"/>
      <c r="L130" s="149"/>
      <c r="M130" s="149"/>
      <c r="N130" s="149"/>
      <c r="O130" s="149"/>
      <c r="P130" s="188">
        <f t="shared" si="39"/>
        <v>0</v>
      </c>
      <c r="Q130" s="132">
        <f t="shared" si="30"/>
        <v>0</v>
      </c>
      <c r="R130" s="133">
        <f t="shared" si="31"/>
        <v>0</v>
      </c>
      <c r="S130" s="121" t="str">
        <f t="shared" si="40"/>
        <v/>
      </c>
    </row>
    <row r="131">
      <c r="A131" s="142" t="str">
        <f>IFERROR(VLOOKUP(B131,'Статьи'!$A$2:C153,3,0)," ")</f>
        <v> </v>
      </c>
      <c r="B131" s="125"/>
      <c r="C131" s="170"/>
      <c r="D131" s="149"/>
      <c r="E131" s="149"/>
      <c r="F131" s="149"/>
      <c r="G131" s="149"/>
      <c r="H131" s="149"/>
      <c r="I131" s="188">
        <f t="shared" si="38"/>
        <v>0</v>
      </c>
      <c r="J131" s="170"/>
      <c r="K131" s="149"/>
      <c r="L131" s="149"/>
      <c r="M131" s="149"/>
      <c r="N131" s="149"/>
      <c r="O131" s="149"/>
      <c r="P131" s="188">
        <f t="shared" si="39"/>
        <v>0</v>
      </c>
      <c r="Q131" s="132">
        <f t="shared" si="30"/>
        <v>0</v>
      </c>
      <c r="R131" s="133">
        <f t="shared" si="31"/>
        <v>0</v>
      </c>
      <c r="S131" s="121" t="str">
        <f t="shared" si="40"/>
        <v/>
      </c>
    </row>
    <row r="132">
      <c r="A132" s="135"/>
      <c r="B132" s="136" t="s">
        <v>107</v>
      </c>
      <c r="C132" s="137">
        <f t="shared" ref="C132:H132" si="41">SUM(C133:C141)</f>
        <v>0</v>
      </c>
      <c r="D132" s="138">
        <f t="shared" si="41"/>
        <v>0</v>
      </c>
      <c r="E132" s="138">
        <f t="shared" si="41"/>
        <v>0</v>
      </c>
      <c r="F132" s="138">
        <f t="shared" si="41"/>
        <v>0</v>
      </c>
      <c r="G132" s="138">
        <f t="shared" si="41"/>
        <v>0</v>
      </c>
      <c r="H132" s="138">
        <f t="shared" si="41"/>
        <v>0</v>
      </c>
      <c r="I132" s="139">
        <f t="shared" si="38"/>
        <v>0</v>
      </c>
      <c r="J132" s="137">
        <f t="shared" ref="J132:P132" si="42">SUM(J133:J141)</f>
        <v>0</v>
      </c>
      <c r="K132" s="138">
        <f t="shared" si="42"/>
        <v>0</v>
      </c>
      <c r="L132" s="138">
        <f t="shared" si="42"/>
        <v>0</v>
      </c>
      <c r="M132" s="138">
        <f t="shared" si="42"/>
        <v>0</v>
      </c>
      <c r="N132" s="138">
        <f t="shared" si="42"/>
        <v>0</v>
      </c>
      <c r="O132" s="138">
        <f t="shared" si="42"/>
        <v>0</v>
      </c>
      <c r="P132" s="140">
        <f t="shared" si="42"/>
        <v>0</v>
      </c>
      <c r="Q132" s="138">
        <f t="shared" si="30"/>
        <v>0</v>
      </c>
      <c r="R132" s="187">
        <f t="shared" si="31"/>
        <v>0</v>
      </c>
      <c r="S132" s="229" t="str">
        <f>IF(Q132=0,"",IF(R132&gt;1,"план не выполнен","выполнение"))</f>
        <v/>
      </c>
    </row>
    <row r="133" collapsed="1">
      <c r="A133" s="142" t="str">
        <f>IFERROR(VLOOKUP(B133,'Статьи'!$A$2:C155,3,0)," ")</f>
        <v>ДДС отчетного месяца. Без НДС!</v>
      </c>
      <c r="B133" s="125" t="str">
        <f>IFERROR(__xludf.DUMMYFUNCTION("iferror(filter('Статьи'!$A$1:$A177,'Статьи'!$B$1:$B177=$B$132))"),"Подписка на сайты по поиску клиентов")</f>
        <v>Подписка на сайты по поиску клиентов</v>
      </c>
      <c r="C133" s="170"/>
      <c r="D133" s="149"/>
      <c r="E133" s="149"/>
      <c r="F133" s="149"/>
      <c r="G133" s="149"/>
      <c r="H133" s="149"/>
      <c r="I133" s="188">
        <f t="shared" si="38"/>
        <v>0</v>
      </c>
      <c r="J133" s="170"/>
      <c r="K133" s="149"/>
      <c r="L133" s="149"/>
      <c r="M133" s="149"/>
      <c r="N133" s="149"/>
      <c r="O133" s="149"/>
      <c r="P133" s="188">
        <f t="shared" ref="P133:P140" si="43">SUM(J133:K133)</f>
        <v>0</v>
      </c>
      <c r="Q133" s="132">
        <f t="shared" si="30"/>
        <v>0</v>
      </c>
      <c r="R133" s="133">
        <f t="shared" si="31"/>
        <v>0</v>
      </c>
      <c r="S133" s="121" t="str">
        <f t="shared" ref="S133:S141" si="44">IF(Q133=0,"",IF(R133=0,"обратить внимание",IF(R133&gt;1,"перерасход","экономия")))</f>
        <v/>
      </c>
    </row>
    <row r="134" hidden="1" outlineLevel="1">
      <c r="A134" s="142" t="str">
        <f>IFERROR(VLOOKUP(B134,'Статьи'!$A$2:C156,3,0)," ")</f>
        <v> </v>
      </c>
      <c r="B134" s="125"/>
      <c r="C134" s="170"/>
      <c r="D134" s="149"/>
      <c r="E134" s="149"/>
      <c r="F134" s="149"/>
      <c r="G134" s="149"/>
      <c r="H134" s="149"/>
      <c r="I134" s="188">
        <f t="shared" si="38"/>
        <v>0</v>
      </c>
      <c r="J134" s="170"/>
      <c r="K134" s="149"/>
      <c r="L134" s="149"/>
      <c r="M134" s="149"/>
      <c r="N134" s="149"/>
      <c r="O134" s="149"/>
      <c r="P134" s="188">
        <f t="shared" si="43"/>
        <v>0</v>
      </c>
      <c r="Q134" s="132">
        <f t="shared" si="30"/>
        <v>0</v>
      </c>
      <c r="R134" s="133">
        <f t="shared" si="31"/>
        <v>0</v>
      </c>
      <c r="S134" s="121" t="str">
        <f t="shared" si="44"/>
        <v/>
      </c>
    </row>
    <row r="135" hidden="1" outlineLevel="1">
      <c r="A135" s="175" t="str">
        <f>IFERROR(VLOOKUP(B135,'Статьи'!$A$2:C157,3,0)," ")</f>
        <v> </v>
      </c>
      <c r="B135" s="175"/>
      <c r="C135" s="170"/>
      <c r="D135" s="149"/>
      <c r="E135" s="149"/>
      <c r="F135" s="149"/>
      <c r="G135" s="149"/>
      <c r="H135" s="149"/>
      <c r="I135" s="188">
        <f t="shared" si="38"/>
        <v>0</v>
      </c>
      <c r="J135" s="170"/>
      <c r="K135" s="149"/>
      <c r="L135" s="149"/>
      <c r="M135" s="149"/>
      <c r="N135" s="149"/>
      <c r="O135" s="149"/>
      <c r="P135" s="188">
        <f t="shared" si="43"/>
        <v>0</v>
      </c>
      <c r="Q135" s="132">
        <f t="shared" si="30"/>
        <v>0</v>
      </c>
      <c r="R135" s="133">
        <f t="shared" si="31"/>
        <v>0</v>
      </c>
      <c r="S135" s="121" t="str">
        <f t="shared" si="44"/>
        <v/>
      </c>
    </row>
    <row r="136" hidden="1" outlineLevel="1">
      <c r="A136" s="175" t="str">
        <f>IFERROR(VLOOKUP(B136,'Статьи'!$A$2:C158,3,0)," ")</f>
        <v> </v>
      </c>
      <c r="B136" s="175"/>
      <c r="C136" s="170"/>
      <c r="D136" s="149"/>
      <c r="E136" s="149"/>
      <c r="F136" s="149"/>
      <c r="G136" s="149"/>
      <c r="H136" s="149"/>
      <c r="I136" s="188">
        <f t="shared" si="38"/>
        <v>0</v>
      </c>
      <c r="J136" s="170"/>
      <c r="K136" s="149"/>
      <c r="L136" s="149"/>
      <c r="M136" s="149"/>
      <c r="N136" s="149"/>
      <c r="O136" s="149"/>
      <c r="P136" s="188">
        <f t="shared" si="43"/>
        <v>0</v>
      </c>
      <c r="Q136" s="132">
        <f t="shared" si="30"/>
        <v>0</v>
      </c>
      <c r="R136" s="133">
        <f t="shared" si="31"/>
        <v>0</v>
      </c>
      <c r="S136" s="121" t="str">
        <f t="shared" si="44"/>
        <v/>
      </c>
    </row>
    <row r="137" hidden="1" outlineLevel="1">
      <c r="A137" s="175" t="str">
        <f>IFERROR(VLOOKUP(B137,'Статьи'!$A$2:C159,3,0)," ")</f>
        <v> </v>
      </c>
      <c r="B137" s="175"/>
      <c r="C137" s="170"/>
      <c r="D137" s="149"/>
      <c r="E137" s="149"/>
      <c r="F137" s="149"/>
      <c r="G137" s="149"/>
      <c r="H137" s="149"/>
      <c r="I137" s="188">
        <f t="shared" si="38"/>
        <v>0</v>
      </c>
      <c r="J137" s="170"/>
      <c r="K137" s="149"/>
      <c r="L137" s="149"/>
      <c r="M137" s="149"/>
      <c r="N137" s="149"/>
      <c r="O137" s="149"/>
      <c r="P137" s="188">
        <f t="shared" si="43"/>
        <v>0</v>
      </c>
      <c r="Q137" s="132">
        <f t="shared" si="30"/>
        <v>0</v>
      </c>
      <c r="R137" s="133">
        <f t="shared" si="31"/>
        <v>0</v>
      </c>
      <c r="S137" s="121" t="str">
        <f t="shared" si="44"/>
        <v/>
      </c>
    </row>
    <row r="138" hidden="1" outlineLevel="1">
      <c r="A138" s="175" t="str">
        <f>IFERROR(VLOOKUP(B138,'Статьи'!$A$2:C160,3,0)," ")</f>
        <v> </v>
      </c>
      <c r="B138" s="175"/>
      <c r="C138" s="170"/>
      <c r="D138" s="149"/>
      <c r="E138" s="149"/>
      <c r="F138" s="149"/>
      <c r="G138" s="149"/>
      <c r="H138" s="149"/>
      <c r="I138" s="188">
        <f t="shared" si="38"/>
        <v>0</v>
      </c>
      <c r="J138" s="170"/>
      <c r="K138" s="149"/>
      <c r="L138" s="149"/>
      <c r="M138" s="149"/>
      <c r="N138" s="149"/>
      <c r="O138" s="149"/>
      <c r="P138" s="188">
        <f t="shared" si="43"/>
        <v>0</v>
      </c>
      <c r="Q138" s="132">
        <f t="shared" si="30"/>
        <v>0</v>
      </c>
      <c r="R138" s="133">
        <f t="shared" si="31"/>
        <v>0</v>
      </c>
      <c r="S138" s="121" t="str">
        <f t="shared" si="44"/>
        <v/>
      </c>
    </row>
    <row r="139" hidden="1" outlineLevel="1">
      <c r="A139" s="175" t="str">
        <f>IFERROR(VLOOKUP(B139,'Статьи'!$A$2:C161,3,0)," ")</f>
        <v> </v>
      </c>
      <c r="B139" s="175"/>
      <c r="C139" s="170"/>
      <c r="D139" s="149"/>
      <c r="E139" s="149"/>
      <c r="F139" s="149"/>
      <c r="G139" s="149"/>
      <c r="H139" s="149"/>
      <c r="I139" s="188">
        <f t="shared" si="38"/>
        <v>0</v>
      </c>
      <c r="J139" s="170"/>
      <c r="K139" s="149"/>
      <c r="L139" s="149"/>
      <c r="M139" s="149"/>
      <c r="N139" s="149"/>
      <c r="O139" s="149"/>
      <c r="P139" s="188">
        <f t="shared" si="43"/>
        <v>0</v>
      </c>
      <c r="Q139" s="132">
        <f t="shared" si="30"/>
        <v>0</v>
      </c>
      <c r="R139" s="133">
        <f t="shared" si="31"/>
        <v>0</v>
      </c>
      <c r="S139" s="121" t="str">
        <f t="shared" si="44"/>
        <v/>
      </c>
    </row>
    <row r="140" hidden="1" outlineLevel="1">
      <c r="A140" s="175" t="str">
        <f>IFERROR(VLOOKUP(B140,'Статьи'!$A$2:C162,3,0)," ")</f>
        <v> </v>
      </c>
      <c r="B140" s="175"/>
      <c r="C140" s="170"/>
      <c r="D140" s="149"/>
      <c r="E140" s="149"/>
      <c r="F140" s="149"/>
      <c r="G140" s="149"/>
      <c r="H140" s="149"/>
      <c r="I140" s="188">
        <f t="shared" si="38"/>
        <v>0</v>
      </c>
      <c r="J140" s="170"/>
      <c r="K140" s="149"/>
      <c r="L140" s="149"/>
      <c r="M140" s="149"/>
      <c r="N140" s="149"/>
      <c r="O140" s="149"/>
      <c r="P140" s="188">
        <f t="shared" si="43"/>
        <v>0</v>
      </c>
      <c r="Q140" s="132">
        <f t="shared" si="30"/>
        <v>0</v>
      </c>
      <c r="R140" s="133">
        <f t="shared" si="31"/>
        <v>0</v>
      </c>
      <c r="S140" s="121" t="str">
        <f t="shared" si="44"/>
        <v/>
      </c>
    </row>
    <row r="141">
      <c r="A141" s="175" t="str">
        <f>IFERROR(VLOOKUP(B141,'Статьи'!$A$2:C163,3,0)," ")</f>
        <v> </v>
      </c>
      <c r="B141" s="175"/>
      <c r="C141" s="170"/>
      <c r="D141" s="149"/>
      <c r="E141" s="149"/>
      <c r="F141" s="149"/>
      <c r="G141" s="149"/>
      <c r="H141" s="149"/>
      <c r="I141" s="188">
        <f t="shared" si="38"/>
        <v>0</v>
      </c>
      <c r="J141" s="170"/>
      <c r="K141" s="149"/>
      <c r="L141" s="149"/>
      <c r="M141" s="149"/>
      <c r="N141" s="149"/>
      <c r="O141" s="149"/>
      <c r="P141" s="188">
        <f>sum(F141:J141)</f>
        <v>0</v>
      </c>
      <c r="Q141" s="132">
        <f t="shared" si="30"/>
        <v>0</v>
      </c>
      <c r="R141" s="133">
        <f t="shared" si="31"/>
        <v>0</v>
      </c>
      <c r="S141" s="121" t="str">
        <f t="shared" si="44"/>
        <v/>
      </c>
    </row>
    <row r="142">
      <c r="A142" s="152"/>
      <c r="B142" s="153" t="s">
        <v>142</v>
      </c>
      <c r="C142" s="154">
        <f t="shared" ref="C142:K142" si="45">C85+C88</f>
        <v>6</v>
      </c>
      <c r="D142" s="155">
        <f t="shared" si="45"/>
        <v>0</v>
      </c>
      <c r="E142" s="155">
        <f t="shared" si="45"/>
        <v>0</v>
      </c>
      <c r="F142" s="155">
        <f t="shared" si="45"/>
        <v>0</v>
      </c>
      <c r="G142" s="155">
        <f t="shared" si="45"/>
        <v>0</v>
      </c>
      <c r="H142" s="155">
        <f t="shared" si="45"/>
        <v>0</v>
      </c>
      <c r="I142" s="157">
        <f t="shared" si="45"/>
        <v>6</v>
      </c>
      <c r="J142" s="154">
        <f t="shared" si="45"/>
        <v>0</v>
      </c>
      <c r="K142" s="155">
        <f t="shared" si="45"/>
        <v>0</v>
      </c>
      <c r="L142" s="155"/>
      <c r="M142" s="155"/>
      <c r="N142" s="155"/>
      <c r="O142" s="155"/>
      <c r="P142" s="157">
        <f>P85+P88</f>
        <v>0</v>
      </c>
      <c r="Q142" s="155">
        <f t="shared" si="30"/>
        <v>6</v>
      </c>
      <c r="R142" s="158">
        <f t="shared" si="31"/>
        <v>0</v>
      </c>
      <c r="S142" s="159" t="str">
        <f>IF(Q142=0,"",IF(R142&gt;1,"выполнение","план не выполнен"))</f>
        <v>план не выполнен</v>
      </c>
    </row>
    <row r="143">
      <c r="A143" s="160"/>
      <c r="B143" s="161" t="s">
        <v>143</v>
      </c>
      <c r="C143" s="162">
        <f t="shared" ref="C143:K143" si="46">IFERROR(C142/C$3,"")</f>
        <v>1</v>
      </c>
      <c r="D143" s="163" t="str">
        <f t="shared" si="46"/>
        <v/>
      </c>
      <c r="E143" s="163" t="str">
        <f t="shared" si="46"/>
        <v/>
      </c>
      <c r="F143" s="163" t="str">
        <f t="shared" si="46"/>
        <v/>
      </c>
      <c r="G143" s="163" t="str">
        <f t="shared" si="46"/>
        <v/>
      </c>
      <c r="H143" s="163" t="str">
        <f t="shared" si="46"/>
        <v/>
      </c>
      <c r="I143" s="164">
        <f t="shared" si="46"/>
        <v>1</v>
      </c>
      <c r="J143" s="162" t="str">
        <f t="shared" si="46"/>
        <v/>
      </c>
      <c r="K143" s="163" t="str">
        <f t="shared" si="46"/>
        <v/>
      </c>
      <c r="L143" s="163"/>
      <c r="M143" s="163"/>
      <c r="N143" s="163"/>
      <c r="O143" s="163"/>
      <c r="P143" s="164" t="str">
        <f>IFERROR(P142/P$3,"")</f>
        <v/>
      </c>
      <c r="Q143" s="133"/>
      <c r="R143" s="133"/>
      <c r="S143" s="121" t="str">
        <f t="shared" ref="S143:S144" si="47">IF(Q143=0,"",IF(Q143=0,0,IF(R143&gt;1,"перерасход","экономия")))</f>
        <v/>
      </c>
    </row>
    <row r="144">
      <c r="A144" s="142"/>
      <c r="B144" s="125"/>
      <c r="C144" s="199"/>
      <c r="D144" s="200"/>
      <c r="E144" s="200"/>
      <c r="F144" s="200"/>
      <c r="G144" s="200"/>
      <c r="H144" s="200"/>
      <c r="I144" s="116"/>
      <c r="J144" s="123"/>
      <c r="K144" s="118"/>
      <c r="L144" s="118"/>
      <c r="M144" s="118"/>
      <c r="N144" s="118"/>
      <c r="O144" s="118"/>
      <c r="P144" s="116"/>
      <c r="Q144" s="132"/>
      <c r="R144" s="133"/>
      <c r="S144" s="121" t="str">
        <f t="shared" si="47"/>
        <v/>
      </c>
    </row>
    <row r="145">
      <c r="A145" s="201"/>
      <c r="B145" s="202" t="s">
        <v>111</v>
      </c>
      <c r="C145" s="203">
        <f t="shared" ref="C145:H145" si="48">SUM(C146:C154)</f>
        <v>0</v>
      </c>
      <c r="D145" s="204">
        <f t="shared" si="48"/>
        <v>0</v>
      </c>
      <c r="E145" s="204">
        <f t="shared" si="48"/>
        <v>0</v>
      </c>
      <c r="F145" s="204">
        <f t="shared" si="48"/>
        <v>0</v>
      </c>
      <c r="G145" s="204">
        <f t="shared" si="48"/>
        <v>0</v>
      </c>
      <c r="H145" s="204">
        <f t="shared" si="48"/>
        <v>0</v>
      </c>
      <c r="I145" s="205">
        <f>SUM(C145:H145)</f>
        <v>0</v>
      </c>
      <c r="J145" s="206">
        <f t="shared" ref="J145:P145" si="49">SUM(J146:J154)</f>
        <v>0</v>
      </c>
      <c r="K145" s="207">
        <f t="shared" si="49"/>
        <v>0</v>
      </c>
      <c r="L145" s="207">
        <f t="shared" si="49"/>
        <v>0</v>
      </c>
      <c r="M145" s="207">
        <f t="shared" si="49"/>
        <v>0</v>
      </c>
      <c r="N145" s="207">
        <f t="shared" si="49"/>
        <v>0</v>
      </c>
      <c r="O145" s="207">
        <f t="shared" si="49"/>
        <v>0</v>
      </c>
      <c r="P145" s="208">
        <f t="shared" si="49"/>
        <v>0</v>
      </c>
      <c r="Q145" s="204">
        <f t="shared" ref="Q145:Q173" si="50">I145-P145</f>
        <v>0</v>
      </c>
      <c r="R145" s="209">
        <f t="shared" ref="R145:R173" si="51">IFERROR(I145/P145,0)</f>
        <v>0</v>
      </c>
      <c r="S145" s="210" t="str">
        <f>IF(Q145=0,"",IF(R145&gt;1,"выполнение","план не выполнен"))</f>
        <v/>
      </c>
    </row>
    <row r="146">
      <c r="A146" s="142" t="str">
        <f>IFERROR(VLOOKUP(B146,'Статьи'!$A$2:C168,3,0)," ")</f>
        <v>ДДС отчетного месяца. Без НДС!</v>
      </c>
      <c r="B146" s="125" t="str">
        <f>IFERROR(__xludf.DUMMYFUNCTION("iferror(filter('Статьи'!$A$1:$A177,'Статьи'!$B$1:$B177=B145))"),"Поступления прочие")</f>
        <v>Поступления прочие</v>
      </c>
      <c r="C146" s="170"/>
      <c r="D146" s="149"/>
      <c r="E146" s="149"/>
      <c r="F146" s="149"/>
      <c r="G146" s="149"/>
      <c r="H146" s="149"/>
      <c r="I146" s="211">
        <f t="shared" ref="I146:I172" si="52">sum(C146:H146)</f>
        <v>0</v>
      </c>
      <c r="J146" s="122"/>
      <c r="K146" s="114"/>
      <c r="L146" s="114"/>
      <c r="M146" s="114"/>
      <c r="N146" s="114"/>
      <c r="O146" s="114"/>
      <c r="P146" s="211">
        <f t="shared" ref="P146:P153" si="53">SUM(J146:K146)</f>
        <v>0</v>
      </c>
      <c r="Q146" s="132">
        <f t="shared" si="50"/>
        <v>0</v>
      </c>
      <c r="R146" s="133">
        <f t="shared" si="51"/>
        <v>0</v>
      </c>
      <c r="S146" s="121" t="str">
        <f t="shared" ref="S146:S154" si="54">IF(Q146=0,"",IF(R146=0,"обратить внимание",IF(R146&gt;1,"выполнение","план не выполнен")))</f>
        <v/>
      </c>
    </row>
    <row r="147">
      <c r="A147" s="142" t="str">
        <f>IFERROR(VLOOKUP(B147,'Статьи'!$A$2:C169,3,0)," ")</f>
        <v>ДДС отчетного месяца. Без НДС!</v>
      </c>
      <c r="B147" s="125" t="str">
        <f>IFERROR(__xludf.DUMMYFUNCTION("""COMPUTED_VALUE"""),"Поступления страховые выплаты")</f>
        <v>Поступления страховые выплаты</v>
      </c>
      <c r="C147" s="170"/>
      <c r="D147" s="149"/>
      <c r="E147" s="149"/>
      <c r="F147" s="149"/>
      <c r="G147" s="149"/>
      <c r="H147" s="149"/>
      <c r="I147" s="211">
        <f t="shared" si="52"/>
        <v>0</v>
      </c>
      <c r="J147" s="122"/>
      <c r="K147" s="114"/>
      <c r="L147" s="114"/>
      <c r="M147" s="114"/>
      <c r="N147" s="114"/>
      <c r="O147" s="114"/>
      <c r="P147" s="211">
        <f t="shared" si="53"/>
        <v>0</v>
      </c>
      <c r="Q147" s="132">
        <f t="shared" si="50"/>
        <v>0</v>
      </c>
      <c r="R147" s="133">
        <f t="shared" si="51"/>
        <v>0</v>
      </c>
      <c r="S147" s="121" t="str">
        <f t="shared" si="54"/>
        <v/>
      </c>
    </row>
    <row r="148">
      <c r="A148" s="142" t="str">
        <f>IFERROR(VLOOKUP(B148,'Статьи'!$A$2:C170,3,0)," ")</f>
        <v>отчет Учета ОС Вкладка Свод строка 37</v>
      </c>
      <c r="B148" s="125" t="str">
        <f>IFERROR(__xludf.DUMMYFUNCTION("""COMPUTED_VALUE"""),"Продажа ОС")</f>
        <v>Продажа ОС</v>
      </c>
      <c r="C148" s="170"/>
      <c r="D148" s="149"/>
      <c r="E148" s="149"/>
      <c r="F148" s="149"/>
      <c r="G148" s="149"/>
      <c r="H148" s="149"/>
      <c r="I148" s="211">
        <f t="shared" si="52"/>
        <v>0</v>
      </c>
      <c r="J148" s="122"/>
      <c r="K148" s="114"/>
      <c r="L148" s="114"/>
      <c r="M148" s="114"/>
      <c r="N148" s="114"/>
      <c r="O148" s="114"/>
      <c r="P148" s="211">
        <f t="shared" si="53"/>
        <v>0</v>
      </c>
      <c r="Q148" s="132">
        <f t="shared" si="50"/>
        <v>0</v>
      </c>
      <c r="R148" s="133">
        <f t="shared" si="51"/>
        <v>0</v>
      </c>
      <c r="S148" s="121" t="str">
        <f t="shared" si="54"/>
        <v/>
      </c>
    </row>
    <row r="149">
      <c r="A149" s="142" t="str">
        <f>IFERROR(VLOOKUP(B149,'Статьи'!$A$2:C171,3,0)," ")</f>
        <v>ДДС отчетного месяца. Без НДС!</v>
      </c>
      <c r="B149" s="125" t="str">
        <f>IFERROR(__xludf.DUMMYFUNCTION("""COMPUTED_VALUE"""),"Прочие поступления от фин. операций")</f>
        <v>Прочие поступления от фин. операций</v>
      </c>
      <c r="C149" s="170"/>
      <c r="D149" s="149"/>
      <c r="E149" s="149"/>
      <c r="F149" s="149"/>
      <c r="G149" s="149"/>
      <c r="H149" s="149"/>
      <c r="I149" s="211">
        <f t="shared" si="52"/>
        <v>0</v>
      </c>
      <c r="J149" s="122"/>
      <c r="K149" s="114"/>
      <c r="L149" s="114"/>
      <c r="M149" s="114"/>
      <c r="N149" s="114"/>
      <c r="O149" s="114"/>
      <c r="P149" s="211">
        <f t="shared" si="53"/>
        <v>0</v>
      </c>
      <c r="Q149" s="132">
        <f t="shared" si="50"/>
        <v>0</v>
      </c>
      <c r="R149" s="133">
        <f t="shared" si="51"/>
        <v>0</v>
      </c>
      <c r="S149" s="121" t="str">
        <f t="shared" si="54"/>
        <v/>
      </c>
    </row>
    <row r="150">
      <c r="A150" s="142" t="str">
        <f>IFERROR(VLOOKUP(B150,'Статьи'!$A$2:C172,3,0)," ")</f>
        <v> </v>
      </c>
      <c r="B150" s="125"/>
      <c r="C150" s="170"/>
      <c r="D150" s="149"/>
      <c r="E150" s="149"/>
      <c r="F150" s="149"/>
      <c r="G150" s="149"/>
      <c r="H150" s="149"/>
      <c r="I150" s="211">
        <f t="shared" si="52"/>
        <v>0</v>
      </c>
      <c r="J150" s="122" t="str">
        <f>C150</f>
        <v/>
      </c>
      <c r="K150" s="114"/>
      <c r="L150" s="114"/>
      <c r="M150" s="114"/>
      <c r="N150" s="114"/>
      <c r="O150" s="114"/>
      <c r="P150" s="211">
        <f t="shared" si="53"/>
        <v>0</v>
      </c>
      <c r="Q150" s="132">
        <f t="shared" si="50"/>
        <v>0</v>
      </c>
      <c r="R150" s="133">
        <f t="shared" si="51"/>
        <v>0</v>
      </c>
      <c r="S150" s="121" t="str">
        <f t="shared" si="54"/>
        <v/>
      </c>
    </row>
    <row r="151" collapsed="1">
      <c r="A151" s="142" t="str">
        <f>IFERROR(VLOOKUP(B151,'Статьи'!$A$2:C173,3,0)," ")</f>
        <v> </v>
      </c>
      <c r="B151" s="125"/>
      <c r="C151" s="170"/>
      <c r="D151" s="149"/>
      <c r="E151" s="149"/>
      <c r="F151" s="149"/>
      <c r="G151" s="149"/>
      <c r="H151" s="149"/>
      <c r="I151" s="211">
        <f t="shared" si="52"/>
        <v>0</v>
      </c>
      <c r="J151" s="122"/>
      <c r="K151" s="114"/>
      <c r="L151" s="114"/>
      <c r="M151" s="114"/>
      <c r="N151" s="114"/>
      <c r="O151" s="114"/>
      <c r="P151" s="211">
        <f t="shared" si="53"/>
        <v>0</v>
      </c>
      <c r="Q151" s="132">
        <f t="shared" si="50"/>
        <v>0</v>
      </c>
      <c r="R151" s="133">
        <f t="shared" si="51"/>
        <v>0</v>
      </c>
      <c r="S151" s="121" t="str">
        <f t="shared" si="54"/>
        <v/>
      </c>
    </row>
    <row r="152" hidden="1" outlineLevel="1">
      <c r="A152" s="142" t="str">
        <f>IFERROR(VLOOKUP(B152,'Статьи'!$A$2:C174,3,0)," ")</f>
        <v> </v>
      </c>
      <c r="B152" s="125"/>
      <c r="C152" s="170"/>
      <c r="D152" s="149"/>
      <c r="E152" s="149"/>
      <c r="F152" s="149"/>
      <c r="G152" s="149"/>
      <c r="H152" s="149"/>
      <c r="I152" s="211">
        <f t="shared" si="52"/>
        <v>0</v>
      </c>
      <c r="J152" s="122"/>
      <c r="K152" s="114"/>
      <c r="L152" s="114"/>
      <c r="M152" s="114"/>
      <c r="N152" s="114"/>
      <c r="O152" s="114"/>
      <c r="P152" s="211">
        <f t="shared" si="53"/>
        <v>0</v>
      </c>
      <c r="Q152" s="132">
        <f t="shared" si="50"/>
        <v>0</v>
      </c>
      <c r="R152" s="133">
        <f t="shared" si="51"/>
        <v>0</v>
      </c>
      <c r="S152" s="121" t="str">
        <f t="shared" si="54"/>
        <v/>
      </c>
    </row>
    <row r="153" hidden="1" outlineLevel="1">
      <c r="A153" s="142" t="str">
        <f>IFERROR(VLOOKUP(B153,'Статьи'!$A$2:C175,3,0)," ")</f>
        <v> </v>
      </c>
      <c r="B153" s="125"/>
      <c r="C153" s="170"/>
      <c r="D153" s="149"/>
      <c r="E153" s="149"/>
      <c r="F153" s="149"/>
      <c r="G153" s="149"/>
      <c r="H153" s="149"/>
      <c r="I153" s="211">
        <f t="shared" si="52"/>
        <v>0</v>
      </c>
      <c r="J153" s="122"/>
      <c r="K153" s="114"/>
      <c r="L153" s="114"/>
      <c r="M153" s="114"/>
      <c r="N153" s="114"/>
      <c r="O153" s="114"/>
      <c r="P153" s="211">
        <f t="shared" si="53"/>
        <v>0</v>
      </c>
      <c r="Q153" s="132">
        <f t="shared" si="50"/>
        <v>0</v>
      </c>
      <c r="R153" s="133">
        <f t="shared" si="51"/>
        <v>0</v>
      </c>
      <c r="S153" s="121" t="str">
        <f t="shared" si="54"/>
        <v/>
      </c>
    </row>
    <row r="154">
      <c r="A154" s="142" t="str">
        <f>IFERROR(VLOOKUP(B154,'Статьи'!$A$2:C176,3,0)," ")</f>
        <v> </v>
      </c>
      <c r="B154" s="125"/>
      <c r="C154" s="170"/>
      <c r="D154" s="149"/>
      <c r="E154" s="149"/>
      <c r="F154" s="149"/>
      <c r="G154" s="149"/>
      <c r="H154" s="149"/>
      <c r="I154" s="211">
        <f t="shared" si="52"/>
        <v>0</v>
      </c>
      <c r="J154" s="122"/>
      <c r="K154" s="114"/>
      <c r="L154" s="114"/>
      <c r="M154" s="114"/>
      <c r="N154" s="114"/>
      <c r="O154" s="114"/>
      <c r="P154" s="211">
        <f>sum(F154:J154)</f>
        <v>0</v>
      </c>
      <c r="Q154" s="132">
        <f t="shared" si="50"/>
        <v>0</v>
      </c>
      <c r="R154" s="133">
        <f t="shared" si="51"/>
        <v>0</v>
      </c>
      <c r="S154" s="121" t="str">
        <f t="shared" si="54"/>
        <v/>
      </c>
    </row>
    <row r="155">
      <c r="A155" s="212"/>
      <c r="B155" s="213" t="s">
        <v>101</v>
      </c>
      <c r="C155" s="203">
        <f t="shared" ref="C155:H155" si="55">SUM(C156:C172)</f>
        <v>0</v>
      </c>
      <c r="D155" s="204">
        <f t="shared" si="55"/>
        <v>0</v>
      </c>
      <c r="E155" s="204">
        <f t="shared" si="55"/>
        <v>0</v>
      </c>
      <c r="F155" s="204">
        <f t="shared" si="55"/>
        <v>0</v>
      </c>
      <c r="G155" s="204">
        <f t="shared" si="55"/>
        <v>0</v>
      </c>
      <c r="H155" s="204">
        <f t="shared" si="55"/>
        <v>0</v>
      </c>
      <c r="I155" s="208">
        <f t="shared" si="52"/>
        <v>0</v>
      </c>
      <c r="J155" s="206">
        <f t="shared" ref="J155:K155" si="56">SUM(J156:J172)</f>
        <v>0</v>
      </c>
      <c r="K155" s="207">
        <f t="shared" si="56"/>
        <v>0</v>
      </c>
      <c r="L155" s="207"/>
      <c r="M155" s="207"/>
      <c r="N155" s="207"/>
      <c r="O155" s="207"/>
      <c r="P155" s="208">
        <f>SUM(P156:P172)</f>
        <v>0</v>
      </c>
      <c r="Q155" s="207">
        <f t="shared" si="50"/>
        <v>0</v>
      </c>
      <c r="R155" s="214">
        <f t="shared" si="51"/>
        <v>0</v>
      </c>
      <c r="S155" s="210" t="str">
        <f>IF(Q155=0,"",IF(R155&gt;1,"план не выполнен","выполнение"))</f>
        <v/>
      </c>
    </row>
    <row r="156">
      <c r="A156" s="142" t="str">
        <f>IFERROR(VLOOKUP(B156,'Статьи'!$A$2:C178,3,0)," ")</f>
        <v>ДДС отчетного месяца. Без НДС!</v>
      </c>
      <c r="B156" s="125" t="str">
        <f>IFERROR(__xludf.DUMMYFUNCTION("iferror(filter('Статьи'!$A$1:$A177,'Статьи'!$B$1:$B177=B155))"),"Курсовые разницы")</f>
        <v>Курсовые разницы</v>
      </c>
      <c r="C156" s="171"/>
      <c r="D156" s="149"/>
      <c r="E156" s="149"/>
      <c r="F156" s="149"/>
      <c r="G156" s="149"/>
      <c r="H156" s="149"/>
      <c r="I156" s="211">
        <f t="shared" si="52"/>
        <v>0</v>
      </c>
      <c r="J156" s="122"/>
      <c r="K156" s="114"/>
      <c r="L156" s="114"/>
      <c r="M156" s="114"/>
      <c r="N156" s="114"/>
      <c r="O156" s="114"/>
      <c r="P156" s="211">
        <f t="shared" ref="P156:P171" si="57">SUM(J156:K156)</f>
        <v>0</v>
      </c>
      <c r="Q156" s="132">
        <f t="shared" si="50"/>
        <v>0</v>
      </c>
      <c r="R156" s="133">
        <f t="shared" si="51"/>
        <v>0</v>
      </c>
      <c r="S156" s="121" t="str">
        <f t="shared" ref="S156:S172" si="58">IF(Q156=0,"",IF(R156=0,"обратить внимание",IF(R156&gt;1,"перерасход","экономия")))</f>
        <v/>
      </c>
    </row>
    <row r="157">
      <c r="A157" s="142" t="str">
        <f>IFERROR(VLOOKUP(B157,'Статьи'!$A$2:C179,3,0)," ")</f>
        <v>1С</v>
      </c>
      <c r="B157" s="125" t="str">
        <f>IFERROR(__xludf.DUMMYFUNCTION("""COMPUTED_VALUE"""),"Налог  на прибыль УСН 6%")</f>
        <v>Налог  на прибыль УСН 6%</v>
      </c>
      <c r="C157" s="171"/>
      <c r="D157" s="149"/>
      <c r="E157" s="149"/>
      <c r="F157" s="149"/>
      <c r="G157" s="149"/>
      <c r="H157" s="149"/>
      <c r="I157" s="211">
        <f t="shared" si="52"/>
        <v>0</v>
      </c>
      <c r="J157" s="122"/>
      <c r="K157" s="114"/>
      <c r="L157" s="114"/>
      <c r="M157" s="114"/>
      <c r="N157" s="114"/>
      <c r="O157" s="114"/>
      <c r="P157" s="211">
        <f t="shared" si="57"/>
        <v>0</v>
      </c>
      <c r="Q157" s="132">
        <f t="shared" si="50"/>
        <v>0</v>
      </c>
      <c r="R157" s="133">
        <f t="shared" si="51"/>
        <v>0</v>
      </c>
      <c r="S157" s="121" t="str">
        <f t="shared" si="58"/>
        <v/>
      </c>
    </row>
    <row r="158">
      <c r="A158" s="142" t="str">
        <f>IFERROR(VLOOKUP(B158,'Статьи'!$A$2:C180,3,0)," ")</f>
        <v>1С</v>
      </c>
      <c r="B158" s="125" t="str">
        <f>IFERROR(__xludf.DUMMYFUNCTION("""COMPUTED_VALUE"""),"Налог на прибыль 20%")</f>
        <v>Налог на прибыль 20%</v>
      </c>
      <c r="C158" s="171"/>
      <c r="D158" s="149"/>
      <c r="E158" s="149"/>
      <c r="F158" s="149"/>
      <c r="G158" s="149"/>
      <c r="H158" s="149"/>
      <c r="I158" s="211">
        <f t="shared" si="52"/>
        <v>0</v>
      </c>
      <c r="J158" s="122"/>
      <c r="K158" s="114"/>
      <c r="L158" s="114"/>
      <c r="M158" s="114"/>
      <c r="N158" s="114"/>
      <c r="O158" s="114"/>
      <c r="P158" s="211">
        <f t="shared" si="57"/>
        <v>0</v>
      </c>
      <c r="Q158" s="132">
        <f t="shared" si="50"/>
        <v>0</v>
      </c>
      <c r="R158" s="133">
        <f t="shared" si="51"/>
        <v>0</v>
      </c>
      <c r="S158" s="121" t="str">
        <f t="shared" si="58"/>
        <v/>
      </c>
    </row>
    <row r="159">
      <c r="A159" s="142" t="str">
        <f>IFERROR(VLOOKUP(B159,'Статьи'!$A$2:C181,3,0)," ")</f>
        <v>отчет Учет ОС</v>
      </c>
      <c r="B159" s="125" t="str">
        <f>IFERROR(__xludf.DUMMYFUNCTION("""COMPUTED_VALUE"""),"Амортизация ОС")</f>
        <v>Амортизация ОС</v>
      </c>
      <c r="C159" s="215"/>
      <c r="D159" s="149"/>
      <c r="E159" s="149"/>
      <c r="F159" s="149"/>
      <c r="G159" s="149"/>
      <c r="H159" s="149"/>
      <c r="I159" s="211">
        <f t="shared" si="52"/>
        <v>0</v>
      </c>
      <c r="J159" s="122"/>
      <c r="K159" s="114"/>
      <c r="L159" s="114"/>
      <c r="M159" s="114"/>
      <c r="N159" s="114"/>
      <c r="O159" s="114"/>
      <c r="P159" s="211">
        <f t="shared" si="57"/>
        <v>0</v>
      </c>
      <c r="Q159" s="132">
        <f t="shared" si="50"/>
        <v>0</v>
      </c>
      <c r="R159" s="133">
        <f t="shared" si="51"/>
        <v>0</v>
      </c>
      <c r="S159" s="121" t="str">
        <f t="shared" si="58"/>
        <v/>
      </c>
    </row>
    <row r="160">
      <c r="A160" s="142" t="str">
        <f>IFERROR(VLOOKUP(B160,'Статьи'!$A$2:C182,3,0)," ")</f>
        <v>ДДС отчетного месяца. Без НДС!</v>
      </c>
      <c r="B160" s="125" t="str">
        <f>IFERROR(__xludf.DUMMYFUNCTION("""COMPUTED_VALUE"""),"Прочие расходы")</f>
        <v>Прочие расходы</v>
      </c>
      <c r="C160" s="171"/>
      <c r="D160" s="149"/>
      <c r="E160" s="149"/>
      <c r="F160" s="149"/>
      <c r="G160" s="149"/>
      <c r="H160" s="149"/>
      <c r="I160" s="211">
        <f t="shared" si="52"/>
        <v>0</v>
      </c>
      <c r="J160" s="122"/>
      <c r="K160" s="114"/>
      <c r="L160" s="114"/>
      <c r="M160" s="114"/>
      <c r="N160" s="114"/>
      <c r="O160" s="114"/>
      <c r="P160" s="211">
        <f t="shared" si="57"/>
        <v>0</v>
      </c>
      <c r="Q160" s="132">
        <f t="shared" si="50"/>
        <v>0</v>
      </c>
      <c r="R160" s="133">
        <f t="shared" si="51"/>
        <v>0</v>
      </c>
      <c r="S160" s="121" t="str">
        <f t="shared" si="58"/>
        <v/>
      </c>
    </row>
    <row r="161">
      <c r="A161" s="142" t="str">
        <f>IFERROR(VLOOKUP(B161,'Статьи'!$A$2:C183,3,0)," ")</f>
        <v>ДДС отчетного месяца. Без НДС!</v>
      </c>
      <c r="B161" s="111" t="str">
        <f>IFERROR(__xludf.DUMMYFUNCTION("""COMPUTED_VALUE"""),"Ремонт ОС")</f>
        <v>Ремонт ОС</v>
      </c>
      <c r="C161" s="171"/>
      <c r="D161" s="149"/>
      <c r="E161" s="149"/>
      <c r="F161" s="149"/>
      <c r="G161" s="149"/>
      <c r="H161" s="149"/>
      <c r="I161" s="211">
        <f t="shared" si="52"/>
        <v>0</v>
      </c>
      <c r="J161" s="122"/>
      <c r="K161" s="114"/>
      <c r="L161" s="114"/>
      <c r="M161" s="114"/>
      <c r="N161" s="114"/>
      <c r="O161" s="114"/>
      <c r="P161" s="211">
        <f t="shared" si="57"/>
        <v>0</v>
      </c>
      <c r="Q161" s="132">
        <f t="shared" si="50"/>
        <v>0</v>
      </c>
      <c r="R161" s="133">
        <f t="shared" si="51"/>
        <v>0</v>
      </c>
      <c r="S161" s="121" t="str">
        <f t="shared" si="58"/>
        <v/>
      </c>
    </row>
    <row r="162">
      <c r="A162" s="142" t="str">
        <f>IFERROR(VLOOKUP(B162,'Статьи'!$A$2:C184,3,0)," ")</f>
        <v>отчет Учет ФД</v>
      </c>
      <c r="B162" s="111" t="str">
        <f>IFERROR(__xludf.DUMMYFUNCTION("""COMPUTED_VALUE"""),"Оплаты %  кредиты")</f>
        <v>Оплаты %  кредиты</v>
      </c>
      <c r="C162" s="171"/>
      <c r="D162" s="149"/>
      <c r="E162" s="149"/>
      <c r="F162" s="149"/>
      <c r="G162" s="149"/>
      <c r="H162" s="149"/>
      <c r="I162" s="211">
        <f t="shared" si="52"/>
        <v>0</v>
      </c>
      <c r="J162" s="122"/>
      <c r="K162" s="114"/>
      <c r="L162" s="114"/>
      <c r="M162" s="114"/>
      <c r="N162" s="114"/>
      <c r="O162" s="114"/>
      <c r="P162" s="211">
        <f t="shared" si="57"/>
        <v>0</v>
      </c>
      <c r="Q162" s="132">
        <f t="shared" si="50"/>
        <v>0</v>
      </c>
      <c r="R162" s="133">
        <f t="shared" si="51"/>
        <v>0</v>
      </c>
      <c r="S162" s="121" t="str">
        <f t="shared" si="58"/>
        <v/>
      </c>
    </row>
    <row r="163" collapsed="1">
      <c r="A163" s="110" t="str">
        <f>IFERROR(VLOOKUP(B163,'Статьи'!$A$2:C185,3,0)," ")</f>
        <v> </v>
      </c>
      <c r="B163" s="111"/>
      <c r="C163" s="171"/>
      <c r="D163" s="149"/>
      <c r="E163" s="149"/>
      <c r="F163" s="149"/>
      <c r="G163" s="149"/>
      <c r="H163" s="149"/>
      <c r="I163" s="211">
        <f t="shared" si="52"/>
        <v>0</v>
      </c>
      <c r="J163" s="122"/>
      <c r="K163" s="114"/>
      <c r="L163" s="114"/>
      <c r="M163" s="114"/>
      <c r="N163" s="114"/>
      <c r="O163" s="114"/>
      <c r="P163" s="211">
        <f t="shared" si="57"/>
        <v>0</v>
      </c>
      <c r="Q163" s="132">
        <f t="shared" si="50"/>
        <v>0</v>
      </c>
      <c r="R163" s="133">
        <f t="shared" si="51"/>
        <v>0</v>
      </c>
      <c r="S163" s="121" t="str">
        <f t="shared" si="58"/>
        <v/>
      </c>
    </row>
    <row r="164" hidden="1" outlineLevel="1">
      <c r="A164" s="110" t="str">
        <f>IFERROR(VLOOKUP(B164,'Статьи'!$A$2:C186,3,0)," ")</f>
        <v> </v>
      </c>
      <c r="B164" s="111"/>
      <c r="C164" s="170"/>
      <c r="I164" s="211">
        <f t="shared" si="52"/>
        <v>0</v>
      </c>
      <c r="J164" s="122"/>
      <c r="K164" s="114"/>
      <c r="L164" s="114"/>
      <c r="M164" s="114"/>
      <c r="N164" s="114"/>
      <c r="O164" s="114"/>
      <c r="P164" s="211">
        <f t="shared" si="57"/>
        <v>0</v>
      </c>
      <c r="Q164" s="132">
        <f t="shared" si="50"/>
        <v>0</v>
      </c>
      <c r="R164" s="133">
        <f t="shared" si="51"/>
        <v>0</v>
      </c>
      <c r="S164" s="121" t="str">
        <f t="shared" si="58"/>
        <v/>
      </c>
    </row>
    <row r="165" hidden="1" outlineLevel="1">
      <c r="A165" s="110" t="str">
        <f>IFERROR(VLOOKUP(B165,'Статьи'!$A$2:C187,3,0)," ")</f>
        <v> </v>
      </c>
      <c r="B165" s="111"/>
      <c r="C165" s="170"/>
      <c r="I165" s="211">
        <f t="shared" si="52"/>
        <v>0</v>
      </c>
      <c r="J165" s="122"/>
      <c r="K165" s="114"/>
      <c r="L165" s="114"/>
      <c r="M165" s="114"/>
      <c r="N165" s="114"/>
      <c r="O165" s="114"/>
      <c r="P165" s="211">
        <f t="shared" si="57"/>
        <v>0</v>
      </c>
      <c r="Q165" s="132">
        <f t="shared" si="50"/>
        <v>0</v>
      </c>
      <c r="R165" s="133">
        <f t="shared" si="51"/>
        <v>0</v>
      </c>
      <c r="S165" s="121" t="str">
        <f t="shared" si="58"/>
        <v/>
      </c>
    </row>
    <row r="166" hidden="1" outlineLevel="1">
      <c r="A166" s="110" t="str">
        <f>IFERROR(VLOOKUP(B166,'Статьи'!$A$2:C188,3,0)," ")</f>
        <v> </v>
      </c>
      <c r="B166" s="111"/>
      <c r="C166" s="170"/>
      <c r="I166" s="211">
        <f t="shared" si="52"/>
        <v>0</v>
      </c>
      <c r="J166" s="122"/>
      <c r="K166" s="114"/>
      <c r="L166" s="114"/>
      <c r="M166" s="114"/>
      <c r="N166" s="114"/>
      <c r="O166" s="114"/>
      <c r="P166" s="211">
        <f t="shared" si="57"/>
        <v>0</v>
      </c>
      <c r="Q166" s="132">
        <f t="shared" si="50"/>
        <v>0</v>
      </c>
      <c r="R166" s="133">
        <f t="shared" si="51"/>
        <v>0</v>
      </c>
      <c r="S166" s="121" t="str">
        <f t="shared" si="58"/>
        <v/>
      </c>
    </row>
    <row r="167" hidden="1" outlineLevel="1">
      <c r="A167" s="110" t="str">
        <f>IFERROR(VLOOKUP(B167,'Статьи'!$A$2:C189,3,0)," ")</f>
        <v> </v>
      </c>
      <c r="B167" s="111"/>
      <c r="C167" s="170"/>
      <c r="I167" s="211">
        <f t="shared" si="52"/>
        <v>0</v>
      </c>
      <c r="J167" s="122"/>
      <c r="K167" s="114"/>
      <c r="L167" s="114"/>
      <c r="M167" s="114"/>
      <c r="N167" s="114"/>
      <c r="O167" s="114"/>
      <c r="P167" s="211">
        <f t="shared" si="57"/>
        <v>0</v>
      </c>
      <c r="Q167" s="132">
        <f t="shared" si="50"/>
        <v>0</v>
      </c>
      <c r="R167" s="133">
        <f t="shared" si="51"/>
        <v>0</v>
      </c>
      <c r="S167" s="121" t="str">
        <f t="shared" si="58"/>
        <v/>
      </c>
    </row>
    <row r="168" hidden="1" outlineLevel="1">
      <c r="A168" s="110" t="str">
        <f>IFERROR(VLOOKUP(B168,'Статьи'!$A$2:C190,3,0)," ")</f>
        <v> </v>
      </c>
      <c r="B168" s="111"/>
      <c r="C168" s="170"/>
      <c r="I168" s="211">
        <f t="shared" si="52"/>
        <v>0</v>
      </c>
      <c r="J168" s="122"/>
      <c r="K168" s="114"/>
      <c r="L168" s="114"/>
      <c r="M168" s="114"/>
      <c r="N168" s="114"/>
      <c r="O168" s="114"/>
      <c r="P168" s="211">
        <f t="shared" si="57"/>
        <v>0</v>
      </c>
      <c r="Q168" s="132">
        <f t="shared" si="50"/>
        <v>0</v>
      </c>
      <c r="R168" s="133">
        <f t="shared" si="51"/>
        <v>0</v>
      </c>
      <c r="S168" s="121" t="str">
        <f t="shared" si="58"/>
        <v/>
      </c>
    </row>
    <row r="169" hidden="1" outlineLevel="1">
      <c r="A169" s="110" t="str">
        <f>IFERROR(VLOOKUP(B169,'Статьи'!$A$2:C191,3,0)," ")</f>
        <v> </v>
      </c>
      <c r="B169" s="111"/>
      <c r="C169" s="170"/>
      <c r="I169" s="211">
        <f t="shared" si="52"/>
        <v>0</v>
      </c>
      <c r="J169" s="122"/>
      <c r="K169" s="114"/>
      <c r="L169" s="114"/>
      <c r="M169" s="114"/>
      <c r="N169" s="114"/>
      <c r="O169" s="114"/>
      <c r="P169" s="211">
        <f t="shared" si="57"/>
        <v>0</v>
      </c>
      <c r="Q169" s="132">
        <f t="shared" si="50"/>
        <v>0</v>
      </c>
      <c r="R169" s="133">
        <f t="shared" si="51"/>
        <v>0</v>
      </c>
      <c r="S169" s="121" t="str">
        <f t="shared" si="58"/>
        <v/>
      </c>
    </row>
    <row r="170" hidden="1" outlineLevel="1">
      <c r="A170" s="110" t="str">
        <f>IFERROR(VLOOKUP(B170,'Статьи'!$A$2:C192,3,0)," ")</f>
        <v> </v>
      </c>
      <c r="B170" s="111"/>
      <c r="C170" s="170"/>
      <c r="I170" s="211">
        <f t="shared" si="52"/>
        <v>0</v>
      </c>
      <c r="J170" s="122"/>
      <c r="K170" s="114"/>
      <c r="L170" s="114"/>
      <c r="M170" s="114"/>
      <c r="N170" s="114"/>
      <c r="O170" s="114"/>
      <c r="P170" s="211">
        <f t="shared" si="57"/>
        <v>0</v>
      </c>
      <c r="Q170" s="132">
        <f t="shared" si="50"/>
        <v>0</v>
      </c>
      <c r="R170" s="133">
        <f t="shared" si="51"/>
        <v>0</v>
      </c>
      <c r="S170" s="121" t="str">
        <f t="shared" si="58"/>
        <v/>
      </c>
    </row>
    <row r="171" hidden="1" outlineLevel="1">
      <c r="A171" s="110" t="str">
        <f>IFERROR(VLOOKUP(B171,'Статьи'!$A$2:C193,3,0)," ")</f>
        <v> </v>
      </c>
      <c r="B171" s="111"/>
      <c r="C171" s="170"/>
      <c r="I171" s="211">
        <f t="shared" si="52"/>
        <v>0</v>
      </c>
      <c r="J171" s="122"/>
      <c r="K171" s="114"/>
      <c r="L171" s="114"/>
      <c r="M171" s="114"/>
      <c r="N171" s="114"/>
      <c r="O171" s="114"/>
      <c r="P171" s="211">
        <f t="shared" si="57"/>
        <v>0</v>
      </c>
      <c r="Q171" s="132">
        <f t="shared" si="50"/>
        <v>0</v>
      </c>
      <c r="R171" s="133">
        <f t="shared" si="51"/>
        <v>0</v>
      </c>
      <c r="S171" s="121" t="str">
        <f t="shared" si="58"/>
        <v/>
      </c>
    </row>
    <row r="172">
      <c r="A172" s="110" t="str">
        <f>IFERROR(VLOOKUP(B172,'Статьи'!$A$2:C194,3,0)," ")</f>
        <v> </v>
      </c>
      <c r="B172" s="111"/>
      <c r="C172" s="170"/>
      <c r="D172" s="149"/>
      <c r="E172" s="149"/>
      <c r="F172" s="149"/>
      <c r="G172" s="149"/>
      <c r="H172" s="149"/>
      <c r="I172" s="211">
        <f t="shared" si="52"/>
        <v>0</v>
      </c>
      <c r="J172" s="122"/>
      <c r="K172" s="114"/>
      <c r="L172" s="114"/>
      <c r="M172" s="114"/>
      <c r="N172" s="114"/>
      <c r="O172" s="114"/>
      <c r="P172" s="211">
        <f>sum(F172:J172)</f>
        <v>0</v>
      </c>
      <c r="Q172" s="132">
        <f t="shared" si="50"/>
        <v>0</v>
      </c>
      <c r="R172" s="133">
        <f t="shared" si="51"/>
        <v>0</v>
      </c>
      <c r="S172" s="121" t="str">
        <f t="shared" si="58"/>
        <v/>
      </c>
    </row>
    <row r="173">
      <c r="A173" s="152"/>
      <c r="B173" s="153" t="s">
        <v>144</v>
      </c>
      <c r="C173" s="154">
        <f t="shared" ref="C173:K173" si="59">C142+C155+C145</f>
        <v>6</v>
      </c>
      <c r="D173" s="155">
        <f t="shared" si="59"/>
        <v>0</v>
      </c>
      <c r="E173" s="155">
        <f t="shared" si="59"/>
        <v>0</v>
      </c>
      <c r="F173" s="155">
        <f t="shared" si="59"/>
        <v>0</v>
      </c>
      <c r="G173" s="155">
        <f t="shared" si="59"/>
        <v>0</v>
      </c>
      <c r="H173" s="155">
        <f t="shared" si="59"/>
        <v>0</v>
      </c>
      <c r="I173" s="157">
        <f t="shared" si="59"/>
        <v>6</v>
      </c>
      <c r="J173" s="154">
        <f t="shared" si="59"/>
        <v>0</v>
      </c>
      <c r="K173" s="155">
        <f t="shared" si="59"/>
        <v>0</v>
      </c>
      <c r="L173" s="155"/>
      <c r="M173" s="155"/>
      <c r="N173" s="155"/>
      <c r="O173" s="155"/>
      <c r="P173" s="157">
        <f>P142+P155+P145</f>
        <v>0</v>
      </c>
      <c r="Q173" s="155">
        <f t="shared" si="50"/>
        <v>6</v>
      </c>
      <c r="R173" s="158">
        <f t="shared" si="51"/>
        <v>0</v>
      </c>
      <c r="S173" s="159" t="str">
        <f>IF(Q173=0,"",IF(R173&gt;1,"выполнение","план не выполнен"))</f>
        <v>план не выполнен</v>
      </c>
    </row>
    <row r="174">
      <c r="A174" s="160"/>
      <c r="B174" s="161" t="s">
        <v>145</v>
      </c>
      <c r="C174" s="216">
        <f t="shared" ref="C174:K174" si="60">IFERROR(C173/C$3,0)</f>
        <v>1</v>
      </c>
      <c r="D174" s="217">
        <f t="shared" si="60"/>
        <v>0</v>
      </c>
      <c r="E174" s="217">
        <f t="shared" si="60"/>
        <v>0</v>
      </c>
      <c r="F174" s="217">
        <f t="shared" si="60"/>
        <v>0</v>
      </c>
      <c r="G174" s="217">
        <f t="shared" si="60"/>
        <v>0</v>
      </c>
      <c r="H174" s="217">
        <f t="shared" si="60"/>
        <v>0</v>
      </c>
      <c r="I174" s="218">
        <f t="shared" si="60"/>
        <v>1</v>
      </c>
      <c r="J174" s="216">
        <f t="shared" si="60"/>
        <v>0</v>
      </c>
      <c r="K174" s="217">
        <f t="shared" si="60"/>
        <v>0</v>
      </c>
      <c r="L174" s="217"/>
      <c r="M174" s="217"/>
      <c r="N174" s="217"/>
      <c r="O174" s="217"/>
      <c r="P174" s="218">
        <f>IFERROR(P173/P$3,0)</f>
        <v>0</v>
      </c>
      <c r="Q174" s="219"/>
      <c r="R174" s="219"/>
      <c r="S174" s="219"/>
    </row>
    <row r="175">
      <c r="A175" s="110"/>
      <c r="B175" s="111"/>
      <c r="C175" s="115"/>
      <c r="D175" s="115"/>
      <c r="E175" s="115"/>
      <c r="F175" s="115"/>
      <c r="G175" s="115"/>
      <c r="H175" s="115"/>
      <c r="I175" s="118"/>
      <c r="J175" s="118"/>
      <c r="K175" s="118"/>
      <c r="L175" s="118"/>
      <c r="M175" s="118"/>
      <c r="N175" s="118"/>
      <c r="O175" s="118"/>
      <c r="P175" s="118"/>
      <c r="Q175" s="118"/>
      <c r="R175" s="220"/>
      <c r="S175" s="220"/>
    </row>
    <row r="176">
      <c r="A176" s="142"/>
      <c r="B176" s="125"/>
      <c r="C176" s="115"/>
      <c r="D176" s="115"/>
      <c r="E176" s="115"/>
      <c r="F176" s="114"/>
      <c r="G176" s="115"/>
      <c r="H176" s="115"/>
      <c r="I176" s="118"/>
      <c r="J176" s="118"/>
      <c r="K176" s="118"/>
      <c r="L176" s="118"/>
      <c r="M176" s="118"/>
      <c r="N176" s="118"/>
      <c r="O176" s="118"/>
      <c r="P176" s="118"/>
      <c r="Q176" s="118"/>
      <c r="R176" s="220"/>
      <c r="S176" s="220"/>
    </row>
    <row r="177">
      <c r="A177" s="110"/>
      <c r="B177" s="111"/>
      <c r="C177" s="115"/>
      <c r="D177" s="115"/>
      <c r="E177" s="115"/>
      <c r="F177" s="115"/>
      <c r="G177" s="115"/>
      <c r="H177" s="115"/>
      <c r="I177" s="118"/>
      <c r="J177" s="118"/>
      <c r="K177" s="118"/>
      <c r="L177" s="118"/>
      <c r="M177" s="118"/>
      <c r="N177" s="118"/>
      <c r="O177" s="118"/>
      <c r="P177" s="118"/>
      <c r="Q177" s="118"/>
      <c r="R177" s="220"/>
      <c r="S177" s="220"/>
    </row>
  </sheetData>
  <mergeCells count="11">
    <mergeCell ref="C168:H168"/>
    <mergeCell ref="C169:H169"/>
    <mergeCell ref="C170:H170"/>
    <mergeCell ref="C171:H171"/>
    <mergeCell ref="C1:I1"/>
    <mergeCell ref="J1:P1"/>
    <mergeCell ref="Q1:R1"/>
    <mergeCell ref="C164:H164"/>
    <mergeCell ref="C165:H165"/>
    <mergeCell ref="C166:H166"/>
    <mergeCell ref="C167:H167"/>
  </mergeCells>
  <conditionalFormatting sqref="C13:H54">
    <cfRule type="expression" dxfId="4" priority="1">
      <formula>C$2=""</formula>
    </cfRule>
  </conditionalFormatting>
  <conditionalFormatting sqref="C13:H54">
    <cfRule type="expression" dxfId="2" priority="2">
      <formula>OR(#REF!=C$2,#REF!=C$2,#REF!=C$2,#REF!=C$2,#REF!=C$2,#REF!=C$2,#REF!=C$2,#REF!=C$2,#REF!=C$2)</formula>
    </cfRule>
  </conditionalFormatting>
  <conditionalFormatting sqref="C59:H84 C91:C93">
    <cfRule type="expression" dxfId="4" priority="3">
      <formula>C$2=""</formula>
    </cfRule>
  </conditionalFormatting>
  <conditionalFormatting sqref="C59:H84 C91:C93">
    <cfRule type="expression" dxfId="2" priority="4">
      <formula>OR(#REF!=C$2,#REF!=C$2,#REF!=C$2,#REF!=C$2,#REF!=C$2,#REF!=C$2,#REF!=C$2,#REF!=C$2,#REF!=C$2)</formula>
    </cfRule>
  </conditionalFormatting>
  <conditionalFormatting sqref="A1:A2">
    <cfRule type="notContainsBlanks" dxfId="2" priority="5">
      <formula>LEN(TRIM(A1))&gt;0</formula>
    </cfRule>
  </conditionalFormatting>
  <conditionalFormatting sqref="S1:S177">
    <cfRule type="containsText" dxfId="2" priority="6" operator="containsText" text="выполнение">
      <formula>NOT(ISERROR(SEARCH(("выполнение"),(S1))))</formula>
    </cfRule>
  </conditionalFormatting>
  <conditionalFormatting sqref="S1:S177">
    <cfRule type="containsText" dxfId="3" priority="7" operator="containsText" text="план не выполнен">
      <formula>NOT(ISERROR(SEARCH(("план не выполнен"),(S1))))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7.13"/>
    <col customWidth="1" min="2" max="2" width="38.25"/>
    <col customWidth="1" min="3" max="3" width="10.63"/>
    <col collapsed="1" customWidth="1" min="4" max="4" width="10.63"/>
    <col customWidth="1" hidden="1" min="5" max="8" width="10.63" outlineLevel="1"/>
    <col customWidth="1" min="9" max="10" width="10.63"/>
    <col collapsed="1" customWidth="1" min="11" max="11" width="10.63"/>
    <col customWidth="1" hidden="1" min="12" max="15" width="10.63" outlineLevel="1"/>
    <col customWidth="1" min="16" max="16" width="10.63"/>
    <col customWidth="1" min="17" max="18" width="11.38"/>
    <col customWidth="1" min="19" max="19" width="16.88"/>
  </cols>
  <sheetData>
    <row r="1">
      <c r="A1" s="88"/>
      <c r="B1" s="89"/>
      <c r="C1" s="90" t="s">
        <v>127</v>
      </c>
      <c r="D1" s="91"/>
      <c r="E1" s="91"/>
      <c r="F1" s="91"/>
      <c r="G1" s="91"/>
      <c r="H1" s="91"/>
      <c r="I1" s="92"/>
      <c r="J1" s="93" t="s">
        <v>128</v>
      </c>
      <c r="K1" s="91"/>
      <c r="L1" s="91"/>
      <c r="M1" s="91"/>
      <c r="N1" s="91"/>
      <c r="O1" s="91"/>
      <c r="P1" s="92"/>
      <c r="Q1" s="94" t="s">
        <v>129</v>
      </c>
      <c r="S1" s="94"/>
    </row>
    <row r="2">
      <c r="A2" s="88" t="s">
        <v>130</v>
      </c>
      <c r="B2" s="89"/>
      <c r="C2" s="95" t="str">
        <f t="array" ref="C2:H2">TRANSPOSE('Справочник'!D2:D7)</f>
        <v>ООО "Весело живем"</v>
      </c>
      <c r="D2" s="96" t="s">
        <v>84</v>
      </c>
      <c r="E2" s="97">
        <v>3.0</v>
      </c>
      <c r="F2" s="97">
        <v>4.0</v>
      </c>
      <c r="G2" s="97">
        <v>5.0</v>
      </c>
      <c r="H2" s="97">
        <v>6.0</v>
      </c>
      <c r="I2" s="98" t="s">
        <v>131</v>
      </c>
      <c r="J2" s="95" t="str">
        <f t="array" ref="J2:O2">TRANSPOSE('Справочник'!D2:D7)</f>
        <v>ООО "Весело живем"</v>
      </c>
      <c r="K2" s="96" t="s">
        <v>84</v>
      </c>
      <c r="L2" s="97">
        <v>3.0</v>
      </c>
      <c r="M2" s="97">
        <v>4.0</v>
      </c>
      <c r="N2" s="97">
        <v>5.0</v>
      </c>
      <c r="O2" s="97">
        <v>6.0</v>
      </c>
      <c r="P2" s="98" t="s">
        <v>131</v>
      </c>
      <c r="Q2" s="99" t="s">
        <v>154</v>
      </c>
      <c r="R2" s="100" t="s">
        <v>133</v>
      </c>
      <c r="S2" s="101" t="s">
        <v>134</v>
      </c>
    </row>
    <row r="3">
      <c r="A3" s="102"/>
      <c r="B3" s="103" t="s">
        <v>86</v>
      </c>
      <c r="C3" s="104">
        <f t="shared" ref="C3:H3" si="1">SUM(C4:C10)</f>
        <v>7</v>
      </c>
      <c r="D3" s="105">
        <f t="shared" si="1"/>
        <v>0</v>
      </c>
      <c r="E3" s="105">
        <f t="shared" si="1"/>
        <v>0</v>
      </c>
      <c r="F3" s="105">
        <f t="shared" si="1"/>
        <v>0</v>
      </c>
      <c r="G3" s="105">
        <f t="shared" si="1"/>
        <v>0</v>
      </c>
      <c r="H3" s="105">
        <f t="shared" si="1"/>
        <v>0</v>
      </c>
      <c r="I3" s="106">
        <f>sum(C3:H3)</f>
        <v>7</v>
      </c>
      <c r="J3" s="104">
        <f t="shared" ref="J3:K3" si="2">SUM(J4:J10)</f>
        <v>0</v>
      </c>
      <c r="K3" s="105">
        <f t="shared" si="2"/>
        <v>0</v>
      </c>
      <c r="L3" s="105"/>
      <c r="M3" s="105"/>
      <c r="N3" s="105"/>
      <c r="O3" s="105"/>
      <c r="P3" s="107">
        <f>SUM(P4:P10)</f>
        <v>0</v>
      </c>
      <c r="Q3" s="105">
        <f t="shared" ref="Q3:Q55" si="3">I3-P3</f>
        <v>7</v>
      </c>
      <c r="R3" s="108">
        <f t="shared" ref="R3:R55" si="4">IFERROR(I3/P3,0)</f>
        <v>0</v>
      </c>
      <c r="S3" s="109" t="str">
        <f>IF(Q3=0,"",IF(R3&gt;1,"выполнение","план не выполнен"))</f>
        <v>план не выполнен</v>
      </c>
    </row>
    <row r="4">
      <c r="A4" s="110" t="str">
        <f>IFERROR(VLOOKUP(B4,'Статьи'!$A$2:C26,3,0)," ")</f>
        <v>1С сч 90.01 убрать НДС!</v>
      </c>
      <c r="B4" s="111" t="str">
        <f>IFERROR(__xludf.DUMMYFUNCTION("iferror(filter('Статьи'!$A$1:$A177,'Статьи'!$B$1:$B177=$B$3))"),"Выручка от аренды машиноместа")</f>
        <v>Выручка от аренды машиноместа</v>
      </c>
      <c r="C4" s="112">
        <v>7.0</v>
      </c>
      <c r="D4" s="113"/>
      <c r="E4" s="114"/>
      <c r="F4" s="115"/>
      <c r="G4" s="115"/>
      <c r="H4" s="115"/>
      <c r="I4" s="116">
        <f t="shared" ref="I4:I8" si="5">SUM(C4:H4)</f>
        <v>7</v>
      </c>
      <c r="J4" s="117"/>
      <c r="K4" s="118"/>
      <c r="L4" s="118"/>
      <c r="M4" s="118"/>
      <c r="N4" s="118"/>
      <c r="O4" s="118"/>
      <c r="P4" s="116">
        <f t="shared" ref="P4:P5" si="6">SUM(J4:K4)</f>
        <v>0</v>
      </c>
      <c r="Q4" s="119">
        <f t="shared" si="3"/>
        <v>7</v>
      </c>
      <c r="R4" s="120">
        <f t="shared" si="4"/>
        <v>0</v>
      </c>
      <c r="S4" s="121" t="str">
        <f t="shared" ref="S4:S10" si="7">IF(Q4=0,"",IF(R4=0,"обратить внимание",IF(R4&gt;1,"выполнение","план не выполнен")))</f>
        <v>обратить внимание</v>
      </c>
    </row>
    <row r="5" collapsed="1">
      <c r="A5" s="110" t="str">
        <f>IFERROR(VLOOKUP(B5,'Статьи'!$A$2:C27,3,0)," ")</f>
        <v>1С сч 90.01 убрать НДС!</v>
      </c>
      <c r="B5" s="111" t="str">
        <f>IFERROR(__xludf.DUMMYFUNCTION("""COMPUTED_VALUE"""),"Выручка за грузоперевозки")</f>
        <v>Выручка за грузоперевозки</v>
      </c>
      <c r="C5" s="112"/>
      <c r="D5" s="113"/>
      <c r="E5" s="114"/>
      <c r="F5" s="115"/>
      <c r="G5" s="115"/>
      <c r="H5" s="115"/>
      <c r="I5" s="116">
        <f t="shared" si="5"/>
        <v>0</v>
      </c>
      <c r="J5" s="117"/>
      <c r="K5" s="118"/>
      <c r="L5" s="118"/>
      <c r="M5" s="118"/>
      <c r="N5" s="118"/>
      <c r="O5" s="118"/>
      <c r="P5" s="116">
        <f t="shared" si="6"/>
        <v>0</v>
      </c>
      <c r="Q5" s="119">
        <f t="shared" si="3"/>
        <v>0</v>
      </c>
      <c r="R5" s="120">
        <f t="shared" si="4"/>
        <v>0</v>
      </c>
      <c r="S5" s="121" t="str">
        <f t="shared" si="7"/>
        <v/>
      </c>
    </row>
    <row r="6" hidden="1" outlineLevel="1">
      <c r="A6" s="110" t="str">
        <f>IFERROR(VLOOKUP(B6,'Статьи'!$A$2:C28,3,0)," ")</f>
        <v> </v>
      </c>
      <c r="B6" s="111"/>
      <c r="C6" s="122"/>
      <c r="D6" s="115"/>
      <c r="E6" s="115"/>
      <c r="F6" s="114"/>
      <c r="G6" s="114"/>
      <c r="H6" s="114"/>
      <c r="I6" s="116">
        <f t="shared" si="5"/>
        <v>0</v>
      </c>
      <c r="J6" s="123"/>
      <c r="K6" s="118"/>
      <c r="L6" s="118"/>
      <c r="M6" s="118"/>
      <c r="N6" s="118"/>
      <c r="O6" s="118"/>
      <c r="P6" s="116">
        <f t="shared" ref="P6:P8" si="8">SUM(F6:J6)</f>
        <v>0</v>
      </c>
      <c r="Q6" s="119">
        <f t="shared" si="3"/>
        <v>0</v>
      </c>
      <c r="R6" s="120">
        <f t="shared" si="4"/>
        <v>0</v>
      </c>
      <c r="S6" s="121" t="str">
        <f t="shared" si="7"/>
        <v/>
      </c>
    </row>
    <row r="7" hidden="1" outlineLevel="1">
      <c r="A7" s="110" t="str">
        <f>IFERROR(VLOOKUP(B7,'Статьи'!$A$2:C29,3,0)," ")</f>
        <v> </v>
      </c>
      <c r="B7" s="111"/>
      <c r="C7" s="122"/>
      <c r="D7" s="115"/>
      <c r="E7" s="115"/>
      <c r="F7" s="115"/>
      <c r="G7" s="115"/>
      <c r="H7" s="115"/>
      <c r="I7" s="116">
        <f t="shared" si="5"/>
        <v>0</v>
      </c>
      <c r="J7" s="123"/>
      <c r="K7" s="118"/>
      <c r="L7" s="118"/>
      <c r="M7" s="118"/>
      <c r="N7" s="118"/>
      <c r="O7" s="118"/>
      <c r="P7" s="116">
        <f t="shared" si="8"/>
        <v>0</v>
      </c>
      <c r="Q7" s="119">
        <f t="shared" si="3"/>
        <v>0</v>
      </c>
      <c r="R7" s="120">
        <f t="shared" si="4"/>
        <v>0</v>
      </c>
      <c r="S7" s="121" t="str">
        <f t="shared" si="7"/>
        <v/>
      </c>
    </row>
    <row r="8" hidden="1" outlineLevel="1">
      <c r="A8" s="110" t="str">
        <f>IFERROR(VLOOKUP(B8,'Статьи'!$A$2:C30,3,0)," ")</f>
        <v> </v>
      </c>
      <c r="B8" s="111"/>
      <c r="C8" s="122"/>
      <c r="D8" s="115"/>
      <c r="E8" s="115"/>
      <c r="F8" s="115"/>
      <c r="G8" s="115"/>
      <c r="H8" s="115"/>
      <c r="I8" s="116">
        <f t="shared" si="5"/>
        <v>0</v>
      </c>
      <c r="J8" s="123"/>
      <c r="K8" s="118"/>
      <c r="L8" s="118"/>
      <c r="M8" s="118"/>
      <c r="N8" s="118"/>
      <c r="O8" s="118"/>
      <c r="P8" s="116">
        <f t="shared" si="8"/>
        <v>0</v>
      </c>
      <c r="Q8" s="119">
        <f t="shared" si="3"/>
        <v>0</v>
      </c>
      <c r="R8" s="120">
        <f t="shared" si="4"/>
        <v>0</v>
      </c>
      <c r="S8" s="121" t="str">
        <f t="shared" si="7"/>
        <v/>
      </c>
    </row>
    <row r="9" hidden="1" outlineLevel="1">
      <c r="A9" s="110" t="str">
        <f>IFERROR(VLOOKUP(B9,'Статьи'!$A$2:C31,3,0)," ")</f>
        <v> </v>
      </c>
      <c r="B9" s="111"/>
      <c r="C9" s="124"/>
      <c r="D9" s="115"/>
      <c r="E9" s="115"/>
      <c r="F9" s="115"/>
      <c r="G9" s="115"/>
      <c r="H9" s="115"/>
      <c r="I9" s="116"/>
      <c r="J9" s="123"/>
      <c r="K9" s="118"/>
      <c r="L9" s="118"/>
      <c r="M9" s="118"/>
      <c r="N9" s="118"/>
      <c r="O9" s="118"/>
      <c r="P9" s="116"/>
      <c r="Q9" s="119">
        <f t="shared" si="3"/>
        <v>0</v>
      </c>
      <c r="R9" s="120">
        <f t="shared" si="4"/>
        <v>0</v>
      </c>
      <c r="S9" s="121" t="str">
        <f t="shared" si="7"/>
        <v/>
      </c>
    </row>
    <row r="10">
      <c r="A10" s="110" t="str">
        <f>IFERROR(VLOOKUP(B10,'Статьи'!$A$2:C32,3,0)," ")</f>
        <v> </v>
      </c>
      <c r="B10" s="125"/>
      <c r="C10" s="122"/>
      <c r="D10" s="115"/>
      <c r="E10" s="115"/>
      <c r="F10" s="115"/>
      <c r="G10" s="115"/>
      <c r="H10" s="115"/>
      <c r="I10" s="116"/>
      <c r="J10" s="123"/>
      <c r="K10" s="118"/>
      <c r="L10" s="118"/>
      <c r="M10" s="118"/>
      <c r="N10" s="118"/>
      <c r="O10" s="118"/>
      <c r="P10" s="116"/>
      <c r="Q10" s="119">
        <f t="shared" si="3"/>
        <v>0</v>
      </c>
      <c r="R10" s="120">
        <f t="shared" si="4"/>
        <v>0</v>
      </c>
      <c r="S10" s="121" t="str">
        <f t="shared" si="7"/>
        <v/>
      </c>
    </row>
    <row r="11">
      <c r="A11" s="126"/>
      <c r="B11" s="127" t="s">
        <v>135</v>
      </c>
      <c r="C11" s="128">
        <f t="shared" ref="C11:K11" si="9">C12+C58</f>
        <v>0</v>
      </c>
      <c r="D11" s="129">
        <f t="shared" si="9"/>
        <v>0</v>
      </c>
      <c r="E11" s="129">
        <f t="shared" si="9"/>
        <v>0</v>
      </c>
      <c r="F11" s="129">
        <f t="shared" si="9"/>
        <v>0</v>
      </c>
      <c r="G11" s="129">
        <f t="shared" si="9"/>
        <v>0</v>
      </c>
      <c r="H11" s="129">
        <f t="shared" si="9"/>
        <v>0</v>
      </c>
      <c r="I11" s="130">
        <f t="shared" si="9"/>
        <v>0</v>
      </c>
      <c r="J11" s="128">
        <f t="shared" si="9"/>
        <v>0</v>
      </c>
      <c r="K11" s="129">
        <f t="shared" si="9"/>
        <v>0</v>
      </c>
      <c r="L11" s="129"/>
      <c r="M11" s="129"/>
      <c r="N11" s="129"/>
      <c r="O11" s="129"/>
      <c r="P11" s="131">
        <f>P12+P58</f>
        <v>0</v>
      </c>
      <c r="Q11" s="132">
        <f t="shared" si="3"/>
        <v>0</v>
      </c>
      <c r="R11" s="133">
        <f t="shared" si="4"/>
        <v>0</v>
      </c>
      <c r="S11" s="134" t="str">
        <f>IF(Q11=0,"",IF(R11&gt;1,"план не выполнен","выполнение"))</f>
        <v/>
      </c>
    </row>
    <row r="12">
      <c r="A12" s="135"/>
      <c r="B12" s="136" t="s">
        <v>99</v>
      </c>
      <c r="C12" s="137">
        <f t="shared" ref="C12:K12" si="10">sum(C13:C54)</f>
        <v>0</v>
      </c>
      <c r="D12" s="138">
        <f t="shared" si="10"/>
        <v>0</v>
      </c>
      <c r="E12" s="138">
        <f t="shared" si="10"/>
        <v>0</v>
      </c>
      <c r="F12" s="138">
        <f t="shared" si="10"/>
        <v>0</v>
      </c>
      <c r="G12" s="138">
        <f t="shared" si="10"/>
        <v>0</v>
      </c>
      <c r="H12" s="138">
        <f t="shared" si="10"/>
        <v>0</v>
      </c>
      <c r="I12" s="139">
        <f t="shared" si="10"/>
        <v>0</v>
      </c>
      <c r="J12" s="137">
        <f t="shared" si="10"/>
        <v>0</v>
      </c>
      <c r="K12" s="138">
        <f t="shared" si="10"/>
        <v>0</v>
      </c>
      <c r="L12" s="138"/>
      <c r="M12" s="138"/>
      <c r="N12" s="138"/>
      <c r="O12" s="138"/>
      <c r="P12" s="140">
        <f>sum(P13:P54)</f>
        <v>0</v>
      </c>
      <c r="Q12" s="119">
        <f t="shared" si="3"/>
        <v>0</v>
      </c>
      <c r="R12" s="120">
        <f t="shared" si="4"/>
        <v>0</v>
      </c>
      <c r="S12" s="121" t="str">
        <f t="shared" ref="S12:S17" si="11">IF(Q12=0,"",IF(R12=0,"обратить внимание",IF(R12&gt;1,"перерасход","экономия")))</f>
        <v/>
      </c>
    </row>
    <row r="13">
      <c r="A13" s="142" t="str">
        <f>IFERROR(VLOOKUP(B13,'Статьи'!$A$2:C35,3,0)," ")</f>
        <v>ДДС отчетного месяца. Без НДС!</v>
      </c>
      <c r="B13" s="125" t="str">
        <f>IFERROR(__xludf.DUMMYFUNCTION("iferror(filter('Статьи'!$A$1:$A177,'Статьи'!$B$1:$B177=$B$12))"),"Комиссия топливных компаний")</f>
        <v>Комиссия топливных компаний</v>
      </c>
      <c r="C13" s="112"/>
      <c r="D13" s="113"/>
      <c r="E13" s="114"/>
      <c r="F13" s="114"/>
      <c r="G13" s="114"/>
      <c r="H13" s="143"/>
      <c r="I13" s="116">
        <f t="shared" ref="I13:I54" si="12">sum(C13:H13)</f>
        <v>0</v>
      </c>
      <c r="J13" s="117"/>
      <c r="K13" s="118"/>
      <c r="L13" s="118"/>
      <c r="M13" s="118"/>
      <c r="N13" s="118"/>
      <c r="O13" s="118"/>
      <c r="P13" s="116">
        <f t="shared" ref="P13:P16" si="13">SUM(J13:K13)</f>
        <v>0</v>
      </c>
      <c r="Q13" s="119">
        <f t="shared" si="3"/>
        <v>0</v>
      </c>
      <c r="R13" s="120">
        <f t="shared" si="4"/>
        <v>0</v>
      </c>
      <c r="S13" s="121" t="str">
        <f t="shared" si="11"/>
        <v/>
      </c>
    </row>
    <row r="14">
      <c r="A14" s="142" t="str">
        <f>IFERROR(VLOOKUP(B14,'Статьи'!$A$2:C36,3,0)," ")</f>
        <v>1С</v>
      </c>
      <c r="B14" s="125" t="str">
        <f>IFERROR(__xludf.DUMMYFUNCTION("""COMPUTED_VALUE"""),"Топливо для грузовых авто ")</f>
        <v>Топливо для грузовых авто </v>
      </c>
      <c r="C14" s="145"/>
      <c r="D14" s="113"/>
      <c r="E14" s="114"/>
      <c r="F14" s="146"/>
      <c r="G14" s="146"/>
      <c r="H14" s="143"/>
      <c r="I14" s="116">
        <f t="shared" si="12"/>
        <v>0</v>
      </c>
      <c r="J14" s="117"/>
      <c r="K14" s="118"/>
      <c r="L14" s="118"/>
      <c r="M14" s="118"/>
      <c r="N14" s="118"/>
      <c r="O14" s="118"/>
      <c r="P14" s="116">
        <f t="shared" si="13"/>
        <v>0</v>
      </c>
      <c r="Q14" s="119">
        <f t="shared" si="3"/>
        <v>0</v>
      </c>
      <c r="R14" s="120">
        <f t="shared" si="4"/>
        <v>0</v>
      </c>
      <c r="S14" s="121" t="str">
        <f t="shared" si="11"/>
        <v/>
      </c>
    </row>
    <row r="15">
      <c r="A15" s="142" t="str">
        <f>IFERROR(VLOOKUP(B15,'Статьи'!$A$2:C37,3,0)," ")</f>
        <v> </v>
      </c>
      <c r="B15" s="144"/>
      <c r="C15" s="145"/>
      <c r="D15" s="113"/>
      <c r="E15" s="114"/>
      <c r="F15" s="146"/>
      <c r="G15" s="146"/>
      <c r="H15" s="143"/>
      <c r="I15" s="116">
        <f t="shared" si="12"/>
        <v>0</v>
      </c>
      <c r="J15" s="117"/>
      <c r="K15" s="118"/>
      <c r="L15" s="118"/>
      <c r="M15" s="118"/>
      <c r="N15" s="118"/>
      <c r="O15" s="118"/>
      <c r="P15" s="116">
        <f t="shared" si="13"/>
        <v>0</v>
      </c>
      <c r="Q15" s="119">
        <f t="shared" si="3"/>
        <v>0</v>
      </c>
      <c r="R15" s="120">
        <f t="shared" si="4"/>
        <v>0</v>
      </c>
      <c r="S15" s="121" t="str">
        <f t="shared" si="11"/>
        <v/>
      </c>
    </row>
    <row r="16">
      <c r="A16" s="142" t="str">
        <f>IFERROR(VLOOKUP(B16,'Статьи'!$A$2:C38,3,0)," ")</f>
        <v> </v>
      </c>
      <c r="B16" s="144"/>
      <c r="C16" s="145"/>
      <c r="D16" s="113"/>
      <c r="E16" s="114"/>
      <c r="F16" s="146"/>
      <c r="G16" s="146"/>
      <c r="H16" s="143"/>
      <c r="I16" s="116">
        <f t="shared" si="12"/>
        <v>0</v>
      </c>
      <c r="J16" s="117"/>
      <c r="K16" s="118"/>
      <c r="L16" s="118"/>
      <c r="M16" s="118"/>
      <c r="N16" s="118"/>
      <c r="O16" s="118"/>
      <c r="P16" s="116">
        <f t="shared" si="13"/>
        <v>0</v>
      </c>
      <c r="Q16" s="119">
        <f t="shared" si="3"/>
        <v>0</v>
      </c>
      <c r="R16" s="120">
        <f t="shared" si="4"/>
        <v>0</v>
      </c>
      <c r="S16" s="121" t="str">
        <f t="shared" si="11"/>
        <v/>
      </c>
    </row>
    <row r="17" collapsed="1">
      <c r="A17" s="147" t="str">
        <f>IFERROR(VLOOKUP(B17,'Статьи'!$A$2:C39,3,0)," ")</f>
        <v> </v>
      </c>
      <c r="B17" s="144"/>
      <c r="C17" s="145"/>
      <c r="D17" s="114"/>
      <c r="E17" s="114"/>
      <c r="F17" s="146"/>
      <c r="G17" s="146"/>
      <c r="H17" s="143"/>
      <c r="I17" s="116">
        <f t="shared" si="12"/>
        <v>0</v>
      </c>
      <c r="J17" s="123"/>
      <c r="K17" s="118"/>
      <c r="L17" s="118"/>
      <c r="M17" s="118"/>
      <c r="N17" s="118"/>
      <c r="O17" s="118"/>
      <c r="P17" s="116">
        <f t="shared" ref="P17:P54" si="14">sum(F17:J17)</f>
        <v>0</v>
      </c>
      <c r="Q17" s="119">
        <f t="shared" si="3"/>
        <v>0</v>
      </c>
      <c r="R17" s="120">
        <f t="shared" si="4"/>
        <v>0</v>
      </c>
      <c r="S17" s="121" t="str">
        <f t="shared" si="11"/>
        <v/>
      </c>
    </row>
    <row r="18" hidden="1" outlineLevel="1">
      <c r="A18" s="147"/>
      <c r="B18" s="144"/>
      <c r="C18" s="145"/>
      <c r="D18" s="114"/>
      <c r="E18" s="114"/>
      <c r="F18" s="146"/>
      <c r="G18" s="146"/>
      <c r="H18" s="143"/>
      <c r="I18" s="116">
        <f t="shared" si="12"/>
        <v>0</v>
      </c>
      <c r="J18" s="123"/>
      <c r="K18" s="118"/>
      <c r="L18" s="118"/>
      <c r="M18" s="118"/>
      <c r="N18" s="118"/>
      <c r="O18" s="118"/>
      <c r="P18" s="116">
        <f t="shared" si="14"/>
        <v>0</v>
      </c>
      <c r="Q18" s="132">
        <f t="shared" si="3"/>
        <v>0</v>
      </c>
      <c r="R18" s="133">
        <f t="shared" si="4"/>
        <v>0</v>
      </c>
      <c r="S18" s="133">
        <f t="shared" ref="S18:S54" si="15">IF(Q18=0,0,IF(R18&gt;1,"перерасход","экономия"))</f>
        <v>0</v>
      </c>
    </row>
    <row r="19" hidden="1" outlineLevel="1">
      <c r="A19" s="147"/>
      <c r="B19" s="144"/>
      <c r="C19" s="148"/>
      <c r="D19" s="114"/>
      <c r="E19" s="114"/>
      <c r="F19" s="146"/>
      <c r="G19" s="146"/>
      <c r="H19" s="143"/>
      <c r="I19" s="116">
        <f t="shared" si="12"/>
        <v>0</v>
      </c>
      <c r="J19" s="123"/>
      <c r="K19" s="118"/>
      <c r="L19" s="118"/>
      <c r="M19" s="118"/>
      <c r="N19" s="118"/>
      <c r="O19" s="118"/>
      <c r="P19" s="116">
        <f t="shared" si="14"/>
        <v>0</v>
      </c>
      <c r="Q19" s="132">
        <f t="shared" si="3"/>
        <v>0</v>
      </c>
      <c r="R19" s="133">
        <f t="shared" si="4"/>
        <v>0</v>
      </c>
      <c r="S19" s="133">
        <f t="shared" si="15"/>
        <v>0</v>
      </c>
    </row>
    <row r="20" hidden="1" outlineLevel="1">
      <c r="A20" s="147"/>
      <c r="B20" s="144"/>
      <c r="C20" s="148"/>
      <c r="D20" s="114"/>
      <c r="E20" s="114"/>
      <c r="F20" s="146"/>
      <c r="G20" s="146"/>
      <c r="H20" s="143"/>
      <c r="I20" s="116">
        <f t="shared" si="12"/>
        <v>0</v>
      </c>
      <c r="J20" s="123"/>
      <c r="K20" s="118"/>
      <c r="L20" s="118"/>
      <c r="M20" s="118"/>
      <c r="N20" s="118"/>
      <c r="O20" s="118"/>
      <c r="P20" s="116">
        <f t="shared" si="14"/>
        <v>0</v>
      </c>
      <c r="Q20" s="132">
        <f t="shared" si="3"/>
        <v>0</v>
      </c>
      <c r="R20" s="133">
        <f t="shared" si="4"/>
        <v>0</v>
      </c>
      <c r="S20" s="133">
        <f t="shared" si="15"/>
        <v>0</v>
      </c>
    </row>
    <row r="21" hidden="1" outlineLevel="1">
      <c r="A21" s="147"/>
      <c r="B21" s="144"/>
      <c r="C21" s="148"/>
      <c r="D21" s="114"/>
      <c r="E21" s="114"/>
      <c r="F21" s="146"/>
      <c r="G21" s="146"/>
      <c r="H21" s="143"/>
      <c r="I21" s="116">
        <f t="shared" si="12"/>
        <v>0</v>
      </c>
      <c r="J21" s="123"/>
      <c r="K21" s="118"/>
      <c r="L21" s="118"/>
      <c r="M21" s="118"/>
      <c r="N21" s="118"/>
      <c r="O21" s="118"/>
      <c r="P21" s="116">
        <f t="shared" si="14"/>
        <v>0</v>
      </c>
      <c r="Q21" s="132">
        <f t="shared" si="3"/>
        <v>0</v>
      </c>
      <c r="R21" s="133">
        <f t="shared" si="4"/>
        <v>0</v>
      </c>
      <c r="S21" s="133">
        <f t="shared" si="15"/>
        <v>0</v>
      </c>
    </row>
    <row r="22" hidden="1" outlineLevel="1">
      <c r="A22" s="147"/>
      <c r="B22" s="144"/>
      <c r="C22" s="145"/>
      <c r="D22" s="114"/>
      <c r="E22" s="114"/>
      <c r="F22" s="146"/>
      <c r="G22" s="146"/>
      <c r="H22" s="149"/>
      <c r="I22" s="116">
        <f t="shared" si="12"/>
        <v>0</v>
      </c>
      <c r="J22" s="123"/>
      <c r="K22" s="118"/>
      <c r="L22" s="118"/>
      <c r="M22" s="118"/>
      <c r="N22" s="118"/>
      <c r="O22" s="118"/>
      <c r="P22" s="116">
        <f t="shared" si="14"/>
        <v>0</v>
      </c>
      <c r="Q22" s="132">
        <f t="shared" si="3"/>
        <v>0</v>
      </c>
      <c r="R22" s="133">
        <f t="shared" si="4"/>
        <v>0</v>
      </c>
      <c r="S22" s="133">
        <f t="shared" si="15"/>
        <v>0</v>
      </c>
    </row>
    <row r="23" hidden="1" outlineLevel="1">
      <c r="A23" s="150"/>
      <c r="B23" s="151"/>
      <c r="C23" s="148"/>
      <c r="D23" s="114"/>
      <c r="E23" s="114"/>
      <c r="F23" s="146"/>
      <c r="G23" s="146"/>
      <c r="H23" s="143"/>
      <c r="I23" s="116">
        <f t="shared" si="12"/>
        <v>0</v>
      </c>
      <c r="J23" s="123"/>
      <c r="K23" s="118"/>
      <c r="L23" s="118"/>
      <c r="M23" s="118"/>
      <c r="N23" s="118"/>
      <c r="O23" s="118"/>
      <c r="P23" s="116">
        <f t="shared" si="14"/>
        <v>0</v>
      </c>
      <c r="Q23" s="132">
        <f t="shared" si="3"/>
        <v>0</v>
      </c>
      <c r="R23" s="133">
        <f t="shared" si="4"/>
        <v>0</v>
      </c>
      <c r="S23" s="133">
        <f t="shared" si="15"/>
        <v>0</v>
      </c>
    </row>
    <row r="24" hidden="1" outlineLevel="1">
      <c r="A24" s="142"/>
      <c r="B24" s="125"/>
      <c r="C24" s="148"/>
      <c r="D24" s="114"/>
      <c r="E24" s="114"/>
      <c r="F24" s="146"/>
      <c r="G24" s="146"/>
      <c r="H24" s="143"/>
      <c r="I24" s="116">
        <f t="shared" si="12"/>
        <v>0</v>
      </c>
      <c r="J24" s="123"/>
      <c r="K24" s="118"/>
      <c r="L24" s="118"/>
      <c r="M24" s="118"/>
      <c r="N24" s="118"/>
      <c r="O24" s="118"/>
      <c r="P24" s="116">
        <f t="shared" si="14"/>
        <v>0</v>
      </c>
      <c r="Q24" s="132">
        <f t="shared" si="3"/>
        <v>0</v>
      </c>
      <c r="R24" s="133">
        <f t="shared" si="4"/>
        <v>0</v>
      </c>
      <c r="S24" s="133">
        <f t="shared" si="15"/>
        <v>0</v>
      </c>
    </row>
    <row r="25" hidden="1" outlineLevel="1">
      <c r="A25" s="142"/>
      <c r="B25" s="125"/>
      <c r="C25" s="123"/>
      <c r="D25" s="114"/>
      <c r="E25" s="114"/>
      <c r="F25" s="114"/>
      <c r="G25" s="114"/>
      <c r="H25" s="143"/>
      <c r="I25" s="116">
        <f t="shared" si="12"/>
        <v>0</v>
      </c>
      <c r="J25" s="123"/>
      <c r="K25" s="118"/>
      <c r="L25" s="118"/>
      <c r="M25" s="118"/>
      <c r="N25" s="118"/>
      <c r="O25" s="118"/>
      <c r="P25" s="116">
        <f t="shared" si="14"/>
        <v>0</v>
      </c>
      <c r="Q25" s="132">
        <f t="shared" si="3"/>
        <v>0</v>
      </c>
      <c r="R25" s="133">
        <f t="shared" si="4"/>
        <v>0</v>
      </c>
      <c r="S25" s="133">
        <f t="shared" si="15"/>
        <v>0</v>
      </c>
    </row>
    <row r="26" hidden="1" outlineLevel="1">
      <c r="A26" s="142"/>
      <c r="B26" s="125"/>
      <c r="C26" s="123"/>
      <c r="D26" s="114"/>
      <c r="E26" s="114"/>
      <c r="F26" s="114"/>
      <c r="G26" s="114"/>
      <c r="H26" s="143"/>
      <c r="I26" s="116">
        <f t="shared" si="12"/>
        <v>0</v>
      </c>
      <c r="J26" s="123"/>
      <c r="K26" s="118"/>
      <c r="L26" s="118"/>
      <c r="M26" s="118"/>
      <c r="N26" s="118"/>
      <c r="O26" s="118"/>
      <c r="P26" s="116">
        <f t="shared" si="14"/>
        <v>0</v>
      </c>
      <c r="Q26" s="132">
        <f t="shared" si="3"/>
        <v>0</v>
      </c>
      <c r="R26" s="133">
        <f t="shared" si="4"/>
        <v>0</v>
      </c>
      <c r="S26" s="133">
        <f t="shared" si="15"/>
        <v>0</v>
      </c>
    </row>
    <row r="27" hidden="1" outlineLevel="1">
      <c r="A27" s="142"/>
      <c r="B27" s="125"/>
      <c r="C27" s="123"/>
      <c r="D27" s="114"/>
      <c r="E27" s="114"/>
      <c r="F27" s="114"/>
      <c r="G27" s="114"/>
      <c r="H27" s="143"/>
      <c r="I27" s="116">
        <f t="shared" si="12"/>
        <v>0</v>
      </c>
      <c r="J27" s="123"/>
      <c r="K27" s="118"/>
      <c r="L27" s="118"/>
      <c r="M27" s="118"/>
      <c r="N27" s="118"/>
      <c r="O27" s="118"/>
      <c r="P27" s="116">
        <f t="shared" si="14"/>
        <v>0</v>
      </c>
      <c r="Q27" s="132">
        <f t="shared" si="3"/>
        <v>0</v>
      </c>
      <c r="R27" s="133">
        <f t="shared" si="4"/>
        <v>0</v>
      </c>
      <c r="S27" s="133">
        <f t="shared" si="15"/>
        <v>0</v>
      </c>
    </row>
    <row r="28" hidden="1" outlineLevel="1">
      <c r="A28" s="142"/>
      <c r="B28" s="125"/>
      <c r="C28" s="123"/>
      <c r="D28" s="114"/>
      <c r="E28" s="114"/>
      <c r="F28" s="114"/>
      <c r="G28" s="114"/>
      <c r="H28" s="143"/>
      <c r="I28" s="116">
        <f t="shared" si="12"/>
        <v>0</v>
      </c>
      <c r="J28" s="123"/>
      <c r="K28" s="118"/>
      <c r="L28" s="118"/>
      <c r="M28" s="118"/>
      <c r="N28" s="118"/>
      <c r="O28" s="118"/>
      <c r="P28" s="116">
        <f t="shared" si="14"/>
        <v>0</v>
      </c>
      <c r="Q28" s="132">
        <f t="shared" si="3"/>
        <v>0</v>
      </c>
      <c r="R28" s="133">
        <f t="shared" si="4"/>
        <v>0</v>
      </c>
      <c r="S28" s="133">
        <f t="shared" si="15"/>
        <v>0</v>
      </c>
    </row>
    <row r="29" hidden="1" outlineLevel="1">
      <c r="A29" s="142"/>
      <c r="B29" s="125"/>
      <c r="C29" s="123"/>
      <c r="D29" s="114"/>
      <c r="E29" s="114"/>
      <c r="F29" s="114"/>
      <c r="G29" s="114"/>
      <c r="H29" s="143"/>
      <c r="I29" s="116">
        <f t="shared" si="12"/>
        <v>0</v>
      </c>
      <c r="J29" s="123"/>
      <c r="K29" s="118"/>
      <c r="L29" s="118"/>
      <c r="M29" s="118"/>
      <c r="N29" s="118"/>
      <c r="O29" s="118"/>
      <c r="P29" s="116">
        <f t="shared" si="14"/>
        <v>0</v>
      </c>
      <c r="Q29" s="132">
        <f t="shared" si="3"/>
        <v>0</v>
      </c>
      <c r="R29" s="133">
        <f t="shared" si="4"/>
        <v>0</v>
      </c>
      <c r="S29" s="133">
        <f t="shared" si="15"/>
        <v>0</v>
      </c>
    </row>
    <row r="30" hidden="1" outlineLevel="1">
      <c r="A30" s="142"/>
      <c r="B30" s="125"/>
      <c r="C30" s="123"/>
      <c r="D30" s="114"/>
      <c r="E30" s="114"/>
      <c r="F30" s="114"/>
      <c r="G30" s="114"/>
      <c r="H30" s="143"/>
      <c r="I30" s="116">
        <f t="shared" si="12"/>
        <v>0</v>
      </c>
      <c r="J30" s="123"/>
      <c r="K30" s="118"/>
      <c r="L30" s="118"/>
      <c r="M30" s="118"/>
      <c r="N30" s="118"/>
      <c r="O30" s="118"/>
      <c r="P30" s="116">
        <f t="shared" si="14"/>
        <v>0</v>
      </c>
      <c r="Q30" s="132">
        <f t="shared" si="3"/>
        <v>0</v>
      </c>
      <c r="R30" s="133">
        <f t="shared" si="4"/>
        <v>0</v>
      </c>
      <c r="S30" s="133">
        <f t="shared" si="15"/>
        <v>0</v>
      </c>
    </row>
    <row r="31" hidden="1" outlineLevel="1">
      <c r="A31" s="142"/>
      <c r="B31" s="125"/>
      <c r="C31" s="123"/>
      <c r="D31" s="114"/>
      <c r="E31" s="114"/>
      <c r="F31" s="114"/>
      <c r="G31" s="114"/>
      <c r="H31" s="143"/>
      <c r="I31" s="116">
        <f t="shared" si="12"/>
        <v>0</v>
      </c>
      <c r="J31" s="123"/>
      <c r="K31" s="118"/>
      <c r="L31" s="118"/>
      <c r="M31" s="118"/>
      <c r="N31" s="118"/>
      <c r="O31" s="118"/>
      <c r="P31" s="116">
        <f t="shared" si="14"/>
        <v>0</v>
      </c>
      <c r="Q31" s="132">
        <f t="shared" si="3"/>
        <v>0</v>
      </c>
      <c r="R31" s="133">
        <f t="shared" si="4"/>
        <v>0</v>
      </c>
      <c r="S31" s="133">
        <f t="shared" si="15"/>
        <v>0</v>
      </c>
    </row>
    <row r="32" hidden="1" outlineLevel="1">
      <c r="A32" s="142"/>
      <c r="B32" s="125"/>
      <c r="C32" s="123"/>
      <c r="D32" s="114"/>
      <c r="E32" s="114"/>
      <c r="F32" s="114"/>
      <c r="G32" s="114"/>
      <c r="H32" s="143"/>
      <c r="I32" s="116">
        <f t="shared" si="12"/>
        <v>0</v>
      </c>
      <c r="J32" s="123"/>
      <c r="K32" s="118"/>
      <c r="L32" s="118"/>
      <c r="M32" s="118"/>
      <c r="N32" s="118"/>
      <c r="O32" s="118"/>
      <c r="P32" s="116">
        <f t="shared" si="14"/>
        <v>0</v>
      </c>
      <c r="Q32" s="132">
        <f t="shared" si="3"/>
        <v>0</v>
      </c>
      <c r="R32" s="133">
        <f t="shared" si="4"/>
        <v>0</v>
      </c>
      <c r="S32" s="133">
        <f t="shared" si="15"/>
        <v>0</v>
      </c>
    </row>
    <row r="33" hidden="1" outlineLevel="1">
      <c r="A33" s="142"/>
      <c r="B33" s="125"/>
      <c r="C33" s="123"/>
      <c r="D33" s="114"/>
      <c r="E33" s="114"/>
      <c r="F33" s="114"/>
      <c r="G33" s="114"/>
      <c r="H33" s="143"/>
      <c r="I33" s="116">
        <f t="shared" si="12"/>
        <v>0</v>
      </c>
      <c r="J33" s="123"/>
      <c r="K33" s="118"/>
      <c r="L33" s="118"/>
      <c r="M33" s="118"/>
      <c r="N33" s="118"/>
      <c r="O33" s="118"/>
      <c r="P33" s="116">
        <f t="shared" si="14"/>
        <v>0</v>
      </c>
      <c r="Q33" s="132">
        <f t="shared" si="3"/>
        <v>0</v>
      </c>
      <c r="R33" s="133">
        <f t="shared" si="4"/>
        <v>0</v>
      </c>
      <c r="S33" s="133">
        <f t="shared" si="15"/>
        <v>0</v>
      </c>
    </row>
    <row r="34" hidden="1" outlineLevel="1">
      <c r="A34" s="142"/>
      <c r="B34" s="125"/>
      <c r="C34" s="123"/>
      <c r="D34" s="114"/>
      <c r="E34" s="114"/>
      <c r="F34" s="114"/>
      <c r="G34" s="114"/>
      <c r="H34" s="143"/>
      <c r="I34" s="116">
        <f t="shared" si="12"/>
        <v>0</v>
      </c>
      <c r="J34" s="123"/>
      <c r="K34" s="118"/>
      <c r="L34" s="118"/>
      <c r="M34" s="118"/>
      <c r="N34" s="118"/>
      <c r="O34" s="118"/>
      <c r="P34" s="116">
        <f t="shared" si="14"/>
        <v>0</v>
      </c>
      <c r="Q34" s="132">
        <f t="shared" si="3"/>
        <v>0</v>
      </c>
      <c r="R34" s="133">
        <f t="shared" si="4"/>
        <v>0</v>
      </c>
      <c r="S34" s="133">
        <f t="shared" si="15"/>
        <v>0</v>
      </c>
    </row>
    <row r="35" hidden="1" outlineLevel="1">
      <c r="A35" s="142"/>
      <c r="B35" s="125"/>
      <c r="C35" s="123"/>
      <c r="D35" s="114"/>
      <c r="E35" s="114"/>
      <c r="F35" s="114"/>
      <c r="G35" s="114"/>
      <c r="H35" s="143"/>
      <c r="I35" s="116">
        <f t="shared" si="12"/>
        <v>0</v>
      </c>
      <c r="J35" s="123"/>
      <c r="K35" s="118"/>
      <c r="L35" s="118"/>
      <c r="M35" s="118"/>
      <c r="N35" s="118"/>
      <c r="O35" s="118"/>
      <c r="P35" s="116">
        <f t="shared" si="14"/>
        <v>0</v>
      </c>
      <c r="Q35" s="132">
        <f t="shared" si="3"/>
        <v>0</v>
      </c>
      <c r="R35" s="133">
        <f t="shared" si="4"/>
        <v>0</v>
      </c>
      <c r="S35" s="133">
        <f t="shared" si="15"/>
        <v>0</v>
      </c>
    </row>
    <row r="36" hidden="1" outlineLevel="1">
      <c r="A36" s="142"/>
      <c r="B36" s="125"/>
      <c r="C36" s="123"/>
      <c r="D36" s="114"/>
      <c r="E36" s="114"/>
      <c r="F36" s="114"/>
      <c r="G36" s="114"/>
      <c r="H36" s="143"/>
      <c r="I36" s="116">
        <f t="shared" si="12"/>
        <v>0</v>
      </c>
      <c r="J36" s="123"/>
      <c r="K36" s="118"/>
      <c r="L36" s="118"/>
      <c r="M36" s="118"/>
      <c r="N36" s="118"/>
      <c r="O36" s="118"/>
      <c r="P36" s="116">
        <f t="shared" si="14"/>
        <v>0</v>
      </c>
      <c r="Q36" s="132">
        <f t="shared" si="3"/>
        <v>0</v>
      </c>
      <c r="R36" s="133">
        <f t="shared" si="4"/>
        <v>0</v>
      </c>
      <c r="S36" s="133">
        <f t="shared" si="15"/>
        <v>0</v>
      </c>
    </row>
    <row r="37" hidden="1" outlineLevel="1">
      <c r="A37" s="142"/>
      <c r="B37" s="125"/>
      <c r="C37" s="123"/>
      <c r="D37" s="114"/>
      <c r="E37" s="114"/>
      <c r="F37" s="114"/>
      <c r="G37" s="114"/>
      <c r="H37" s="143"/>
      <c r="I37" s="116">
        <f t="shared" si="12"/>
        <v>0</v>
      </c>
      <c r="J37" s="123"/>
      <c r="K37" s="118"/>
      <c r="L37" s="118"/>
      <c r="M37" s="118"/>
      <c r="N37" s="118"/>
      <c r="O37" s="118"/>
      <c r="P37" s="116">
        <f t="shared" si="14"/>
        <v>0</v>
      </c>
      <c r="Q37" s="132">
        <f t="shared" si="3"/>
        <v>0</v>
      </c>
      <c r="R37" s="133">
        <f t="shared" si="4"/>
        <v>0</v>
      </c>
      <c r="S37" s="133">
        <f t="shared" si="15"/>
        <v>0</v>
      </c>
    </row>
    <row r="38" hidden="1" outlineLevel="1">
      <c r="A38" s="142"/>
      <c r="B38" s="125"/>
      <c r="C38" s="123"/>
      <c r="D38" s="114"/>
      <c r="E38" s="114"/>
      <c r="F38" s="114"/>
      <c r="G38" s="114"/>
      <c r="H38" s="143"/>
      <c r="I38" s="116">
        <f t="shared" si="12"/>
        <v>0</v>
      </c>
      <c r="J38" s="123"/>
      <c r="K38" s="118"/>
      <c r="L38" s="118"/>
      <c r="M38" s="118"/>
      <c r="N38" s="118"/>
      <c r="O38" s="118"/>
      <c r="P38" s="116">
        <f t="shared" si="14"/>
        <v>0</v>
      </c>
      <c r="Q38" s="132">
        <f t="shared" si="3"/>
        <v>0</v>
      </c>
      <c r="R38" s="133">
        <f t="shared" si="4"/>
        <v>0</v>
      </c>
      <c r="S38" s="133">
        <f t="shared" si="15"/>
        <v>0</v>
      </c>
    </row>
    <row r="39" hidden="1" outlineLevel="1">
      <c r="A39" s="142"/>
      <c r="B39" s="125"/>
      <c r="C39" s="123"/>
      <c r="D39" s="114"/>
      <c r="E39" s="114"/>
      <c r="F39" s="114"/>
      <c r="G39" s="114"/>
      <c r="H39" s="143"/>
      <c r="I39" s="116">
        <f t="shared" si="12"/>
        <v>0</v>
      </c>
      <c r="J39" s="123"/>
      <c r="K39" s="118"/>
      <c r="L39" s="118"/>
      <c r="M39" s="118"/>
      <c r="N39" s="118"/>
      <c r="O39" s="118"/>
      <c r="P39" s="116">
        <f t="shared" si="14"/>
        <v>0</v>
      </c>
      <c r="Q39" s="132">
        <f t="shared" si="3"/>
        <v>0</v>
      </c>
      <c r="R39" s="133">
        <f t="shared" si="4"/>
        <v>0</v>
      </c>
      <c r="S39" s="133">
        <f t="shared" si="15"/>
        <v>0</v>
      </c>
    </row>
    <row r="40" hidden="1" outlineLevel="1">
      <c r="A40" s="142"/>
      <c r="B40" s="125"/>
      <c r="C40" s="123"/>
      <c r="D40" s="114"/>
      <c r="E40" s="114"/>
      <c r="F40" s="114"/>
      <c r="G40" s="114"/>
      <c r="H40" s="143"/>
      <c r="I40" s="116">
        <f t="shared" si="12"/>
        <v>0</v>
      </c>
      <c r="J40" s="123"/>
      <c r="K40" s="118"/>
      <c r="L40" s="118"/>
      <c r="M40" s="118"/>
      <c r="N40" s="118"/>
      <c r="O40" s="118"/>
      <c r="P40" s="116">
        <f t="shared" si="14"/>
        <v>0</v>
      </c>
      <c r="Q40" s="132">
        <f t="shared" si="3"/>
        <v>0</v>
      </c>
      <c r="R40" s="133">
        <f t="shared" si="4"/>
        <v>0</v>
      </c>
      <c r="S40" s="133">
        <f t="shared" si="15"/>
        <v>0</v>
      </c>
    </row>
    <row r="41" hidden="1" outlineLevel="1">
      <c r="A41" s="142"/>
      <c r="B41" s="125"/>
      <c r="C41" s="123"/>
      <c r="D41" s="114"/>
      <c r="E41" s="114"/>
      <c r="F41" s="114"/>
      <c r="G41" s="114"/>
      <c r="H41" s="143"/>
      <c r="I41" s="116">
        <f t="shared" si="12"/>
        <v>0</v>
      </c>
      <c r="J41" s="123"/>
      <c r="K41" s="118"/>
      <c r="L41" s="118"/>
      <c r="M41" s="118"/>
      <c r="N41" s="118"/>
      <c r="O41" s="118"/>
      <c r="P41" s="116">
        <f t="shared" si="14"/>
        <v>0</v>
      </c>
      <c r="Q41" s="132">
        <f t="shared" si="3"/>
        <v>0</v>
      </c>
      <c r="R41" s="133">
        <f t="shared" si="4"/>
        <v>0</v>
      </c>
      <c r="S41" s="133">
        <f t="shared" si="15"/>
        <v>0</v>
      </c>
    </row>
    <row r="42" hidden="1" outlineLevel="1">
      <c r="A42" s="142"/>
      <c r="B42" s="125"/>
      <c r="C42" s="123"/>
      <c r="D42" s="114"/>
      <c r="E42" s="114"/>
      <c r="F42" s="114"/>
      <c r="G42" s="114"/>
      <c r="H42" s="143"/>
      <c r="I42" s="116">
        <f t="shared" si="12"/>
        <v>0</v>
      </c>
      <c r="J42" s="123"/>
      <c r="K42" s="118"/>
      <c r="L42" s="118"/>
      <c r="M42" s="118"/>
      <c r="N42" s="118"/>
      <c r="O42" s="118"/>
      <c r="P42" s="116">
        <f t="shared" si="14"/>
        <v>0</v>
      </c>
      <c r="Q42" s="132">
        <f t="shared" si="3"/>
        <v>0</v>
      </c>
      <c r="R42" s="133">
        <f t="shared" si="4"/>
        <v>0</v>
      </c>
      <c r="S42" s="133">
        <f t="shared" si="15"/>
        <v>0</v>
      </c>
    </row>
    <row r="43" hidden="1" outlineLevel="1">
      <c r="A43" s="142"/>
      <c r="B43" s="125"/>
      <c r="C43" s="123"/>
      <c r="D43" s="114"/>
      <c r="E43" s="114"/>
      <c r="F43" s="114"/>
      <c r="G43" s="114"/>
      <c r="H43" s="143"/>
      <c r="I43" s="116">
        <f t="shared" si="12"/>
        <v>0</v>
      </c>
      <c r="J43" s="123"/>
      <c r="K43" s="118"/>
      <c r="L43" s="118"/>
      <c r="M43" s="118"/>
      <c r="N43" s="118"/>
      <c r="O43" s="118"/>
      <c r="P43" s="116">
        <f t="shared" si="14"/>
        <v>0</v>
      </c>
      <c r="Q43" s="132">
        <f t="shared" si="3"/>
        <v>0</v>
      </c>
      <c r="R43" s="133">
        <f t="shared" si="4"/>
        <v>0</v>
      </c>
      <c r="S43" s="133">
        <f t="shared" si="15"/>
        <v>0</v>
      </c>
    </row>
    <row r="44" hidden="1" outlineLevel="1">
      <c r="A44" s="142"/>
      <c r="B44" s="125"/>
      <c r="C44" s="123"/>
      <c r="D44" s="114"/>
      <c r="E44" s="114"/>
      <c r="F44" s="114"/>
      <c r="G44" s="114"/>
      <c r="H44" s="143"/>
      <c r="I44" s="116">
        <f t="shared" si="12"/>
        <v>0</v>
      </c>
      <c r="J44" s="123"/>
      <c r="K44" s="118"/>
      <c r="L44" s="118"/>
      <c r="M44" s="118"/>
      <c r="N44" s="118"/>
      <c r="O44" s="118"/>
      <c r="P44" s="116">
        <f t="shared" si="14"/>
        <v>0</v>
      </c>
      <c r="Q44" s="132">
        <f t="shared" si="3"/>
        <v>0</v>
      </c>
      <c r="R44" s="133">
        <f t="shared" si="4"/>
        <v>0</v>
      </c>
      <c r="S44" s="133">
        <f t="shared" si="15"/>
        <v>0</v>
      </c>
    </row>
    <row r="45" hidden="1" outlineLevel="1">
      <c r="A45" s="142"/>
      <c r="B45" s="125"/>
      <c r="C45" s="123"/>
      <c r="D45" s="114"/>
      <c r="E45" s="114"/>
      <c r="F45" s="114"/>
      <c r="G45" s="114"/>
      <c r="H45" s="143"/>
      <c r="I45" s="116">
        <f t="shared" si="12"/>
        <v>0</v>
      </c>
      <c r="J45" s="123"/>
      <c r="K45" s="118"/>
      <c r="L45" s="118"/>
      <c r="M45" s="118"/>
      <c r="N45" s="118"/>
      <c r="O45" s="118"/>
      <c r="P45" s="116">
        <f t="shared" si="14"/>
        <v>0</v>
      </c>
      <c r="Q45" s="132">
        <f t="shared" si="3"/>
        <v>0</v>
      </c>
      <c r="R45" s="133">
        <f t="shared" si="4"/>
        <v>0</v>
      </c>
      <c r="S45" s="133">
        <f t="shared" si="15"/>
        <v>0</v>
      </c>
    </row>
    <row r="46" hidden="1" outlineLevel="1">
      <c r="A46" s="142"/>
      <c r="B46" s="125"/>
      <c r="C46" s="123"/>
      <c r="D46" s="114"/>
      <c r="E46" s="114"/>
      <c r="F46" s="114"/>
      <c r="G46" s="114"/>
      <c r="H46" s="143"/>
      <c r="I46" s="116">
        <f t="shared" si="12"/>
        <v>0</v>
      </c>
      <c r="J46" s="123"/>
      <c r="K46" s="118"/>
      <c r="L46" s="118"/>
      <c r="M46" s="118"/>
      <c r="N46" s="118"/>
      <c r="O46" s="118"/>
      <c r="P46" s="116">
        <f t="shared" si="14"/>
        <v>0</v>
      </c>
      <c r="Q46" s="132">
        <f t="shared" si="3"/>
        <v>0</v>
      </c>
      <c r="R46" s="133">
        <f t="shared" si="4"/>
        <v>0</v>
      </c>
      <c r="S46" s="133">
        <f t="shared" si="15"/>
        <v>0</v>
      </c>
    </row>
    <row r="47" hidden="1" outlineLevel="1">
      <c r="A47" s="142"/>
      <c r="B47" s="125"/>
      <c r="C47" s="123"/>
      <c r="D47" s="114"/>
      <c r="E47" s="114"/>
      <c r="F47" s="114"/>
      <c r="G47" s="114"/>
      <c r="H47" s="143"/>
      <c r="I47" s="116">
        <f t="shared" si="12"/>
        <v>0</v>
      </c>
      <c r="J47" s="123"/>
      <c r="K47" s="118"/>
      <c r="L47" s="118"/>
      <c r="M47" s="118"/>
      <c r="N47" s="118"/>
      <c r="O47" s="118"/>
      <c r="P47" s="116">
        <f t="shared" si="14"/>
        <v>0</v>
      </c>
      <c r="Q47" s="132">
        <f t="shared" si="3"/>
        <v>0</v>
      </c>
      <c r="R47" s="133">
        <f t="shared" si="4"/>
        <v>0</v>
      </c>
      <c r="S47" s="133">
        <f t="shared" si="15"/>
        <v>0</v>
      </c>
    </row>
    <row r="48" hidden="1" outlineLevel="1">
      <c r="A48" s="142"/>
      <c r="B48" s="125"/>
      <c r="C48" s="123"/>
      <c r="D48" s="114"/>
      <c r="E48" s="114"/>
      <c r="F48" s="114"/>
      <c r="G48" s="114"/>
      <c r="H48" s="143"/>
      <c r="I48" s="116">
        <f t="shared" si="12"/>
        <v>0</v>
      </c>
      <c r="J48" s="123"/>
      <c r="K48" s="118"/>
      <c r="L48" s="118"/>
      <c r="M48" s="118"/>
      <c r="N48" s="118"/>
      <c r="O48" s="118"/>
      <c r="P48" s="116">
        <f t="shared" si="14"/>
        <v>0</v>
      </c>
      <c r="Q48" s="132">
        <f t="shared" si="3"/>
        <v>0</v>
      </c>
      <c r="R48" s="133">
        <f t="shared" si="4"/>
        <v>0</v>
      </c>
      <c r="S48" s="133">
        <f t="shared" si="15"/>
        <v>0</v>
      </c>
    </row>
    <row r="49" hidden="1" outlineLevel="1">
      <c r="A49" s="142"/>
      <c r="B49" s="125"/>
      <c r="C49" s="123"/>
      <c r="D49" s="143"/>
      <c r="E49" s="114"/>
      <c r="F49" s="114"/>
      <c r="G49" s="114"/>
      <c r="H49" s="143"/>
      <c r="I49" s="116">
        <f t="shared" si="12"/>
        <v>0</v>
      </c>
      <c r="J49" s="123"/>
      <c r="K49" s="118"/>
      <c r="L49" s="118"/>
      <c r="M49" s="118"/>
      <c r="N49" s="118"/>
      <c r="O49" s="118"/>
      <c r="P49" s="116">
        <f t="shared" si="14"/>
        <v>0</v>
      </c>
      <c r="Q49" s="132">
        <f t="shared" si="3"/>
        <v>0</v>
      </c>
      <c r="R49" s="133">
        <f t="shared" si="4"/>
        <v>0</v>
      </c>
      <c r="S49" s="133">
        <f t="shared" si="15"/>
        <v>0</v>
      </c>
    </row>
    <row r="50" hidden="1" outlineLevel="1">
      <c r="A50" s="142"/>
      <c r="B50" s="125"/>
      <c r="C50" s="123"/>
      <c r="D50" s="114"/>
      <c r="E50" s="114"/>
      <c r="F50" s="114"/>
      <c r="G50" s="114"/>
      <c r="H50" s="143"/>
      <c r="I50" s="116">
        <f t="shared" si="12"/>
        <v>0</v>
      </c>
      <c r="J50" s="123"/>
      <c r="K50" s="118"/>
      <c r="L50" s="118"/>
      <c r="M50" s="118"/>
      <c r="N50" s="118"/>
      <c r="O50" s="118"/>
      <c r="P50" s="116">
        <f t="shared" si="14"/>
        <v>0</v>
      </c>
      <c r="Q50" s="132">
        <f t="shared" si="3"/>
        <v>0</v>
      </c>
      <c r="R50" s="133">
        <f t="shared" si="4"/>
        <v>0</v>
      </c>
      <c r="S50" s="133">
        <f t="shared" si="15"/>
        <v>0</v>
      </c>
    </row>
    <row r="51" hidden="1" outlineLevel="1">
      <c r="A51" s="142"/>
      <c r="B51" s="125"/>
      <c r="C51" s="123"/>
      <c r="D51" s="114"/>
      <c r="E51" s="114"/>
      <c r="F51" s="114"/>
      <c r="G51" s="114"/>
      <c r="H51" s="143"/>
      <c r="I51" s="116">
        <f t="shared" si="12"/>
        <v>0</v>
      </c>
      <c r="J51" s="123"/>
      <c r="K51" s="118"/>
      <c r="L51" s="118"/>
      <c r="M51" s="118"/>
      <c r="N51" s="118"/>
      <c r="O51" s="118"/>
      <c r="P51" s="116">
        <f t="shared" si="14"/>
        <v>0</v>
      </c>
      <c r="Q51" s="132">
        <f t="shared" si="3"/>
        <v>0</v>
      </c>
      <c r="R51" s="133">
        <f t="shared" si="4"/>
        <v>0</v>
      </c>
      <c r="S51" s="133">
        <f t="shared" si="15"/>
        <v>0</v>
      </c>
    </row>
    <row r="52" hidden="1" outlineLevel="1">
      <c r="A52" s="142"/>
      <c r="B52" s="125"/>
      <c r="C52" s="123"/>
      <c r="D52" s="114"/>
      <c r="E52" s="114"/>
      <c r="F52" s="114"/>
      <c r="G52" s="114"/>
      <c r="H52" s="149"/>
      <c r="I52" s="116">
        <f t="shared" si="12"/>
        <v>0</v>
      </c>
      <c r="J52" s="123"/>
      <c r="K52" s="118"/>
      <c r="L52" s="118"/>
      <c r="M52" s="118"/>
      <c r="N52" s="118"/>
      <c r="O52" s="118"/>
      <c r="P52" s="116">
        <f t="shared" si="14"/>
        <v>0</v>
      </c>
      <c r="Q52" s="132">
        <f t="shared" si="3"/>
        <v>0</v>
      </c>
      <c r="R52" s="133">
        <f t="shared" si="4"/>
        <v>0</v>
      </c>
      <c r="S52" s="133">
        <f t="shared" si="15"/>
        <v>0</v>
      </c>
    </row>
    <row r="53" hidden="1" outlineLevel="1">
      <c r="A53" s="142"/>
      <c r="B53" s="125"/>
      <c r="C53" s="123"/>
      <c r="D53" s="114"/>
      <c r="E53" s="114"/>
      <c r="F53" s="114"/>
      <c r="G53" s="114"/>
      <c r="H53" s="143"/>
      <c r="I53" s="116">
        <f t="shared" si="12"/>
        <v>0</v>
      </c>
      <c r="J53" s="123"/>
      <c r="K53" s="118"/>
      <c r="L53" s="118"/>
      <c r="M53" s="118"/>
      <c r="N53" s="118"/>
      <c r="O53" s="118"/>
      <c r="P53" s="116">
        <f t="shared" si="14"/>
        <v>0</v>
      </c>
      <c r="Q53" s="132">
        <f t="shared" si="3"/>
        <v>0</v>
      </c>
      <c r="R53" s="133">
        <f t="shared" si="4"/>
        <v>0</v>
      </c>
      <c r="S53" s="133">
        <f t="shared" si="15"/>
        <v>0</v>
      </c>
    </row>
    <row r="54" hidden="1" outlineLevel="1">
      <c r="A54" s="142"/>
      <c r="B54" s="125"/>
      <c r="C54" s="122"/>
      <c r="D54" s="114"/>
      <c r="E54" s="114"/>
      <c r="F54" s="114"/>
      <c r="G54" s="114"/>
      <c r="H54" s="143"/>
      <c r="I54" s="116">
        <f t="shared" si="12"/>
        <v>0</v>
      </c>
      <c r="J54" s="123"/>
      <c r="K54" s="118"/>
      <c r="L54" s="118"/>
      <c r="M54" s="118"/>
      <c r="N54" s="118"/>
      <c r="O54" s="118"/>
      <c r="P54" s="116">
        <f t="shared" si="14"/>
        <v>0</v>
      </c>
      <c r="Q54" s="132">
        <f t="shared" si="3"/>
        <v>0</v>
      </c>
      <c r="R54" s="133">
        <f t="shared" si="4"/>
        <v>0</v>
      </c>
      <c r="S54" s="133">
        <f t="shared" si="15"/>
        <v>0</v>
      </c>
    </row>
    <row r="55">
      <c r="A55" s="152"/>
      <c r="B55" s="153" t="s">
        <v>136</v>
      </c>
      <c r="C55" s="154">
        <f t="shared" ref="C55:K55" si="16">C3+C12</f>
        <v>7</v>
      </c>
      <c r="D55" s="155">
        <f t="shared" si="16"/>
        <v>0</v>
      </c>
      <c r="E55" s="155">
        <f t="shared" si="16"/>
        <v>0</v>
      </c>
      <c r="F55" s="155">
        <f t="shared" si="16"/>
        <v>0</v>
      </c>
      <c r="G55" s="155">
        <f t="shared" si="16"/>
        <v>0</v>
      </c>
      <c r="H55" s="156">
        <f t="shared" si="16"/>
        <v>0</v>
      </c>
      <c r="I55" s="157">
        <f t="shared" si="16"/>
        <v>7</v>
      </c>
      <c r="J55" s="154">
        <f t="shared" si="16"/>
        <v>0</v>
      </c>
      <c r="K55" s="155">
        <f t="shared" si="16"/>
        <v>0</v>
      </c>
      <c r="L55" s="155"/>
      <c r="M55" s="155"/>
      <c r="N55" s="155"/>
      <c r="O55" s="155"/>
      <c r="P55" s="157">
        <f>P3+P12</f>
        <v>0</v>
      </c>
      <c r="Q55" s="155">
        <f t="shared" si="3"/>
        <v>7</v>
      </c>
      <c r="R55" s="158">
        <f t="shared" si="4"/>
        <v>0</v>
      </c>
      <c r="S55" s="159" t="str">
        <f>IF(Q55=0,"",IF(R55&gt;1,"выполнение","план не выполнен"))</f>
        <v>план не выполнен</v>
      </c>
    </row>
    <row r="56">
      <c r="A56" s="160"/>
      <c r="B56" s="161" t="s">
        <v>137</v>
      </c>
      <c r="C56" s="162">
        <f t="shared" ref="C56:K56" si="17">IFERROR(C55/C$3,"")</f>
        <v>1</v>
      </c>
      <c r="D56" s="163" t="str">
        <f t="shared" si="17"/>
        <v/>
      </c>
      <c r="E56" s="163" t="str">
        <f t="shared" si="17"/>
        <v/>
      </c>
      <c r="F56" s="163" t="str">
        <f t="shared" si="17"/>
        <v/>
      </c>
      <c r="G56" s="163" t="str">
        <f t="shared" si="17"/>
        <v/>
      </c>
      <c r="H56" s="163" t="str">
        <f t="shared" si="17"/>
        <v/>
      </c>
      <c r="I56" s="164">
        <f t="shared" si="17"/>
        <v>1</v>
      </c>
      <c r="J56" s="163" t="str">
        <f t="shared" si="17"/>
        <v/>
      </c>
      <c r="K56" s="163" t="str">
        <f t="shared" si="17"/>
        <v/>
      </c>
      <c r="L56" s="163"/>
      <c r="M56" s="163"/>
      <c r="N56" s="163"/>
      <c r="O56" s="163"/>
      <c r="P56" s="164" t="str">
        <f>IFERROR(P55/P$3,"")</f>
        <v/>
      </c>
      <c r="Q56" s="121"/>
      <c r="R56" s="121"/>
      <c r="S56" s="121"/>
    </row>
    <row r="57">
      <c r="A57" s="142"/>
      <c r="B57" s="125"/>
      <c r="C57" s="122"/>
      <c r="D57" s="114"/>
      <c r="E57" s="114"/>
      <c r="F57" s="114"/>
      <c r="G57" s="114"/>
      <c r="H57" s="114"/>
      <c r="I57" s="116"/>
      <c r="J57" s="123"/>
      <c r="K57" s="118"/>
      <c r="L57" s="118"/>
      <c r="M57" s="118"/>
      <c r="N57" s="118"/>
      <c r="O57" s="118"/>
      <c r="P57" s="116"/>
      <c r="Q57" s="121"/>
      <c r="R57" s="121"/>
      <c r="S57" s="121"/>
    </row>
    <row r="58">
      <c r="A58" s="135"/>
      <c r="B58" s="136" t="s">
        <v>94</v>
      </c>
      <c r="C58" s="165">
        <f t="shared" ref="C58:H58" si="18">sum(C59:C79)</f>
        <v>0</v>
      </c>
      <c r="D58" s="166">
        <f t="shared" si="18"/>
        <v>0</v>
      </c>
      <c r="E58" s="166">
        <f t="shared" si="18"/>
        <v>0</v>
      </c>
      <c r="F58" s="166">
        <f t="shared" si="18"/>
        <v>0</v>
      </c>
      <c r="G58" s="166">
        <f t="shared" si="18"/>
        <v>0</v>
      </c>
      <c r="H58" s="166">
        <f t="shared" si="18"/>
        <v>0</v>
      </c>
      <c r="I58" s="167">
        <f t="shared" ref="I58:K58" si="19">SUM(I59:I84)</f>
        <v>0</v>
      </c>
      <c r="J58" s="165">
        <f t="shared" si="19"/>
        <v>0</v>
      </c>
      <c r="K58" s="166">
        <f t="shared" si="19"/>
        <v>0</v>
      </c>
      <c r="L58" s="166"/>
      <c r="M58" s="166"/>
      <c r="N58" s="166"/>
      <c r="O58" s="166"/>
      <c r="P58" s="168">
        <f>SUM(P59:P84)</f>
        <v>0</v>
      </c>
      <c r="Q58" s="166">
        <f t="shared" ref="Q58:Q85" si="20">I58-P58</f>
        <v>0</v>
      </c>
      <c r="R58" s="169">
        <f t="shared" ref="R58:R85" si="21">IFERROR(I58/P58,0)</f>
        <v>0</v>
      </c>
      <c r="S58" s="141" t="str">
        <f>IF(Q58=0,"",IF(R58&gt;1,"план не выполнен","выполнение"))</f>
        <v/>
      </c>
    </row>
    <row r="59">
      <c r="A59" s="142" t="str">
        <f>IFERROR(VLOOKUP(B59,'Статьи'!$A$2:C81,3,0)," ")</f>
        <v>1С</v>
      </c>
      <c r="B59" s="125" t="str">
        <f>IFERROR(__xludf.DUMMYFUNCTION("iferror(filter('Статьи'!$A$1:$A177,'Статьи'!$B$1:$B177=$B$58))"),"Зарплата производственного персонала")</f>
        <v>Зарплата производственного персонала</v>
      </c>
      <c r="C59" s="170"/>
      <c r="D59" s="149"/>
      <c r="E59" s="143"/>
      <c r="F59" s="143"/>
      <c r="G59" s="143"/>
      <c r="H59" s="143"/>
      <c r="I59" s="116">
        <f t="shared" ref="I59:I84" si="22">SUM(C59:H59)</f>
        <v>0</v>
      </c>
      <c r="J59" s="117"/>
      <c r="K59" s="118"/>
      <c r="L59" s="118"/>
      <c r="M59" s="118"/>
      <c r="N59" s="118"/>
      <c r="O59" s="118"/>
      <c r="P59" s="116">
        <f t="shared" ref="P59:P84" si="23">SUM(J59:K59)</f>
        <v>0</v>
      </c>
      <c r="Q59" s="119">
        <f t="shared" si="20"/>
        <v>0</v>
      </c>
      <c r="R59" s="120">
        <f t="shared" si="21"/>
        <v>0</v>
      </c>
      <c r="S59" s="121" t="str">
        <f t="shared" ref="S59:S84" si="24">IF(Q59=0,"",IF(R59=0,"обратить внимание",IF(R59&gt;1,"перерасход","экономия")))</f>
        <v/>
      </c>
    </row>
    <row r="60">
      <c r="A60" s="142" t="str">
        <f>IFERROR(VLOOKUP(B60,'Статьи'!$A$2:C82,3,0)," ")</f>
        <v>ДДС отчетного месяца. Без НДС!</v>
      </c>
      <c r="B60" s="125" t="str">
        <f>IFERROR(__xludf.DUMMYFUNCTION("""COMPUTED_VALUE"""),"Таможенные расходы")</f>
        <v>Таможенные расходы</v>
      </c>
      <c r="C60" s="171"/>
      <c r="D60" s="149"/>
      <c r="E60" s="143"/>
      <c r="F60" s="143"/>
      <c r="G60" s="143"/>
      <c r="H60" s="149"/>
      <c r="I60" s="116">
        <f t="shared" si="22"/>
        <v>0</v>
      </c>
      <c r="J60" s="117"/>
      <c r="K60" s="118"/>
      <c r="L60" s="118"/>
      <c r="M60" s="118"/>
      <c r="N60" s="118"/>
      <c r="O60" s="118"/>
      <c r="P60" s="116">
        <f t="shared" si="23"/>
        <v>0</v>
      </c>
      <c r="Q60" s="119">
        <f t="shared" si="20"/>
        <v>0</v>
      </c>
      <c r="R60" s="120">
        <f t="shared" si="21"/>
        <v>0</v>
      </c>
      <c r="S60" s="121" t="str">
        <f t="shared" si="24"/>
        <v/>
      </c>
    </row>
    <row r="61">
      <c r="A61" s="142" t="str">
        <f>IFERROR(VLOOKUP(B61,'Статьи'!$A$2:C83,3,0)," ")</f>
        <v> </v>
      </c>
      <c r="B61" s="125"/>
      <c r="C61" s="171"/>
      <c r="D61" s="172"/>
      <c r="E61" s="143"/>
      <c r="F61" s="143"/>
      <c r="G61" s="143"/>
      <c r="H61" s="149"/>
      <c r="I61" s="116">
        <f t="shared" si="22"/>
        <v>0</v>
      </c>
      <c r="J61" s="117"/>
      <c r="K61" s="118"/>
      <c r="L61" s="118"/>
      <c r="M61" s="118"/>
      <c r="N61" s="118"/>
      <c r="O61" s="118"/>
      <c r="P61" s="116">
        <f t="shared" si="23"/>
        <v>0</v>
      </c>
      <c r="Q61" s="119">
        <f t="shared" si="20"/>
        <v>0</v>
      </c>
      <c r="R61" s="120">
        <f t="shared" si="21"/>
        <v>0</v>
      </c>
      <c r="S61" s="121" t="str">
        <f t="shared" si="24"/>
        <v/>
      </c>
    </row>
    <row r="62">
      <c r="A62" s="142" t="str">
        <f>IFERROR(VLOOKUP(B62,'Статьи'!$A$2:C84,3,0)," ")</f>
        <v> </v>
      </c>
      <c r="B62" s="125"/>
      <c r="C62" s="171"/>
      <c r="D62" s="172"/>
      <c r="E62" s="143"/>
      <c r="F62" s="143"/>
      <c r="G62" s="143"/>
      <c r="H62" s="149"/>
      <c r="I62" s="116">
        <f t="shared" si="22"/>
        <v>0</v>
      </c>
      <c r="J62" s="123"/>
      <c r="K62" s="118"/>
      <c r="L62" s="118"/>
      <c r="M62" s="118"/>
      <c r="N62" s="118"/>
      <c r="O62" s="118"/>
      <c r="P62" s="116">
        <f t="shared" si="23"/>
        <v>0</v>
      </c>
      <c r="Q62" s="119">
        <f t="shared" si="20"/>
        <v>0</v>
      </c>
      <c r="R62" s="120">
        <f t="shared" si="21"/>
        <v>0</v>
      </c>
      <c r="S62" s="121" t="str">
        <f t="shared" si="24"/>
        <v/>
      </c>
    </row>
    <row r="63">
      <c r="A63" s="142" t="str">
        <f>IFERROR(VLOOKUP(B63,'Статьи'!$A$2:C85,3,0)," ")</f>
        <v> </v>
      </c>
      <c r="B63" s="125"/>
      <c r="C63" s="171"/>
      <c r="D63" s="172"/>
      <c r="E63" s="143"/>
      <c r="F63" s="143"/>
      <c r="G63" s="143"/>
      <c r="H63" s="149"/>
      <c r="I63" s="116">
        <f t="shared" si="22"/>
        <v>0</v>
      </c>
      <c r="J63" s="117"/>
      <c r="K63" s="118"/>
      <c r="L63" s="118"/>
      <c r="M63" s="118"/>
      <c r="N63" s="118"/>
      <c r="O63" s="118"/>
      <c r="P63" s="116">
        <f t="shared" si="23"/>
        <v>0</v>
      </c>
      <c r="Q63" s="119">
        <f t="shared" si="20"/>
        <v>0</v>
      </c>
      <c r="R63" s="120">
        <f t="shared" si="21"/>
        <v>0</v>
      </c>
      <c r="S63" s="121" t="str">
        <f t="shared" si="24"/>
        <v/>
      </c>
    </row>
    <row r="64">
      <c r="A64" s="142" t="str">
        <f>IFERROR(VLOOKUP(B64,'Статьи'!$A$2:C86,3,0)," ")</f>
        <v> </v>
      </c>
      <c r="B64" s="125"/>
      <c r="C64" s="171"/>
      <c r="D64" s="172"/>
      <c r="E64" s="143"/>
      <c r="F64" s="143"/>
      <c r="G64" s="143"/>
      <c r="H64" s="149"/>
      <c r="I64" s="116">
        <f t="shared" si="22"/>
        <v>0</v>
      </c>
      <c r="J64" s="117"/>
      <c r="K64" s="118"/>
      <c r="L64" s="118"/>
      <c r="M64" s="118"/>
      <c r="N64" s="118"/>
      <c r="O64" s="118"/>
      <c r="P64" s="116">
        <f t="shared" si="23"/>
        <v>0</v>
      </c>
      <c r="Q64" s="119">
        <f t="shared" si="20"/>
        <v>0</v>
      </c>
      <c r="R64" s="120">
        <f t="shared" si="21"/>
        <v>0</v>
      </c>
      <c r="S64" s="121" t="str">
        <f t="shared" si="24"/>
        <v/>
      </c>
    </row>
    <row r="65">
      <c r="A65" s="142" t="str">
        <f>IFERROR(VLOOKUP(B65,'Статьи'!$A$2:C87,3,0)," ")</f>
        <v> </v>
      </c>
      <c r="B65" s="125"/>
      <c r="C65" s="171"/>
      <c r="D65" s="172"/>
      <c r="E65" s="143"/>
      <c r="F65" s="143"/>
      <c r="G65" s="143"/>
      <c r="H65" s="149"/>
      <c r="I65" s="116">
        <f t="shared" si="22"/>
        <v>0</v>
      </c>
      <c r="J65" s="117"/>
      <c r="K65" s="118"/>
      <c r="L65" s="118"/>
      <c r="M65" s="118"/>
      <c r="N65" s="118"/>
      <c r="O65" s="118"/>
      <c r="P65" s="116">
        <f t="shared" si="23"/>
        <v>0</v>
      </c>
      <c r="Q65" s="119">
        <f t="shared" si="20"/>
        <v>0</v>
      </c>
      <c r="R65" s="120">
        <f t="shared" si="21"/>
        <v>0</v>
      </c>
      <c r="S65" s="121" t="str">
        <f t="shared" si="24"/>
        <v/>
      </c>
    </row>
    <row r="66">
      <c r="A66" s="142" t="str">
        <f>IFERROR(VLOOKUP(B66,'Статьи'!$A$2:C88,3,0)," ")</f>
        <v> </v>
      </c>
      <c r="B66" s="125"/>
      <c r="C66" s="171"/>
      <c r="D66" s="172"/>
      <c r="E66" s="143"/>
      <c r="F66" s="143"/>
      <c r="G66" s="143"/>
      <c r="H66" s="149"/>
      <c r="I66" s="116">
        <f t="shared" si="22"/>
        <v>0</v>
      </c>
      <c r="J66" s="117"/>
      <c r="K66" s="118"/>
      <c r="L66" s="118"/>
      <c r="M66" s="118"/>
      <c r="N66" s="118"/>
      <c r="O66" s="118"/>
      <c r="P66" s="116">
        <f t="shared" si="23"/>
        <v>0</v>
      </c>
      <c r="Q66" s="119">
        <f t="shared" si="20"/>
        <v>0</v>
      </c>
      <c r="R66" s="120">
        <f t="shared" si="21"/>
        <v>0</v>
      </c>
      <c r="S66" s="121" t="str">
        <f t="shared" si="24"/>
        <v/>
      </c>
    </row>
    <row r="67">
      <c r="A67" s="142" t="str">
        <f>IFERROR(VLOOKUP(B67,'Статьи'!$A$2:C89,3,0)," ")</f>
        <v> </v>
      </c>
      <c r="B67" s="125"/>
      <c r="C67" s="171"/>
      <c r="D67" s="172"/>
      <c r="E67" s="143"/>
      <c r="F67" s="143"/>
      <c r="G67" s="143"/>
      <c r="H67" s="149"/>
      <c r="I67" s="116">
        <f t="shared" si="22"/>
        <v>0</v>
      </c>
      <c r="J67" s="117"/>
      <c r="K67" s="118"/>
      <c r="L67" s="118"/>
      <c r="M67" s="118"/>
      <c r="N67" s="118"/>
      <c r="O67" s="118"/>
      <c r="P67" s="116">
        <f t="shared" si="23"/>
        <v>0</v>
      </c>
      <c r="Q67" s="119">
        <f t="shared" si="20"/>
        <v>0</v>
      </c>
      <c r="R67" s="120">
        <f t="shared" si="21"/>
        <v>0</v>
      </c>
      <c r="S67" s="121" t="str">
        <f t="shared" si="24"/>
        <v/>
      </c>
    </row>
    <row r="68">
      <c r="A68" s="142" t="str">
        <f>IFERROR(VLOOKUP(B68,'Статьи'!$A$2:C90,3,0)," ")</f>
        <v> </v>
      </c>
      <c r="B68" s="125"/>
      <c r="C68" s="171"/>
      <c r="D68" s="172"/>
      <c r="E68" s="143"/>
      <c r="F68" s="143"/>
      <c r="G68" s="143"/>
      <c r="H68" s="149"/>
      <c r="I68" s="116">
        <f t="shared" si="22"/>
        <v>0</v>
      </c>
      <c r="J68" s="123"/>
      <c r="K68" s="118"/>
      <c r="L68" s="118"/>
      <c r="M68" s="118"/>
      <c r="N68" s="118"/>
      <c r="O68" s="118"/>
      <c r="P68" s="116">
        <f t="shared" si="23"/>
        <v>0</v>
      </c>
      <c r="Q68" s="119">
        <f t="shared" si="20"/>
        <v>0</v>
      </c>
      <c r="R68" s="120">
        <f t="shared" si="21"/>
        <v>0</v>
      </c>
      <c r="S68" s="121" t="str">
        <f t="shared" si="24"/>
        <v/>
      </c>
    </row>
    <row r="69">
      <c r="A69" s="142" t="str">
        <f>IFERROR(VLOOKUP(B69,'Статьи'!$A$2:C91,3,0)," ")</f>
        <v> </v>
      </c>
      <c r="B69" s="125"/>
      <c r="C69" s="171"/>
      <c r="D69" s="172"/>
      <c r="E69" s="143"/>
      <c r="F69" s="143"/>
      <c r="G69" s="143"/>
      <c r="H69" s="149"/>
      <c r="I69" s="116">
        <f t="shared" si="22"/>
        <v>0</v>
      </c>
      <c r="J69" s="117"/>
      <c r="K69" s="118"/>
      <c r="L69" s="118"/>
      <c r="M69" s="118"/>
      <c r="N69" s="118"/>
      <c r="O69" s="118"/>
      <c r="P69" s="116">
        <f t="shared" si="23"/>
        <v>0</v>
      </c>
      <c r="Q69" s="119">
        <f t="shared" si="20"/>
        <v>0</v>
      </c>
      <c r="R69" s="120">
        <f t="shared" si="21"/>
        <v>0</v>
      </c>
      <c r="S69" s="121" t="str">
        <f t="shared" si="24"/>
        <v/>
      </c>
    </row>
    <row r="70">
      <c r="A70" s="142" t="str">
        <f>IFERROR(VLOOKUP(B70,'Статьи'!$A$2:C92,3,0)," ")</f>
        <v> </v>
      </c>
      <c r="B70" s="125"/>
      <c r="C70" s="171"/>
      <c r="D70" s="172"/>
      <c r="E70" s="143"/>
      <c r="F70" s="143"/>
      <c r="G70" s="143"/>
      <c r="H70" s="149"/>
      <c r="I70" s="116">
        <f t="shared" si="22"/>
        <v>0</v>
      </c>
      <c r="J70" s="117"/>
      <c r="K70" s="118"/>
      <c r="L70" s="118"/>
      <c r="M70" s="118"/>
      <c r="N70" s="118"/>
      <c r="O70" s="118"/>
      <c r="P70" s="116">
        <f t="shared" si="23"/>
        <v>0</v>
      </c>
      <c r="Q70" s="119">
        <f t="shared" si="20"/>
        <v>0</v>
      </c>
      <c r="R70" s="120">
        <f t="shared" si="21"/>
        <v>0</v>
      </c>
      <c r="S70" s="121" t="str">
        <f t="shared" si="24"/>
        <v/>
      </c>
    </row>
    <row r="71" collapsed="1">
      <c r="A71" s="142" t="str">
        <f>IFERROR(VLOOKUP(B71,'Статьи'!$A$2:C93,3,0)," ")</f>
        <v> </v>
      </c>
      <c r="B71" s="125"/>
      <c r="C71" s="171"/>
      <c r="D71" s="172"/>
      <c r="E71" s="143"/>
      <c r="F71" s="143"/>
      <c r="G71" s="143"/>
      <c r="H71" s="149"/>
      <c r="I71" s="116">
        <f t="shared" si="22"/>
        <v>0</v>
      </c>
      <c r="J71" s="117"/>
      <c r="K71" s="118"/>
      <c r="L71" s="118"/>
      <c r="M71" s="118"/>
      <c r="N71" s="118"/>
      <c r="O71" s="118"/>
      <c r="P71" s="116">
        <f t="shared" si="23"/>
        <v>0</v>
      </c>
      <c r="Q71" s="119">
        <f t="shared" si="20"/>
        <v>0</v>
      </c>
      <c r="R71" s="120">
        <f t="shared" si="21"/>
        <v>0</v>
      </c>
      <c r="S71" s="121" t="str">
        <f t="shared" si="24"/>
        <v/>
      </c>
    </row>
    <row r="72" hidden="1" outlineLevel="1">
      <c r="A72" s="142" t="str">
        <f>IFERROR(VLOOKUP(B72,'Статьи'!$A$2:C94,3,0)," ")</f>
        <v> </v>
      </c>
      <c r="B72" s="125"/>
      <c r="C72" s="170"/>
      <c r="D72" s="149"/>
      <c r="E72" s="143"/>
      <c r="F72" s="143"/>
      <c r="G72" s="143"/>
      <c r="H72" s="149"/>
      <c r="I72" s="116">
        <f t="shared" si="22"/>
        <v>0</v>
      </c>
      <c r="J72" s="123"/>
      <c r="K72" s="118"/>
      <c r="L72" s="118"/>
      <c r="M72" s="118"/>
      <c r="N72" s="118"/>
      <c r="O72" s="118"/>
      <c r="P72" s="116">
        <f t="shared" si="23"/>
        <v>0</v>
      </c>
      <c r="Q72" s="119">
        <f t="shared" si="20"/>
        <v>0</v>
      </c>
      <c r="R72" s="120">
        <f t="shared" si="21"/>
        <v>0</v>
      </c>
      <c r="S72" s="121" t="str">
        <f t="shared" si="24"/>
        <v/>
      </c>
    </row>
    <row r="73" hidden="1" outlineLevel="1">
      <c r="A73" s="142" t="str">
        <f>IFERROR(VLOOKUP(B73,'Статьи'!$A$2:C95,3,0)," ")</f>
        <v> </v>
      </c>
      <c r="B73" s="125"/>
      <c r="C73" s="170"/>
      <c r="D73" s="149"/>
      <c r="E73" s="143"/>
      <c r="F73" s="143"/>
      <c r="G73" s="143"/>
      <c r="H73" s="149"/>
      <c r="I73" s="116">
        <f t="shared" si="22"/>
        <v>0</v>
      </c>
      <c r="J73" s="123"/>
      <c r="K73" s="118"/>
      <c r="L73" s="118"/>
      <c r="M73" s="118"/>
      <c r="N73" s="118"/>
      <c r="O73" s="118"/>
      <c r="P73" s="116">
        <f t="shared" si="23"/>
        <v>0</v>
      </c>
      <c r="Q73" s="119">
        <f t="shared" si="20"/>
        <v>0</v>
      </c>
      <c r="R73" s="120">
        <f t="shared" si="21"/>
        <v>0</v>
      </c>
      <c r="S73" s="121" t="str">
        <f t="shared" si="24"/>
        <v/>
      </c>
    </row>
    <row r="74" hidden="1" outlineLevel="1">
      <c r="A74" s="142" t="str">
        <f>IFERROR(VLOOKUP(B74,'Статьи'!$A$2:C96,3,0)," ")</f>
        <v> </v>
      </c>
      <c r="B74" s="125"/>
      <c r="C74" s="170"/>
      <c r="D74" s="149"/>
      <c r="E74" s="143"/>
      <c r="F74" s="143"/>
      <c r="G74" s="143"/>
      <c r="H74" s="149"/>
      <c r="I74" s="116">
        <f t="shared" si="22"/>
        <v>0</v>
      </c>
      <c r="J74" s="123"/>
      <c r="K74" s="118"/>
      <c r="L74" s="118"/>
      <c r="M74" s="118"/>
      <c r="N74" s="118"/>
      <c r="O74" s="118"/>
      <c r="P74" s="116">
        <f t="shared" si="23"/>
        <v>0</v>
      </c>
      <c r="Q74" s="119">
        <f t="shared" si="20"/>
        <v>0</v>
      </c>
      <c r="R74" s="120">
        <f t="shared" si="21"/>
        <v>0</v>
      </c>
      <c r="S74" s="121" t="str">
        <f t="shared" si="24"/>
        <v/>
      </c>
    </row>
    <row r="75" hidden="1" outlineLevel="1">
      <c r="A75" s="142" t="str">
        <f>IFERROR(VLOOKUP(B75,'Статьи'!$A$2:C97,3,0)," ")</f>
        <v> </v>
      </c>
      <c r="B75" s="125"/>
      <c r="C75" s="170"/>
      <c r="D75" s="149"/>
      <c r="E75" s="143"/>
      <c r="F75" s="143"/>
      <c r="G75" s="143"/>
      <c r="H75" s="149"/>
      <c r="I75" s="116">
        <f t="shared" si="22"/>
        <v>0</v>
      </c>
      <c r="J75" s="123"/>
      <c r="K75" s="118"/>
      <c r="L75" s="118"/>
      <c r="M75" s="118"/>
      <c r="N75" s="118"/>
      <c r="O75" s="118"/>
      <c r="P75" s="116">
        <f t="shared" si="23"/>
        <v>0</v>
      </c>
      <c r="Q75" s="119">
        <f t="shared" si="20"/>
        <v>0</v>
      </c>
      <c r="R75" s="120">
        <f t="shared" si="21"/>
        <v>0</v>
      </c>
      <c r="S75" s="121" t="str">
        <f t="shared" si="24"/>
        <v/>
      </c>
    </row>
    <row r="76" hidden="1" outlineLevel="1">
      <c r="A76" s="142" t="str">
        <f>IFERROR(VLOOKUP(B76,'Статьи'!$A$2:C98,3,0)," ")</f>
        <v> </v>
      </c>
      <c r="B76" s="125"/>
      <c r="C76" s="173"/>
      <c r="D76" s="143"/>
      <c r="E76" s="149"/>
      <c r="F76" s="143"/>
      <c r="G76" s="143"/>
      <c r="H76" s="143"/>
      <c r="I76" s="116">
        <f t="shared" si="22"/>
        <v>0</v>
      </c>
      <c r="J76" s="123"/>
      <c r="K76" s="118"/>
      <c r="L76" s="118"/>
      <c r="M76" s="118"/>
      <c r="N76" s="118"/>
      <c r="O76" s="118"/>
      <c r="P76" s="116">
        <f t="shared" si="23"/>
        <v>0</v>
      </c>
      <c r="Q76" s="119">
        <f t="shared" si="20"/>
        <v>0</v>
      </c>
      <c r="R76" s="120">
        <f t="shared" si="21"/>
        <v>0</v>
      </c>
      <c r="S76" s="121" t="str">
        <f t="shared" si="24"/>
        <v/>
      </c>
    </row>
    <row r="77" hidden="1" outlineLevel="1">
      <c r="A77" s="142" t="str">
        <f>IFERROR(VLOOKUP(B77,'Статьи'!$A$2:C99,3,0)," ")</f>
        <v> </v>
      </c>
      <c r="B77" s="125"/>
      <c r="C77" s="170"/>
      <c r="D77" s="174"/>
      <c r="E77" s="174"/>
      <c r="F77" s="174"/>
      <c r="G77" s="174"/>
      <c r="H77" s="174"/>
      <c r="I77" s="116">
        <f t="shared" si="22"/>
        <v>0</v>
      </c>
      <c r="J77" s="123"/>
      <c r="K77" s="118"/>
      <c r="L77" s="118"/>
      <c r="M77" s="118"/>
      <c r="N77" s="118"/>
      <c r="O77" s="118"/>
      <c r="P77" s="116">
        <f t="shared" si="23"/>
        <v>0</v>
      </c>
      <c r="Q77" s="119">
        <f t="shared" si="20"/>
        <v>0</v>
      </c>
      <c r="R77" s="120">
        <f t="shared" si="21"/>
        <v>0</v>
      </c>
      <c r="S77" s="121" t="str">
        <f t="shared" si="24"/>
        <v/>
      </c>
    </row>
    <row r="78" hidden="1" outlineLevel="1">
      <c r="A78" s="175" t="str">
        <f>IFERROR(VLOOKUP(B78,'Статьи'!$A$2:C100,3,0)," ")</f>
        <v> </v>
      </c>
      <c r="B78" s="176"/>
      <c r="C78" s="122"/>
      <c r="D78" s="114"/>
      <c r="E78" s="114"/>
      <c r="F78" s="114"/>
      <c r="G78" s="114"/>
      <c r="H78" s="149"/>
      <c r="I78" s="116">
        <f t="shared" si="22"/>
        <v>0</v>
      </c>
      <c r="J78" s="123"/>
      <c r="K78" s="118"/>
      <c r="L78" s="118"/>
      <c r="M78" s="118"/>
      <c r="N78" s="118"/>
      <c r="O78" s="118"/>
      <c r="P78" s="116">
        <f t="shared" si="23"/>
        <v>0</v>
      </c>
      <c r="Q78" s="119">
        <f t="shared" si="20"/>
        <v>0</v>
      </c>
      <c r="R78" s="120">
        <f t="shared" si="21"/>
        <v>0</v>
      </c>
      <c r="S78" s="121" t="str">
        <f t="shared" si="24"/>
        <v/>
      </c>
    </row>
    <row r="79" hidden="1" outlineLevel="1">
      <c r="A79" s="110" t="str">
        <f>IFERROR(VLOOKUP(B79,'Статьи'!$A$2:C101,3,0)," ")</f>
        <v> </v>
      </c>
      <c r="B79" s="111"/>
      <c r="C79" s="122"/>
      <c r="D79" s="115"/>
      <c r="E79" s="115"/>
      <c r="F79" s="115"/>
      <c r="G79" s="115"/>
      <c r="H79" s="115"/>
      <c r="I79" s="116">
        <f t="shared" si="22"/>
        <v>0</v>
      </c>
      <c r="J79" s="123"/>
      <c r="K79" s="118"/>
      <c r="L79" s="118"/>
      <c r="M79" s="118"/>
      <c r="N79" s="118"/>
      <c r="O79" s="118"/>
      <c r="P79" s="116">
        <f t="shared" si="23"/>
        <v>0</v>
      </c>
      <c r="Q79" s="119">
        <f t="shared" si="20"/>
        <v>0</v>
      </c>
      <c r="R79" s="120">
        <f t="shared" si="21"/>
        <v>0</v>
      </c>
      <c r="S79" s="121" t="str">
        <f t="shared" si="24"/>
        <v/>
      </c>
    </row>
    <row r="80" hidden="1" outlineLevel="1">
      <c r="A80" s="110" t="str">
        <f>IFERROR(VLOOKUP(B80,'Статьи'!$A$2:C102,3,0)," ")</f>
        <v> </v>
      </c>
      <c r="B80" s="111"/>
      <c r="C80" s="122"/>
      <c r="D80" s="115"/>
      <c r="E80" s="115"/>
      <c r="F80" s="115"/>
      <c r="G80" s="115"/>
      <c r="H80" s="115"/>
      <c r="I80" s="116">
        <f t="shared" si="22"/>
        <v>0</v>
      </c>
      <c r="J80" s="123"/>
      <c r="K80" s="118"/>
      <c r="L80" s="118"/>
      <c r="M80" s="118"/>
      <c r="N80" s="118"/>
      <c r="O80" s="118"/>
      <c r="P80" s="116">
        <f t="shared" si="23"/>
        <v>0</v>
      </c>
      <c r="Q80" s="119">
        <f t="shared" si="20"/>
        <v>0</v>
      </c>
      <c r="R80" s="120">
        <f t="shared" si="21"/>
        <v>0</v>
      </c>
      <c r="S80" s="121" t="str">
        <f t="shared" si="24"/>
        <v/>
      </c>
    </row>
    <row r="81" hidden="1" outlineLevel="1">
      <c r="A81" s="110" t="str">
        <f>IFERROR(VLOOKUP(B81,'Статьи'!$A$2:C103,3,0)," ")</f>
        <v> </v>
      </c>
      <c r="B81" s="111"/>
      <c r="C81" s="122"/>
      <c r="D81" s="115"/>
      <c r="E81" s="115"/>
      <c r="F81" s="115"/>
      <c r="G81" s="115"/>
      <c r="H81" s="115"/>
      <c r="I81" s="116">
        <f t="shared" si="22"/>
        <v>0</v>
      </c>
      <c r="J81" s="123"/>
      <c r="K81" s="118"/>
      <c r="L81" s="118"/>
      <c r="M81" s="118"/>
      <c r="N81" s="118"/>
      <c r="O81" s="118"/>
      <c r="P81" s="116">
        <f t="shared" si="23"/>
        <v>0</v>
      </c>
      <c r="Q81" s="119">
        <f t="shared" si="20"/>
        <v>0</v>
      </c>
      <c r="R81" s="120">
        <f t="shared" si="21"/>
        <v>0</v>
      </c>
      <c r="S81" s="121" t="str">
        <f t="shared" si="24"/>
        <v/>
      </c>
    </row>
    <row r="82" hidden="1" outlineLevel="1">
      <c r="A82" s="110" t="str">
        <f>IFERROR(VLOOKUP(B82,'Статьи'!$A$2:C104,3,0)," ")</f>
        <v> </v>
      </c>
      <c r="B82" s="111"/>
      <c r="C82" s="122"/>
      <c r="D82" s="115"/>
      <c r="E82" s="115"/>
      <c r="F82" s="115"/>
      <c r="G82" s="115"/>
      <c r="H82" s="115"/>
      <c r="I82" s="116">
        <f t="shared" si="22"/>
        <v>0</v>
      </c>
      <c r="J82" s="123"/>
      <c r="K82" s="118"/>
      <c r="L82" s="118"/>
      <c r="M82" s="118"/>
      <c r="N82" s="118"/>
      <c r="O82" s="118"/>
      <c r="P82" s="116">
        <f t="shared" si="23"/>
        <v>0</v>
      </c>
      <c r="Q82" s="119">
        <f t="shared" si="20"/>
        <v>0</v>
      </c>
      <c r="R82" s="120">
        <f t="shared" si="21"/>
        <v>0</v>
      </c>
      <c r="S82" s="121" t="str">
        <f t="shared" si="24"/>
        <v/>
      </c>
    </row>
    <row r="83" hidden="1" outlineLevel="1">
      <c r="A83" s="110" t="str">
        <f>IFERROR(VLOOKUP(B83,'Статьи'!$A$2:C105,3,0)," ")</f>
        <v> </v>
      </c>
      <c r="B83" s="111"/>
      <c r="C83" s="122"/>
      <c r="D83" s="115"/>
      <c r="E83" s="115"/>
      <c r="F83" s="115"/>
      <c r="G83" s="115"/>
      <c r="H83" s="115"/>
      <c r="I83" s="116">
        <f t="shared" si="22"/>
        <v>0</v>
      </c>
      <c r="J83" s="123"/>
      <c r="K83" s="118"/>
      <c r="L83" s="118"/>
      <c r="M83" s="118"/>
      <c r="N83" s="118"/>
      <c r="O83" s="118"/>
      <c r="P83" s="116">
        <f t="shared" si="23"/>
        <v>0</v>
      </c>
      <c r="Q83" s="119">
        <f t="shared" si="20"/>
        <v>0</v>
      </c>
      <c r="R83" s="120">
        <f t="shared" si="21"/>
        <v>0</v>
      </c>
      <c r="S83" s="121" t="str">
        <f t="shared" si="24"/>
        <v/>
      </c>
    </row>
    <row r="84">
      <c r="A84" s="110" t="str">
        <f>IFERROR(VLOOKUP(B84,'Статьи'!$A$2:C106,3,0)," ")</f>
        <v> </v>
      </c>
      <c r="B84" s="111"/>
      <c r="C84" s="122"/>
      <c r="D84" s="115"/>
      <c r="E84" s="115"/>
      <c r="F84" s="115"/>
      <c r="G84" s="115"/>
      <c r="H84" s="115"/>
      <c r="I84" s="116">
        <f t="shared" si="22"/>
        <v>0</v>
      </c>
      <c r="J84" s="123"/>
      <c r="K84" s="118"/>
      <c r="L84" s="118"/>
      <c r="M84" s="118"/>
      <c r="N84" s="118"/>
      <c r="O84" s="118"/>
      <c r="P84" s="116">
        <f t="shared" si="23"/>
        <v>0</v>
      </c>
      <c r="Q84" s="119">
        <f t="shared" si="20"/>
        <v>0</v>
      </c>
      <c r="R84" s="120">
        <f t="shared" si="21"/>
        <v>0</v>
      </c>
      <c r="S84" s="121" t="str">
        <f t="shared" si="24"/>
        <v/>
      </c>
    </row>
    <row r="85">
      <c r="A85" s="152"/>
      <c r="B85" s="153" t="s">
        <v>138</v>
      </c>
      <c r="C85" s="154">
        <f t="shared" ref="C85:K85" si="25">C55+C58</f>
        <v>7</v>
      </c>
      <c r="D85" s="155">
        <f t="shared" si="25"/>
        <v>0</v>
      </c>
      <c r="E85" s="155">
        <f t="shared" si="25"/>
        <v>0</v>
      </c>
      <c r="F85" s="155">
        <f t="shared" si="25"/>
        <v>0</v>
      </c>
      <c r="G85" s="155">
        <f t="shared" si="25"/>
        <v>0</v>
      </c>
      <c r="H85" s="155">
        <f t="shared" si="25"/>
        <v>0</v>
      </c>
      <c r="I85" s="157">
        <f t="shared" si="25"/>
        <v>7</v>
      </c>
      <c r="J85" s="154">
        <f t="shared" si="25"/>
        <v>0</v>
      </c>
      <c r="K85" s="155">
        <f t="shared" si="25"/>
        <v>0</v>
      </c>
      <c r="L85" s="155"/>
      <c r="M85" s="155"/>
      <c r="N85" s="155"/>
      <c r="O85" s="155"/>
      <c r="P85" s="157">
        <f>P55+P58</f>
        <v>0</v>
      </c>
      <c r="Q85" s="155">
        <f t="shared" si="20"/>
        <v>7</v>
      </c>
      <c r="R85" s="158">
        <f t="shared" si="21"/>
        <v>0</v>
      </c>
      <c r="S85" s="177" t="str">
        <f>IF(Q85=0,"",IF(R85&gt;1,"выполнение","план не выполнен"))</f>
        <v>план не выполнен</v>
      </c>
    </row>
    <row r="86">
      <c r="A86" s="160"/>
      <c r="B86" s="161" t="s">
        <v>139</v>
      </c>
      <c r="C86" s="162">
        <f t="shared" ref="C86:K86" si="26">IFERROR(C85/C$3,"")</f>
        <v>1</v>
      </c>
      <c r="D86" s="163" t="str">
        <f t="shared" si="26"/>
        <v/>
      </c>
      <c r="E86" s="163" t="str">
        <f t="shared" si="26"/>
        <v/>
      </c>
      <c r="F86" s="163" t="str">
        <f t="shared" si="26"/>
        <v/>
      </c>
      <c r="G86" s="163" t="str">
        <f t="shared" si="26"/>
        <v/>
      </c>
      <c r="H86" s="163" t="str">
        <f t="shared" si="26"/>
        <v/>
      </c>
      <c r="I86" s="164">
        <f t="shared" si="26"/>
        <v>1</v>
      </c>
      <c r="J86" s="162" t="str">
        <f t="shared" si="26"/>
        <v/>
      </c>
      <c r="K86" s="163" t="str">
        <f t="shared" si="26"/>
        <v/>
      </c>
      <c r="L86" s="163"/>
      <c r="M86" s="163"/>
      <c r="N86" s="163"/>
      <c r="O86" s="163"/>
      <c r="P86" s="164" t="str">
        <f>IFERROR(P85/P$3,"")</f>
        <v/>
      </c>
      <c r="Q86" s="121"/>
      <c r="R86" s="121"/>
      <c r="S86" s="121" t="str">
        <f t="shared" ref="S86:S87" si="27">IF(Q86=0,"",IF(Q86=0,0,IF(R86&gt;1,"перерасход","экономия")))</f>
        <v/>
      </c>
    </row>
    <row r="87">
      <c r="A87" s="178"/>
      <c r="B87" s="179"/>
      <c r="C87" s="124"/>
      <c r="D87" s="115"/>
      <c r="E87" s="115"/>
      <c r="F87" s="115"/>
      <c r="G87" s="115"/>
      <c r="H87" s="115"/>
      <c r="I87" s="116"/>
      <c r="J87" s="123"/>
      <c r="K87" s="118"/>
      <c r="L87" s="118"/>
      <c r="M87" s="118"/>
      <c r="N87" s="118"/>
      <c r="O87" s="118"/>
      <c r="P87" s="116"/>
      <c r="Q87" s="180"/>
      <c r="R87" s="121"/>
      <c r="S87" s="121" t="str">
        <f t="shared" si="27"/>
        <v/>
      </c>
    </row>
    <row r="88">
      <c r="A88" s="181"/>
      <c r="B88" s="127" t="s">
        <v>140</v>
      </c>
      <c r="C88" s="182">
        <f t="shared" ref="C88:K88" si="28">C101+C132+C89</f>
        <v>0</v>
      </c>
      <c r="D88" s="183">
        <f t="shared" si="28"/>
        <v>0</v>
      </c>
      <c r="E88" s="183">
        <f t="shared" si="28"/>
        <v>0</v>
      </c>
      <c r="F88" s="183">
        <f t="shared" si="28"/>
        <v>0</v>
      </c>
      <c r="G88" s="183">
        <f t="shared" si="28"/>
        <v>0</v>
      </c>
      <c r="H88" s="183">
        <f t="shared" si="28"/>
        <v>0</v>
      </c>
      <c r="I88" s="184">
        <f t="shared" si="28"/>
        <v>0</v>
      </c>
      <c r="J88" s="182">
        <f t="shared" si="28"/>
        <v>0</v>
      </c>
      <c r="K88" s="183">
        <f t="shared" si="28"/>
        <v>0</v>
      </c>
      <c r="L88" s="183"/>
      <c r="M88" s="183"/>
      <c r="N88" s="183"/>
      <c r="O88" s="183"/>
      <c r="P88" s="185">
        <f>P101+P132+P89</f>
        <v>0</v>
      </c>
      <c r="Q88" s="183">
        <f t="shared" ref="Q88:Q142" si="30">I88-P88</f>
        <v>0</v>
      </c>
      <c r="R88" s="186">
        <f t="shared" ref="R88:R142" si="31">IFERROR(I88/P88,0)</f>
        <v>0</v>
      </c>
      <c r="S88" s="134" t="str">
        <f>IF(Q88=0,"",IF(R88&gt;1,"план не выполнен","выполнение"))</f>
        <v/>
      </c>
    </row>
    <row r="89">
      <c r="A89" s="135"/>
      <c r="B89" s="136" t="s">
        <v>141</v>
      </c>
      <c r="C89" s="137">
        <f t="shared" ref="C89:K89" si="29">SUM(C90:C100)</f>
        <v>0</v>
      </c>
      <c r="D89" s="138">
        <f t="shared" si="29"/>
        <v>0</v>
      </c>
      <c r="E89" s="138">
        <f t="shared" si="29"/>
        <v>0</v>
      </c>
      <c r="F89" s="138">
        <f t="shared" si="29"/>
        <v>0</v>
      </c>
      <c r="G89" s="138">
        <f t="shared" si="29"/>
        <v>0</v>
      </c>
      <c r="H89" s="138">
        <f t="shared" si="29"/>
        <v>0</v>
      </c>
      <c r="I89" s="139">
        <f t="shared" si="29"/>
        <v>0</v>
      </c>
      <c r="J89" s="137">
        <f t="shared" si="29"/>
        <v>0</v>
      </c>
      <c r="K89" s="138">
        <f t="shared" si="29"/>
        <v>0</v>
      </c>
      <c r="L89" s="138"/>
      <c r="M89" s="138"/>
      <c r="N89" s="138"/>
      <c r="O89" s="138"/>
      <c r="P89" s="140">
        <f>SUM(P90:P100)</f>
        <v>0</v>
      </c>
      <c r="Q89" s="138">
        <f t="shared" si="30"/>
        <v>0</v>
      </c>
      <c r="R89" s="187">
        <f t="shared" si="31"/>
        <v>0</v>
      </c>
      <c r="S89" s="141" t="str">
        <f>IF(Q89=0,"",IF(Q89=0,0,IF(R89&gt;1,"перерасход","экономия")))</f>
        <v/>
      </c>
    </row>
    <row r="90">
      <c r="A90" s="142" t="str">
        <f>IFERROR(VLOOKUP(B90,'Статьи'!$A$2:C112,3,0)," ")</f>
        <v> </v>
      </c>
      <c r="B90" s="125" t="str">
        <f>IFERROR(__xludf.DUMMYFUNCTION("iferror(filter('Статьи'!$A$1:$A177,'Статьи'!$B$1:$B177=$B$89))"),"")</f>
        <v/>
      </c>
      <c r="C90" s="171"/>
      <c r="D90" s="172"/>
      <c r="E90" s="149"/>
      <c r="F90" s="149"/>
      <c r="G90" s="149"/>
      <c r="H90" s="149"/>
      <c r="I90" s="188">
        <f t="shared" ref="I90:I100" si="32">sum(C90:H90)</f>
        <v>0</v>
      </c>
      <c r="J90" s="170"/>
      <c r="K90" s="149"/>
      <c r="L90" s="149"/>
      <c r="M90" s="149"/>
      <c r="N90" s="149"/>
      <c r="O90" s="149"/>
      <c r="P90" s="188">
        <f t="shared" ref="P90:P94" si="33">SUM(J90:K90)</f>
        <v>0</v>
      </c>
      <c r="Q90" s="132">
        <f t="shared" si="30"/>
        <v>0</v>
      </c>
      <c r="R90" s="133">
        <f t="shared" si="31"/>
        <v>0</v>
      </c>
      <c r="S90" s="121" t="str">
        <f t="shared" ref="S90:S94" si="34">IF(Q90=0,"",IF(R90=0,"обратить внимание",IF(R90&gt;1,"перерасход","экономия")))</f>
        <v/>
      </c>
    </row>
    <row r="91">
      <c r="A91" s="142" t="str">
        <f>IFERROR(VLOOKUP(B91,'Статьи'!$A$2:C113,3,0)," ")</f>
        <v> </v>
      </c>
      <c r="B91" s="125"/>
      <c r="C91" s="171"/>
      <c r="D91" s="172"/>
      <c r="E91" s="149"/>
      <c r="F91" s="149"/>
      <c r="G91" s="149"/>
      <c r="H91" s="149"/>
      <c r="I91" s="188">
        <f t="shared" si="32"/>
        <v>0</v>
      </c>
      <c r="J91" s="189"/>
      <c r="K91" s="149"/>
      <c r="L91" s="149"/>
      <c r="M91" s="149"/>
      <c r="N91" s="149"/>
      <c r="O91" s="149"/>
      <c r="P91" s="188">
        <f t="shared" si="33"/>
        <v>0</v>
      </c>
      <c r="Q91" s="132">
        <f t="shared" si="30"/>
        <v>0</v>
      </c>
      <c r="R91" s="133">
        <f t="shared" si="31"/>
        <v>0</v>
      </c>
      <c r="S91" s="121" t="str">
        <f t="shared" si="34"/>
        <v/>
      </c>
    </row>
    <row r="92">
      <c r="A92" s="142" t="str">
        <f>IFERROR(VLOOKUP(B92,'Статьи'!$A$2:C114,3,0)," ")</f>
        <v> </v>
      </c>
      <c r="B92" s="125"/>
      <c r="C92" s="171"/>
      <c r="D92" s="172"/>
      <c r="E92" s="149"/>
      <c r="F92" s="149"/>
      <c r="G92" s="149"/>
      <c r="H92" s="149"/>
      <c r="I92" s="188">
        <f t="shared" si="32"/>
        <v>0</v>
      </c>
      <c r="J92" s="189"/>
      <c r="K92" s="149"/>
      <c r="L92" s="149"/>
      <c r="M92" s="149"/>
      <c r="N92" s="149"/>
      <c r="O92" s="149"/>
      <c r="P92" s="188">
        <f t="shared" si="33"/>
        <v>0</v>
      </c>
      <c r="Q92" s="132">
        <f t="shared" si="30"/>
        <v>0</v>
      </c>
      <c r="R92" s="133">
        <f t="shared" si="31"/>
        <v>0</v>
      </c>
      <c r="S92" s="121" t="str">
        <f t="shared" si="34"/>
        <v/>
      </c>
    </row>
    <row r="93">
      <c r="A93" s="142" t="str">
        <f>IFERROR(VLOOKUP(B93,'Статьи'!$A$2:C115,3,0)," ")</f>
        <v> </v>
      </c>
      <c r="B93" s="125"/>
      <c r="C93" s="171"/>
      <c r="D93" s="172"/>
      <c r="E93" s="149"/>
      <c r="F93" s="149"/>
      <c r="G93" s="149"/>
      <c r="H93" s="149"/>
      <c r="I93" s="188">
        <f t="shared" si="32"/>
        <v>0</v>
      </c>
      <c r="J93" s="170"/>
      <c r="K93" s="149"/>
      <c r="L93" s="149"/>
      <c r="M93" s="149"/>
      <c r="N93" s="149"/>
      <c r="O93" s="149"/>
      <c r="P93" s="188">
        <f t="shared" si="33"/>
        <v>0</v>
      </c>
      <c r="Q93" s="132">
        <f t="shared" si="30"/>
        <v>0</v>
      </c>
      <c r="R93" s="133">
        <f t="shared" si="31"/>
        <v>0</v>
      </c>
      <c r="S93" s="121" t="str">
        <f t="shared" si="34"/>
        <v/>
      </c>
    </row>
    <row r="94" collapsed="1">
      <c r="A94" s="190" t="str">
        <f>IFERROR(VLOOKUP(B94,'Статьи'!$A$2:C116,3,0)," ")</f>
        <v> </v>
      </c>
      <c r="B94" s="125"/>
      <c r="C94" s="170"/>
      <c r="D94" s="149"/>
      <c r="E94" s="149"/>
      <c r="F94" s="149"/>
      <c r="G94" s="149"/>
      <c r="H94" s="149"/>
      <c r="I94" s="188">
        <f t="shared" si="32"/>
        <v>0</v>
      </c>
      <c r="J94" s="170"/>
      <c r="K94" s="149"/>
      <c r="L94" s="149"/>
      <c r="M94" s="149"/>
      <c r="N94" s="149"/>
      <c r="O94" s="149"/>
      <c r="P94" s="188">
        <f t="shared" si="33"/>
        <v>0</v>
      </c>
      <c r="Q94" s="132">
        <f t="shared" si="30"/>
        <v>0</v>
      </c>
      <c r="R94" s="133">
        <f t="shared" si="31"/>
        <v>0</v>
      </c>
      <c r="S94" s="121" t="str">
        <f t="shared" si="34"/>
        <v/>
      </c>
    </row>
    <row r="95" hidden="1" outlineLevel="1">
      <c r="A95" s="190"/>
      <c r="B95" s="125"/>
      <c r="C95" s="170"/>
      <c r="D95" s="149"/>
      <c r="E95" s="149"/>
      <c r="F95" s="149"/>
      <c r="G95" s="149"/>
      <c r="H95" s="149"/>
      <c r="I95" s="188">
        <f t="shared" si="32"/>
        <v>0</v>
      </c>
      <c r="J95" s="170"/>
      <c r="K95" s="149"/>
      <c r="L95" s="149"/>
      <c r="M95" s="149"/>
      <c r="N95" s="149"/>
      <c r="O95" s="149"/>
      <c r="P95" s="188">
        <f t="shared" ref="P95:P100" si="35">sum(F95:J95)</f>
        <v>0</v>
      </c>
      <c r="Q95" s="132">
        <f t="shared" si="30"/>
        <v>0</v>
      </c>
      <c r="R95" s="133">
        <f t="shared" si="31"/>
        <v>0</v>
      </c>
      <c r="S95" s="121" t="str">
        <f t="shared" ref="S95:S100" si="36">IF(Q95=0,"",IF(Q95=0,0,IF(R95&gt;1,"перерасход","экономия")))</f>
        <v/>
      </c>
    </row>
    <row r="96" hidden="1" outlineLevel="1">
      <c r="A96" s="190"/>
      <c r="B96" s="125"/>
      <c r="C96" s="170"/>
      <c r="D96" s="149"/>
      <c r="E96" s="149"/>
      <c r="F96" s="149"/>
      <c r="G96" s="149"/>
      <c r="H96" s="149"/>
      <c r="I96" s="188">
        <f t="shared" si="32"/>
        <v>0</v>
      </c>
      <c r="J96" s="170"/>
      <c r="K96" s="149"/>
      <c r="L96" s="149"/>
      <c r="M96" s="149"/>
      <c r="N96" s="149"/>
      <c r="O96" s="149"/>
      <c r="P96" s="188">
        <f t="shared" si="35"/>
        <v>0</v>
      </c>
      <c r="Q96" s="132">
        <f t="shared" si="30"/>
        <v>0</v>
      </c>
      <c r="R96" s="133">
        <f t="shared" si="31"/>
        <v>0</v>
      </c>
      <c r="S96" s="121" t="str">
        <f t="shared" si="36"/>
        <v/>
      </c>
    </row>
    <row r="97" hidden="1" outlineLevel="1">
      <c r="A97" s="190"/>
      <c r="B97" s="125"/>
      <c r="C97" s="170"/>
      <c r="D97" s="149"/>
      <c r="E97" s="149"/>
      <c r="F97" s="149"/>
      <c r="G97" s="149"/>
      <c r="H97" s="149"/>
      <c r="I97" s="188">
        <f t="shared" si="32"/>
        <v>0</v>
      </c>
      <c r="J97" s="170"/>
      <c r="K97" s="149"/>
      <c r="L97" s="149"/>
      <c r="M97" s="149"/>
      <c r="N97" s="149"/>
      <c r="O97" s="149"/>
      <c r="P97" s="188">
        <f t="shared" si="35"/>
        <v>0</v>
      </c>
      <c r="Q97" s="132">
        <f t="shared" si="30"/>
        <v>0</v>
      </c>
      <c r="R97" s="133">
        <f t="shared" si="31"/>
        <v>0</v>
      </c>
      <c r="S97" s="121" t="str">
        <f t="shared" si="36"/>
        <v/>
      </c>
    </row>
    <row r="98" hidden="1" outlineLevel="1">
      <c r="A98" s="190"/>
      <c r="B98" s="125"/>
      <c r="C98" s="170"/>
      <c r="D98" s="149"/>
      <c r="E98" s="149"/>
      <c r="F98" s="149"/>
      <c r="G98" s="149"/>
      <c r="H98" s="149"/>
      <c r="I98" s="188">
        <f t="shared" si="32"/>
        <v>0</v>
      </c>
      <c r="J98" s="170"/>
      <c r="K98" s="149"/>
      <c r="L98" s="149"/>
      <c r="M98" s="149"/>
      <c r="N98" s="149"/>
      <c r="O98" s="149"/>
      <c r="P98" s="188">
        <f t="shared" si="35"/>
        <v>0</v>
      </c>
      <c r="Q98" s="132">
        <f t="shared" si="30"/>
        <v>0</v>
      </c>
      <c r="R98" s="133">
        <f t="shared" si="31"/>
        <v>0</v>
      </c>
      <c r="S98" s="121" t="str">
        <f t="shared" si="36"/>
        <v/>
      </c>
    </row>
    <row r="99" hidden="1" outlineLevel="1">
      <c r="A99" s="190"/>
      <c r="B99" s="125"/>
      <c r="C99" s="170"/>
      <c r="D99" s="149"/>
      <c r="E99" s="149"/>
      <c r="F99" s="149"/>
      <c r="G99" s="149"/>
      <c r="H99" s="149"/>
      <c r="I99" s="188">
        <f t="shared" si="32"/>
        <v>0</v>
      </c>
      <c r="J99" s="170"/>
      <c r="K99" s="149"/>
      <c r="L99" s="149"/>
      <c r="M99" s="149"/>
      <c r="N99" s="149"/>
      <c r="O99" s="149"/>
      <c r="P99" s="188">
        <f t="shared" si="35"/>
        <v>0</v>
      </c>
      <c r="Q99" s="132">
        <f t="shared" si="30"/>
        <v>0</v>
      </c>
      <c r="R99" s="133">
        <f t="shared" si="31"/>
        <v>0</v>
      </c>
      <c r="S99" s="121" t="str">
        <f t="shared" si="36"/>
        <v/>
      </c>
    </row>
    <row r="100" hidden="1" outlineLevel="1">
      <c r="A100" s="190"/>
      <c r="B100" s="125"/>
      <c r="C100" s="170"/>
      <c r="D100" s="149"/>
      <c r="E100" s="149"/>
      <c r="F100" s="149"/>
      <c r="G100" s="149"/>
      <c r="H100" s="149"/>
      <c r="I100" s="188">
        <f t="shared" si="32"/>
        <v>0</v>
      </c>
      <c r="J100" s="170"/>
      <c r="K100" s="149"/>
      <c r="L100" s="149"/>
      <c r="M100" s="149"/>
      <c r="N100" s="149"/>
      <c r="O100" s="149"/>
      <c r="P100" s="188">
        <f t="shared" si="35"/>
        <v>0</v>
      </c>
      <c r="Q100" s="132">
        <f t="shared" si="30"/>
        <v>0</v>
      </c>
      <c r="R100" s="133">
        <f t="shared" si="31"/>
        <v>0</v>
      </c>
      <c r="S100" s="121" t="str">
        <f t="shared" si="36"/>
        <v/>
      </c>
    </row>
    <row r="101">
      <c r="A101" s="135"/>
      <c r="B101" s="136" t="s">
        <v>90</v>
      </c>
      <c r="C101" s="137">
        <f t="shared" ref="C101:K101" si="37">SUM(C102:C131)</f>
        <v>0</v>
      </c>
      <c r="D101" s="138">
        <f t="shared" si="37"/>
        <v>0</v>
      </c>
      <c r="E101" s="138">
        <f t="shared" si="37"/>
        <v>0</v>
      </c>
      <c r="F101" s="138">
        <f t="shared" si="37"/>
        <v>0</v>
      </c>
      <c r="G101" s="138">
        <f t="shared" si="37"/>
        <v>0</v>
      </c>
      <c r="H101" s="138">
        <f t="shared" si="37"/>
        <v>0</v>
      </c>
      <c r="I101" s="139">
        <f t="shared" si="37"/>
        <v>0</v>
      </c>
      <c r="J101" s="137">
        <f t="shared" si="37"/>
        <v>0</v>
      </c>
      <c r="K101" s="138">
        <f t="shared" si="37"/>
        <v>0</v>
      </c>
      <c r="L101" s="138"/>
      <c r="M101" s="138"/>
      <c r="N101" s="138"/>
      <c r="O101" s="138"/>
      <c r="P101" s="140">
        <f>SUM(P102:P131)</f>
        <v>0</v>
      </c>
      <c r="Q101" s="138">
        <f t="shared" si="30"/>
        <v>0</v>
      </c>
      <c r="R101" s="187">
        <f t="shared" si="31"/>
        <v>0</v>
      </c>
      <c r="S101" s="141" t="str">
        <f>IF(Q101=0,"",IF(R101&gt;1,"план не выполнен","выполнение"))</f>
        <v/>
      </c>
    </row>
    <row r="102">
      <c r="A102" s="142" t="str">
        <f>IFERROR(VLOOKUP(B102,'Статьи'!$A$2:C124,3,0)," ")</f>
        <v>1С</v>
      </c>
      <c r="B102" s="125" t="str">
        <f>IFERROR(__xludf.DUMMYFUNCTION("iferror(filter('Статьи'!$A$1:$A177,'Статьи'!$B$1:$B177=$B$101))"),"Аренда, коммунальные услуги")</f>
        <v>Аренда, коммунальные услуги</v>
      </c>
      <c r="C102" s="171"/>
      <c r="D102" s="172"/>
      <c r="E102" s="149"/>
      <c r="F102" s="149"/>
      <c r="G102" s="149"/>
      <c r="H102" s="149"/>
      <c r="I102" s="188">
        <f t="shared" ref="I102:I141" si="38">sum(C102:H102)</f>
        <v>0</v>
      </c>
      <c r="J102" s="170"/>
      <c r="K102" s="149"/>
      <c r="L102" s="149"/>
      <c r="M102" s="149"/>
      <c r="N102" s="149"/>
      <c r="O102" s="149"/>
      <c r="P102" s="188">
        <f t="shared" ref="P102:P131" si="39">SUM(J102:K102)</f>
        <v>0</v>
      </c>
      <c r="Q102" s="132">
        <f t="shared" si="30"/>
        <v>0</v>
      </c>
      <c r="R102" s="133">
        <f t="shared" si="31"/>
        <v>0</v>
      </c>
      <c r="S102" s="121" t="str">
        <f t="shared" ref="S102:S131" si="40">IF(Q102=0,"",IF(R102=0,"обратить внимание",IF(R102&gt;1,"перерасход","экономия")))</f>
        <v/>
      </c>
    </row>
    <row r="103">
      <c r="A103" s="191" t="str">
        <f>IFERROR(VLOOKUP(B103,'Статьи'!$A$2:C125,3,0)," ")</f>
        <v>1С</v>
      </c>
      <c r="B103" s="192" t="str">
        <f>IFERROR(__xludf.DUMMYFUNCTION("""COMPUTED_VALUE"""),"Аутсорсинг и прочие услуги")</f>
        <v>Аутсорсинг и прочие услуги</v>
      </c>
      <c r="C103" s="171"/>
      <c r="D103" s="172"/>
      <c r="E103" s="149"/>
      <c r="F103" s="149"/>
      <c r="G103" s="149"/>
      <c r="H103" s="149"/>
      <c r="I103" s="188">
        <f t="shared" si="38"/>
        <v>0</v>
      </c>
      <c r="J103" s="170"/>
      <c r="K103" s="149"/>
      <c r="L103" s="149"/>
      <c r="M103" s="149"/>
      <c r="N103" s="149"/>
      <c r="O103" s="149"/>
      <c r="P103" s="188">
        <f t="shared" si="39"/>
        <v>0</v>
      </c>
      <c r="Q103" s="132">
        <f t="shared" si="30"/>
        <v>0</v>
      </c>
      <c r="R103" s="133">
        <f t="shared" si="31"/>
        <v>0</v>
      </c>
      <c r="S103" s="121" t="str">
        <f t="shared" si="40"/>
        <v/>
      </c>
    </row>
    <row r="104">
      <c r="A104" s="193" t="str">
        <f>IFERROR(VLOOKUP(B104,'Статьи'!$A$2:C126,3,0)," ")</f>
        <v>1С</v>
      </c>
      <c r="B104" s="194" t="str">
        <f>IFERROR(__xludf.DUMMYFUNCTION("""COMPUTED_VALUE"""),"Командировочные расходы")</f>
        <v>Командировочные расходы</v>
      </c>
      <c r="C104" s="171"/>
      <c r="D104" s="172"/>
      <c r="E104" s="149"/>
      <c r="F104" s="149"/>
      <c r="G104" s="149"/>
      <c r="H104" s="149"/>
      <c r="I104" s="188">
        <f t="shared" si="38"/>
        <v>0</v>
      </c>
      <c r="J104" s="170"/>
      <c r="K104" s="149"/>
      <c r="L104" s="149"/>
      <c r="M104" s="149"/>
      <c r="N104" s="149"/>
      <c r="O104" s="149"/>
      <c r="P104" s="188">
        <f t="shared" si="39"/>
        <v>0</v>
      </c>
      <c r="Q104" s="132">
        <f t="shared" si="30"/>
        <v>0</v>
      </c>
      <c r="R104" s="133">
        <f t="shared" si="31"/>
        <v>0</v>
      </c>
      <c r="S104" s="121" t="str">
        <f t="shared" si="40"/>
        <v/>
      </c>
    </row>
    <row r="105">
      <c r="A105" s="195" t="str">
        <f>IFERROR(VLOOKUP(B105,'Статьи'!$A$2:C127,3,0)," ")</f>
        <v>ДДС отчетного месяца. Без НДС!</v>
      </c>
      <c r="B105" s="196" t="str">
        <f>IFERROR(__xludf.DUMMYFUNCTION("""COMPUTED_VALUE"""),"Комиссии банка")</f>
        <v>Комиссии банка</v>
      </c>
      <c r="C105" s="171"/>
      <c r="D105" s="172"/>
      <c r="E105" s="149"/>
      <c r="F105" s="149"/>
      <c r="G105" s="149"/>
      <c r="H105" s="149"/>
      <c r="I105" s="188">
        <f t="shared" si="38"/>
        <v>0</v>
      </c>
      <c r="J105" s="170"/>
      <c r="K105" s="149"/>
      <c r="L105" s="149"/>
      <c r="M105" s="149"/>
      <c r="N105" s="149"/>
      <c r="O105" s="149"/>
      <c r="P105" s="188">
        <f t="shared" si="39"/>
        <v>0</v>
      </c>
      <c r="Q105" s="132">
        <f t="shared" si="30"/>
        <v>0</v>
      </c>
      <c r="R105" s="133">
        <f t="shared" si="31"/>
        <v>0</v>
      </c>
      <c r="S105" s="121" t="str">
        <f t="shared" si="40"/>
        <v/>
      </c>
    </row>
    <row r="106">
      <c r="A106" s="191" t="str">
        <f>IFERROR(VLOOKUP(B106,'Статьи'!$A$2:C128,3,0)," ")</f>
        <v>ДДС отчетного месяца. Без НДС!</v>
      </c>
      <c r="B106" s="192" t="str">
        <f>IFERROR(__xludf.DUMMYFUNCTION("""COMPUTED_VALUE"""),"Обучение сотрудников")</f>
        <v>Обучение сотрудников</v>
      </c>
      <c r="C106" s="171"/>
      <c r="D106" s="172"/>
      <c r="E106" s="149"/>
      <c r="F106" s="149"/>
      <c r="G106" s="149"/>
      <c r="H106" s="149"/>
      <c r="I106" s="188">
        <f t="shared" si="38"/>
        <v>0</v>
      </c>
      <c r="J106" s="170"/>
      <c r="K106" s="149"/>
      <c r="L106" s="149"/>
      <c r="M106" s="149"/>
      <c r="N106" s="149"/>
      <c r="O106" s="149"/>
      <c r="P106" s="188">
        <f t="shared" si="39"/>
        <v>0</v>
      </c>
      <c r="Q106" s="132">
        <f t="shared" si="30"/>
        <v>0</v>
      </c>
      <c r="R106" s="133">
        <f t="shared" si="31"/>
        <v>0</v>
      </c>
      <c r="S106" s="121" t="str">
        <f t="shared" si="40"/>
        <v/>
      </c>
    </row>
    <row r="107">
      <c r="A107" s="142" t="str">
        <f>IFERROR(VLOOKUP(B107,'Статьи'!$A$2:C129,3,0)," ")</f>
        <v>ДДС отчетного месяца. Без НДС!</v>
      </c>
      <c r="B107" s="125" t="str">
        <f>IFERROR(__xludf.DUMMYFUNCTION("""COMPUTED_VALUE"""),"Подбор персонала")</f>
        <v>Подбор персонала</v>
      </c>
      <c r="C107" s="171"/>
      <c r="D107" s="172"/>
      <c r="E107" s="149"/>
      <c r="F107" s="149"/>
      <c r="G107" s="149"/>
      <c r="H107" s="149"/>
      <c r="I107" s="188">
        <f t="shared" si="38"/>
        <v>0</v>
      </c>
      <c r="J107" s="189"/>
      <c r="K107" s="149"/>
      <c r="L107" s="149"/>
      <c r="M107" s="149"/>
      <c r="N107" s="149"/>
      <c r="O107" s="149"/>
      <c r="P107" s="188">
        <f t="shared" si="39"/>
        <v>0</v>
      </c>
      <c r="Q107" s="132">
        <f t="shared" si="30"/>
        <v>0</v>
      </c>
      <c r="R107" s="133">
        <f t="shared" si="31"/>
        <v>0</v>
      </c>
      <c r="S107" s="121" t="str">
        <f t="shared" si="40"/>
        <v/>
      </c>
    </row>
    <row r="108">
      <c r="A108" s="142" t="str">
        <f>IFERROR(VLOOKUP(B108,'Статьи'!$A$2:C130,3,0)," ")</f>
        <v>ДДС отчетного месяца. Без НДС!</v>
      </c>
      <c r="B108" s="125" t="str">
        <f>IFERROR(__xludf.DUMMYFUNCTION("""COMPUTED_VALUE"""),"Почтовые расходы")</f>
        <v>Почтовые расходы</v>
      </c>
      <c r="C108" s="171"/>
      <c r="D108" s="172"/>
      <c r="E108" s="149"/>
      <c r="F108" s="149"/>
      <c r="G108" s="149"/>
      <c r="H108" s="149"/>
      <c r="I108" s="188">
        <f t="shared" si="38"/>
        <v>0</v>
      </c>
      <c r="J108" s="170"/>
      <c r="K108" s="149"/>
      <c r="L108" s="149"/>
      <c r="M108" s="149"/>
      <c r="N108" s="149"/>
      <c r="O108" s="149"/>
      <c r="P108" s="188">
        <f t="shared" si="39"/>
        <v>0</v>
      </c>
      <c r="Q108" s="132">
        <f t="shared" si="30"/>
        <v>0</v>
      </c>
      <c r="R108" s="133">
        <f t="shared" si="31"/>
        <v>0</v>
      </c>
      <c r="S108" s="121" t="str">
        <f t="shared" si="40"/>
        <v/>
      </c>
    </row>
    <row r="109">
      <c r="A109" s="142" t="str">
        <f>IFERROR(VLOOKUP(B109,'Статьи'!$A$2:C131,3,0)," ")</f>
        <v>ДДС отчетного месяца. Без НДС!</v>
      </c>
      <c r="B109" s="125" t="str">
        <f>IFERROR(__xludf.DUMMYFUNCTION("""COMPUTED_VALUE"""),"Представительские расходы")</f>
        <v>Представительские расходы</v>
      </c>
      <c r="C109" s="171"/>
      <c r="D109" s="172"/>
      <c r="E109" s="149"/>
      <c r="F109" s="149"/>
      <c r="G109" s="149"/>
      <c r="H109" s="149"/>
      <c r="I109" s="188">
        <f t="shared" si="38"/>
        <v>0</v>
      </c>
      <c r="J109" s="170"/>
      <c r="K109" s="149"/>
      <c r="L109" s="149"/>
      <c r="M109" s="149"/>
      <c r="N109" s="149"/>
      <c r="O109" s="149"/>
      <c r="P109" s="188">
        <f t="shared" si="39"/>
        <v>0</v>
      </c>
      <c r="Q109" s="132">
        <f t="shared" si="30"/>
        <v>0</v>
      </c>
      <c r="R109" s="133">
        <f t="shared" si="31"/>
        <v>0</v>
      </c>
      <c r="S109" s="121" t="str">
        <f t="shared" si="40"/>
        <v/>
      </c>
    </row>
    <row r="110">
      <c r="A110" s="142" t="str">
        <f>IFERROR(VLOOKUP(B110,'Статьи'!$A$2:C132,3,0)," ")</f>
        <v>ДДС отчетного месяца. Без НДС!</v>
      </c>
      <c r="B110" s="125" t="str">
        <f>IFERROR(__xludf.DUMMYFUNCTION("""COMPUTED_VALUE"""),"Содержание офиса")</f>
        <v>Содержание офиса</v>
      </c>
      <c r="C110" s="171"/>
      <c r="D110" s="172"/>
      <c r="E110" s="149"/>
      <c r="F110" s="149"/>
      <c r="G110" s="149"/>
      <c r="H110" s="149"/>
      <c r="I110" s="188">
        <f t="shared" si="38"/>
        <v>0</v>
      </c>
      <c r="J110" s="189"/>
      <c r="K110" s="149"/>
      <c r="L110" s="149"/>
      <c r="M110" s="149"/>
      <c r="N110" s="149"/>
      <c r="O110" s="149"/>
      <c r="P110" s="188">
        <f t="shared" si="39"/>
        <v>0</v>
      </c>
      <c r="Q110" s="132">
        <f t="shared" si="30"/>
        <v>0</v>
      </c>
      <c r="R110" s="133">
        <f t="shared" si="31"/>
        <v>0</v>
      </c>
      <c r="S110" s="121" t="str">
        <f t="shared" si="40"/>
        <v/>
      </c>
    </row>
    <row r="111">
      <c r="A111" s="142" t="str">
        <f>IFERROR(VLOOKUP(B111,'Статьи'!$A$2:C133,3,0)," ")</f>
        <v>ДДС отчетного месяца. Без НДС!</v>
      </c>
      <c r="B111" s="125" t="str">
        <f>IFERROR(__xludf.DUMMYFUNCTION("""COMPUTED_VALUE"""),"Услуги связи + Интернет")</f>
        <v>Услуги связи + Интернет</v>
      </c>
      <c r="C111" s="171"/>
      <c r="D111" s="172"/>
      <c r="E111" s="149"/>
      <c r="F111" s="149"/>
      <c r="G111" s="149"/>
      <c r="H111" s="149"/>
      <c r="I111" s="188">
        <f t="shared" si="38"/>
        <v>0</v>
      </c>
      <c r="J111" s="189"/>
      <c r="K111" s="149"/>
      <c r="L111" s="149"/>
      <c r="M111" s="149"/>
      <c r="N111" s="149"/>
      <c r="O111" s="149"/>
      <c r="P111" s="188">
        <f t="shared" si="39"/>
        <v>0</v>
      </c>
      <c r="Q111" s="132">
        <f t="shared" si="30"/>
        <v>0</v>
      </c>
      <c r="R111" s="133">
        <f t="shared" si="31"/>
        <v>0</v>
      </c>
      <c r="S111" s="121" t="str">
        <f t="shared" si="40"/>
        <v/>
      </c>
    </row>
    <row r="112">
      <c r="A112" s="142" t="str">
        <f>IFERROR(VLOOKUP(B112,'Статьи'!$A$2:C134,3,0)," ")</f>
        <v>ДДС отчетного месяца. Без НДС!</v>
      </c>
      <c r="B112" s="125" t="str">
        <f>IFERROR(__xludf.DUMMYFUNCTION("""COMPUTED_VALUE"""),"Штрафы")</f>
        <v>Штрафы</v>
      </c>
      <c r="C112" s="171"/>
      <c r="D112" s="172"/>
      <c r="E112" s="149"/>
      <c r="F112" s="149"/>
      <c r="G112" s="149"/>
      <c r="H112" s="149"/>
      <c r="I112" s="188">
        <f t="shared" si="38"/>
        <v>0</v>
      </c>
      <c r="J112" s="189"/>
      <c r="K112" s="149"/>
      <c r="L112" s="149"/>
      <c r="M112" s="149"/>
      <c r="N112" s="149"/>
      <c r="O112" s="149"/>
      <c r="P112" s="188">
        <f t="shared" si="39"/>
        <v>0</v>
      </c>
      <c r="Q112" s="132">
        <f t="shared" si="30"/>
        <v>0</v>
      </c>
      <c r="R112" s="133">
        <f t="shared" si="31"/>
        <v>0</v>
      </c>
      <c r="S112" s="121" t="str">
        <f t="shared" si="40"/>
        <v/>
      </c>
    </row>
    <row r="113" collapsed="1">
      <c r="A113" s="142" t="str">
        <f>IFERROR(VLOOKUP(B113,'Статьи'!$A$2:C135,3,0)," ")</f>
        <v> </v>
      </c>
      <c r="B113" s="125"/>
      <c r="C113" s="197"/>
      <c r="D113" s="149"/>
      <c r="E113" s="149"/>
      <c r="F113" s="149"/>
      <c r="G113" s="149"/>
      <c r="H113" s="149"/>
      <c r="I113" s="188">
        <f t="shared" si="38"/>
        <v>0</v>
      </c>
      <c r="J113" s="189"/>
      <c r="K113" s="149"/>
      <c r="L113" s="149"/>
      <c r="M113" s="149"/>
      <c r="N113" s="149"/>
      <c r="O113" s="149"/>
      <c r="P113" s="188">
        <f t="shared" si="39"/>
        <v>0</v>
      </c>
      <c r="Q113" s="132">
        <f t="shared" si="30"/>
        <v>0</v>
      </c>
      <c r="R113" s="133">
        <f t="shared" si="31"/>
        <v>0</v>
      </c>
      <c r="S113" s="121" t="str">
        <f t="shared" si="40"/>
        <v/>
      </c>
    </row>
    <row r="114" hidden="1" outlineLevel="1">
      <c r="A114" s="142" t="str">
        <f>IFERROR(VLOOKUP(B114,'Статьи'!$A$2:C136,3,0)," ")</f>
        <v> </v>
      </c>
      <c r="B114" s="125"/>
      <c r="C114" s="197"/>
      <c r="D114" s="149"/>
      <c r="E114" s="149"/>
      <c r="F114" s="149"/>
      <c r="G114" s="149"/>
      <c r="H114" s="149"/>
      <c r="I114" s="188">
        <f t="shared" si="38"/>
        <v>0</v>
      </c>
      <c r="J114" s="170"/>
      <c r="K114" s="149"/>
      <c r="L114" s="149"/>
      <c r="M114" s="149"/>
      <c r="N114" s="149"/>
      <c r="O114" s="149"/>
      <c r="P114" s="188">
        <f t="shared" si="39"/>
        <v>0</v>
      </c>
      <c r="Q114" s="132">
        <f t="shared" si="30"/>
        <v>0</v>
      </c>
      <c r="R114" s="133">
        <f t="shared" si="31"/>
        <v>0</v>
      </c>
      <c r="S114" s="121" t="str">
        <f t="shared" si="40"/>
        <v/>
      </c>
    </row>
    <row r="115" hidden="1" outlineLevel="1">
      <c r="A115" s="142" t="str">
        <f>IFERROR(VLOOKUP(B115,'Статьи'!$A$2:C137,3,0)," ")</f>
        <v> </v>
      </c>
      <c r="B115" s="125"/>
      <c r="C115" s="197"/>
      <c r="D115" s="149"/>
      <c r="E115" s="198"/>
      <c r="F115" s="198"/>
      <c r="G115" s="198"/>
      <c r="H115" s="198"/>
      <c r="I115" s="188">
        <f t="shared" si="38"/>
        <v>0</v>
      </c>
      <c r="J115" s="189"/>
      <c r="K115" s="149"/>
      <c r="L115" s="149"/>
      <c r="M115" s="149"/>
      <c r="N115" s="149"/>
      <c r="O115" s="149"/>
      <c r="P115" s="188">
        <f t="shared" si="39"/>
        <v>0</v>
      </c>
      <c r="Q115" s="132">
        <f t="shared" si="30"/>
        <v>0</v>
      </c>
      <c r="R115" s="133">
        <f t="shared" si="31"/>
        <v>0</v>
      </c>
      <c r="S115" s="121" t="str">
        <f t="shared" si="40"/>
        <v/>
      </c>
    </row>
    <row r="116" hidden="1" outlineLevel="1">
      <c r="A116" s="142" t="str">
        <f>IFERROR(VLOOKUP(B116,'Статьи'!$A$2:C138,3,0)," ")</f>
        <v> </v>
      </c>
      <c r="B116" s="125"/>
      <c r="C116" s="197"/>
      <c r="D116" s="149"/>
      <c r="E116" s="149"/>
      <c r="F116" s="149"/>
      <c r="G116" s="149"/>
      <c r="H116" s="149"/>
      <c r="I116" s="188">
        <f t="shared" si="38"/>
        <v>0</v>
      </c>
      <c r="J116" s="189"/>
      <c r="K116" s="149"/>
      <c r="L116" s="149"/>
      <c r="M116" s="149"/>
      <c r="N116" s="149"/>
      <c r="O116" s="149"/>
      <c r="P116" s="188">
        <f t="shared" si="39"/>
        <v>0</v>
      </c>
      <c r="Q116" s="132">
        <f t="shared" si="30"/>
        <v>0</v>
      </c>
      <c r="R116" s="133">
        <f t="shared" si="31"/>
        <v>0</v>
      </c>
      <c r="S116" s="121" t="str">
        <f t="shared" si="40"/>
        <v/>
      </c>
    </row>
    <row r="117" hidden="1" outlineLevel="1">
      <c r="A117" s="142" t="str">
        <f>IFERROR(VLOOKUP(B117,'Статьи'!$A$2:C139,3,0)," ")</f>
        <v> </v>
      </c>
      <c r="B117" s="125"/>
      <c r="C117" s="197"/>
      <c r="D117" s="149"/>
      <c r="E117" s="149"/>
      <c r="F117" s="149"/>
      <c r="G117" s="149"/>
      <c r="H117" s="149"/>
      <c r="I117" s="188">
        <f t="shared" si="38"/>
        <v>0</v>
      </c>
      <c r="J117" s="189"/>
      <c r="K117" s="149"/>
      <c r="L117" s="149"/>
      <c r="M117" s="149"/>
      <c r="N117" s="149"/>
      <c r="O117" s="149"/>
      <c r="P117" s="188">
        <f t="shared" si="39"/>
        <v>0</v>
      </c>
      <c r="Q117" s="132">
        <f t="shared" si="30"/>
        <v>0</v>
      </c>
      <c r="R117" s="133">
        <f t="shared" si="31"/>
        <v>0</v>
      </c>
      <c r="S117" s="121" t="str">
        <f t="shared" si="40"/>
        <v/>
      </c>
    </row>
    <row r="118" hidden="1" outlineLevel="1">
      <c r="A118" s="142" t="str">
        <f>IFERROR(VLOOKUP(B118,'Статьи'!$A$2:C140,3,0)," ")</f>
        <v> </v>
      </c>
      <c r="B118" s="125"/>
      <c r="C118" s="197"/>
      <c r="D118" s="149"/>
      <c r="E118" s="149"/>
      <c r="F118" s="149"/>
      <c r="G118" s="149"/>
      <c r="H118" s="149"/>
      <c r="I118" s="188">
        <f t="shared" si="38"/>
        <v>0</v>
      </c>
      <c r="J118" s="170"/>
      <c r="K118" s="149"/>
      <c r="L118" s="149"/>
      <c r="M118" s="149"/>
      <c r="N118" s="149"/>
      <c r="O118" s="149"/>
      <c r="P118" s="188">
        <f t="shared" si="39"/>
        <v>0</v>
      </c>
      <c r="Q118" s="132">
        <f t="shared" si="30"/>
        <v>0</v>
      </c>
      <c r="R118" s="133">
        <f t="shared" si="31"/>
        <v>0</v>
      </c>
      <c r="S118" s="121" t="str">
        <f t="shared" si="40"/>
        <v/>
      </c>
    </row>
    <row r="119" hidden="1" outlineLevel="1">
      <c r="A119" s="142" t="str">
        <f>IFERROR(VLOOKUP(B119,'Статьи'!$A$2:C141,3,0)," ")</f>
        <v> </v>
      </c>
      <c r="B119" s="125"/>
      <c r="C119" s="197"/>
      <c r="D119" s="149"/>
      <c r="E119" s="149"/>
      <c r="F119" s="149"/>
      <c r="G119" s="149"/>
      <c r="H119" s="149"/>
      <c r="I119" s="188">
        <f t="shared" si="38"/>
        <v>0</v>
      </c>
      <c r="J119" s="189"/>
      <c r="K119" s="149"/>
      <c r="L119" s="149"/>
      <c r="M119" s="149"/>
      <c r="N119" s="149"/>
      <c r="O119" s="149"/>
      <c r="P119" s="188">
        <f t="shared" si="39"/>
        <v>0</v>
      </c>
      <c r="Q119" s="132">
        <f t="shared" si="30"/>
        <v>0</v>
      </c>
      <c r="R119" s="133">
        <f t="shared" si="31"/>
        <v>0</v>
      </c>
      <c r="S119" s="121" t="str">
        <f t="shared" si="40"/>
        <v/>
      </c>
    </row>
    <row r="120" hidden="1" outlineLevel="1">
      <c r="A120" s="142" t="str">
        <f>IFERROR(VLOOKUP(B120,'Статьи'!$A$2:C142,3,0)," ")</f>
        <v> </v>
      </c>
      <c r="B120" s="125"/>
      <c r="C120" s="197"/>
      <c r="D120" s="149"/>
      <c r="E120" s="149"/>
      <c r="F120" s="149"/>
      <c r="G120" s="149"/>
      <c r="H120" s="149"/>
      <c r="I120" s="188">
        <f t="shared" si="38"/>
        <v>0</v>
      </c>
      <c r="J120" s="189"/>
      <c r="K120" s="149"/>
      <c r="L120" s="149"/>
      <c r="M120" s="149"/>
      <c r="N120" s="149"/>
      <c r="O120" s="149"/>
      <c r="P120" s="188">
        <f t="shared" si="39"/>
        <v>0</v>
      </c>
      <c r="Q120" s="132">
        <f t="shared" si="30"/>
        <v>0</v>
      </c>
      <c r="R120" s="133">
        <f t="shared" si="31"/>
        <v>0</v>
      </c>
      <c r="S120" s="121" t="str">
        <f t="shared" si="40"/>
        <v/>
      </c>
    </row>
    <row r="121" hidden="1" outlineLevel="1">
      <c r="A121" s="142" t="str">
        <f>IFERROR(VLOOKUP(B121,'Статьи'!$A$2:C143,3,0)," ")</f>
        <v> </v>
      </c>
      <c r="B121" s="125"/>
      <c r="C121" s="197"/>
      <c r="D121" s="149"/>
      <c r="E121" s="149"/>
      <c r="F121" s="149"/>
      <c r="G121" s="149"/>
      <c r="H121" s="149"/>
      <c r="I121" s="188">
        <f t="shared" si="38"/>
        <v>0</v>
      </c>
      <c r="J121" s="170"/>
      <c r="K121" s="149"/>
      <c r="L121" s="149"/>
      <c r="M121" s="149"/>
      <c r="N121" s="149"/>
      <c r="O121" s="149"/>
      <c r="P121" s="188">
        <f t="shared" si="39"/>
        <v>0</v>
      </c>
      <c r="Q121" s="132">
        <f t="shared" si="30"/>
        <v>0</v>
      </c>
      <c r="R121" s="133">
        <f t="shared" si="31"/>
        <v>0</v>
      </c>
      <c r="S121" s="121" t="str">
        <f t="shared" si="40"/>
        <v/>
      </c>
    </row>
    <row r="122" hidden="1" outlineLevel="1">
      <c r="A122" s="142" t="str">
        <f>IFERROR(VLOOKUP(B122,'Статьи'!$A$2:C144,3,0)," ")</f>
        <v> </v>
      </c>
      <c r="B122" s="125"/>
      <c r="C122" s="197"/>
      <c r="D122" s="149"/>
      <c r="E122" s="149"/>
      <c r="F122" s="149"/>
      <c r="G122" s="149"/>
      <c r="H122" s="149"/>
      <c r="I122" s="188">
        <f t="shared" si="38"/>
        <v>0</v>
      </c>
      <c r="J122" s="189"/>
      <c r="K122" s="149"/>
      <c r="L122" s="149"/>
      <c r="M122" s="149"/>
      <c r="N122" s="149"/>
      <c r="O122" s="149"/>
      <c r="P122" s="188">
        <f t="shared" si="39"/>
        <v>0</v>
      </c>
      <c r="Q122" s="132">
        <f t="shared" si="30"/>
        <v>0</v>
      </c>
      <c r="R122" s="133">
        <f t="shared" si="31"/>
        <v>0</v>
      </c>
      <c r="S122" s="121" t="str">
        <f t="shared" si="40"/>
        <v/>
      </c>
    </row>
    <row r="123" hidden="1" outlineLevel="1">
      <c r="A123" s="142" t="str">
        <f>IFERROR(VLOOKUP(B123,'Статьи'!$A$2:C145,3,0)," ")</f>
        <v> </v>
      </c>
      <c r="B123" s="125"/>
      <c r="C123" s="197"/>
      <c r="D123" s="149"/>
      <c r="E123" s="149"/>
      <c r="F123" s="149"/>
      <c r="G123" s="149"/>
      <c r="H123" s="149"/>
      <c r="I123" s="188">
        <f t="shared" si="38"/>
        <v>0</v>
      </c>
      <c r="J123" s="170"/>
      <c r="K123" s="149"/>
      <c r="L123" s="149"/>
      <c r="M123" s="149"/>
      <c r="N123" s="149"/>
      <c r="O123" s="149"/>
      <c r="P123" s="188">
        <f t="shared" si="39"/>
        <v>0</v>
      </c>
      <c r="Q123" s="132">
        <f t="shared" si="30"/>
        <v>0</v>
      </c>
      <c r="R123" s="133">
        <f t="shared" si="31"/>
        <v>0</v>
      </c>
      <c r="S123" s="121" t="str">
        <f t="shared" si="40"/>
        <v/>
      </c>
    </row>
    <row r="124" hidden="1" outlineLevel="1">
      <c r="A124" s="142" t="str">
        <f>IFERROR(VLOOKUP(B124,'Статьи'!$A$2:C146,3,0)," ")</f>
        <v> </v>
      </c>
      <c r="B124" s="125"/>
      <c r="C124" s="170"/>
      <c r="D124" s="149"/>
      <c r="E124" s="149"/>
      <c r="F124" s="149"/>
      <c r="G124" s="149"/>
      <c r="H124" s="149"/>
      <c r="I124" s="188">
        <f t="shared" si="38"/>
        <v>0</v>
      </c>
      <c r="J124" s="170"/>
      <c r="K124" s="149"/>
      <c r="L124" s="149"/>
      <c r="M124" s="149"/>
      <c r="N124" s="149"/>
      <c r="O124" s="149"/>
      <c r="P124" s="188">
        <f t="shared" si="39"/>
        <v>0</v>
      </c>
      <c r="Q124" s="132">
        <f t="shared" si="30"/>
        <v>0</v>
      </c>
      <c r="R124" s="133">
        <f t="shared" si="31"/>
        <v>0</v>
      </c>
      <c r="S124" s="121" t="str">
        <f t="shared" si="40"/>
        <v/>
      </c>
    </row>
    <row r="125" hidden="1" outlineLevel="1">
      <c r="A125" s="142" t="str">
        <f>IFERROR(VLOOKUP(B125,'Статьи'!$A$2:C147,3,0)," ")</f>
        <v> </v>
      </c>
      <c r="B125" s="125"/>
      <c r="C125" s="170"/>
      <c r="D125" s="149"/>
      <c r="E125" s="149"/>
      <c r="F125" s="149"/>
      <c r="G125" s="149"/>
      <c r="H125" s="149"/>
      <c r="I125" s="188">
        <f t="shared" si="38"/>
        <v>0</v>
      </c>
      <c r="J125" s="170"/>
      <c r="K125" s="149"/>
      <c r="L125" s="149"/>
      <c r="M125" s="149"/>
      <c r="N125" s="149"/>
      <c r="O125" s="149"/>
      <c r="P125" s="188">
        <f t="shared" si="39"/>
        <v>0</v>
      </c>
      <c r="Q125" s="132">
        <f t="shared" si="30"/>
        <v>0</v>
      </c>
      <c r="R125" s="133">
        <f t="shared" si="31"/>
        <v>0</v>
      </c>
      <c r="S125" s="121" t="str">
        <f t="shared" si="40"/>
        <v/>
      </c>
    </row>
    <row r="126" hidden="1" outlineLevel="1">
      <c r="A126" s="142" t="str">
        <f>IFERROR(VLOOKUP(B126,'Статьи'!$A$2:C148,3,0)," ")</f>
        <v> </v>
      </c>
      <c r="B126" s="125"/>
      <c r="C126" s="170"/>
      <c r="D126" s="149"/>
      <c r="E126" s="149"/>
      <c r="F126" s="149"/>
      <c r="G126" s="149"/>
      <c r="H126" s="149"/>
      <c r="I126" s="188">
        <f t="shared" si="38"/>
        <v>0</v>
      </c>
      <c r="J126" s="170"/>
      <c r="K126" s="149"/>
      <c r="L126" s="149"/>
      <c r="M126" s="149"/>
      <c r="N126" s="149"/>
      <c r="O126" s="149"/>
      <c r="P126" s="188">
        <f t="shared" si="39"/>
        <v>0</v>
      </c>
      <c r="Q126" s="132">
        <f t="shared" si="30"/>
        <v>0</v>
      </c>
      <c r="R126" s="133">
        <f t="shared" si="31"/>
        <v>0</v>
      </c>
      <c r="S126" s="121" t="str">
        <f t="shared" si="40"/>
        <v/>
      </c>
    </row>
    <row r="127" hidden="1" outlineLevel="1">
      <c r="A127" s="142" t="str">
        <f>IFERROR(VLOOKUP(B127,'Статьи'!$A$2:C149,3,0)," ")</f>
        <v> </v>
      </c>
      <c r="B127" s="125"/>
      <c r="C127" s="170"/>
      <c r="D127" s="149"/>
      <c r="E127" s="149"/>
      <c r="F127" s="149"/>
      <c r="G127" s="149"/>
      <c r="H127" s="149"/>
      <c r="I127" s="188">
        <f t="shared" si="38"/>
        <v>0</v>
      </c>
      <c r="J127" s="170"/>
      <c r="K127" s="149"/>
      <c r="L127" s="149"/>
      <c r="M127" s="149"/>
      <c r="N127" s="149"/>
      <c r="O127" s="149"/>
      <c r="P127" s="188">
        <f t="shared" si="39"/>
        <v>0</v>
      </c>
      <c r="Q127" s="132">
        <f t="shared" si="30"/>
        <v>0</v>
      </c>
      <c r="R127" s="133">
        <f t="shared" si="31"/>
        <v>0</v>
      </c>
      <c r="S127" s="121" t="str">
        <f t="shared" si="40"/>
        <v/>
      </c>
    </row>
    <row r="128" hidden="1" outlineLevel="1">
      <c r="A128" s="142" t="str">
        <f>IFERROR(VLOOKUP(B128,'Статьи'!$A$2:C150,3,0)," ")</f>
        <v> </v>
      </c>
      <c r="B128" s="125"/>
      <c r="C128" s="170"/>
      <c r="D128" s="149"/>
      <c r="E128" s="149"/>
      <c r="F128" s="149"/>
      <c r="G128" s="149"/>
      <c r="H128" s="149"/>
      <c r="I128" s="188">
        <f t="shared" si="38"/>
        <v>0</v>
      </c>
      <c r="J128" s="170"/>
      <c r="K128" s="149"/>
      <c r="L128" s="149"/>
      <c r="M128" s="149"/>
      <c r="N128" s="149"/>
      <c r="O128" s="149"/>
      <c r="P128" s="188">
        <f t="shared" si="39"/>
        <v>0</v>
      </c>
      <c r="Q128" s="132">
        <f t="shared" si="30"/>
        <v>0</v>
      </c>
      <c r="R128" s="133">
        <f t="shared" si="31"/>
        <v>0</v>
      </c>
      <c r="S128" s="121" t="str">
        <f t="shared" si="40"/>
        <v/>
      </c>
    </row>
    <row r="129" hidden="1" outlineLevel="1">
      <c r="A129" s="142" t="str">
        <f>IFERROR(VLOOKUP(B129,'Статьи'!$A$2:C151,3,0)," ")</f>
        <v> </v>
      </c>
      <c r="B129" s="125"/>
      <c r="C129" s="170"/>
      <c r="D129" s="149"/>
      <c r="E129" s="149"/>
      <c r="F129" s="149"/>
      <c r="G129" s="149"/>
      <c r="H129" s="149"/>
      <c r="I129" s="188">
        <f t="shared" si="38"/>
        <v>0</v>
      </c>
      <c r="J129" s="170"/>
      <c r="K129" s="149"/>
      <c r="L129" s="149"/>
      <c r="M129" s="149"/>
      <c r="N129" s="149"/>
      <c r="O129" s="149"/>
      <c r="P129" s="188">
        <f t="shared" si="39"/>
        <v>0</v>
      </c>
      <c r="Q129" s="132">
        <f t="shared" si="30"/>
        <v>0</v>
      </c>
      <c r="R129" s="133">
        <f t="shared" si="31"/>
        <v>0</v>
      </c>
      <c r="S129" s="121" t="str">
        <f t="shared" si="40"/>
        <v/>
      </c>
    </row>
    <row r="130" hidden="1" outlineLevel="1">
      <c r="A130" s="142" t="str">
        <f>IFERROR(VLOOKUP(B130,'Статьи'!$A$2:C152,3,0)," ")</f>
        <v> </v>
      </c>
      <c r="B130" s="125"/>
      <c r="C130" s="170"/>
      <c r="D130" s="149"/>
      <c r="E130" s="149"/>
      <c r="F130" s="149"/>
      <c r="G130" s="149"/>
      <c r="H130" s="149"/>
      <c r="I130" s="188">
        <f t="shared" si="38"/>
        <v>0</v>
      </c>
      <c r="J130" s="170"/>
      <c r="K130" s="149"/>
      <c r="L130" s="149"/>
      <c r="M130" s="149"/>
      <c r="N130" s="149"/>
      <c r="O130" s="149"/>
      <c r="P130" s="188">
        <f t="shared" si="39"/>
        <v>0</v>
      </c>
      <c r="Q130" s="132">
        <f t="shared" si="30"/>
        <v>0</v>
      </c>
      <c r="R130" s="133">
        <f t="shared" si="31"/>
        <v>0</v>
      </c>
      <c r="S130" s="121" t="str">
        <f t="shared" si="40"/>
        <v/>
      </c>
    </row>
    <row r="131">
      <c r="A131" s="142" t="str">
        <f>IFERROR(VLOOKUP(B131,'Статьи'!$A$2:C153,3,0)," ")</f>
        <v> </v>
      </c>
      <c r="B131" s="125"/>
      <c r="C131" s="170"/>
      <c r="D131" s="149"/>
      <c r="E131" s="149"/>
      <c r="F131" s="149"/>
      <c r="G131" s="149"/>
      <c r="H131" s="149"/>
      <c r="I131" s="188">
        <f t="shared" si="38"/>
        <v>0</v>
      </c>
      <c r="J131" s="170"/>
      <c r="K131" s="149"/>
      <c r="L131" s="149"/>
      <c r="M131" s="149"/>
      <c r="N131" s="149"/>
      <c r="O131" s="149"/>
      <c r="P131" s="188">
        <f t="shared" si="39"/>
        <v>0</v>
      </c>
      <c r="Q131" s="132">
        <f t="shared" si="30"/>
        <v>0</v>
      </c>
      <c r="R131" s="133">
        <f t="shared" si="31"/>
        <v>0</v>
      </c>
      <c r="S131" s="121" t="str">
        <f t="shared" si="40"/>
        <v/>
      </c>
    </row>
    <row r="132">
      <c r="A132" s="135"/>
      <c r="B132" s="136" t="s">
        <v>107</v>
      </c>
      <c r="C132" s="137">
        <f t="shared" ref="C132:H132" si="41">SUM(C133:C141)</f>
        <v>0</v>
      </c>
      <c r="D132" s="138">
        <f t="shared" si="41"/>
        <v>0</v>
      </c>
      <c r="E132" s="138">
        <f t="shared" si="41"/>
        <v>0</v>
      </c>
      <c r="F132" s="138">
        <f t="shared" si="41"/>
        <v>0</v>
      </c>
      <c r="G132" s="138">
        <f t="shared" si="41"/>
        <v>0</v>
      </c>
      <c r="H132" s="138">
        <f t="shared" si="41"/>
        <v>0</v>
      </c>
      <c r="I132" s="139">
        <f t="shared" si="38"/>
        <v>0</v>
      </c>
      <c r="J132" s="137">
        <f t="shared" ref="J132:P132" si="42">SUM(J133:J141)</f>
        <v>0</v>
      </c>
      <c r="K132" s="138">
        <f t="shared" si="42"/>
        <v>0</v>
      </c>
      <c r="L132" s="138">
        <f t="shared" si="42"/>
        <v>0</v>
      </c>
      <c r="M132" s="138">
        <f t="shared" si="42"/>
        <v>0</v>
      </c>
      <c r="N132" s="138">
        <f t="shared" si="42"/>
        <v>0</v>
      </c>
      <c r="O132" s="138">
        <f t="shared" si="42"/>
        <v>0</v>
      </c>
      <c r="P132" s="140">
        <f t="shared" si="42"/>
        <v>0</v>
      </c>
      <c r="Q132" s="138">
        <f t="shared" si="30"/>
        <v>0</v>
      </c>
      <c r="R132" s="187">
        <f t="shared" si="31"/>
        <v>0</v>
      </c>
      <c r="S132" s="229" t="str">
        <f>IF(Q132=0,"",IF(R132&gt;1,"план не выполнен","выполнение"))</f>
        <v/>
      </c>
    </row>
    <row r="133" collapsed="1">
      <c r="A133" s="142" t="str">
        <f>IFERROR(VLOOKUP(B133,'Статьи'!$A$2:C155,3,0)," ")</f>
        <v>ДДС отчетного месяца. Без НДС!</v>
      </c>
      <c r="B133" s="125" t="str">
        <f>IFERROR(__xludf.DUMMYFUNCTION("iferror(filter('Статьи'!$A$1:$A177,'Статьи'!$B$1:$B177=$B$132))"),"Подписка на сайты по поиску клиентов")</f>
        <v>Подписка на сайты по поиску клиентов</v>
      </c>
      <c r="C133" s="170"/>
      <c r="D133" s="149"/>
      <c r="E133" s="149"/>
      <c r="F133" s="149"/>
      <c r="G133" s="149"/>
      <c r="H133" s="149"/>
      <c r="I133" s="188">
        <f t="shared" si="38"/>
        <v>0</v>
      </c>
      <c r="J133" s="170"/>
      <c r="K133" s="149"/>
      <c r="L133" s="149"/>
      <c r="M133" s="149"/>
      <c r="N133" s="149"/>
      <c r="O133" s="149"/>
      <c r="P133" s="188">
        <f t="shared" ref="P133:P140" si="43">SUM(J133:K133)</f>
        <v>0</v>
      </c>
      <c r="Q133" s="132">
        <f t="shared" si="30"/>
        <v>0</v>
      </c>
      <c r="R133" s="133">
        <f t="shared" si="31"/>
        <v>0</v>
      </c>
      <c r="S133" s="121" t="str">
        <f t="shared" ref="S133:S141" si="44">IF(Q133=0,"",IF(R133=0,"обратить внимание",IF(R133&gt;1,"перерасход","экономия")))</f>
        <v/>
      </c>
    </row>
    <row r="134" hidden="1" outlineLevel="1">
      <c r="A134" s="142" t="str">
        <f>IFERROR(VLOOKUP(B134,'Статьи'!$A$2:C156,3,0)," ")</f>
        <v> </v>
      </c>
      <c r="B134" s="125"/>
      <c r="C134" s="170"/>
      <c r="D134" s="149"/>
      <c r="E134" s="149"/>
      <c r="F134" s="149"/>
      <c r="G134" s="149"/>
      <c r="H134" s="149"/>
      <c r="I134" s="188">
        <f t="shared" si="38"/>
        <v>0</v>
      </c>
      <c r="J134" s="170"/>
      <c r="K134" s="149"/>
      <c r="L134" s="149"/>
      <c r="M134" s="149"/>
      <c r="N134" s="149"/>
      <c r="O134" s="149"/>
      <c r="P134" s="188">
        <f t="shared" si="43"/>
        <v>0</v>
      </c>
      <c r="Q134" s="132">
        <f t="shared" si="30"/>
        <v>0</v>
      </c>
      <c r="R134" s="133">
        <f t="shared" si="31"/>
        <v>0</v>
      </c>
      <c r="S134" s="121" t="str">
        <f t="shared" si="44"/>
        <v/>
      </c>
    </row>
    <row r="135" hidden="1" outlineLevel="1">
      <c r="A135" s="175" t="str">
        <f>IFERROR(VLOOKUP(B135,'Статьи'!$A$2:C157,3,0)," ")</f>
        <v> </v>
      </c>
      <c r="B135" s="175"/>
      <c r="C135" s="170"/>
      <c r="D135" s="149"/>
      <c r="E135" s="149"/>
      <c r="F135" s="149"/>
      <c r="G135" s="149"/>
      <c r="H135" s="149"/>
      <c r="I135" s="188">
        <f t="shared" si="38"/>
        <v>0</v>
      </c>
      <c r="J135" s="170"/>
      <c r="K135" s="149"/>
      <c r="L135" s="149"/>
      <c r="M135" s="149"/>
      <c r="N135" s="149"/>
      <c r="O135" s="149"/>
      <c r="P135" s="188">
        <f t="shared" si="43"/>
        <v>0</v>
      </c>
      <c r="Q135" s="132">
        <f t="shared" si="30"/>
        <v>0</v>
      </c>
      <c r="R135" s="133">
        <f t="shared" si="31"/>
        <v>0</v>
      </c>
      <c r="S135" s="121" t="str">
        <f t="shared" si="44"/>
        <v/>
      </c>
    </row>
    <row r="136" hidden="1" outlineLevel="1">
      <c r="A136" s="175" t="str">
        <f>IFERROR(VLOOKUP(B136,'Статьи'!$A$2:C158,3,0)," ")</f>
        <v> </v>
      </c>
      <c r="B136" s="175"/>
      <c r="C136" s="170"/>
      <c r="D136" s="149"/>
      <c r="E136" s="149"/>
      <c r="F136" s="149"/>
      <c r="G136" s="149"/>
      <c r="H136" s="149"/>
      <c r="I136" s="188">
        <f t="shared" si="38"/>
        <v>0</v>
      </c>
      <c r="J136" s="170"/>
      <c r="K136" s="149"/>
      <c r="L136" s="149"/>
      <c r="M136" s="149"/>
      <c r="N136" s="149"/>
      <c r="O136" s="149"/>
      <c r="P136" s="188">
        <f t="shared" si="43"/>
        <v>0</v>
      </c>
      <c r="Q136" s="132">
        <f t="shared" si="30"/>
        <v>0</v>
      </c>
      <c r="R136" s="133">
        <f t="shared" si="31"/>
        <v>0</v>
      </c>
      <c r="S136" s="121" t="str">
        <f t="shared" si="44"/>
        <v/>
      </c>
    </row>
    <row r="137" hidden="1" outlineLevel="1">
      <c r="A137" s="175" t="str">
        <f>IFERROR(VLOOKUP(B137,'Статьи'!$A$2:C159,3,0)," ")</f>
        <v> </v>
      </c>
      <c r="B137" s="175"/>
      <c r="C137" s="170"/>
      <c r="D137" s="149"/>
      <c r="E137" s="149"/>
      <c r="F137" s="149"/>
      <c r="G137" s="149"/>
      <c r="H137" s="149"/>
      <c r="I137" s="188">
        <f t="shared" si="38"/>
        <v>0</v>
      </c>
      <c r="J137" s="170"/>
      <c r="K137" s="149"/>
      <c r="L137" s="149"/>
      <c r="M137" s="149"/>
      <c r="N137" s="149"/>
      <c r="O137" s="149"/>
      <c r="P137" s="188">
        <f t="shared" si="43"/>
        <v>0</v>
      </c>
      <c r="Q137" s="132">
        <f t="shared" si="30"/>
        <v>0</v>
      </c>
      <c r="R137" s="133">
        <f t="shared" si="31"/>
        <v>0</v>
      </c>
      <c r="S137" s="121" t="str">
        <f t="shared" si="44"/>
        <v/>
      </c>
    </row>
    <row r="138" hidden="1" outlineLevel="1">
      <c r="A138" s="175" t="str">
        <f>IFERROR(VLOOKUP(B138,'Статьи'!$A$2:C160,3,0)," ")</f>
        <v> </v>
      </c>
      <c r="B138" s="175"/>
      <c r="C138" s="170"/>
      <c r="D138" s="149"/>
      <c r="E138" s="149"/>
      <c r="F138" s="149"/>
      <c r="G138" s="149"/>
      <c r="H138" s="149"/>
      <c r="I138" s="188">
        <f t="shared" si="38"/>
        <v>0</v>
      </c>
      <c r="J138" s="170"/>
      <c r="K138" s="149"/>
      <c r="L138" s="149"/>
      <c r="M138" s="149"/>
      <c r="N138" s="149"/>
      <c r="O138" s="149"/>
      <c r="P138" s="188">
        <f t="shared" si="43"/>
        <v>0</v>
      </c>
      <c r="Q138" s="132">
        <f t="shared" si="30"/>
        <v>0</v>
      </c>
      <c r="R138" s="133">
        <f t="shared" si="31"/>
        <v>0</v>
      </c>
      <c r="S138" s="121" t="str">
        <f t="shared" si="44"/>
        <v/>
      </c>
    </row>
    <row r="139" hidden="1" outlineLevel="1">
      <c r="A139" s="175" t="str">
        <f>IFERROR(VLOOKUP(B139,'Статьи'!$A$2:C161,3,0)," ")</f>
        <v> </v>
      </c>
      <c r="B139" s="175"/>
      <c r="C139" s="170"/>
      <c r="D139" s="149"/>
      <c r="E139" s="149"/>
      <c r="F139" s="149"/>
      <c r="G139" s="149"/>
      <c r="H139" s="149"/>
      <c r="I139" s="188">
        <f t="shared" si="38"/>
        <v>0</v>
      </c>
      <c r="J139" s="170"/>
      <c r="K139" s="149"/>
      <c r="L139" s="149"/>
      <c r="M139" s="149"/>
      <c r="N139" s="149"/>
      <c r="O139" s="149"/>
      <c r="P139" s="188">
        <f t="shared" si="43"/>
        <v>0</v>
      </c>
      <c r="Q139" s="132">
        <f t="shared" si="30"/>
        <v>0</v>
      </c>
      <c r="R139" s="133">
        <f t="shared" si="31"/>
        <v>0</v>
      </c>
      <c r="S139" s="121" t="str">
        <f t="shared" si="44"/>
        <v/>
      </c>
    </row>
    <row r="140" hidden="1" outlineLevel="1">
      <c r="A140" s="175" t="str">
        <f>IFERROR(VLOOKUP(B140,'Статьи'!$A$2:C162,3,0)," ")</f>
        <v> </v>
      </c>
      <c r="B140" s="175"/>
      <c r="C140" s="170"/>
      <c r="D140" s="149"/>
      <c r="E140" s="149"/>
      <c r="F140" s="149"/>
      <c r="G140" s="149"/>
      <c r="H140" s="149"/>
      <c r="I140" s="188">
        <f t="shared" si="38"/>
        <v>0</v>
      </c>
      <c r="J140" s="170"/>
      <c r="K140" s="149"/>
      <c r="L140" s="149"/>
      <c r="M140" s="149"/>
      <c r="N140" s="149"/>
      <c r="O140" s="149"/>
      <c r="P140" s="188">
        <f t="shared" si="43"/>
        <v>0</v>
      </c>
      <c r="Q140" s="132">
        <f t="shared" si="30"/>
        <v>0</v>
      </c>
      <c r="R140" s="133">
        <f t="shared" si="31"/>
        <v>0</v>
      </c>
      <c r="S140" s="121" t="str">
        <f t="shared" si="44"/>
        <v/>
      </c>
    </row>
    <row r="141">
      <c r="A141" s="175" t="str">
        <f>IFERROR(VLOOKUP(B141,'Статьи'!$A$2:C163,3,0)," ")</f>
        <v> </v>
      </c>
      <c r="B141" s="175"/>
      <c r="C141" s="170"/>
      <c r="D141" s="149"/>
      <c r="E141" s="149"/>
      <c r="F141" s="149"/>
      <c r="G141" s="149"/>
      <c r="H141" s="149"/>
      <c r="I141" s="188">
        <f t="shared" si="38"/>
        <v>0</v>
      </c>
      <c r="J141" s="170"/>
      <c r="K141" s="149"/>
      <c r="L141" s="149"/>
      <c r="M141" s="149"/>
      <c r="N141" s="149"/>
      <c r="O141" s="149"/>
      <c r="P141" s="188">
        <f>sum(F141:J141)</f>
        <v>0</v>
      </c>
      <c r="Q141" s="132">
        <f t="shared" si="30"/>
        <v>0</v>
      </c>
      <c r="R141" s="133">
        <f t="shared" si="31"/>
        <v>0</v>
      </c>
      <c r="S141" s="121" t="str">
        <f t="shared" si="44"/>
        <v/>
      </c>
    </row>
    <row r="142">
      <c r="A142" s="152"/>
      <c r="B142" s="153" t="s">
        <v>142</v>
      </c>
      <c r="C142" s="154">
        <f t="shared" ref="C142:K142" si="45">C85+C88</f>
        <v>7</v>
      </c>
      <c r="D142" s="155">
        <f t="shared" si="45"/>
        <v>0</v>
      </c>
      <c r="E142" s="155">
        <f t="shared" si="45"/>
        <v>0</v>
      </c>
      <c r="F142" s="155">
        <f t="shared" si="45"/>
        <v>0</v>
      </c>
      <c r="G142" s="155">
        <f t="shared" si="45"/>
        <v>0</v>
      </c>
      <c r="H142" s="155">
        <f t="shared" si="45"/>
        <v>0</v>
      </c>
      <c r="I142" s="157">
        <f t="shared" si="45"/>
        <v>7</v>
      </c>
      <c r="J142" s="154">
        <f t="shared" si="45"/>
        <v>0</v>
      </c>
      <c r="K142" s="155">
        <f t="shared" si="45"/>
        <v>0</v>
      </c>
      <c r="L142" s="155"/>
      <c r="M142" s="155"/>
      <c r="N142" s="155"/>
      <c r="O142" s="155"/>
      <c r="P142" s="157">
        <f>P85+P88</f>
        <v>0</v>
      </c>
      <c r="Q142" s="155">
        <f t="shared" si="30"/>
        <v>7</v>
      </c>
      <c r="R142" s="158">
        <f t="shared" si="31"/>
        <v>0</v>
      </c>
      <c r="S142" s="159" t="str">
        <f>IF(Q142=0,"",IF(R142&gt;1,"выполнение","план не выполнен"))</f>
        <v>план не выполнен</v>
      </c>
    </row>
    <row r="143">
      <c r="A143" s="160"/>
      <c r="B143" s="161" t="s">
        <v>143</v>
      </c>
      <c r="C143" s="162">
        <f t="shared" ref="C143:K143" si="46">IFERROR(C142/C$3,"")</f>
        <v>1</v>
      </c>
      <c r="D143" s="163" t="str">
        <f t="shared" si="46"/>
        <v/>
      </c>
      <c r="E143" s="163" t="str">
        <f t="shared" si="46"/>
        <v/>
      </c>
      <c r="F143" s="163" t="str">
        <f t="shared" si="46"/>
        <v/>
      </c>
      <c r="G143" s="163" t="str">
        <f t="shared" si="46"/>
        <v/>
      </c>
      <c r="H143" s="163" t="str">
        <f t="shared" si="46"/>
        <v/>
      </c>
      <c r="I143" s="164">
        <f t="shared" si="46"/>
        <v>1</v>
      </c>
      <c r="J143" s="162" t="str">
        <f t="shared" si="46"/>
        <v/>
      </c>
      <c r="K143" s="163" t="str">
        <f t="shared" si="46"/>
        <v/>
      </c>
      <c r="L143" s="163"/>
      <c r="M143" s="163"/>
      <c r="N143" s="163"/>
      <c r="O143" s="163"/>
      <c r="P143" s="164" t="str">
        <f>IFERROR(P142/P$3,"")</f>
        <v/>
      </c>
      <c r="Q143" s="133"/>
      <c r="R143" s="133"/>
      <c r="S143" s="121" t="str">
        <f t="shared" ref="S143:S144" si="47">IF(Q143=0,"",IF(Q143=0,0,IF(R143&gt;1,"перерасход","экономия")))</f>
        <v/>
      </c>
    </row>
    <row r="144">
      <c r="A144" s="142"/>
      <c r="B144" s="125"/>
      <c r="C144" s="199"/>
      <c r="D144" s="200"/>
      <c r="E144" s="200"/>
      <c r="F144" s="200"/>
      <c r="G144" s="200"/>
      <c r="H144" s="200"/>
      <c r="I144" s="116"/>
      <c r="J144" s="123"/>
      <c r="K144" s="118"/>
      <c r="L144" s="118"/>
      <c r="M144" s="118"/>
      <c r="N144" s="118"/>
      <c r="O144" s="118"/>
      <c r="P144" s="116"/>
      <c r="Q144" s="132"/>
      <c r="R144" s="133"/>
      <c r="S144" s="121" t="str">
        <f t="shared" si="47"/>
        <v/>
      </c>
    </row>
    <row r="145">
      <c r="A145" s="201"/>
      <c r="B145" s="202" t="s">
        <v>111</v>
      </c>
      <c r="C145" s="203">
        <f t="shared" ref="C145:H145" si="48">SUM(C146:C154)</f>
        <v>0</v>
      </c>
      <c r="D145" s="204">
        <f t="shared" si="48"/>
        <v>0</v>
      </c>
      <c r="E145" s="204">
        <f t="shared" si="48"/>
        <v>0</v>
      </c>
      <c r="F145" s="204">
        <f t="shared" si="48"/>
        <v>0</v>
      </c>
      <c r="G145" s="204">
        <f t="shared" si="48"/>
        <v>0</v>
      </c>
      <c r="H145" s="204">
        <f t="shared" si="48"/>
        <v>0</v>
      </c>
      <c r="I145" s="205">
        <f>SUM(C145:H145)</f>
        <v>0</v>
      </c>
      <c r="J145" s="206">
        <f t="shared" ref="J145:P145" si="49">SUM(J146:J154)</f>
        <v>0</v>
      </c>
      <c r="K145" s="207">
        <f t="shared" si="49"/>
        <v>0</v>
      </c>
      <c r="L145" s="207">
        <f t="shared" si="49"/>
        <v>0</v>
      </c>
      <c r="M145" s="207">
        <f t="shared" si="49"/>
        <v>0</v>
      </c>
      <c r="N145" s="207">
        <f t="shared" si="49"/>
        <v>0</v>
      </c>
      <c r="O145" s="207">
        <f t="shared" si="49"/>
        <v>0</v>
      </c>
      <c r="P145" s="208">
        <f t="shared" si="49"/>
        <v>0</v>
      </c>
      <c r="Q145" s="204">
        <f t="shared" ref="Q145:Q173" si="50">I145-P145</f>
        <v>0</v>
      </c>
      <c r="R145" s="209">
        <f t="shared" ref="R145:R173" si="51">IFERROR(I145/P145,0)</f>
        <v>0</v>
      </c>
      <c r="S145" s="210" t="str">
        <f>IF(Q145=0,"",IF(R145&gt;1,"выполнение","план не выполнен"))</f>
        <v/>
      </c>
    </row>
    <row r="146">
      <c r="A146" s="142" t="str">
        <f>IFERROR(VLOOKUP(B146,'Статьи'!$A$2:C168,3,0)," ")</f>
        <v>ДДС отчетного месяца. Без НДС!</v>
      </c>
      <c r="B146" s="125" t="str">
        <f>IFERROR(__xludf.DUMMYFUNCTION("iferror(filter('Статьи'!$A$1:$A177,'Статьи'!$B$1:$B177=B145))"),"Поступления прочие")</f>
        <v>Поступления прочие</v>
      </c>
      <c r="C146" s="170"/>
      <c r="D146" s="149"/>
      <c r="E146" s="149"/>
      <c r="F146" s="149"/>
      <c r="G146" s="149"/>
      <c r="H146" s="149"/>
      <c r="I146" s="211">
        <f t="shared" ref="I146:I172" si="52">sum(C146:H146)</f>
        <v>0</v>
      </c>
      <c r="J146" s="122"/>
      <c r="K146" s="114"/>
      <c r="L146" s="114"/>
      <c r="M146" s="114"/>
      <c r="N146" s="114"/>
      <c r="O146" s="114"/>
      <c r="P146" s="211">
        <f t="shared" ref="P146:P153" si="53">SUM(J146:K146)</f>
        <v>0</v>
      </c>
      <c r="Q146" s="132">
        <f t="shared" si="50"/>
        <v>0</v>
      </c>
      <c r="R146" s="133">
        <f t="shared" si="51"/>
        <v>0</v>
      </c>
      <c r="S146" s="121" t="str">
        <f t="shared" ref="S146:S154" si="54">IF(Q146=0,"",IF(R146=0,"обратить внимание",IF(R146&gt;1,"выполнение","план не выполнен")))</f>
        <v/>
      </c>
    </row>
    <row r="147">
      <c r="A147" s="142" t="str">
        <f>IFERROR(VLOOKUP(B147,'Статьи'!$A$2:C169,3,0)," ")</f>
        <v>ДДС отчетного месяца. Без НДС!</v>
      </c>
      <c r="B147" s="125" t="str">
        <f>IFERROR(__xludf.DUMMYFUNCTION("""COMPUTED_VALUE"""),"Поступления страховые выплаты")</f>
        <v>Поступления страховые выплаты</v>
      </c>
      <c r="C147" s="170"/>
      <c r="D147" s="149"/>
      <c r="E147" s="149"/>
      <c r="F147" s="149"/>
      <c r="G147" s="149"/>
      <c r="H147" s="149"/>
      <c r="I147" s="211">
        <f t="shared" si="52"/>
        <v>0</v>
      </c>
      <c r="J147" s="122"/>
      <c r="K147" s="114"/>
      <c r="L147" s="114"/>
      <c r="M147" s="114"/>
      <c r="N147" s="114"/>
      <c r="O147" s="114"/>
      <c r="P147" s="211">
        <f t="shared" si="53"/>
        <v>0</v>
      </c>
      <c r="Q147" s="132">
        <f t="shared" si="50"/>
        <v>0</v>
      </c>
      <c r="R147" s="133">
        <f t="shared" si="51"/>
        <v>0</v>
      </c>
      <c r="S147" s="121" t="str">
        <f t="shared" si="54"/>
        <v/>
      </c>
    </row>
    <row r="148">
      <c r="A148" s="142" t="str">
        <f>IFERROR(VLOOKUP(B148,'Статьи'!$A$2:C170,3,0)," ")</f>
        <v>отчет Учета ОС Вкладка Свод строка 37</v>
      </c>
      <c r="B148" s="125" t="str">
        <f>IFERROR(__xludf.DUMMYFUNCTION("""COMPUTED_VALUE"""),"Продажа ОС")</f>
        <v>Продажа ОС</v>
      </c>
      <c r="C148" s="170"/>
      <c r="D148" s="149"/>
      <c r="E148" s="149"/>
      <c r="F148" s="149"/>
      <c r="G148" s="149"/>
      <c r="H148" s="149"/>
      <c r="I148" s="211">
        <f t="shared" si="52"/>
        <v>0</v>
      </c>
      <c r="J148" s="122"/>
      <c r="K148" s="114"/>
      <c r="L148" s="114"/>
      <c r="M148" s="114"/>
      <c r="N148" s="114"/>
      <c r="O148" s="114"/>
      <c r="P148" s="211">
        <f t="shared" si="53"/>
        <v>0</v>
      </c>
      <c r="Q148" s="132">
        <f t="shared" si="50"/>
        <v>0</v>
      </c>
      <c r="R148" s="133">
        <f t="shared" si="51"/>
        <v>0</v>
      </c>
      <c r="S148" s="121" t="str">
        <f t="shared" si="54"/>
        <v/>
      </c>
    </row>
    <row r="149">
      <c r="A149" s="142" t="str">
        <f>IFERROR(VLOOKUP(B149,'Статьи'!$A$2:C171,3,0)," ")</f>
        <v>ДДС отчетного месяца. Без НДС!</v>
      </c>
      <c r="B149" s="125" t="str">
        <f>IFERROR(__xludf.DUMMYFUNCTION("""COMPUTED_VALUE"""),"Прочие поступления от фин. операций")</f>
        <v>Прочие поступления от фин. операций</v>
      </c>
      <c r="C149" s="170"/>
      <c r="D149" s="149"/>
      <c r="E149" s="149"/>
      <c r="F149" s="149"/>
      <c r="G149" s="149"/>
      <c r="H149" s="149"/>
      <c r="I149" s="211">
        <f t="shared" si="52"/>
        <v>0</v>
      </c>
      <c r="J149" s="122"/>
      <c r="K149" s="114"/>
      <c r="L149" s="114"/>
      <c r="M149" s="114"/>
      <c r="N149" s="114"/>
      <c r="O149" s="114"/>
      <c r="P149" s="211">
        <f t="shared" si="53"/>
        <v>0</v>
      </c>
      <c r="Q149" s="132">
        <f t="shared" si="50"/>
        <v>0</v>
      </c>
      <c r="R149" s="133">
        <f t="shared" si="51"/>
        <v>0</v>
      </c>
      <c r="S149" s="121" t="str">
        <f t="shared" si="54"/>
        <v/>
      </c>
    </row>
    <row r="150">
      <c r="A150" s="142" t="str">
        <f>IFERROR(VLOOKUP(B150,'Статьи'!$A$2:C172,3,0)," ")</f>
        <v> </v>
      </c>
      <c r="B150" s="125"/>
      <c r="C150" s="170"/>
      <c r="D150" s="149"/>
      <c r="E150" s="149"/>
      <c r="F150" s="149"/>
      <c r="G150" s="149"/>
      <c r="H150" s="149"/>
      <c r="I150" s="211">
        <f t="shared" si="52"/>
        <v>0</v>
      </c>
      <c r="J150" s="122" t="str">
        <f>C150</f>
        <v/>
      </c>
      <c r="K150" s="114"/>
      <c r="L150" s="114"/>
      <c r="M150" s="114"/>
      <c r="N150" s="114"/>
      <c r="O150" s="114"/>
      <c r="P150" s="211">
        <f t="shared" si="53"/>
        <v>0</v>
      </c>
      <c r="Q150" s="132">
        <f t="shared" si="50"/>
        <v>0</v>
      </c>
      <c r="R150" s="133">
        <f t="shared" si="51"/>
        <v>0</v>
      </c>
      <c r="S150" s="121" t="str">
        <f t="shared" si="54"/>
        <v/>
      </c>
    </row>
    <row r="151" collapsed="1">
      <c r="A151" s="142" t="str">
        <f>IFERROR(VLOOKUP(B151,'Статьи'!$A$2:C173,3,0)," ")</f>
        <v> </v>
      </c>
      <c r="B151" s="125"/>
      <c r="C151" s="170"/>
      <c r="D151" s="149"/>
      <c r="E151" s="149"/>
      <c r="F151" s="149"/>
      <c r="G151" s="149"/>
      <c r="H151" s="149"/>
      <c r="I151" s="211">
        <f t="shared" si="52"/>
        <v>0</v>
      </c>
      <c r="J151" s="122"/>
      <c r="K151" s="114"/>
      <c r="L151" s="114"/>
      <c r="M151" s="114"/>
      <c r="N151" s="114"/>
      <c r="O151" s="114"/>
      <c r="P151" s="211">
        <f t="shared" si="53"/>
        <v>0</v>
      </c>
      <c r="Q151" s="132">
        <f t="shared" si="50"/>
        <v>0</v>
      </c>
      <c r="R151" s="133">
        <f t="shared" si="51"/>
        <v>0</v>
      </c>
      <c r="S151" s="121" t="str">
        <f t="shared" si="54"/>
        <v/>
      </c>
    </row>
    <row r="152" hidden="1" outlineLevel="1">
      <c r="A152" s="142" t="str">
        <f>IFERROR(VLOOKUP(B152,'Статьи'!$A$2:C174,3,0)," ")</f>
        <v> </v>
      </c>
      <c r="B152" s="125"/>
      <c r="C152" s="170"/>
      <c r="D152" s="149"/>
      <c r="E152" s="149"/>
      <c r="F152" s="149"/>
      <c r="G152" s="149"/>
      <c r="H152" s="149"/>
      <c r="I152" s="211">
        <f t="shared" si="52"/>
        <v>0</v>
      </c>
      <c r="J152" s="122"/>
      <c r="K152" s="114"/>
      <c r="L152" s="114"/>
      <c r="M152" s="114"/>
      <c r="N152" s="114"/>
      <c r="O152" s="114"/>
      <c r="P152" s="211">
        <f t="shared" si="53"/>
        <v>0</v>
      </c>
      <c r="Q152" s="132">
        <f t="shared" si="50"/>
        <v>0</v>
      </c>
      <c r="R152" s="133">
        <f t="shared" si="51"/>
        <v>0</v>
      </c>
      <c r="S152" s="121" t="str">
        <f t="shared" si="54"/>
        <v/>
      </c>
    </row>
    <row r="153" hidden="1" outlineLevel="1">
      <c r="A153" s="142" t="str">
        <f>IFERROR(VLOOKUP(B153,'Статьи'!$A$2:C175,3,0)," ")</f>
        <v> </v>
      </c>
      <c r="B153" s="125"/>
      <c r="C153" s="170"/>
      <c r="D153" s="149"/>
      <c r="E153" s="149"/>
      <c r="F153" s="149"/>
      <c r="G153" s="149"/>
      <c r="H153" s="149"/>
      <c r="I153" s="211">
        <f t="shared" si="52"/>
        <v>0</v>
      </c>
      <c r="J153" s="122"/>
      <c r="K153" s="114"/>
      <c r="L153" s="114"/>
      <c r="M153" s="114"/>
      <c r="N153" s="114"/>
      <c r="O153" s="114"/>
      <c r="P153" s="211">
        <f t="shared" si="53"/>
        <v>0</v>
      </c>
      <c r="Q153" s="132">
        <f t="shared" si="50"/>
        <v>0</v>
      </c>
      <c r="R153" s="133">
        <f t="shared" si="51"/>
        <v>0</v>
      </c>
      <c r="S153" s="121" t="str">
        <f t="shared" si="54"/>
        <v/>
      </c>
    </row>
    <row r="154">
      <c r="A154" s="142" t="str">
        <f>IFERROR(VLOOKUP(B154,'Статьи'!$A$2:C176,3,0)," ")</f>
        <v> </v>
      </c>
      <c r="B154" s="125"/>
      <c r="C154" s="170"/>
      <c r="D154" s="149"/>
      <c r="E154" s="149"/>
      <c r="F154" s="149"/>
      <c r="G154" s="149"/>
      <c r="H154" s="149"/>
      <c r="I154" s="211">
        <f t="shared" si="52"/>
        <v>0</v>
      </c>
      <c r="J154" s="122"/>
      <c r="K154" s="114"/>
      <c r="L154" s="114"/>
      <c r="M154" s="114"/>
      <c r="N154" s="114"/>
      <c r="O154" s="114"/>
      <c r="P154" s="211">
        <f>sum(F154:J154)</f>
        <v>0</v>
      </c>
      <c r="Q154" s="132">
        <f t="shared" si="50"/>
        <v>0</v>
      </c>
      <c r="R154" s="133">
        <f t="shared" si="51"/>
        <v>0</v>
      </c>
      <c r="S154" s="121" t="str">
        <f t="shared" si="54"/>
        <v/>
      </c>
    </row>
    <row r="155">
      <c r="A155" s="212"/>
      <c r="B155" s="213" t="s">
        <v>101</v>
      </c>
      <c r="C155" s="203">
        <f t="shared" ref="C155:H155" si="55">SUM(C156:C172)</f>
        <v>0</v>
      </c>
      <c r="D155" s="204">
        <f t="shared" si="55"/>
        <v>0</v>
      </c>
      <c r="E155" s="204">
        <f t="shared" si="55"/>
        <v>0</v>
      </c>
      <c r="F155" s="204">
        <f t="shared" si="55"/>
        <v>0</v>
      </c>
      <c r="G155" s="204">
        <f t="shared" si="55"/>
        <v>0</v>
      </c>
      <c r="H155" s="204">
        <f t="shared" si="55"/>
        <v>0</v>
      </c>
      <c r="I155" s="208">
        <f t="shared" si="52"/>
        <v>0</v>
      </c>
      <c r="J155" s="206">
        <f t="shared" ref="J155:K155" si="56">SUM(J156:J172)</f>
        <v>0</v>
      </c>
      <c r="K155" s="207">
        <f t="shared" si="56"/>
        <v>0</v>
      </c>
      <c r="L155" s="207"/>
      <c r="M155" s="207"/>
      <c r="N155" s="207"/>
      <c r="O155" s="207"/>
      <c r="P155" s="208">
        <f>SUM(P156:P172)</f>
        <v>0</v>
      </c>
      <c r="Q155" s="207">
        <f t="shared" si="50"/>
        <v>0</v>
      </c>
      <c r="R155" s="214">
        <f t="shared" si="51"/>
        <v>0</v>
      </c>
      <c r="S155" s="210" t="str">
        <f>IF(Q155=0,"",IF(R155&gt;1,"план не выполнен","выполнение"))</f>
        <v/>
      </c>
    </row>
    <row r="156">
      <c r="A156" s="142" t="str">
        <f>IFERROR(VLOOKUP(B156,'Статьи'!$A$2:C178,3,0)," ")</f>
        <v>ДДС отчетного месяца. Без НДС!</v>
      </c>
      <c r="B156" s="125" t="str">
        <f>IFERROR(__xludf.DUMMYFUNCTION("iferror(filter('Статьи'!$A$1:$A177,'Статьи'!$B$1:$B177=B155))"),"Курсовые разницы")</f>
        <v>Курсовые разницы</v>
      </c>
      <c r="C156" s="171"/>
      <c r="D156" s="149"/>
      <c r="E156" s="149"/>
      <c r="F156" s="149"/>
      <c r="G156" s="149"/>
      <c r="H156" s="149"/>
      <c r="I156" s="211">
        <f t="shared" si="52"/>
        <v>0</v>
      </c>
      <c r="J156" s="122"/>
      <c r="K156" s="114"/>
      <c r="L156" s="114"/>
      <c r="M156" s="114"/>
      <c r="N156" s="114"/>
      <c r="O156" s="114"/>
      <c r="P156" s="211">
        <f t="shared" ref="P156:P171" si="57">SUM(J156:K156)</f>
        <v>0</v>
      </c>
      <c r="Q156" s="132">
        <f t="shared" si="50"/>
        <v>0</v>
      </c>
      <c r="R156" s="133">
        <f t="shared" si="51"/>
        <v>0</v>
      </c>
      <c r="S156" s="121" t="str">
        <f t="shared" ref="S156:S172" si="58">IF(Q156=0,"",IF(R156=0,"обратить внимание",IF(R156&gt;1,"перерасход","экономия")))</f>
        <v/>
      </c>
    </row>
    <row r="157">
      <c r="A157" s="142" t="str">
        <f>IFERROR(VLOOKUP(B157,'Статьи'!$A$2:C179,3,0)," ")</f>
        <v>1С</v>
      </c>
      <c r="B157" s="125" t="str">
        <f>IFERROR(__xludf.DUMMYFUNCTION("""COMPUTED_VALUE"""),"Налог  на прибыль УСН 6%")</f>
        <v>Налог  на прибыль УСН 6%</v>
      </c>
      <c r="C157" s="171"/>
      <c r="D157" s="149"/>
      <c r="E157" s="149"/>
      <c r="F157" s="149"/>
      <c r="G157" s="149"/>
      <c r="H157" s="149"/>
      <c r="I157" s="211">
        <f t="shared" si="52"/>
        <v>0</v>
      </c>
      <c r="J157" s="122"/>
      <c r="K157" s="114"/>
      <c r="L157" s="114"/>
      <c r="M157" s="114"/>
      <c r="N157" s="114"/>
      <c r="O157" s="114"/>
      <c r="P157" s="211">
        <f t="shared" si="57"/>
        <v>0</v>
      </c>
      <c r="Q157" s="132">
        <f t="shared" si="50"/>
        <v>0</v>
      </c>
      <c r="R157" s="133">
        <f t="shared" si="51"/>
        <v>0</v>
      </c>
      <c r="S157" s="121" t="str">
        <f t="shared" si="58"/>
        <v/>
      </c>
    </row>
    <row r="158">
      <c r="A158" s="142" t="str">
        <f>IFERROR(VLOOKUP(B158,'Статьи'!$A$2:C180,3,0)," ")</f>
        <v>1С</v>
      </c>
      <c r="B158" s="125" t="str">
        <f>IFERROR(__xludf.DUMMYFUNCTION("""COMPUTED_VALUE"""),"Налог на прибыль 20%")</f>
        <v>Налог на прибыль 20%</v>
      </c>
      <c r="C158" s="171"/>
      <c r="D158" s="149"/>
      <c r="E158" s="149"/>
      <c r="F158" s="149"/>
      <c r="G158" s="149"/>
      <c r="H158" s="149"/>
      <c r="I158" s="211">
        <f t="shared" si="52"/>
        <v>0</v>
      </c>
      <c r="J158" s="122"/>
      <c r="K158" s="114"/>
      <c r="L158" s="114"/>
      <c r="M158" s="114"/>
      <c r="N158" s="114"/>
      <c r="O158" s="114"/>
      <c r="P158" s="211">
        <f t="shared" si="57"/>
        <v>0</v>
      </c>
      <c r="Q158" s="132">
        <f t="shared" si="50"/>
        <v>0</v>
      </c>
      <c r="R158" s="133">
        <f t="shared" si="51"/>
        <v>0</v>
      </c>
      <c r="S158" s="121" t="str">
        <f t="shared" si="58"/>
        <v/>
      </c>
    </row>
    <row r="159">
      <c r="A159" s="142" t="str">
        <f>IFERROR(VLOOKUP(B159,'Статьи'!$A$2:C181,3,0)," ")</f>
        <v>отчет Учет ОС</v>
      </c>
      <c r="B159" s="125" t="str">
        <f>IFERROR(__xludf.DUMMYFUNCTION("""COMPUTED_VALUE"""),"Амортизация ОС")</f>
        <v>Амортизация ОС</v>
      </c>
      <c r="C159" s="215"/>
      <c r="D159" s="149"/>
      <c r="E159" s="149"/>
      <c r="F159" s="149"/>
      <c r="G159" s="149"/>
      <c r="H159" s="149"/>
      <c r="I159" s="211">
        <f t="shared" si="52"/>
        <v>0</v>
      </c>
      <c r="J159" s="122"/>
      <c r="K159" s="114"/>
      <c r="L159" s="114"/>
      <c r="M159" s="114"/>
      <c r="N159" s="114"/>
      <c r="O159" s="114"/>
      <c r="P159" s="211">
        <f t="shared" si="57"/>
        <v>0</v>
      </c>
      <c r="Q159" s="132">
        <f t="shared" si="50"/>
        <v>0</v>
      </c>
      <c r="R159" s="133">
        <f t="shared" si="51"/>
        <v>0</v>
      </c>
      <c r="S159" s="121" t="str">
        <f t="shared" si="58"/>
        <v/>
      </c>
    </row>
    <row r="160">
      <c r="A160" s="142" t="str">
        <f>IFERROR(VLOOKUP(B160,'Статьи'!$A$2:C182,3,0)," ")</f>
        <v>ДДС отчетного месяца. Без НДС!</v>
      </c>
      <c r="B160" s="125" t="str">
        <f>IFERROR(__xludf.DUMMYFUNCTION("""COMPUTED_VALUE"""),"Прочие расходы")</f>
        <v>Прочие расходы</v>
      </c>
      <c r="C160" s="171"/>
      <c r="D160" s="149"/>
      <c r="E160" s="149"/>
      <c r="F160" s="149"/>
      <c r="G160" s="149"/>
      <c r="H160" s="149"/>
      <c r="I160" s="211">
        <f t="shared" si="52"/>
        <v>0</v>
      </c>
      <c r="J160" s="122"/>
      <c r="K160" s="114"/>
      <c r="L160" s="114"/>
      <c r="M160" s="114"/>
      <c r="N160" s="114"/>
      <c r="O160" s="114"/>
      <c r="P160" s="211">
        <f t="shared" si="57"/>
        <v>0</v>
      </c>
      <c r="Q160" s="132">
        <f t="shared" si="50"/>
        <v>0</v>
      </c>
      <c r="R160" s="133">
        <f t="shared" si="51"/>
        <v>0</v>
      </c>
      <c r="S160" s="121" t="str">
        <f t="shared" si="58"/>
        <v/>
      </c>
    </row>
    <row r="161">
      <c r="A161" s="142" t="str">
        <f>IFERROR(VLOOKUP(B161,'Статьи'!$A$2:C183,3,0)," ")</f>
        <v>ДДС отчетного месяца. Без НДС!</v>
      </c>
      <c r="B161" s="111" t="str">
        <f>IFERROR(__xludf.DUMMYFUNCTION("""COMPUTED_VALUE"""),"Ремонт ОС")</f>
        <v>Ремонт ОС</v>
      </c>
      <c r="C161" s="171"/>
      <c r="D161" s="149"/>
      <c r="E161" s="149"/>
      <c r="F161" s="149"/>
      <c r="G161" s="149"/>
      <c r="H161" s="149"/>
      <c r="I161" s="211">
        <f t="shared" si="52"/>
        <v>0</v>
      </c>
      <c r="J161" s="122"/>
      <c r="K161" s="114"/>
      <c r="L161" s="114"/>
      <c r="M161" s="114"/>
      <c r="N161" s="114"/>
      <c r="O161" s="114"/>
      <c r="P161" s="211">
        <f t="shared" si="57"/>
        <v>0</v>
      </c>
      <c r="Q161" s="132">
        <f t="shared" si="50"/>
        <v>0</v>
      </c>
      <c r="R161" s="133">
        <f t="shared" si="51"/>
        <v>0</v>
      </c>
      <c r="S161" s="121" t="str">
        <f t="shared" si="58"/>
        <v/>
      </c>
    </row>
    <row r="162">
      <c r="A162" s="142" t="str">
        <f>IFERROR(VLOOKUP(B162,'Статьи'!$A$2:C184,3,0)," ")</f>
        <v>отчет Учет ФД</v>
      </c>
      <c r="B162" s="111" t="str">
        <f>IFERROR(__xludf.DUMMYFUNCTION("""COMPUTED_VALUE"""),"Оплаты %  кредиты")</f>
        <v>Оплаты %  кредиты</v>
      </c>
      <c r="C162" s="171"/>
      <c r="D162" s="149"/>
      <c r="E162" s="149"/>
      <c r="F162" s="149"/>
      <c r="G162" s="149"/>
      <c r="H162" s="149"/>
      <c r="I162" s="211">
        <f t="shared" si="52"/>
        <v>0</v>
      </c>
      <c r="J162" s="122"/>
      <c r="K162" s="114"/>
      <c r="L162" s="114"/>
      <c r="M162" s="114"/>
      <c r="N162" s="114"/>
      <c r="O162" s="114"/>
      <c r="P162" s="211">
        <f t="shared" si="57"/>
        <v>0</v>
      </c>
      <c r="Q162" s="132">
        <f t="shared" si="50"/>
        <v>0</v>
      </c>
      <c r="R162" s="133">
        <f t="shared" si="51"/>
        <v>0</v>
      </c>
      <c r="S162" s="121" t="str">
        <f t="shared" si="58"/>
        <v/>
      </c>
    </row>
    <row r="163" collapsed="1">
      <c r="A163" s="110" t="str">
        <f>IFERROR(VLOOKUP(B163,'Статьи'!$A$2:C185,3,0)," ")</f>
        <v> </v>
      </c>
      <c r="B163" s="111"/>
      <c r="C163" s="171"/>
      <c r="D163" s="149"/>
      <c r="E163" s="149"/>
      <c r="F163" s="149"/>
      <c r="G163" s="149"/>
      <c r="H163" s="149"/>
      <c r="I163" s="211">
        <f t="shared" si="52"/>
        <v>0</v>
      </c>
      <c r="J163" s="122"/>
      <c r="K163" s="114"/>
      <c r="L163" s="114"/>
      <c r="M163" s="114"/>
      <c r="N163" s="114"/>
      <c r="O163" s="114"/>
      <c r="P163" s="211">
        <f t="shared" si="57"/>
        <v>0</v>
      </c>
      <c r="Q163" s="132">
        <f t="shared" si="50"/>
        <v>0</v>
      </c>
      <c r="R163" s="133">
        <f t="shared" si="51"/>
        <v>0</v>
      </c>
      <c r="S163" s="121" t="str">
        <f t="shared" si="58"/>
        <v/>
      </c>
    </row>
    <row r="164" hidden="1" outlineLevel="1">
      <c r="A164" s="110" t="str">
        <f>IFERROR(VLOOKUP(B164,'Статьи'!$A$2:C186,3,0)," ")</f>
        <v> </v>
      </c>
      <c r="B164" s="111"/>
      <c r="C164" s="170"/>
      <c r="I164" s="211">
        <f t="shared" si="52"/>
        <v>0</v>
      </c>
      <c r="J164" s="122"/>
      <c r="K164" s="114"/>
      <c r="L164" s="114"/>
      <c r="M164" s="114"/>
      <c r="N164" s="114"/>
      <c r="O164" s="114"/>
      <c r="P164" s="211">
        <f t="shared" si="57"/>
        <v>0</v>
      </c>
      <c r="Q164" s="132">
        <f t="shared" si="50"/>
        <v>0</v>
      </c>
      <c r="R164" s="133">
        <f t="shared" si="51"/>
        <v>0</v>
      </c>
      <c r="S164" s="121" t="str">
        <f t="shared" si="58"/>
        <v/>
      </c>
    </row>
    <row r="165" hidden="1" outlineLevel="1">
      <c r="A165" s="110" t="str">
        <f>IFERROR(VLOOKUP(B165,'Статьи'!$A$2:C187,3,0)," ")</f>
        <v> </v>
      </c>
      <c r="B165" s="111"/>
      <c r="C165" s="170"/>
      <c r="I165" s="211">
        <f t="shared" si="52"/>
        <v>0</v>
      </c>
      <c r="J165" s="122"/>
      <c r="K165" s="114"/>
      <c r="L165" s="114"/>
      <c r="M165" s="114"/>
      <c r="N165" s="114"/>
      <c r="O165" s="114"/>
      <c r="P165" s="211">
        <f t="shared" si="57"/>
        <v>0</v>
      </c>
      <c r="Q165" s="132">
        <f t="shared" si="50"/>
        <v>0</v>
      </c>
      <c r="R165" s="133">
        <f t="shared" si="51"/>
        <v>0</v>
      </c>
      <c r="S165" s="121" t="str">
        <f t="shared" si="58"/>
        <v/>
      </c>
    </row>
    <row r="166" hidden="1" outlineLevel="1">
      <c r="A166" s="110" t="str">
        <f>IFERROR(VLOOKUP(B166,'Статьи'!$A$2:C188,3,0)," ")</f>
        <v> </v>
      </c>
      <c r="B166" s="111"/>
      <c r="C166" s="170"/>
      <c r="I166" s="211">
        <f t="shared" si="52"/>
        <v>0</v>
      </c>
      <c r="J166" s="122"/>
      <c r="K166" s="114"/>
      <c r="L166" s="114"/>
      <c r="M166" s="114"/>
      <c r="N166" s="114"/>
      <c r="O166" s="114"/>
      <c r="P166" s="211">
        <f t="shared" si="57"/>
        <v>0</v>
      </c>
      <c r="Q166" s="132">
        <f t="shared" si="50"/>
        <v>0</v>
      </c>
      <c r="R166" s="133">
        <f t="shared" si="51"/>
        <v>0</v>
      </c>
      <c r="S166" s="121" t="str">
        <f t="shared" si="58"/>
        <v/>
      </c>
    </row>
    <row r="167" hidden="1" outlineLevel="1">
      <c r="A167" s="110" t="str">
        <f>IFERROR(VLOOKUP(B167,'Статьи'!$A$2:C189,3,0)," ")</f>
        <v> </v>
      </c>
      <c r="B167" s="111"/>
      <c r="C167" s="170"/>
      <c r="I167" s="211">
        <f t="shared" si="52"/>
        <v>0</v>
      </c>
      <c r="J167" s="122"/>
      <c r="K167" s="114"/>
      <c r="L167" s="114"/>
      <c r="M167" s="114"/>
      <c r="N167" s="114"/>
      <c r="O167" s="114"/>
      <c r="P167" s="211">
        <f t="shared" si="57"/>
        <v>0</v>
      </c>
      <c r="Q167" s="132">
        <f t="shared" si="50"/>
        <v>0</v>
      </c>
      <c r="R167" s="133">
        <f t="shared" si="51"/>
        <v>0</v>
      </c>
      <c r="S167" s="121" t="str">
        <f t="shared" si="58"/>
        <v/>
      </c>
    </row>
    <row r="168" hidden="1" outlineLevel="1">
      <c r="A168" s="110" t="str">
        <f>IFERROR(VLOOKUP(B168,'Статьи'!$A$2:C190,3,0)," ")</f>
        <v> </v>
      </c>
      <c r="B168" s="111"/>
      <c r="C168" s="170"/>
      <c r="I168" s="211">
        <f t="shared" si="52"/>
        <v>0</v>
      </c>
      <c r="J168" s="122"/>
      <c r="K168" s="114"/>
      <c r="L168" s="114"/>
      <c r="M168" s="114"/>
      <c r="N168" s="114"/>
      <c r="O168" s="114"/>
      <c r="P168" s="211">
        <f t="shared" si="57"/>
        <v>0</v>
      </c>
      <c r="Q168" s="132">
        <f t="shared" si="50"/>
        <v>0</v>
      </c>
      <c r="R168" s="133">
        <f t="shared" si="51"/>
        <v>0</v>
      </c>
      <c r="S168" s="121" t="str">
        <f t="shared" si="58"/>
        <v/>
      </c>
    </row>
    <row r="169" hidden="1" outlineLevel="1">
      <c r="A169" s="110" t="str">
        <f>IFERROR(VLOOKUP(B169,'Статьи'!$A$2:C191,3,0)," ")</f>
        <v> </v>
      </c>
      <c r="B169" s="111"/>
      <c r="C169" s="170"/>
      <c r="I169" s="211">
        <f t="shared" si="52"/>
        <v>0</v>
      </c>
      <c r="J169" s="122"/>
      <c r="K169" s="114"/>
      <c r="L169" s="114"/>
      <c r="M169" s="114"/>
      <c r="N169" s="114"/>
      <c r="O169" s="114"/>
      <c r="P169" s="211">
        <f t="shared" si="57"/>
        <v>0</v>
      </c>
      <c r="Q169" s="132">
        <f t="shared" si="50"/>
        <v>0</v>
      </c>
      <c r="R169" s="133">
        <f t="shared" si="51"/>
        <v>0</v>
      </c>
      <c r="S169" s="121" t="str">
        <f t="shared" si="58"/>
        <v/>
      </c>
    </row>
    <row r="170" hidden="1" outlineLevel="1">
      <c r="A170" s="110" t="str">
        <f>IFERROR(VLOOKUP(B170,'Статьи'!$A$2:C192,3,0)," ")</f>
        <v> </v>
      </c>
      <c r="B170" s="111"/>
      <c r="C170" s="170"/>
      <c r="I170" s="211">
        <f t="shared" si="52"/>
        <v>0</v>
      </c>
      <c r="J170" s="122"/>
      <c r="K170" s="114"/>
      <c r="L170" s="114"/>
      <c r="M170" s="114"/>
      <c r="N170" s="114"/>
      <c r="O170" s="114"/>
      <c r="P170" s="211">
        <f t="shared" si="57"/>
        <v>0</v>
      </c>
      <c r="Q170" s="132">
        <f t="shared" si="50"/>
        <v>0</v>
      </c>
      <c r="R170" s="133">
        <f t="shared" si="51"/>
        <v>0</v>
      </c>
      <c r="S170" s="121" t="str">
        <f t="shared" si="58"/>
        <v/>
      </c>
    </row>
    <row r="171" hidden="1" outlineLevel="1">
      <c r="A171" s="110" t="str">
        <f>IFERROR(VLOOKUP(B171,'Статьи'!$A$2:C193,3,0)," ")</f>
        <v> </v>
      </c>
      <c r="B171" s="111"/>
      <c r="C171" s="170"/>
      <c r="I171" s="211">
        <f t="shared" si="52"/>
        <v>0</v>
      </c>
      <c r="J171" s="122"/>
      <c r="K171" s="114"/>
      <c r="L171" s="114"/>
      <c r="M171" s="114"/>
      <c r="N171" s="114"/>
      <c r="O171" s="114"/>
      <c r="P171" s="211">
        <f t="shared" si="57"/>
        <v>0</v>
      </c>
      <c r="Q171" s="132">
        <f t="shared" si="50"/>
        <v>0</v>
      </c>
      <c r="R171" s="133">
        <f t="shared" si="51"/>
        <v>0</v>
      </c>
      <c r="S171" s="121" t="str">
        <f t="shared" si="58"/>
        <v/>
      </c>
    </row>
    <row r="172">
      <c r="A172" s="110" t="str">
        <f>IFERROR(VLOOKUP(B172,'Статьи'!$A$2:C194,3,0)," ")</f>
        <v> </v>
      </c>
      <c r="B172" s="111"/>
      <c r="C172" s="170"/>
      <c r="D172" s="149"/>
      <c r="E172" s="149"/>
      <c r="F172" s="149"/>
      <c r="G172" s="149"/>
      <c r="H172" s="149"/>
      <c r="I172" s="211">
        <f t="shared" si="52"/>
        <v>0</v>
      </c>
      <c r="J172" s="122"/>
      <c r="K172" s="114"/>
      <c r="L172" s="114"/>
      <c r="M172" s="114"/>
      <c r="N172" s="114"/>
      <c r="O172" s="114"/>
      <c r="P172" s="211">
        <f>sum(F172:J172)</f>
        <v>0</v>
      </c>
      <c r="Q172" s="132">
        <f t="shared" si="50"/>
        <v>0</v>
      </c>
      <c r="R172" s="133">
        <f t="shared" si="51"/>
        <v>0</v>
      </c>
      <c r="S172" s="121" t="str">
        <f t="shared" si="58"/>
        <v/>
      </c>
    </row>
    <row r="173">
      <c r="A173" s="152"/>
      <c r="B173" s="153" t="s">
        <v>144</v>
      </c>
      <c r="C173" s="154">
        <f t="shared" ref="C173:K173" si="59">C142+C155+C145</f>
        <v>7</v>
      </c>
      <c r="D173" s="155">
        <f t="shared" si="59"/>
        <v>0</v>
      </c>
      <c r="E173" s="155">
        <f t="shared" si="59"/>
        <v>0</v>
      </c>
      <c r="F173" s="155">
        <f t="shared" si="59"/>
        <v>0</v>
      </c>
      <c r="G173" s="155">
        <f t="shared" si="59"/>
        <v>0</v>
      </c>
      <c r="H173" s="155">
        <f t="shared" si="59"/>
        <v>0</v>
      </c>
      <c r="I173" s="157">
        <f t="shared" si="59"/>
        <v>7</v>
      </c>
      <c r="J173" s="154">
        <f t="shared" si="59"/>
        <v>0</v>
      </c>
      <c r="K173" s="155">
        <f t="shared" si="59"/>
        <v>0</v>
      </c>
      <c r="L173" s="155"/>
      <c r="M173" s="155"/>
      <c r="N173" s="155"/>
      <c r="O173" s="155"/>
      <c r="P173" s="157">
        <f>P142+P155+P145</f>
        <v>0</v>
      </c>
      <c r="Q173" s="155">
        <f t="shared" si="50"/>
        <v>7</v>
      </c>
      <c r="R173" s="158">
        <f t="shared" si="51"/>
        <v>0</v>
      </c>
      <c r="S173" s="159" t="str">
        <f>IF(Q173=0,"",IF(R173&gt;1,"выполнение","план не выполнен"))</f>
        <v>план не выполнен</v>
      </c>
    </row>
    <row r="174">
      <c r="A174" s="160"/>
      <c r="B174" s="161" t="s">
        <v>145</v>
      </c>
      <c r="C174" s="216">
        <f t="shared" ref="C174:K174" si="60">IFERROR(C173/C$3,0)</f>
        <v>1</v>
      </c>
      <c r="D174" s="217">
        <f t="shared" si="60"/>
        <v>0</v>
      </c>
      <c r="E174" s="217">
        <f t="shared" si="60"/>
        <v>0</v>
      </c>
      <c r="F174" s="217">
        <f t="shared" si="60"/>
        <v>0</v>
      </c>
      <c r="G174" s="217">
        <f t="shared" si="60"/>
        <v>0</v>
      </c>
      <c r="H174" s="217">
        <f t="shared" si="60"/>
        <v>0</v>
      </c>
      <c r="I174" s="218">
        <f t="shared" si="60"/>
        <v>1</v>
      </c>
      <c r="J174" s="216">
        <f t="shared" si="60"/>
        <v>0</v>
      </c>
      <c r="K174" s="217">
        <f t="shared" si="60"/>
        <v>0</v>
      </c>
      <c r="L174" s="217"/>
      <c r="M174" s="217"/>
      <c r="N174" s="217"/>
      <c r="O174" s="217"/>
      <c r="P174" s="218">
        <f>IFERROR(P173/P$3,0)</f>
        <v>0</v>
      </c>
      <c r="Q174" s="219"/>
      <c r="R174" s="219"/>
      <c r="S174" s="219"/>
    </row>
    <row r="175">
      <c r="A175" s="110"/>
      <c r="B175" s="111"/>
      <c r="C175" s="115"/>
      <c r="D175" s="115"/>
      <c r="E175" s="115"/>
      <c r="F175" s="115"/>
      <c r="G175" s="115"/>
      <c r="H175" s="115"/>
      <c r="I175" s="118"/>
      <c r="J175" s="118"/>
      <c r="K175" s="118"/>
      <c r="L175" s="118"/>
      <c r="M175" s="118"/>
      <c r="N175" s="118"/>
      <c r="O175" s="118"/>
      <c r="P175" s="118"/>
      <c r="Q175" s="118"/>
      <c r="R175" s="220"/>
      <c r="S175" s="220"/>
    </row>
    <row r="176">
      <c r="A176" s="142"/>
      <c r="B176" s="125"/>
      <c r="C176" s="115"/>
      <c r="D176" s="115"/>
      <c r="E176" s="115"/>
      <c r="F176" s="114"/>
      <c r="G176" s="115"/>
      <c r="H176" s="115"/>
      <c r="I176" s="118"/>
      <c r="J176" s="118"/>
      <c r="K176" s="118"/>
      <c r="L176" s="118"/>
      <c r="M176" s="118"/>
      <c r="N176" s="118"/>
      <c r="O176" s="118"/>
      <c r="P176" s="118"/>
      <c r="Q176" s="118"/>
      <c r="R176" s="220"/>
      <c r="S176" s="220"/>
    </row>
    <row r="177">
      <c r="A177" s="110"/>
      <c r="B177" s="111"/>
      <c r="C177" s="115"/>
      <c r="D177" s="115"/>
      <c r="E177" s="115"/>
      <c r="F177" s="115"/>
      <c r="G177" s="115"/>
      <c r="H177" s="115"/>
      <c r="I177" s="118"/>
      <c r="J177" s="118"/>
      <c r="K177" s="118"/>
      <c r="L177" s="118"/>
      <c r="M177" s="118"/>
      <c r="N177" s="118"/>
      <c r="O177" s="118"/>
      <c r="P177" s="118"/>
      <c r="Q177" s="118"/>
      <c r="R177" s="220"/>
      <c r="S177" s="220"/>
    </row>
  </sheetData>
  <mergeCells count="11">
    <mergeCell ref="C168:H168"/>
    <mergeCell ref="C169:H169"/>
    <mergeCell ref="C170:H170"/>
    <mergeCell ref="C171:H171"/>
    <mergeCell ref="C1:I1"/>
    <mergeCell ref="J1:P1"/>
    <mergeCell ref="Q1:R1"/>
    <mergeCell ref="C164:H164"/>
    <mergeCell ref="C165:H165"/>
    <mergeCell ref="C166:H166"/>
    <mergeCell ref="C167:H167"/>
  </mergeCells>
  <conditionalFormatting sqref="C13:H54">
    <cfRule type="expression" dxfId="4" priority="1">
      <formula>C$2=""</formula>
    </cfRule>
  </conditionalFormatting>
  <conditionalFormatting sqref="C13:H54">
    <cfRule type="expression" dxfId="2" priority="2">
      <formula>OR(#REF!=C$2,#REF!=C$2,#REF!=C$2,#REF!=C$2,#REF!=C$2,#REF!=C$2,#REF!=C$2,#REF!=C$2,#REF!=C$2)</formula>
    </cfRule>
  </conditionalFormatting>
  <conditionalFormatting sqref="C59:H84 C91:C93">
    <cfRule type="expression" dxfId="4" priority="3">
      <formula>C$2=""</formula>
    </cfRule>
  </conditionalFormatting>
  <conditionalFormatting sqref="C59:H84 C91:C93">
    <cfRule type="expression" dxfId="2" priority="4">
      <formula>OR(#REF!=C$2,#REF!=C$2,#REF!=C$2,#REF!=C$2,#REF!=C$2,#REF!=C$2,#REF!=C$2,#REF!=C$2,#REF!=C$2)</formula>
    </cfRule>
  </conditionalFormatting>
  <conditionalFormatting sqref="A1:A2">
    <cfRule type="notContainsBlanks" dxfId="2" priority="5">
      <formula>LEN(TRIM(A1))&gt;0</formula>
    </cfRule>
  </conditionalFormatting>
  <conditionalFormatting sqref="S1:S177">
    <cfRule type="containsText" dxfId="2" priority="6" operator="containsText" text="выполнение">
      <formula>NOT(ISERROR(SEARCH(("выполнение"),(S1))))</formula>
    </cfRule>
  </conditionalFormatting>
  <conditionalFormatting sqref="S1:S177">
    <cfRule type="containsText" dxfId="3" priority="7" operator="containsText" text="план не выполнен">
      <formula>NOT(ISERROR(SEARCH(("план не выполнен"),(S1))))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7.13"/>
    <col customWidth="1" min="2" max="2" width="38.25"/>
    <col customWidth="1" min="3" max="3" width="10.63"/>
    <col collapsed="1" customWidth="1" min="4" max="4" width="10.63"/>
    <col customWidth="1" hidden="1" min="5" max="8" width="10.63" outlineLevel="1"/>
    <col customWidth="1" min="9" max="10" width="10.63"/>
    <col collapsed="1" customWidth="1" min="11" max="11" width="10.63"/>
    <col customWidth="1" hidden="1" min="12" max="15" width="10.63" outlineLevel="1"/>
    <col customWidth="1" min="16" max="16" width="10.63"/>
    <col customWidth="1" min="17" max="18" width="11.38"/>
    <col customWidth="1" min="19" max="19" width="16.88"/>
  </cols>
  <sheetData>
    <row r="1">
      <c r="A1" s="88">
        <v>8.0</v>
      </c>
      <c r="B1" s="89"/>
      <c r="C1" s="90" t="s">
        <v>127</v>
      </c>
      <c r="D1" s="91"/>
      <c r="E1" s="91"/>
      <c r="F1" s="91"/>
      <c r="G1" s="91"/>
      <c r="H1" s="91"/>
      <c r="I1" s="92"/>
      <c r="J1" s="93" t="s">
        <v>128</v>
      </c>
      <c r="K1" s="91"/>
      <c r="L1" s="91"/>
      <c r="M1" s="91"/>
      <c r="N1" s="91"/>
      <c r="O1" s="91"/>
      <c r="P1" s="92"/>
      <c r="Q1" s="94" t="s">
        <v>129</v>
      </c>
      <c r="S1" s="94"/>
    </row>
    <row r="2">
      <c r="A2" s="88" t="s">
        <v>130</v>
      </c>
      <c r="B2" s="89"/>
      <c r="C2" s="95" t="str">
        <f t="array" ref="C2:H2">TRANSPOSE('Справочник'!D2:D7)</f>
        <v>ООО "Весело живем"</v>
      </c>
      <c r="D2" s="96" t="s">
        <v>84</v>
      </c>
      <c r="E2" s="97">
        <v>3.0</v>
      </c>
      <c r="F2" s="97">
        <v>4.0</v>
      </c>
      <c r="G2" s="97">
        <v>5.0</v>
      </c>
      <c r="H2" s="97">
        <v>6.0</v>
      </c>
      <c r="I2" s="98" t="s">
        <v>131</v>
      </c>
      <c r="J2" s="95" t="str">
        <f t="array" ref="J2:O2">TRANSPOSE('Справочник'!D2:D7)</f>
        <v>ООО "Весело живем"</v>
      </c>
      <c r="K2" s="96" t="s">
        <v>84</v>
      </c>
      <c r="L2" s="97">
        <v>3.0</v>
      </c>
      <c r="M2" s="97">
        <v>4.0</v>
      </c>
      <c r="N2" s="97">
        <v>5.0</v>
      </c>
      <c r="O2" s="97">
        <v>6.0</v>
      </c>
      <c r="P2" s="98" t="s">
        <v>131</v>
      </c>
      <c r="Q2" s="99" t="s">
        <v>154</v>
      </c>
      <c r="R2" s="100" t="s">
        <v>133</v>
      </c>
      <c r="S2" s="101" t="s">
        <v>134</v>
      </c>
    </row>
    <row r="3">
      <c r="A3" s="102"/>
      <c r="B3" s="103" t="s">
        <v>86</v>
      </c>
      <c r="C3" s="104">
        <f t="shared" ref="C3:H3" si="1">SUM(C4:C10)</f>
        <v>8</v>
      </c>
      <c r="D3" s="105">
        <f t="shared" si="1"/>
        <v>0</v>
      </c>
      <c r="E3" s="105">
        <f t="shared" si="1"/>
        <v>0</v>
      </c>
      <c r="F3" s="105">
        <f t="shared" si="1"/>
        <v>0</v>
      </c>
      <c r="G3" s="105">
        <f t="shared" si="1"/>
        <v>0</v>
      </c>
      <c r="H3" s="105">
        <f t="shared" si="1"/>
        <v>0</v>
      </c>
      <c r="I3" s="106">
        <f>sum(C3:H3)</f>
        <v>8</v>
      </c>
      <c r="J3" s="104">
        <f t="shared" ref="J3:K3" si="2">SUM(J4:J10)</f>
        <v>0</v>
      </c>
      <c r="K3" s="105">
        <f t="shared" si="2"/>
        <v>0</v>
      </c>
      <c r="L3" s="105"/>
      <c r="M3" s="105"/>
      <c r="N3" s="105"/>
      <c r="O3" s="105"/>
      <c r="P3" s="107">
        <f>SUM(P4:P10)</f>
        <v>0</v>
      </c>
      <c r="Q3" s="105">
        <f t="shared" ref="Q3:Q55" si="3">I3-P3</f>
        <v>8</v>
      </c>
      <c r="R3" s="108">
        <f t="shared" ref="R3:R55" si="4">IFERROR(I3/P3,0)</f>
        <v>0</v>
      </c>
      <c r="S3" s="109" t="str">
        <f>IF(Q3=0,"",IF(R3&gt;1,"выполнение","план не выполнен"))</f>
        <v>план не выполнен</v>
      </c>
    </row>
    <row r="4">
      <c r="A4" s="110" t="str">
        <f>IFERROR(VLOOKUP(B4,'Статьи'!$A$2:C26,3,0)," ")</f>
        <v>1С сч 90.01 убрать НДС!</v>
      </c>
      <c r="B4" s="111" t="str">
        <f>IFERROR(__xludf.DUMMYFUNCTION("iferror(filter('Статьи'!$A$1:$A177,'Статьи'!$B$1:$B177=$B$3))"),"Выручка от аренды машиноместа")</f>
        <v>Выручка от аренды машиноместа</v>
      </c>
      <c r="C4" s="112">
        <v>8.0</v>
      </c>
      <c r="D4" s="113"/>
      <c r="E4" s="114"/>
      <c r="F4" s="115"/>
      <c r="G4" s="115"/>
      <c r="H4" s="115"/>
      <c r="I4" s="116">
        <f t="shared" ref="I4:I8" si="5">SUM(C4:H4)</f>
        <v>8</v>
      </c>
      <c r="J4" s="117"/>
      <c r="K4" s="118"/>
      <c r="L4" s="118"/>
      <c r="M4" s="118"/>
      <c r="N4" s="118"/>
      <c r="O4" s="118"/>
      <c r="P4" s="116">
        <f t="shared" ref="P4:P5" si="6">SUM(J4:K4)</f>
        <v>0</v>
      </c>
      <c r="Q4" s="119">
        <f t="shared" si="3"/>
        <v>8</v>
      </c>
      <c r="R4" s="120">
        <f t="shared" si="4"/>
        <v>0</v>
      </c>
      <c r="S4" s="121" t="str">
        <f t="shared" ref="S4:S10" si="7">IF(Q4=0,"",IF(R4=0,"обратить внимание",IF(R4&gt;1,"выполнение","план не выполнен")))</f>
        <v>обратить внимание</v>
      </c>
    </row>
    <row r="5" collapsed="1">
      <c r="A5" s="110" t="str">
        <f>IFERROR(VLOOKUP(B5,'Статьи'!$A$2:C27,3,0)," ")</f>
        <v>1С сч 90.01 убрать НДС!</v>
      </c>
      <c r="B5" s="111" t="str">
        <f>IFERROR(__xludf.DUMMYFUNCTION("""COMPUTED_VALUE"""),"Выручка за грузоперевозки")</f>
        <v>Выручка за грузоперевозки</v>
      </c>
      <c r="C5" s="112"/>
      <c r="D5" s="113"/>
      <c r="E5" s="114"/>
      <c r="F5" s="115"/>
      <c r="G5" s="115"/>
      <c r="H5" s="115"/>
      <c r="I5" s="116">
        <f t="shared" si="5"/>
        <v>0</v>
      </c>
      <c r="J5" s="117"/>
      <c r="K5" s="118"/>
      <c r="L5" s="118"/>
      <c r="M5" s="118"/>
      <c r="N5" s="118"/>
      <c r="O5" s="118"/>
      <c r="P5" s="116">
        <f t="shared" si="6"/>
        <v>0</v>
      </c>
      <c r="Q5" s="119">
        <f t="shared" si="3"/>
        <v>0</v>
      </c>
      <c r="R5" s="120">
        <f t="shared" si="4"/>
        <v>0</v>
      </c>
      <c r="S5" s="121" t="str">
        <f t="shared" si="7"/>
        <v/>
      </c>
    </row>
    <row r="6" hidden="1" outlineLevel="1">
      <c r="A6" s="110" t="str">
        <f>IFERROR(VLOOKUP(B6,'Статьи'!$A$2:C28,3,0)," ")</f>
        <v> </v>
      </c>
      <c r="B6" s="111"/>
      <c r="C6" s="122"/>
      <c r="D6" s="115"/>
      <c r="E6" s="115"/>
      <c r="F6" s="114"/>
      <c r="G6" s="114"/>
      <c r="H6" s="114"/>
      <c r="I6" s="116">
        <f t="shared" si="5"/>
        <v>0</v>
      </c>
      <c r="J6" s="123"/>
      <c r="K6" s="118"/>
      <c r="L6" s="118"/>
      <c r="M6" s="118"/>
      <c r="N6" s="118"/>
      <c r="O6" s="118"/>
      <c r="P6" s="116">
        <f t="shared" ref="P6:P8" si="8">SUM(F6:J6)</f>
        <v>0</v>
      </c>
      <c r="Q6" s="119">
        <f t="shared" si="3"/>
        <v>0</v>
      </c>
      <c r="R6" s="120">
        <f t="shared" si="4"/>
        <v>0</v>
      </c>
      <c r="S6" s="121" t="str">
        <f t="shared" si="7"/>
        <v/>
      </c>
    </row>
    <row r="7" hidden="1" outlineLevel="1">
      <c r="A7" s="110" t="str">
        <f>IFERROR(VLOOKUP(B7,'Статьи'!$A$2:C29,3,0)," ")</f>
        <v> </v>
      </c>
      <c r="B7" s="111"/>
      <c r="C7" s="122"/>
      <c r="D7" s="115"/>
      <c r="E7" s="115"/>
      <c r="F7" s="115"/>
      <c r="G7" s="115"/>
      <c r="H7" s="115"/>
      <c r="I7" s="116">
        <f t="shared" si="5"/>
        <v>0</v>
      </c>
      <c r="J7" s="123"/>
      <c r="K7" s="118"/>
      <c r="L7" s="118"/>
      <c r="M7" s="118"/>
      <c r="N7" s="118"/>
      <c r="O7" s="118"/>
      <c r="P7" s="116">
        <f t="shared" si="8"/>
        <v>0</v>
      </c>
      <c r="Q7" s="119">
        <f t="shared" si="3"/>
        <v>0</v>
      </c>
      <c r="R7" s="120">
        <f t="shared" si="4"/>
        <v>0</v>
      </c>
      <c r="S7" s="121" t="str">
        <f t="shared" si="7"/>
        <v/>
      </c>
    </row>
    <row r="8" hidden="1" outlineLevel="1">
      <c r="A8" s="110" t="str">
        <f>IFERROR(VLOOKUP(B8,'Статьи'!$A$2:C30,3,0)," ")</f>
        <v> </v>
      </c>
      <c r="B8" s="111"/>
      <c r="C8" s="122"/>
      <c r="D8" s="115"/>
      <c r="E8" s="115"/>
      <c r="F8" s="115"/>
      <c r="G8" s="115"/>
      <c r="H8" s="115"/>
      <c r="I8" s="116">
        <f t="shared" si="5"/>
        <v>0</v>
      </c>
      <c r="J8" s="123"/>
      <c r="K8" s="118"/>
      <c r="L8" s="118"/>
      <c r="M8" s="118"/>
      <c r="N8" s="118"/>
      <c r="O8" s="118"/>
      <c r="P8" s="116">
        <f t="shared" si="8"/>
        <v>0</v>
      </c>
      <c r="Q8" s="119">
        <f t="shared" si="3"/>
        <v>0</v>
      </c>
      <c r="R8" s="120">
        <f t="shared" si="4"/>
        <v>0</v>
      </c>
      <c r="S8" s="121" t="str">
        <f t="shared" si="7"/>
        <v/>
      </c>
    </row>
    <row r="9" hidden="1" outlineLevel="1">
      <c r="A9" s="110" t="str">
        <f>IFERROR(VLOOKUP(B9,'Статьи'!$A$2:C31,3,0)," ")</f>
        <v> </v>
      </c>
      <c r="B9" s="111"/>
      <c r="C9" s="124"/>
      <c r="D9" s="115"/>
      <c r="E9" s="115"/>
      <c r="F9" s="115"/>
      <c r="G9" s="115"/>
      <c r="H9" s="115"/>
      <c r="I9" s="116"/>
      <c r="J9" s="123"/>
      <c r="K9" s="118"/>
      <c r="L9" s="118"/>
      <c r="M9" s="118"/>
      <c r="N9" s="118"/>
      <c r="O9" s="118"/>
      <c r="P9" s="116"/>
      <c r="Q9" s="119">
        <f t="shared" si="3"/>
        <v>0</v>
      </c>
      <c r="R9" s="120">
        <f t="shared" si="4"/>
        <v>0</v>
      </c>
      <c r="S9" s="121" t="str">
        <f t="shared" si="7"/>
        <v/>
      </c>
    </row>
    <row r="10">
      <c r="A10" s="110" t="str">
        <f>IFERROR(VLOOKUP(B10,'Статьи'!$A$2:C32,3,0)," ")</f>
        <v> </v>
      </c>
      <c r="B10" s="125"/>
      <c r="C10" s="122"/>
      <c r="D10" s="115"/>
      <c r="E10" s="115"/>
      <c r="F10" s="115"/>
      <c r="G10" s="115"/>
      <c r="H10" s="115"/>
      <c r="I10" s="116"/>
      <c r="J10" s="123"/>
      <c r="K10" s="118"/>
      <c r="L10" s="118"/>
      <c r="M10" s="118"/>
      <c r="N10" s="118"/>
      <c r="O10" s="118"/>
      <c r="P10" s="116"/>
      <c r="Q10" s="119">
        <f t="shared" si="3"/>
        <v>0</v>
      </c>
      <c r="R10" s="120">
        <f t="shared" si="4"/>
        <v>0</v>
      </c>
      <c r="S10" s="121" t="str">
        <f t="shared" si="7"/>
        <v/>
      </c>
    </row>
    <row r="11">
      <c r="A11" s="126"/>
      <c r="B11" s="127" t="s">
        <v>135</v>
      </c>
      <c r="C11" s="128">
        <f t="shared" ref="C11:K11" si="9">C12+C58</f>
        <v>0</v>
      </c>
      <c r="D11" s="129">
        <f t="shared" si="9"/>
        <v>0</v>
      </c>
      <c r="E11" s="129">
        <f t="shared" si="9"/>
        <v>0</v>
      </c>
      <c r="F11" s="129">
        <f t="shared" si="9"/>
        <v>0</v>
      </c>
      <c r="G11" s="129">
        <f t="shared" si="9"/>
        <v>0</v>
      </c>
      <c r="H11" s="129">
        <f t="shared" si="9"/>
        <v>0</v>
      </c>
      <c r="I11" s="130">
        <f t="shared" si="9"/>
        <v>0</v>
      </c>
      <c r="J11" s="128">
        <f t="shared" si="9"/>
        <v>0</v>
      </c>
      <c r="K11" s="129">
        <f t="shared" si="9"/>
        <v>0</v>
      </c>
      <c r="L11" s="129"/>
      <c r="M11" s="129"/>
      <c r="N11" s="129"/>
      <c r="O11" s="129"/>
      <c r="P11" s="131">
        <f>P12+P58</f>
        <v>0</v>
      </c>
      <c r="Q11" s="132">
        <f t="shared" si="3"/>
        <v>0</v>
      </c>
      <c r="R11" s="133">
        <f t="shared" si="4"/>
        <v>0</v>
      </c>
      <c r="S11" s="134" t="str">
        <f>IF(Q11=0,"",IF(R11&gt;1,"план не выполнен","выполнение"))</f>
        <v/>
      </c>
    </row>
    <row r="12">
      <c r="A12" s="135"/>
      <c r="B12" s="136" t="s">
        <v>99</v>
      </c>
      <c r="C12" s="137">
        <f t="shared" ref="C12:K12" si="10">sum(C13:C54)</f>
        <v>0</v>
      </c>
      <c r="D12" s="138">
        <f t="shared" si="10"/>
        <v>0</v>
      </c>
      <c r="E12" s="138">
        <f t="shared" si="10"/>
        <v>0</v>
      </c>
      <c r="F12" s="138">
        <f t="shared" si="10"/>
        <v>0</v>
      </c>
      <c r="G12" s="138">
        <f t="shared" si="10"/>
        <v>0</v>
      </c>
      <c r="H12" s="138">
        <f t="shared" si="10"/>
        <v>0</v>
      </c>
      <c r="I12" s="139">
        <f t="shared" si="10"/>
        <v>0</v>
      </c>
      <c r="J12" s="137">
        <f t="shared" si="10"/>
        <v>0</v>
      </c>
      <c r="K12" s="138">
        <f t="shared" si="10"/>
        <v>0</v>
      </c>
      <c r="L12" s="138"/>
      <c r="M12" s="138"/>
      <c r="N12" s="138"/>
      <c r="O12" s="138"/>
      <c r="P12" s="140">
        <f>sum(P13:P54)</f>
        <v>0</v>
      </c>
      <c r="Q12" s="119">
        <f t="shared" si="3"/>
        <v>0</v>
      </c>
      <c r="R12" s="120">
        <f t="shared" si="4"/>
        <v>0</v>
      </c>
      <c r="S12" s="121" t="str">
        <f t="shared" ref="S12:S17" si="11">IF(Q12=0,"",IF(R12=0,"обратить внимание",IF(R12&gt;1,"перерасход","экономия")))</f>
        <v/>
      </c>
    </row>
    <row r="13">
      <c r="A13" s="142" t="str">
        <f>IFERROR(VLOOKUP(B13,'Статьи'!$A$2:C35,3,0)," ")</f>
        <v>ДДС отчетного месяца. Без НДС!</v>
      </c>
      <c r="B13" s="125" t="str">
        <f>IFERROR(__xludf.DUMMYFUNCTION("iferror(filter('Статьи'!$A$1:$A177,'Статьи'!$B$1:$B177=$B$12))"),"Комиссия топливных компаний")</f>
        <v>Комиссия топливных компаний</v>
      </c>
      <c r="C13" s="112"/>
      <c r="D13" s="113"/>
      <c r="E13" s="114"/>
      <c r="F13" s="114"/>
      <c r="G13" s="114"/>
      <c r="H13" s="143"/>
      <c r="I13" s="116">
        <f t="shared" ref="I13:I54" si="12">sum(C13:H13)</f>
        <v>0</v>
      </c>
      <c r="J13" s="117"/>
      <c r="K13" s="118"/>
      <c r="L13" s="118"/>
      <c r="M13" s="118"/>
      <c r="N13" s="118"/>
      <c r="O13" s="118"/>
      <c r="P13" s="116">
        <f t="shared" ref="P13:P16" si="13">SUM(J13:K13)</f>
        <v>0</v>
      </c>
      <c r="Q13" s="119">
        <f t="shared" si="3"/>
        <v>0</v>
      </c>
      <c r="R13" s="120">
        <f t="shared" si="4"/>
        <v>0</v>
      </c>
      <c r="S13" s="121" t="str">
        <f t="shared" si="11"/>
        <v/>
      </c>
    </row>
    <row r="14">
      <c r="A14" s="142" t="str">
        <f>IFERROR(VLOOKUP(B14,'Статьи'!$A$2:C36,3,0)," ")</f>
        <v>1С</v>
      </c>
      <c r="B14" s="125" t="str">
        <f>IFERROR(__xludf.DUMMYFUNCTION("""COMPUTED_VALUE"""),"Топливо для грузовых авто ")</f>
        <v>Топливо для грузовых авто </v>
      </c>
      <c r="C14" s="145"/>
      <c r="D14" s="113"/>
      <c r="E14" s="114"/>
      <c r="F14" s="146"/>
      <c r="G14" s="146"/>
      <c r="H14" s="143"/>
      <c r="I14" s="116">
        <f t="shared" si="12"/>
        <v>0</v>
      </c>
      <c r="J14" s="117"/>
      <c r="K14" s="118"/>
      <c r="L14" s="118"/>
      <c r="M14" s="118"/>
      <c r="N14" s="118"/>
      <c r="O14" s="118"/>
      <c r="P14" s="116">
        <f t="shared" si="13"/>
        <v>0</v>
      </c>
      <c r="Q14" s="119">
        <f t="shared" si="3"/>
        <v>0</v>
      </c>
      <c r="R14" s="120">
        <f t="shared" si="4"/>
        <v>0</v>
      </c>
      <c r="S14" s="121" t="str">
        <f t="shared" si="11"/>
        <v/>
      </c>
    </row>
    <row r="15">
      <c r="A15" s="142" t="str">
        <f>IFERROR(VLOOKUP(B15,'Статьи'!$A$2:C37,3,0)," ")</f>
        <v> </v>
      </c>
      <c r="B15" s="144"/>
      <c r="C15" s="145"/>
      <c r="D15" s="113"/>
      <c r="E15" s="114"/>
      <c r="F15" s="146"/>
      <c r="G15" s="146"/>
      <c r="H15" s="143"/>
      <c r="I15" s="116">
        <f t="shared" si="12"/>
        <v>0</v>
      </c>
      <c r="J15" s="117"/>
      <c r="K15" s="118"/>
      <c r="L15" s="118"/>
      <c r="M15" s="118"/>
      <c r="N15" s="118"/>
      <c r="O15" s="118"/>
      <c r="P15" s="116">
        <f t="shared" si="13"/>
        <v>0</v>
      </c>
      <c r="Q15" s="119">
        <f t="shared" si="3"/>
        <v>0</v>
      </c>
      <c r="R15" s="120">
        <f t="shared" si="4"/>
        <v>0</v>
      </c>
      <c r="S15" s="121" t="str">
        <f t="shared" si="11"/>
        <v/>
      </c>
    </row>
    <row r="16">
      <c r="A16" s="142" t="str">
        <f>IFERROR(VLOOKUP(B16,'Статьи'!$A$2:C38,3,0)," ")</f>
        <v> </v>
      </c>
      <c r="B16" s="144"/>
      <c r="C16" s="145"/>
      <c r="D16" s="113"/>
      <c r="E16" s="114"/>
      <c r="F16" s="146"/>
      <c r="G16" s="146"/>
      <c r="H16" s="143"/>
      <c r="I16" s="116">
        <f t="shared" si="12"/>
        <v>0</v>
      </c>
      <c r="J16" s="117"/>
      <c r="K16" s="118"/>
      <c r="L16" s="118"/>
      <c r="M16" s="118"/>
      <c r="N16" s="118"/>
      <c r="O16" s="118"/>
      <c r="P16" s="116">
        <f t="shared" si="13"/>
        <v>0</v>
      </c>
      <c r="Q16" s="119">
        <f t="shared" si="3"/>
        <v>0</v>
      </c>
      <c r="R16" s="120">
        <f t="shared" si="4"/>
        <v>0</v>
      </c>
      <c r="S16" s="121" t="str">
        <f t="shared" si="11"/>
        <v/>
      </c>
    </row>
    <row r="17" collapsed="1">
      <c r="A17" s="147" t="str">
        <f>IFERROR(VLOOKUP(B17,'Статьи'!$A$2:C39,3,0)," ")</f>
        <v> </v>
      </c>
      <c r="B17" s="144"/>
      <c r="C17" s="145"/>
      <c r="D17" s="114"/>
      <c r="E17" s="114"/>
      <c r="F17" s="146"/>
      <c r="G17" s="146"/>
      <c r="H17" s="143"/>
      <c r="I17" s="116">
        <f t="shared" si="12"/>
        <v>0</v>
      </c>
      <c r="J17" s="123"/>
      <c r="K17" s="118"/>
      <c r="L17" s="118"/>
      <c r="M17" s="118"/>
      <c r="N17" s="118"/>
      <c r="O17" s="118"/>
      <c r="P17" s="116">
        <f t="shared" ref="P17:P54" si="14">sum(F17:J17)</f>
        <v>0</v>
      </c>
      <c r="Q17" s="119">
        <f t="shared" si="3"/>
        <v>0</v>
      </c>
      <c r="R17" s="120">
        <f t="shared" si="4"/>
        <v>0</v>
      </c>
      <c r="S17" s="121" t="str">
        <f t="shared" si="11"/>
        <v/>
      </c>
    </row>
    <row r="18" hidden="1" outlineLevel="1">
      <c r="A18" s="147"/>
      <c r="B18" s="144"/>
      <c r="C18" s="145"/>
      <c r="D18" s="114"/>
      <c r="E18" s="114"/>
      <c r="F18" s="146"/>
      <c r="G18" s="146"/>
      <c r="H18" s="143"/>
      <c r="I18" s="116">
        <f t="shared" si="12"/>
        <v>0</v>
      </c>
      <c r="J18" s="123"/>
      <c r="K18" s="118"/>
      <c r="L18" s="118"/>
      <c r="M18" s="118"/>
      <c r="N18" s="118"/>
      <c r="O18" s="118"/>
      <c r="P18" s="116">
        <f t="shared" si="14"/>
        <v>0</v>
      </c>
      <c r="Q18" s="132">
        <f t="shared" si="3"/>
        <v>0</v>
      </c>
      <c r="R18" s="133">
        <f t="shared" si="4"/>
        <v>0</v>
      </c>
      <c r="S18" s="133">
        <f t="shared" ref="S18:S54" si="15">IF(Q18=0,0,IF(R18&gt;1,"перерасход","экономия"))</f>
        <v>0</v>
      </c>
    </row>
    <row r="19" hidden="1" outlineLevel="1">
      <c r="A19" s="147"/>
      <c r="B19" s="144"/>
      <c r="C19" s="148"/>
      <c r="D19" s="114"/>
      <c r="E19" s="114"/>
      <c r="F19" s="146"/>
      <c r="G19" s="146"/>
      <c r="H19" s="143"/>
      <c r="I19" s="116">
        <f t="shared" si="12"/>
        <v>0</v>
      </c>
      <c r="J19" s="123"/>
      <c r="K19" s="118"/>
      <c r="L19" s="118"/>
      <c r="M19" s="118"/>
      <c r="N19" s="118"/>
      <c r="O19" s="118"/>
      <c r="P19" s="116">
        <f t="shared" si="14"/>
        <v>0</v>
      </c>
      <c r="Q19" s="132">
        <f t="shared" si="3"/>
        <v>0</v>
      </c>
      <c r="R19" s="133">
        <f t="shared" si="4"/>
        <v>0</v>
      </c>
      <c r="S19" s="133">
        <f t="shared" si="15"/>
        <v>0</v>
      </c>
    </row>
    <row r="20" hidden="1" outlineLevel="1">
      <c r="A20" s="147"/>
      <c r="B20" s="144"/>
      <c r="C20" s="148"/>
      <c r="D20" s="114"/>
      <c r="E20" s="114"/>
      <c r="F20" s="146"/>
      <c r="G20" s="146"/>
      <c r="H20" s="143"/>
      <c r="I20" s="116">
        <f t="shared" si="12"/>
        <v>0</v>
      </c>
      <c r="J20" s="123"/>
      <c r="K20" s="118"/>
      <c r="L20" s="118"/>
      <c r="M20" s="118"/>
      <c r="N20" s="118"/>
      <c r="O20" s="118"/>
      <c r="P20" s="116">
        <f t="shared" si="14"/>
        <v>0</v>
      </c>
      <c r="Q20" s="132">
        <f t="shared" si="3"/>
        <v>0</v>
      </c>
      <c r="R20" s="133">
        <f t="shared" si="4"/>
        <v>0</v>
      </c>
      <c r="S20" s="133">
        <f t="shared" si="15"/>
        <v>0</v>
      </c>
    </row>
    <row r="21" hidden="1" outlineLevel="1">
      <c r="A21" s="147"/>
      <c r="B21" s="144"/>
      <c r="C21" s="148"/>
      <c r="D21" s="114"/>
      <c r="E21" s="114"/>
      <c r="F21" s="146"/>
      <c r="G21" s="146"/>
      <c r="H21" s="143"/>
      <c r="I21" s="116">
        <f t="shared" si="12"/>
        <v>0</v>
      </c>
      <c r="J21" s="123"/>
      <c r="K21" s="118"/>
      <c r="L21" s="118"/>
      <c r="M21" s="118"/>
      <c r="N21" s="118"/>
      <c r="O21" s="118"/>
      <c r="P21" s="116">
        <f t="shared" si="14"/>
        <v>0</v>
      </c>
      <c r="Q21" s="132">
        <f t="shared" si="3"/>
        <v>0</v>
      </c>
      <c r="R21" s="133">
        <f t="shared" si="4"/>
        <v>0</v>
      </c>
      <c r="S21" s="133">
        <f t="shared" si="15"/>
        <v>0</v>
      </c>
    </row>
    <row r="22" hidden="1" outlineLevel="1">
      <c r="A22" s="147"/>
      <c r="B22" s="144"/>
      <c r="C22" s="145"/>
      <c r="D22" s="114"/>
      <c r="E22" s="114"/>
      <c r="F22" s="146"/>
      <c r="G22" s="146"/>
      <c r="H22" s="149"/>
      <c r="I22" s="116">
        <f t="shared" si="12"/>
        <v>0</v>
      </c>
      <c r="J22" s="123"/>
      <c r="K22" s="118"/>
      <c r="L22" s="118"/>
      <c r="M22" s="118"/>
      <c r="N22" s="118"/>
      <c r="O22" s="118"/>
      <c r="P22" s="116">
        <f t="shared" si="14"/>
        <v>0</v>
      </c>
      <c r="Q22" s="132">
        <f t="shared" si="3"/>
        <v>0</v>
      </c>
      <c r="R22" s="133">
        <f t="shared" si="4"/>
        <v>0</v>
      </c>
      <c r="S22" s="133">
        <f t="shared" si="15"/>
        <v>0</v>
      </c>
    </row>
    <row r="23" hidden="1" outlineLevel="1">
      <c r="A23" s="150"/>
      <c r="B23" s="151"/>
      <c r="C23" s="148"/>
      <c r="D23" s="114"/>
      <c r="E23" s="114"/>
      <c r="F23" s="146"/>
      <c r="G23" s="146"/>
      <c r="H23" s="143"/>
      <c r="I23" s="116">
        <f t="shared" si="12"/>
        <v>0</v>
      </c>
      <c r="J23" s="123"/>
      <c r="K23" s="118"/>
      <c r="L23" s="118"/>
      <c r="M23" s="118"/>
      <c r="N23" s="118"/>
      <c r="O23" s="118"/>
      <c r="P23" s="116">
        <f t="shared" si="14"/>
        <v>0</v>
      </c>
      <c r="Q23" s="132">
        <f t="shared" si="3"/>
        <v>0</v>
      </c>
      <c r="R23" s="133">
        <f t="shared" si="4"/>
        <v>0</v>
      </c>
      <c r="S23" s="133">
        <f t="shared" si="15"/>
        <v>0</v>
      </c>
    </row>
    <row r="24" hidden="1" outlineLevel="1">
      <c r="A24" s="142"/>
      <c r="B24" s="125"/>
      <c r="C24" s="148"/>
      <c r="D24" s="114"/>
      <c r="E24" s="114"/>
      <c r="F24" s="146"/>
      <c r="G24" s="146"/>
      <c r="H24" s="143"/>
      <c r="I24" s="116">
        <f t="shared" si="12"/>
        <v>0</v>
      </c>
      <c r="J24" s="123"/>
      <c r="K24" s="118"/>
      <c r="L24" s="118"/>
      <c r="M24" s="118"/>
      <c r="N24" s="118"/>
      <c r="O24" s="118"/>
      <c r="P24" s="116">
        <f t="shared" si="14"/>
        <v>0</v>
      </c>
      <c r="Q24" s="132">
        <f t="shared" si="3"/>
        <v>0</v>
      </c>
      <c r="R24" s="133">
        <f t="shared" si="4"/>
        <v>0</v>
      </c>
      <c r="S24" s="133">
        <f t="shared" si="15"/>
        <v>0</v>
      </c>
    </row>
    <row r="25" hidden="1" outlineLevel="1">
      <c r="A25" s="142"/>
      <c r="B25" s="125"/>
      <c r="C25" s="123"/>
      <c r="D25" s="114"/>
      <c r="E25" s="114"/>
      <c r="F25" s="114"/>
      <c r="G25" s="114"/>
      <c r="H25" s="143"/>
      <c r="I25" s="116">
        <f t="shared" si="12"/>
        <v>0</v>
      </c>
      <c r="J25" s="123"/>
      <c r="K25" s="118"/>
      <c r="L25" s="118"/>
      <c r="M25" s="118"/>
      <c r="N25" s="118"/>
      <c r="O25" s="118"/>
      <c r="P25" s="116">
        <f t="shared" si="14"/>
        <v>0</v>
      </c>
      <c r="Q25" s="132">
        <f t="shared" si="3"/>
        <v>0</v>
      </c>
      <c r="R25" s="133">
        <f t="shared" si="4"/>
        <v>0</v>
      </c>
      <c r="S25" s="133">
        <f t="shared" si="15"/>
        <v>0</v>
      </c>
    </row>
    <row r="26" hidden="1" outlineLevel="1">
      <c r="A26" s="142"/>
      <c r="B26" s="125"/>
      <c r="C26" s="123"/>
      <c r="D26" s="114"/>
      <c r="E26" s="114"/>
      <c r="F26" s="114"/>
      <c r="G26" s="114"/>
      <c r="H26" s="143"/>
      <c r="I26" s="116">
        <f t="shared" si="12"/>
        <v>0</v>
      </c>
      <c r="J26" s="123"/>
      <c r="K26" s="118"/>
      <c r="L26" s="118"/>
      <c r="M26" s="118"/>
      <c r="N26" s="118"/>
      <c r="O26" s="118"/>
      <c r="P26" s="116">
        <f t="shared" si="14"/>
        <v>0</v>
      </c>
      <c r="Q26" s="132">
        <f t="shared" si="3"/>
        <v>0</v>
      </c>
      <c r="R26" s="133">
        <f t="shared" si="4"/>
        <v>0</v>
      </c>
      <c r="S26" s="133">
        <f t="shared" si="15"/>
        <v>0</v>
      </c>
    </row>
    <row r="27" hidden="1" outlineLevel="1">
      <c r="A27" s="142"/>
      <c r="B27" s="125"/>
      <c r="C27" s="123"/>
      <c r="D27" s="114"/>
      <c r="E27" s="114"/>
      <c r="F27" s="114"/>
      <c r="G27" s="114"/>
      <c r="H27" s="143"/>
      <c r="I27" s="116">
        <f t="shared" si="12"/>
        <v>0</v>
      </c>
      <c r="J27" s="123"/>
      <c r="K27" s="118"/>
      <c r="L27" s="118"/>
      <c r="M27" s="118"/>
      <c r="N27" s="118"/>
      <c r="O27" s="118"/>
      <c r="P27" s="116">
        <f t="shared" si="14"/>
        <v>0</v>
      </c>
      <c r="Q27" s="132">
        <f t="shared" si="3"/>
        <v>0</v>
      </c>
      <c r="R27" s="133">
        <f t="shared" si="4"/>
        <v>0</v>
      </c>
      <c r="S27" s="133">
        <f t="shared" si="15"/>
        <v>0</v>
      </c>
    </row>
    <row r="28" hidden="1" outlineLevel="1">
      <c r="A28" s="142"/>
      <c r="B28" s="125"/>
      <c r="C28" s="123"/>
      <c r="D28" s="114"/>
      <c r="E28" s="114"/>
      <c r="F28" s="114"/>
      <c r="G28" s="114"/>
      <c r="H28" s="143"/>
      <c r="I28" s="116">
        <f t="shared" si="12"/>
        <v>0</v>
      </c>
      <c r="J28" s="123"/>
      <c r="K28" s="118"/>
      <c r="L28" s="118"/>
      <c r="M28" s="118"/>
      <c r="N28" s="118"/>
      <c r="O28" s="118"/>
      <c r="P28" s="116">
        <f t="shared" si="14"/>
        <v>0</v>
      </c>
      <c r="Q28" s="132">
        <f t="shared" si="3"/>
        <v>0</v>
      </c>
      <c r="R28" s="133">
        <f t="shared" si="4"/>
        <v>0</v>
      </c>
      <c r="S28" s="133">
        <f t="shared" si="15"/>
        <v>0</v>
      </c>
    </row>
    <row r="29" hidden="1" outlineLevel="1">
      <c r="A29" s="142"/>
      <c r="B29" s="125"/>
      <c r="C29" s="123"/>
      <c r="D29" s="114"/>
      <c r="E29" s="114"/>
      <c r="F29" s="114"/>
      <c r="G29" s="114"/>
      <c r="H29" s="143"/>
      <c r="I29" s="116">
        <f t="shared" si="12"/>
        <v>0</v>
      </c>
      <c r="J29" s="123"/>
      <c r="K29" s="118"/>
      <c r="L29" s="118"/>
      <c r="M29" s="118"/>
      <c r="N29" s="118"/>
      <c r="O29" s="118"/>
      <c r="P29" s="116">
        <f t="shared" si="14"/>
        <v>0</v>
      </c>
      <c r="Q29" s="132">
        <f t="shared" si="3"/>
        <v>0</v>
      </c>
      <c r="R29" s="133">
        <f t="shared" si="4"/>
        <v>0</v>
      </c>
      <c r="S29" s="133">
        <f t="shared" si="15"/>
        <v>0</v>
      </c>
    </row>
    <row r="30" hidden="1" outlineLevel="1">
      <c r="A30" s="142"/>
      <c r="B30" s="125"/>
      <c r="C30" s="123"/>
      <c r="D30" s="114"/>
      <c r="E30" s="114"/>
      <c r="F30" s="114"/>
      <c r="G30" s="114"/>
      <c r="H30" s="143"/>
      <c r="I30" s="116">
        <f t="shared" si="12"/>
        <v>0</v>
      </c>
      <c r="J30" s="123"/>
      <c r="K30" s="118"/>
      <c r="L30" s="118"/>
      <c r="M30" s="118"/>
      <c r="N30" s="118"/>
      <c r="O30" s="118"/>
      <c r="P30" s="116">
        <f t="shared" si="14"/>
        <v>0</v>
      </c>
      <c r="Q30" s="132">
        <f t="shared" si="3"/>
        <v>0</v>
      </c>
      <c r="R30" s="133">
        <f t="shared" si="4"/>
        <v>0</v>
      </c>
      <c r="S30" s="133">
        <f t="shared" si="15"/>
        <v>0</v>
      </c>
    </row>
    <row r="31" hidden="1" outlineLevel="1">
      <c r="A31" s="142"/>
      <c r="B31" s="125"/>
      <c r="C31" s="123"/>
      <c r="D31" s="114"/>
      <c r="E31" s="114"/>
      <c r="F31" s="114"/>
      <c r="G31" s="114"/>
      <c r="H31" s="143"/>
      <c r="I31" s="116">
        <f t="shared" si="12"/>
        <v>0</v>
      </c>
      <c r="J31" s="123"/>
      <c r="K31" s="118"/>
      <c r="L31" s="118"/>
      <c r="M31" s="118"/>
      <c r="N31" s="118"/>
      <c r="O31" s="118"/>
      <c r="P31" s="116">
        <f t="shared" si="14"/>
        <v>0</v>
      </c>
      <c r="Q31" s="132">
        <f t="shared" si="3"/>
        <v>0</v>
      </c>
      <c r="R31" s="133">
        <f t="shared" si="4"/>
        <v>0</v>
      </c>
      <c r="S31" s="133">
        <f t="shared" si="15"/>
        <v>0</v>
      </c>
    </row>
    <row r="32" hidden="1" outlineLevel="1">
      <c r="A32" s="142"/>
      <c r="B32" s="125"/>
      <c r="C32" s="123"/>
      <c r="D32" s="114"/>
      <c r="E32" s="114"/>
      <c r="F32" s="114"/>
      <c r="G32" s="114"/>
      <c r="H32" s="143"/>
      <c r="I32" s="116">
        <f t="shared" si="12"/>
        <v>0</v>
      </c>
      <c r="J32" s="123"/>
      <c r="K32" s="118"/>
      <c r="L32" s="118"/>
      <c r="M32" s="118"/>
      <c r="N32" s="118"/>
      <c r="O32" s="118"/>
      <c r="P32" s="116">
        <f t="shared" si="14"/>
        <v>0</v>
      </c>
      <c r="Q32" s="132">
        <f t="shared" si="3"/>
        <v>0</v>
      </c>
      <c r="R32" s="133">
        <f t="shared" si="4"/>
        <v>0</v>
      </c>
      <c r="S32" s="133">
        <f t="shared" si="15"/>
        <v>0</v>
      </c>
    </row>
    <row r="33" hidden="1" outlineLevel="1">
      <c r="A33" s="142"/>
      <c r="B33" s="125"/>
      <c r="C33" s="123"/>
      <c r="D33" s="114"/>
      <c r="E33" s="114"/>
      <c r="F33" s="114"/>
      <c r="G33" s="114"/>
      <c r="H33" s="143"/>
      <c r="I33" s="116">
        <f t="shared" si="12"/>
        <v>0</v>
      </c>
      <c r="J33" s="123"/>
      <c r="K33" s="118"/>
      <c r="L33" s="118"/>
      <c r="M33" s="118"/>
      <c r="N33" s="118"/>
      <c r="O33" s="118"/>
      <c r="P33" s="116">
        <f t="shared" si="14"/>
        <v>0</v>
      </c>
      <c r="Q33" s="132">
        <f t="shared" si="3"/>
        <v>0</v>
      </c>
      <c r="R33" s="133">
        <f t="shared" si="4"/>
        <v>0</v>
      </c>
      <c r="S33" s="133">
        <f t="shared" si="15"/>
        <v>0</v>
      </c>
    </row>
    <row r="34" hidden="1" outlineLevel="1">
      <c r="A34" s="142"/>
      <c r="B34" s="125"/>
      <c r="C34" s="123"/>
      <c r="D34" s="114"/>
      <c r="E34" s="114"/>
      <c r="F34" s="114"/>
      <c r="G34" s="114"/>
      <c r="H34" s="143"/>
      <c r="I34" s="116">
        <f t="shared" si="12"/>
        <v>0</v>
      </c>
      <c r="J34" s="123"/>
      <c r="K34" s="118"/>
      <c r="L34" s="118"/>
      <c r="M34" s="118"/>
      <c r="N34" s="118"/>
      <c r="O34" s="118"/>
      <c r="P34" s="116">
        <f t="shared" si="14"/>
        <v>0</v>
      </c>
      <c r="Q34" s="132">
        <f t="shared" si="3"/>
        <v>0</v>
      </c>
      <c r="R34" s="133">
        <f t="shared" si="4"/>
        <v>0</v>
      </c>
      <c r="S34" s="133">
        <f t="shared" si="15"/>
        <v>0</v>
      </c>
    </row>
    <row r="35" hidden="1" outlineLevel="1">
      <c r="A35" s="142"/>
      <c r="B35" s="125"/>
      <c r="C35" s="123"/>
      <c r="D35" s="114"/>
      <c r="E35" s="114"/>
      <c r="F35" s="114"/>
      <c r="G35" s="114"/>
      <c r="H35" s="143"/>
      <c r="I35" s="116">
        <f t="shared" si="12"/>
        <v>0</v>
      </c>
      <c r="J35" s="123"/>
      <c r="K35" s="118"/>
      <c r="L35" s="118"/>
      <c r="M35" s="118"/>
      <c r="N35" s="118"/>
      <c r="O35" s="118"/>
      <c r="P35" s="116">
        <f t="shared" si="14"/>
        <v>0</v>
      </c>
      <c r="Q35" s="132">
        <f t="shared" si="3"/>
        <v>0</v>
      </c>
      <c r="R35" s="133">
        <f t="shared" si="4"/>
        <v>0</v>
      </c>
      <c r="S35" s="133">
        <f t="shared" si="15"/>
        <v>0</v>
      </c>
    </row>
    <row r="36" hidden="1" outlineLevel="1">
      <c r="A36" s="142"/>
      <c r="B36" s="125"/>
      <c r="C36" s="123"/>
      <c r="D36" s="114"/>
      <c r="E36" s="114"/>
      <c r="F36" s="114"/>
      <c r="G36" s="114"/>
      <c r="H36" s="143"/>
      <c r="I36" s="116">
        <f t="shared" si="12"/>
        <v>0</v>
      </c>
      <c r="J36" s="123"/>
      <c r="K36" s="118"/>
      <c r="L36" s="118"/>
      <c r="M36" s="118"/>
      <c r="N36" s="118"/>
      <c r="O36" s="118"/>
      <c r="P36" s="116">
        <f t="shared" si="14"/>
        <v>0</v>
      </c>
      <c r="Q36" s="132">
        <f t="shared" si="3"/>
        <v>0</v>
      </c>
      <c r="R36" s="133">
        <f t="shared" si="4"/>
        <v>0</v>
      </c>
      <c r="S36" s="133">
        <f t="shared" si="15"/>
        <v>0</v>
      </c>
    </row>
    <row r="37" hidden="1" outlineLevel="1">
      <c r="A37" s="142"/>
      <c r="B37" s="125"/>
      <c r="C37" s="123"/>
      <c r="D37" s="114"/>
      <c r="E37" s="114"/>
      <c r="F37" s="114"/>
      <c r="G37" s="114"/>
      <c r="H37" s="143"/>
      <c r="I37" s="116">
        <f t="shared" si="12"/>
        <v>0</v>
      </c>
      <c r="J37" s="123"/>
      <c r="K37" s="118"/>
      <c r="L37" s="118"/>
      <c r="M37" s="118"/>
      <c r="N37" s="118"/>
      <c r="O37" s="118"/>
      <c r="P37" s="116">
        <f t="shared" si="14"/>
        <v>0</v>
      </c>
      <c r="Q37" s="132">
        <f t="shared" si="3"/>
        <v>0</v>
      </c>
      <c r="R37" s="133">
        <f t="shared" si="4"/>
        <v>0</v>
      </c>
      <c r="S37" s="133">
        <f t="shared" si="15"/>
        <v>0</v>
      </c>
    </row>
    <row r="38" hidden="1" outlineLevel="1">
      <c r="A38" s="142"/>
      <c r="B38" s="125"/>
      <c r="C38" s="123"/>
      <c r="D38" s="114"/>
      <c r="E38" s="114"/>
      <c r="F38" s="114"/>
      <c r="G38" s="114"/>
      <c r="H38" s="143"/>
      <c r="I38" s="116">
        <f t="shared" si="12"/>
        <v>0</v>
      </c>
      <c r="J38" s="123"/>
      <c r="K38" s="118"/>
      <c r="L38" s="118"/>
      <c r="M38" s="118"/>
      <c r="N38" s="118"/>
      <c r="O38" s="118"/>
      <c r="P38" s="116">
        <f t="shared" si="14"/>
        <v>0</v>
      </c>
      <c r="Q38" s="132">
        <f t="shared" si="3"/>
        <v>0</v>
      </c>
      <c r="R38" s="133">
        <f t="shared" si="4"/>
        <v>0</v>
      </c>
      <c r="S38" s="133">
        <f t="shared" si="15"/>
        <v>0</v>
      </c>
    </row>
    <row r="39" hidden="1" outlineLevel="1">
      <c r="A39" s="142"/>
      <c r="B39" s="125"/>
      <c r="C39" s="123"/>
      <c r="D39" s="114"/>
      <c r="E39" s="114"/>
      <c r="F39" s="114"/>
      <c r="G39" s="114"/>
      <c r="H39" s="143"/>
      <c r="I39" s="116">
        <f t="shared" si="12"/>
        <v>0</v>
      </c>
      <c r="J39" s="123"/>
      <c r="K39" s="118"/>
      <c r="L39" s="118"/>
      <c r="M39" s="118"/>
      <c r="N39" s="118"/>
      <c r="O39" s="118"/>
      <c r="P39" s="116">
        <f t="shared" si="14"/>
        <v>0</v>
      </c>
      <c r="Q39" s="132">
        <f t="shared" si="3"/>
        <v>0</v>
      </c>
      <c r="R39" s="133">
        <f t="shared" si="4"/>
        <v>0</v>
      </c>
      <c r="S39" s="133">
        <f t="shared" si="15"/>
        <v>0</v>
      </c>
    </row>
    <row r="40" hidden="1" outlineLevel="1">
      <c r="A40" s="142"/>
      <c r="B40" s="125"/>
      <c r="C40" s="123"/>
      <c r="D40" s="114"/>
      <c r="E40" s="114"/>
      <c r="F40" s="114"/>
      <c r="G40" s="114"/>
      <c r="H40" s="143"/>
      <c r="I40" s="116">
        <f t="shared" si="12"/>
        <v>0</v>
      </c>
      <c r="J40" s="123"/>
      <c r="K40" s="118"/>
      <c r="L40" s="118"/>
      <c r="M40" s="118"/>
      <c r="N40" s="118"/>
      <c r="O40" s="118"/>
      <c r="P40" s="116">
        <f t="shared" si="14"/>
        <v>0</v>
      </c>
      <c r="Q40" s="132">
        <f t="shared" si="3"/>
        <v>0</v>
      </c>
      <c r="R40" s="133">
        <f t="shared" si="4"/>
        <v>0</v>
      </c>
      <c r="S40" s="133">
        <f t="shared" si="15"/>
        <v>0</v>
      </c>
    </row>
    <row r="41" hidden="1" outlineLevel="1">
      <c r="A41" s="142"/>
      <c r="B41" s="125"/>
      <c r="C41" s="123"/>
      <c r="D41" s="114"/>
      <c r="E41" s="114"/>
      <c r="F41" s="114"/>
      <c r="G41" s="114"/>
      <c r="H41" s="143"/>
      <c r="I41" s="116">
        <f t="shared" si="12"/>
        <v>0</v>
      </c>
      <c r="J41" s="123"/>
      <c r="K41" s="118"/>
      <c r="L41" s="118"/>
      <c r="M41" s="118"/>
      <c r="N41" s="118"/>
      <c r="O41" s="118"/>
      <c r="P41" s="116">
        <f t="shared" si="14"/>
        <v>0</v>
      </c>
      <c r="Q41" s="132">
        <f t="shared" si="3"/>
        <v>0</v>
      </c>
      <c r="R41" s="133">
        <f t="shared" si="4"/>
        <v>0</v>
      </c>
      <c r="S41" s="133">
        <f t="shared" si="15"/>
        <v>0</v>
      </c>
    </row>
    <row r="42" hidden="1" outlineLevel="1">
      <c r="A42" s="142"/>
      <c r="B42" s="125"/>
      <c r="C42" s="123"/>
      <c r="D42" s="114"/>
      <c r="E42" s="114"/>
      <c r="F42" s="114"/>
      <c r="G42" s="114"/>
      <c r="H42" s="143"/>
      <c r="I42" s="116">
        <f t="shared" si="12"/>
        <v>0</v>
      </c>
      <c r="J42" s="123"/>
      <c r="K42" s="118"/>
      <c r="L42" s="118"/>
      <c r="M42" s="118"/>
      <c r="N42" s="118"/>
      <c r="O42" s="118"/>
      <c r="P42" s="116">
        <f t="shared" si="14"/>
        <v>0</v>
      </c>
      <c r="Q42" s="132">
        <f t="shared" si="3"/>
        <v>0</v>
      </c>
      <c r="R42" s="133">
        <f t="shared" si="4"/>
        <v>0</v>
      </c>
      <c r="S42" s="133">
        <f t="shared" si="15"/>
        <v>0</v>
      </c>
    </row>
    <row r="43" hidden="1" outlineLevel="1">
      <c r="A43" s="142"/>
      <c r="B43" s="125"/>
      <c r="C43" s="123"/>
      <c r="D43" s="114"/>
      <c r="E43" s="114"/>
      <c r="F43" s="114"/>
      <c r="G43" s="114"/>
      <c r="H43" s="143"/>
      <c r="I43" s="116">
        <f t="shared" si="12"/>
        <v>0</v>
      </c>
      <c r="J43" s="123"/>
      <c r="K43" s="118"/>
      <c r="L43" s="118"/>
      <c r="M43" s="118"/>
      <c r="N43" s="118"/>
      <c r="O43" s="118"/>
      <c r="P43" s="116">
        <f t="shared" si="14"/>
        <v>0</v>
      </c>
      <c r="Q43" s="132">
        <f t="shared" si="3"/>
        <v>0</v>
      </c>
      <c r="R43" s="133">
        <f t="shared" si="4"/>
        <v>0</v>
      </c>
      <c r="S43" s="133">
        <f t="shared" si="15"/>
        <v>0</v>
      </c>
    </row>
    <row r="44" hidden="1" outlineLevel="1">
      <c r="A44" s="142"/>
      <c r="B44" s="125"/>
      <c r="C44" s="123"/>
      <c r="D44" s="114"/>
      <c r="E44" s="114"/>
      <c r="F44" s="114"/>
      <c r="G44" s="114"/>
      <c r="H44" s="143"/>
      <c r="I44" s="116">
        <f t="shared" si="12"/>
        <v>0</v>
      </c>
      <c r="J44" s="123"/>
      <c r="K44" s="118"/>
      <c r="L44" s="118"/>
      <c r="M44" s="118"/>
      <c r="N44" s="118"/>
      <c r="O44" s="118"/>
      <c r="P44" s="116">
        <f t="shared" si="14"/>
        <v>0</v>
      </c>
      <c r="Q44" s="132">
        <f t="shared" si="3"/>
        <v>0</v>
      </c>
      <c r="R44" s="133">
        <f t="shared" si="4"/>
        <v>0</v>
      </c>
      <c r="S44" s="133">
        <f t="shared" si="15"/>
        <v>0</v>
      </c>
    </row>
    <row r="45" hidden="1" outlineLevel="1">
      <c r="A45" s="142"/>
      <c r="B45" s="125"/>
      <c r="C45" s="123"/>
      <c r="D45" s="114"/>
      <c r="E45" s="114"/>
      <c r="F45" s="114"/>
      <c r="G45" s="114"/>
      <c r="H45" s="143"/>
      <c r="I45" s="116">
        <f t="shared" si="12"/>
        <v>0</v>
      </c>
      <c r="J45" s="123"/>
      <c r="K45" s="118"/>
      <c r="L45" s="118"/>
      <c r="M45" s="118"/>
      <c r="N45" s="118"/>
      <c r="O45" s="118"/>
      <c r="P45" s="116">
        <f t="shared" si="14"/>
        <v>0</v>
      </c>
      <c r="Q45" s="132">
        <f t="shared" si="3"/>
        <v>0</v>
      </c>
      <c r="R45" s="133">
        <f t="shared" si="4"/>
        <v>0</v>
      </c>
      <c r="S45" s="133">
        <f t="shared" si="15"/>
        <v>0</v>
      </c>
    </row>
    <row r="46" hidden="1" outlineLevel="1">
      <c r="A46" s="142"/>
      <c r="B46" s="125"/>
      <c r="C46" s="123"/>
      <c r="D46" s="114"/>
      <c r="E46" s="114"/>
      <c r="F46" s="114"/>
      <c r="G46" s="114"/>
      <c r="H46" s="143"/>
      <c r="I46" s="116">
        <f t="shared" si="12"/>
        <v>0</v>
      </c>
      <c r="J46" s="123"/>
      <c r="K46" s="118"/>
      <c r="L46" s="118"/>
      <c r="M46" s="118"/>
      <c r="N46" s="118"/>
      <c r="O46" s="118"/>
      <c r="P46" s="116">
        <f t="shared" si="14"/>
        <v>0</v>
      </c>
      <c r="Q46" s="132">
        <f t="shared" si="3"/>
        <v>0</v>
      </c>
      <c r="R46" s="133">
        <f t="shared" si="4"/>
        <v>0</v>
      </c>
      <c r="S46" s="133">
        <f t="shared" si="15"/>
        <v>0</v>
      </c>
    </row>
    <row r="47" hidden="1" outlineLevel="1">
      <c r="A47" s="142"/>
      <c r="B47" s="125"/>
      <c r="C47" s="123"/>
      <c r="D47" s="114"/>
      <c r="E47" s="114"/>
      <c r="F47" s="114"/>
      <c r="G47" s="114"/>
      <c r="H47" s="143"/>
      <c r="I47" s="116">
        <f t="shared" si="12"/>
        <v>0</v>
      </c>
      <c r="J47" s="123"/>
      <c r="K47" s="118"/>
      <c r="L47" s="118"/>
      <c r="M47" s="118"/>
      <c r="N47" s="118"/>
      <c r="O47" s="118"/>
      <c r="P47" s="116">
        <f t="shared" si="14"/>
        <v>0</v>
      </c>
      <c r="Q47" s="132">
        <f t="shared" si="3"/>
        <v>0</v>
      </c>
      <c r="R47" s="133">
        <f t="shared" si="4"/>
        <v>0</v>
      </c>
      <c r="S47" s="133">
        <f t="shared" si="15"/>
        <v>0</v>
      </c>
    </row>
    <row r="48" hidden="1" outlineLevel="1">
      <c r="A48" s="142"/>
      <c r="B48" s="125"/>
      <c r="C48" s="123"/>
      <c r="D48" s="114"/>
      <c r="E48" s="114"/>
      <c r="F48" s="114"/>
      <c r="G48" s="114"/>
      <c r="H48" s="143"/>
      <c r="I48" s="116">
        <f t="shared" si="12"/>
        <v>0</v>
      </c>
      <c r="J48" s="123"/>
      <c r="K48" s="118"/>
      <c r="L48" s="118"/>
      <c r="M48" s="118"/>
      <c r="N48" s="118"/>
      <c r="O48" s="118"/>
      <c r="P48" s="116">
        <f t="shared" si="14"/>
        <v>0</v>
      </c>
      <c r="Q48" s="132">
        <f t="shared" si="3"/>
        <v>0</v>
      </c>
      <c r="R48" s="133">
        <f t="shared" si="4"/>
        <v>0</v>
      </c>
      <c r="S48" s="133">
        <f t="shared" si="15"/>
        <v>0</v>
      </c>
    </row>
    <row r="49" hidden="1" outlineLevel="1">
      <c r="A49" s="142"/>
      <c r="B49" s="125"/>
      <c r="C49" s="123"/>
      <c r="D49" s="143"/>
      <c r="E49" s="114"/>
      <c r="F49" s="114"/>
      <c r="G49" s="114"/>
      <c r="H49" s="143"/>
      <c r="I49" s="116">
        <f t="shared" si="12"/>
        <v>0</v>
      </c>
      <c r="J49" s="123"/>
      <c r="K49" s="118"/>
      <c r="L49" s="118"/>
      <c r="M49" s="118"/>
      <c r="N49" s="118"/>
      <c r="O49" s="118"/>
      <c r="P49" s="116">
        <f t="shared" si="14"/>
        <v>0</v>
      </c>
      <c r="Q49" s="132">
        <f t="shared" si="3"/>
        <v>0</v>
      </c>
      <c r="R49" s="133">
        <f t="shared" si="4"/>
        <v>0</v>
      </c>
      <c r="S49" s="133">
        <f t="shared" si="15"/>
        <v>0</v>
      </c>
    </row>
    <row r="50" hidden="1" outlineLevel="1">
      <c r="A50" s="142"/>
      <c r="B50" s="125"/>
      <c r="C50" s="123"/>
      <c r="D50" s="114"/>
      <c r="E50" s="114"/>
      <c r="F50" s="114"/>
      <c r="G50" s="114"/>
      <c r="H50" s="143"/>
      <c r="I50" s="116">
        <f t="shared" si="12"/>
        <v>0</v>
      </c>
      <c r="J50" s="123"/>
      <c r="K50" s="118"/>
      <c r="L50" s="118"/>
      <c r="M50" s="118"/>
      <c r="N50" s="118"/>
      <c r="O50" s="118"/>
      <c r="P50" s="116">
        <f t="shared" si="14"/>
        <v>0</v>
      </c>
      <c r="Q50" s="132">
        <f t="shared" si="3"/>
        <v>0</v>
      </c>
      <c r="R50" s="133">
        <f t="shared" si="4"/>
        <v>0</v>
      </c>
      <c r="S50" s="133">
        <f t="shared" si="15"/>
        <v>0</v>
      </c>
    </row>
    <row r="51" hidden="1" outlineLevel="1">
      <c r="A51" s="142"/>
      <c r="B51" s="125"/>
      <c r="C51" s="123"/>
      <c r="D51" s="114"/>
      <c r="E51" s="114"/>
      <c r="F51" s="114"/>
      <c r="G51" s="114"/>
      <c r="H51" s="143"/>
      <c r="I51" s="116">
        <f t="shared" si="12"/>
        <v>0</v>
      </c>
      <c r="J51" s="123"/>
      <c r="K51" s="118"/>
      <c r="L51" s="118"/>
      <c r="M51" s="118"/>
      <c r="N51" s="118"/>
      <c r="O51" s="118"/>
      <c r="P51" s="116">
        <f t="shared" si="14"/>
        <v>0</v>
      </c>
      <c r="Q51" s="132">
        <f t="shared" si="3"/>
        <v>0</v>
      </c>
      <c r="R51" s="133">
        <f t="shared" si="4"/>
        <v>0</v>
      </c>
      <c r="S51" s="133">
        <f t="shared" si="15"/>
        <v>0</v>
      </c>
    </row>
    <row r="52" hidden="1" outlineLevel="1">
      <c r="A52" s="142"/>
      <c r="B52" s="125"/>
      <c r="C52" s="123"/>
      <c r="D52" s="114"/>
      <c r="E52" s="114"/>
      <c r="F52" s="114"/>
      <c r="G52" s="114"/>
      <c r="H52" s="149"/>
      <c r="I52" s="116">
        <f t="shared" si="12"/>
        <v>0</v>
      </c>
      <c r="J52" s="123"/>
      <c r="K52" s="118"/>
      <c r="L52" s="118"/>
      <c r="M52" s="118"/>
      <c r="N52" s="118"/>
      <c r="O52" s="118"/>
      <c r="P52" s="116">
        <f t="shared" si="14"/>
        <v>0</v>
      </c>
      <c r="Q52" s="132">
        <f t="shared" si="3"/>
        <v>0</v>
      </c>
      <c r="R52" s="133">
        <f t="shared" si="4"/>
        <v>0</v>
      </c>
      <c r="S52" s="133">
        <f t="shared" si="15"/>
        <v>0</v>
      </c>
    </row>
    <row r="53" hidden="1" outlineLevel="1">
      <c r="A53" s="142"/>
      <c r="B53" s="125"/>
      <c r="C53" s="123"/>
      <c r="D53" s="114"/>
      <c r="E53" s="114"/>
      <c r="F53" s="114"/>
      <c r="G53" s="114"/>
      <c r="H53" s="143"/>
      <c r="I53" s="116">
        <f t="shared" si="12"/>
        <v>0</v>
      </c>
      <c r="J53" s="123"/>
      <c r="K53" s="118"/>
      <c r="L53" s="118"/>
      <c r="M53" s="118"/>
      <c r="N53" s="118"/>
      <c r="O53" s="118"/>
      <c r="P53" s="116">
        <f t="shared" si="14"/>
        <v>0</v>
      </c>
      <c r="Q53" s="132">
        <f t="shared" si="3"/>
        <v>0</v>
      </c>
      <c r="R53" s="133">
        <f t="shared" si="4"/>
        <v>0</v>
      </c>
      <c r="S53" s="133">
        <f t="shared" si="15"/>
        <v>0</v>
      </c>
    </row>
    <row r="54" hidden="1" outlineLevel="1">
      <c r="A54" s="142"/>
      <c r="B54" s="125"/>
      <c r="C54" s="122"/>
      <c r="D54" s="114"/>
      <c r="E54" s="114"/>
      <c r="F54" s="114"/>
      <c r="G54" s="114"/>
      <c r="H54" s="143"/>
      <c r="I54" s="116">
        <f t="shared" si="12"/>
        <v>0</v>
      </c>
      <c r="J54" s="123"/>
      <c r="K54" s="118"/>
      <c r="L54" s="118"/>
      <c r="M54" s="118"/>
      <c r="N54" s="118"/>
      <c r="O54" s="118"/>
      <c r="P54" s="116">
        <f t="shared" si="14"/>
        <v>0</v>
      </c>
      <c r="Q54" s="132">
        <f t="shared" si="3"/>
        <v>0</v>
      </c>
      <c r="R54" s="133">
        <f t="shared" si="4"/>
        <v>0</v>
      </c>
      <c r="S54" s="133">
        <f t="shared" si="15"/>
        <v>0</v>
      </c>
    </row>
    <row r="55">
      <c r="A55" s="152"/>
      <c r="B55" s="153" t="s">
        <v>136</v>
      </c>
      <c r="C55" s="154">
        <f t="shared" ref="C55:K55" si="16">C3+C12</f>
        <v>8</v>
      </c>
      <c r="D55" s="155">
        <f t="shared" si="16"/>
        <v>0</v>
      </c>
      <c r="E55" s="155">
        <f t="shared" si="16"/>
        <v>0</v>
      </c>
      <c r="F55" s="155">
        <f t="shared" si="16"/>
        <v>0</v>
      </c>
      <c r="G55" s="155">
        <f t="shared" si="16"/>
        <v>0</v>
      </c>
      <c r="H55" s="156">
        <f t="shared" si="16"/>
        <v>0</v>
      </c>
      <c r="I55" s="157">
        <f t="shared" si="16"/>
        <v>8</v>
      </c>
      <c r="J55" s="154">
        <f t="shared" si="16"/>
        <v>0</v>
      </c>
      <c r="K55" s="155">
        <f t="shared" si="16"/>
        <v>0</v>
      </c>
      <c r="L55" s="155"/>
      <c r="M55" s="155"/>
      <c r="N55" s="155"/>
      <c r="O55" s="155"/>
      <c r="P55" s="157">
        <f>P3+P12</f>
        <v>0</v>
      </c>
      <c r="Q55" s="155">
        <f t="shared" si="3"/>
        <v>8</v>
      </c>
      <c r="R55" s="158">
        <f t="shared" si="4"/>
        <v>0</v>
      </c>
      <c r="S55" s="159" t="str">
        <f>IF(Q55=0,"",IF(R55&gt;1,"выполнение","план не выполнен"))</f>
        <v>план не выполнен</v>
      </c>
    </row>
    <row r="56">
      <c r="A56" s="160"/>
      <c r="B56" s="161" t="s">
        <v>137</v>
      </c>
      <c r="C56" s="162">
        <f t="shared" ref="C56:K56" si="17">IFERROR(C55/C$3,"")</f>
        <v>1</v>
      </c>
      <c r="D56" s="163" t="str">
        <f t="shared" si="17"/>
        <v/>
      </c>
      <c r="E56" s="163" t="str">
        <f t="shared" si="17"/>
        <v/>
      </c>
      <c r="F56" s="163" t="str">
        <f t="shared" si="17"/>
        <v/>
      </c>
      <c r="G56" s="163" t="str">
        <f t="shared" si="17"/>
        <v/>
      </c>
      <c r="H56" s="163" t="str">
        <f t="shared" si="17"/>
        <v/>
      </c>
      <c r="I56" s="164">
        <f t="shared" si="17"/>
        <v>1</v>
      </c>
      <c r="J56" s="163" t="str">
        <f t="shared" si="17"/>
        <v/>
      </c>
      <c r="K56" s="163" t="str">
        <f t="shared" si="17"/>
        <v/>
      </c>
      <c r="L56" s="163"/>
      <c r="M56" s="163"/>
      <c r="N56" s="163"/>
      <c r="O56" s="163"/>
      <c r="P56" s="164" t="str">
        <f>IFERROR(P55/P$3,"")</f>
        <v/>
      </c>
      <c r="Q56" s="121"/>
      <c r="R56" s="121"/>
      <c r="S56" s="121"/>
    </row>
    <row r="57">
      <c r="A57" s="142"/>
      <c r="B57" s="125"/>
      <c r="C57" s="122"/>
      <c r="D57" s="114"/>
      <c r="E57" s="114"/>
      <c r="F57" s="114"/>
      <c r="G57" s="114"/>
      <c r="H57" s="114"/>
      <c r="I57" s="116"/>
      <c r="J57" s="123"/>
      <c r="K57" s="118"/>
      <c r="L57" s="118"/>
      <c r="M57" s="118"/>
      <c r="N57" s="118"/>
      <c r="O57" s="118"/>
      <c r="P57" s="116"/>
      <c r="Q57" s="121"/>
      <c r="R57" s="121"/>
      <c r="S57" s="121"/>
    </row>
    <row r="58">
      <c r="A58" s="135"/>
      <c r="B58" s="136" t="s">
        <v>94</v>
      </c>
      <c r="C58" s="165">
        <f t="shared" ref="C58:H58" si="18">sum(C59:C79)</f>
        <v>0</v>
      </c>
      <c r="D58" s="166">
        <f t="shared" si="18"/>
        <v>0</v>
      </c>
      <c r="E58" s="166">
        <f t="shared" si="18"/>
        <v>0</v>
      </c>
      <c r="F58" s="166">
        <f t="shared" si="18"/>
        <v>0</v>
      </c>
      <c r="G58" s="166">
        <f t="shared" si="18"/>
        <v>0</v>
      </c>
      <c r="H58" s="166">
        <f t="shared" si="18"/>
        <v>0</v>
      </c>
      <c r="I58" s="167">
        <f t="shared" ref="I58:K58" si="19">SUM(I59:I84)</f>
        <v>0</v>
      </c>
      <c r="J58" s="165">
        <f t="shared" si="19"/>
        <v>0</v>
      </c>
      <c r="K58" s="166">
        <f t="shared" si="19"/>
        <v>0</v>
      </c>
      <c r="L58" s="166"/>
      <c r="M58" s="166"/>
      <c r="N58" s="166"/>
      <c r="O58" s="166"/>
      <c r="P58" s="168">
        <f>SUM(P59:P84)</f>
        <v>0</v>
      </c>
      <c r="Q58" s="166">
        <f t="shared" ref="Q58:Q85" si="20">I58-P58</f>
        <v>0</v>
      </c>
      <c r="R58" s="169">
        <f t="shared" ref="R58:R85" si="21">IFERROR(I58/P58,0)</f>
        <v>0</v>
      </c>
      <c r="S58" s="141" t="str">
        <f>IF(Q58=0,"",IF(R58&gt;1,"план не выполнен","выполнение"))</f>
        <v/>
      </c>
    </row>
    <row r="59">
      <c r="A59" s="142" t="str">
        <f>IFERROR(VLOOKUP(B59,'Статьи'!$A$2:C81,3,0)," ")</f>
        <v>1С</v>
      </c>
      <c r="B59" s="125" t="str">
        <f>IFERROR(__xludf.DUMMYFUNCTION("iferror(filter('Статьи'!$A$1:$A177,'Статьи'!$B$1:$B177=$B$58))"),"Зарплата производственного персонала")</f>
        <v>Зарплата производственного персонала</v>
      </c>
      <c r="C59" s="170"/>
      <c r="D59" s="149"/>
      <c r="E59" s="143"/>
      <c r="F59" s="143"/>
      <c r="G59" s="143"/>
      <c r="H59" s="143"/>
      <c r="I59" s="116">
        <f t="shared" ref="I59:I84" si="22">SUM(C59:H59)</f>
        <v>0</v>
      </c>
      <c r="J59" s="117"/>
      <c r="K59" s="118"/>
      <c r="L59" s="118"/>
      <c r="M59" s="118"/>
      <c r="N59" s="118"/>
      <c r="O59" s="118"/>
      <c r="P59" s="116">
        <f t="shared" ref="P59:P84" si="23">SUM(J59:K59)</f>
        <v>0</v>
      </c>
      <c r="Q59" s="119">
        <f t="shared" si="20"/>
        <v>0</v>
      </c>
      <c r="R59" s="120">
        <f t="shared" si="21"/>
        <v>0</v>
      </c>
      <c r="S59" s="121" t="str">
        <f t="shared" ref="S59:S84" si="24">IF(Q59=0,"",IF(R59=0,"обратить внимание",IF(R59&gt;1,"перерасход","экономия")))</f>
        <v/>
      </c>
    </row>
    <row r="60">
      <c r="A60" s="142" t="str">
        <f>IFERROR(VLOOKUP(B60,'Статьи'!$A$2:C82,3,0)," ")</f>
        <v>ДДС отчетного месяца. Без НДС!</v>
      </c>
      <c r="B60" s="125" t="str">
        <f>IFERROR(__xludf.DUMMYFUNCTION("""COMPUTED_VALUE"""),"Таможенные расходы")</f>
        <v>Таможенные расходы</v>
      </c>
      <c r="C60" s="171"/>
      <c r="D60" s="149"/>
      <c r="E60" s="143"/>
      <c r="F60" s="143"/>
      <c r="G60" s="143"/>
      <c r="H60" s="149"/>
      <c r="I60" s="116">
        <f t="shared" si="22"/>
        <v>0</v>
      </c>
      <c r="J60" s="117"/>
      <c r="K60" s="118"/>
      <c r="L60" s="118"/>
      <c r="M60" s="118"/>
      <c r="N60" s="118"/>
      <c r="O60" s="118"/>
      <c r="P60" s="116">
        <f t="shared" si="23"/>
        <v>0</v>
      </c>
      <c r="Q60" s="119">
        <f t="shared" si="20"/>
        <v>0</v>
      </c>
      <c r="R60" s="120">
        <f t="shared" si="21"/>
        <v>0</v>
      </c>
      <c r="S60" s="121" t="str">
        <f t="shared" si="24"/>
        <v/>
      </c>
    </row>
    <row r="61">
      <c r="A61" s="142" t="str">
        <f>IFERROR(VLOOKUP(B61,'Статьи'!$A$2:C83,3,0)," ")</f>
        <v> </v>
      </c>
      <c r="B61" s="125"/>
      <c r="C61" s="171"/>
      <c r="D61" s="172"/>
      <c r="E61" s="143"/>
      <c r="F61" s="143"/>
      <c r="G61" s="143"/>
      <c r="H61" s="149"/>
      <c r="I61" s="116">
        <f t="shared" si="22"/>
        <v>0</v>
      </c>
      <c r="J61" s="117"/>
      <c r="K61" s="118"/>
      <c r="L61" s="118"/>
      <c r="M61" s="118"/>
      <c r="N61" s="118"/>
      <c r="O61" s="118"/>
      <c r="P61" s="116">
        <f t="shared" si="23"/>
        <v>0</v>
      </c>
      <c r="Q61" s="119">
        <f t="shared" si="20"/>
        <v>0</v>
      </c>
      <c r="R61" s="120">
        <f t="shared" si="21"/>
        <v>0</v>
      </c>
      <c r="S61" s="121" t="str">
        <f t="shared" si="24"/>
        <v/>
      </c>
    </row>
    <row r="62">
      <c r="A62" s="142" t="str">
        <f>IFERROR(VLOOKUP(B62,'Статьи'!$A$2:C84,3,0)," ")</f>
        <v> </v>
      </c>
      <c r="B62" s="125"/>
      <c r="C62" s="171"/>
      <c r="D62" s="172"/>
      <c r="E62" s="143"/>
      <c r="F62" s="143"/>
      <c r="G62" s="143"/>
      <c r="H62" s="149"/>
      <c r="I62" s="116">
        <f t="shared" si="22"/>
        <v>0</v>
      </c>
      <c r="J62" s="123"/>
      <c r="K62" s="118"/>
      <c r="L62" s="118"/>
      <c r="M62" s="118"/>
      <c r="N62" s="118"/>
      <c r="O62" s="118"/>
      <c r="P62" s="116">
        <f t="shared" si="23"/>
        <v>0</v>
      </c>
      <c r="Q62" s="119">
        <f t="shared" si="20"/>
        <v>0</v>
      </c>
      <c r="R62" s="120">
        <f t="shared" si="21"/>
        <v>0</v>
      </c>
      <c r="S62" s="121" t="str">
        <f t="shared" si="24"/>
        <v/>
      </c>
    </row>
    <row r="63">
      <c r="A63" s="142" t="str">
        <f>IFERROR(VLOOKUP(B63,'Статьи'!$A$2:C85,3,0)," ")</f>
        <v> </v>
      </c>
      <c r="B63" s="125"/>
      <c r="C63" s="171"/>
      <c r="D63" s="172"/>
      <c r="E63" s="143"/>
      <c r="F63" s="143"/>
      <c r="G63" s="143"/>
      <c r="H63" s="149"/>
      <c r="I63" s="116">
        <f t="shared" si="22"/>
        <v>0</v>
      </c>
      <c r="J63" s="117"/>
      <c r="K63" s="118"/>
      <c r="L63" s="118"/>
      <c r="M63" s="118"/>
      <c r="N63" s="118"/>
      <c r="O63" s="118"/>
      <c r="P63" s="116">
        <f t="shared" si="23"/>
        <v>0</v>
      </c>
      <c r="Q63" s="119">
        <f t="shared" si="20"/>
        <v>0</v>
      </c>
      <c r="R63" s="120">
        <f t="shared" si="21"/>
        <v>0</v>
      </c>
      <c r="S63" s="121" t="str">
        <f t="shared" si="24"/>
        <v/>
      </c>
    </row>
    <row r="64">
      <c r="A64" s="142" t="str">
        <f>IFERROR(VLOOKUP(B64,'Статьи'!$A$2:C86,3,0)," ")</f>
        <v> </v>
      </c>
      <c r="B64" s="125"/>
      <c r="C64" s="171"/>
      <c r="D64" s="172"/>
      <c r="E64" s="143"/>
      <c r="F64" s="143"/>
      <c r="G64" s="143"/>
      <c r="H64" s="149"/>
      <c r="I64" s="116">
        <f t="shared" si="22"/>
        <v>0</v>
      </c>
      <c r="J64" s="117"/>
      <c r="K64" s="118"/>
      <c r="L64" s="118"/>
      <c r="M64" s="118"/>
      <c r="N64" s="118"/>
      <c r="O64" s="118"/>
      <c r="P64" s="116">
        <f t="shared" si="23"/>
        <v>0</v>
      </c>
      <c r="Q64" s="119">
        <f t="shared" si="20"/>
        <v>0</v>
      </c>
      <c r="R64" s="120">
        <f t="shared" si="21"/>
        <v>0</v>
      </c>
      <c r="S64" s="121" t="str">
        <f t="shared" si="24"/>
        <v/>
      </c>
    </row>
    <row r="65">
      <c r="A65" s="142" t="str">
        <f>IFERROR(VLOOKUP(B65,'Статьи'!$A$2:C87,3,0)," ")</f>
        <v> </v>
      </c>
      <c r="B65" s="125"/>
      <c r="C65" s="171"/>
      <c r="D65" s="172"/>
      <c r="E65" s="143"/>
      <c r="F65" s="143"/>
      <c r="G65" s="143"/>
      <c r="H65" s="149"/>
      <c r="I65" s="116">
        <f t="shared" si="22"/>
        <v>0</v>
      </c>
      <c r="J65" s="117"/>
      <c r="K65" s="118"/>
      <c r="L65" s="118"/>
      <c r="M65" s="118"/>
      <c r="N65" s="118"/>
      <c r="O65" s="118"/>
      <c r="P65" s="116">
        <f t="shared" si="23"/>
        <v>0</v>
      </c>
      <c r="Q65" s="119">
        <f t="shared" si="20"/>
        <v>0</v>
      </c>
      <c r="R65" s="120">
        <f t="shared" si="21"/>
        <v>0</v>
      </c>
      <c r="S65" s="121" t="str">
        <f t="shared" si="24"/>
        <v/>
      </c>
    </row>
    <row r="66">
      <c r="A66" s="142" t="str">
        <f>IFERROR(VLOOKUP(B66,'Статьи'!$A$2:C88,3,0)," ")</f>
        <v> </v>
      </c>
      <c r="B66" s="125"/>
      <c r="C66" s="171"/>
      <c r="D66" s="172"/>
      <c r="E66" s="143"/>
      <c r="F66" s="143"/>
      <c r="G66" s="143"/>
      <c r="H66" s="149"/>
      <c r="I66" s="116">
        <f t="shared" si="22"/>
        <v>0</v>
      </c>
      <c r="J66" s="117"/>
      <c r="K66" s="118"/>
      <c r="L66" s="118"/>
      <c r="M66" s="118"/>
      <c r="N66" s="118"/>
      <c r="O66" s="118"/>
      <c r="P66" s="116">
        <f t="shared" si="23"/>
        <v>0</v>
      </c>
      <c r="Q66" s="119">
        <f t="shared" si="20"/>
        <v>0</v>
      </c>
      <c r="R66" s="120">
        <f t="shared" si="21"/>
        <v>0</v>
      </c>
      <c r="S66" s="121" t="str">
        <f t="shared" si="24"/>
        <v/>
      </c>
    </row>
    <row r="67">
      <c r="A67" s="142" t="str">
        <f>IFERROR(VLOOKUP(B67,'Статьи'!$A$2:C89,3,0)," ")</f>
        <v> </v>
      </c>
      <c r="B67" s="125"/>
      <c r="C67" s="171"/>
      <c r="D67" s="172"/>
      <c r="E67" s="143"/>
      <c r="F67" s="143"/>
      <c r="G67" s="143"/>
      <c r="H67" s="149"/>
      <c r="I67" s="116">
        <f t="shared" si="22"/>
        <v>0</v>
      </c>
      <c r="J67" s="117"/>
      <c r="K67" s="118"/>
      <c r="L67" s="118"/>
      <c r="M67" s="118"/>
      <c r="N67" s="118"/>
      <c r="O67" s="118"/>
      <c r="P67" s="116">
        <f t="shared" si="23"/>
        <v>0</v>
      </c>
      <c r="Q67" s="119">
        <f t="shared" si="20"/>
        <v>0</v>
      </c>
      <c r="R67" s="120">
        <f t="shared" si="21"/>
        <v>0</v>
      </c>
      <c r="S67" s="121" t="str">
        <f t="shared" si="24"/>
        <v/>
      </c>
    </row>
    <row r="68">
      <c r="A68" s="142" t="str">
        <f>IFERROR(VLOOKUP(B68,'Статьи'!$A$2:C90,3,0)," ")</f>
        <v> </v>
      </c>
      <c r="B68" s="125"/>
      <c r="C68" s="171"/>
      <c r="D68" s="172"/>
      <c r="E68" s="143"/>
      <c r="F68" s="143"/>
      <c r="G68" s="143"/>
      <c r="H68" s="149"/>
      <c r="I68" s="116">
        <f t="shared" si="22"/>
        <v>0</v>
      </c>
      <c r="J68" s="123"/>
      <c r="K68" s="118"/>
      <c r="L68" s="118"/>
      <c r="M68" s="118"/>
      <c r="N68" s="118"/>
      <c r="O68" s="118"/>
      <c r="P68" s="116">
        <f t="shared" si="23"/>
        <v>0</v>
      </c>
      <c r="Q68" s="119">
        <f t="shared" si="20"/>
        <v>0</v>
      </c>
      <c r="R68" s="120">
        <f t="shared" si="21"/>
        <v>0</v>
      </c>
      <c r="S68" s="121" t="str">
        <f t="shared" si="24"/>
        <v/>
      </c>
    </row>
    <row r="69">
      <c r="A69" s="142" t="str">
        <f>IFERROR(VLOOKUP(B69,'Статьи'!$A$2:C91,3,0)," ")</f>
        <v> </v>
      </c>
      <c r="B69" s="125"/>
      <c r="C69" s="171"/>
      <c r="D69" s="172"/>
      <c r="E69" s="143"/>
      <c r="F69" s="143"/>
      <c r="G69" s="143"/>
      <c r="H69" s="149"/>
      <c r="I69" s="116">
        <f t="shared" si="22"/>
        <v>0</v>
      </c>
      <c r="J69" s="117"/>
      <c r="K69" s="118"/>
      <c r="L69" s="118"/>
      <c r="M69" s="118"/>
      <c r="N69" s="118"/>
      <c r="O69" s="118"/>
      <c r="P69" s="116">
        <f t="shared" si="23"/>
        <v>0</v>
      </c>
      <c r="Q69" s="119">
        <f t="shared" si="20"/>
        <v>0</v>
      </c>
      <c r="R69" s="120">
        <f t="shared" si="21"/>
        <v>0</v>
      </c>
      <c r="S69" s="121" t="str">
        <f t="shared" si="24"/>
        <v/>
      </c>
    </row>
    <row r="70">
      <c r="A70" s="142" t="str">
        <f>IFERROR(VLOOKUP(B70,'Статьи'!$A$2:C92,3,0)," ")</f>
        <v> </v>
      </c>
      <c r="B70" s="125"/>
      <c r="C70" s="171"/>
      <c r="D70" s="172"/>
      <c r="E70" s="143"/>
      <c r="F70" s="143"/>
      <c r="G70" s="143"/>
      <c r="H70" s="149"/>
      <c r="I70" s="116">
        <f t="shared" si="22"/>
        <v>0</v>
      </c>
      <c r="J70" s="117"/>
      <c r="K70" s="118"/>
      <c r="L70" s="118"/>
      <c r="M70" s="118"/>
      <c r="N70" s="118"/>
      <c r="O70" s="118"/>
      <c r="P70" s="116">
        <f t="shared" si="23"/>
        <v>0</v>
      </c>
      <c r="Q70" s="119">
        <f t="shared" si="20"/>
        <v>0</v>
      </c>
      <c r="R70" s="120">
        <f t="shared" si="21"/>
        <v>0</v>
      </c>
      <c r="S70" s="121" t="str">
        <f t="shared" si="24"/>
        <v/>
      </c>
    </row>
    <row r="71" collapsed="1">
      <c r="A71" s="142" t="str">
        <f>IFERROR(VLOOKUP(B71,'Статьи'!$A$2:C93,3,0)," ")</f>
        <v> </v>
      </c>
      <c r="B71" s="125"/>
      <c r="C71" s="171"/>
      <c r="D71" s="172"/>
      <c r="E71" s="143"/>
      <c r="F71" s="143"/>
      <c r="G71" s="143"/>
      <c r="H71" s="149"/>
      <c r="I71" s="116">
        <f t="shared" si="22"/>
        <v>0</v>
      </c>
      <c r="J71" s="117"/>
      <c r="K71" s="118"/>
      <c r="L71" s="118"/>
      <c r="M71" s="118"/>
      <c r="N71" s="118"/>
      <c r="O71" s="118"/>
      <c r="P71" s="116">
        <f t="shared" si="23"/>
        <v>0</v>
      </c>
      <c r="Q71" s="119">
        <f t="shared" si="20"/>
        <v>0</v>
      </c>
      <c r="R71" s="120">
        <f t="shared" si="21"/>
        <v>0</v>
      </c>
      <c r="S71" s="121" t="str">
        <f t="shared" si="24"/>
        <v/>
      </c>
    </row>
    <row r="72" hidden="1" outlineLevel="1">
      <c r="A72" s="142" t="str">
        <f>IFERROR(VLOOKUP(B72,'Статьи'!$A$2:C94,3,0)," ")</f>
        <v> </v>
      </c>
      <c r="B72" s="125"/>
      <c r="C72" s="170"/>
      <c r="D72" s="149"/>
      <c r="E72" s="143"/>
      <c r="F72" s="143"/>
      <c r="G72" s="143"/>
      <c r="H72" s="149"/>
      <c r="I72" s="116">
        <f t="shared" si="22"/>
        <v>0</v>
      </c>
      <c r="J72" s="123"/>
      <c r="K72" s="118"/>
      <c r="L72" s="118"/>
      <c r="M72" s="118"/>
      <c r="N72" s="118"/>
      <c r="O72" s="118"/>
      <c r="P72" s="116">
        <f t="shared" si="23"/>
        <v>0</v>
      </c>
      <c r="Q72" s="119">
        <f t="shared" si="20"/>
        <v>0</v>
      </c>
      <c r="R72" s="120">
        <f t="shared" si="21"/>
        <v>0</v>
      </c>
      <c r="S72" s="121" t="str">
        <f t="shared" si="24"/>
        <v/>
      </c>
    </row>
    <row r="73" hidden="1" outlineLevel="1">
      <c r="A73" s="142" t="str">
        <f>IFERROR(VLOOKUP(B73,'Статьи'!$A$2:C95,3,0)," ")</f>
        <v> </v>
      </c>
      <c r="B73" s="125"/>
      <c r="C73" s="170"/>
      <c r="D73" s="149"/>
      <c r="E73" s="143"/>
      <c r="F73" s="143"/>
      <c r="G73" s="143"/>
      <c r="H73" s="149"/>
      <c r="I73" s="116">
        <f t="shared" si="22"/>
        <v>0</v>
      </c>
      <c r="J73" s="123"/>
      <c r="K73" s="118"/>
      <c r="L73" s="118"/>
      <c r="M73" s="118"/>
      <c r="N73" s="118"/>
      <c r="O73" s="118"/>
      <c r="P73" s="116">
        <f t="shared" si="23"/>
        <v>0</v>
      </c>
      <c r="Q73" s="119">
        <f t="shared" si="20"/>
        <v>0</v>
      </c>
      <c r="R73" s="120">
        <f t="shared" si="21"/>
        <v>0</v>
      </c>
      <c r="S73" s="121" t="str">
        <f t="shared" si="24"/>
        <v/>
      </c>
    </row>
    <row r="74" hidden="1" outlineLevel="1">
      <c r="A74" s="142" t="str">
        <f>IFERROR(VLOOKUP(B74,'Статьи'!$A$2:C96,3,0)," ")</f>
        <v> </v>
      </c>
      <c r="B74" s="125"/>
      <c r="C74" s="170"/>
      <c r="D74" s="149"/>
      <c r="E74" s="143"/>
      <c r="F74" s="143"/>
      <c r="G74" s="143"/>
      <c r="H74" s="149"/>
      <c r="I74" s="116">
        <f t="shared" si="22"/>
        <v>0</v>
      </c>
      <c r="J74" s="123"/>
      <c r="K74" s="118"/>
      <c r="L74" s="118"/>
      <c r="M74" s="118"/>
      <c r="N74" s="118"/>
      <c r="O74" s="118"/>
      <c r="P74" s="116">
        <f t="shared" si="23"/>
        <v>0</v>
      </c>
      <c r="Q74" s="119">
        <f t="shared" si="20"/>
        <v>0</v>
      </c>
      <c r="R74" s="120">
        <f t="shared" si="21"/>
        <v>0</v>
      </c>
      <c r="S74" s="121" t="str">
        <f t="shared" si="24"/>
        <v/>
      </c>
    </row>
    <row r="75" hidden="1" outlineLevel="1">
      <c r="A75" s="142" t="str">
        <f>IFERROR(VLOOKUP(B75,'Статьи'!$A$2:C97,3,0)," ")</f>
        <v> </v>
      </c>
      <c r="B75" s="125"/>
      <c r="C75" s="170"/>
      <c r="D75" s="149"/>
      <c r="E75" s="143"/>
      <c r="F75" s="143"/>
      <c r="G75" s="143"/>
      <c r="H75" s="149"/>
      <c r="I75" s="116">
        <f t="shared" si="22"/>
        <v>0</v>
      </c>
      <c r="J75" s="123"/>
      <c r="K75" s="118"/>
      <c r="L75" s="118"/>
      <c r="M75" s="118"/>
      <c r="N75" s="118"/>
      <c r="O75" s="118"/>
      <c r="P75" s="116">
        <f t="shared" si="23"/>
        <v>0</v>
      </c>
      <c r="Q75" s="119">
        <f t="shared" si="20"/>
        <v>0</v>
      </c>
      <c r="R75" s="120">
        <f t="shared" si="21"/>
        <v>0</v>
      </c>
      <c r="S75" s="121" t="str">
        <f t="shared" si="24"/>
        <v/>
      </c>
    </row>
    <row r="76" hidden="1" outlineLevel="1">
      <c r="A76" s="142" t="str">
        <f>IFERROR(VLOOKUP(B76,'Статьи'!$A$2:C98,3,0)," ")</f>
        <v> </v>
      </c>
      <c r="B76" s="125"/>
      <c r="C76" s="173"/>
      <c r="D76" s="143"/>
      <c r="E76" s="149"/>
      <c r="F76" s="143"/>
      <c r="G76" s="143"/>
      <c r="H76" s="143"/>
      <c r="I76" s="116">
        <f t="shared" si="22"/>
        <v>0</v>
      </c>
      <c r="J76" s="123"/>
      <c r="K76" s="118"/>
      <c r="L76" s="118"/>
      <c r="M76" s="118"/>
      <c r="N76" s="118"/>
      <c r="O76" s="118"/>
      <c r="P76" s="116">
        <f t="shared" si="23"/>
        <v>0</v>
      </c>
      <c r="Q76" s="119">
        <f t="shared" si="20"/>
        <v>0</v>
      </c>
      <c r="R76" s="120">
        <f t="shared" si="21"/>
        <v>0</v>
      </c>
      <c r="S76" s="121" t="str">
        <f t="shared" si="24"/>
        <v/>
      </c>
    </row>
    <row r="77" hidden="1" outlineLevel="1">
      <c r="A77" s="142" t="str">
        <f>IFERROR(VLOOKUP(B77,'Статьи'!$A$2:C99,3,0)," ")</f>
        <v> </v>
      </c>
      <c r="B77" s="125"/>
      <c r="C77" s="170"/>
      <c r="D77" s="174"/>
      <c r="E77" s="174"/>
      <c r="F77" s="174"/>
      <c r="G77" s="174"/>
      <c r="H77" s="174"/>
      <c r="I77" s="116">
        <f t="shared" si="22"/>
        <v>0</v>
      </c>
      <c r="J77" s="123"/>
      <c r="K77" s="118"/>
      <c r="L77" s="118"/>
      <c r="M77" s="118"/>
      <c r="N77" s="118"/>
      <c r="O77" s="118"/>
      <c r="P77" s="116">
        <f t="shared" si="23"/>
        <v>0</v>
      </c>
      <c r="Q77" s="119">
        <f t="shared" si="20"/>
        <v>0</v>
      </c>
      <c r="R77" s="120">
        <f t="shared" si="21"/>
        <v>0</v>
      </c>
      <c r="S77" s="121" t="str">
        <f t="shared" si="24"/>
        <v/>
      </c>
    </row>
    <row r="78" hidden="1" outlineLevel="1">
      <c r="A78" s="175" t="str">
        <f>IFERROR(VLOOKUP(B78,'Статьи'!$A$2:C100,3,0)," ")</f>
        <v> </v>
      </c>
      <c r="B78" s="176"/>
      <c r="C78" s="122"/>
      <c r="D78" s="114"/>
      <c r="E78" s="114"/>
      <c r="F78" s="114"/>
      <c r="G78" s="114"/>
      <c r="H78" s="149"/>
      <c r="I78" s="116">
        <f t="shared" si="22"/>
        <v>0</v>
      </c>
      <c r="J78" s="123"/>
      <c r="K78" s="118"/>
      <c r="L78" s="118"/>
      <c r="M78" s="118"/>
      <c r="N78" s="118"/>
      <c r="O78" s="118"/>
      <c r="P78" s="116">
        <f t="shared" si="23"/>
        <v>0</v>
      </c>
      <c r="Q78" s="119">
        <f t="shared" si="20"/>
        <v>0</v>
      </c>
      <c r="R78" s="120">
        <f t="shared" si="21"/>
        <v>0</v>
      </c>
      <c r="S78" s="121" t="str">
        <f t="shared" si="24"/>
        <v/>
      </c>
    </row>
    <row r="79" hidden="1" outlineLevel="1">
      <c r="A79" s="110" t="str">
        <f>IFERROR(VLOOKUP(B79,'Статьи'!$A$2:C101,3,0)," ")</f>
        <v> </v>
      </c>
      <c r="B79" s="111"/>
      <c r="C79" s="122"/>
      <c r="D79" s="115"/>
      <c r="E79" s="115"/>
      <c r="F79" s="115"/>
      <c r="G79" s="115"/>
      <c r="H79" s="115"/>
      <c r="I79" s="116">
        <f t="shared" si="22"/>
        <v>0</v>
      </c>
      <c r="J79" s="123"/>
      <c r="K79" s="118"/>
      <c r="L79" s="118"/>
      <c r="M79" s="118"/>
      <c r="N79" s="118"/>
      <c r="O79" s="118"/>
      <c r="P79" s="116">
        <f t="shared" si="23"/>
        <v>0</v>
      </c>
      <c r="Q79" s="119">
        <f t="shared" si="20"/>
        <v>0</v>
      </c>
      <c r="R79" s="120">
        <f t="shared" si="21"/>
        <v>0</v>
      </c>
      <c r="S79" s="121" t="str">
        <f t="shared" si="24"/>
        <v/>
      </c>
    </row>
    <row r="80" hidden="1" outlineLevel="1">
      <c r="A80" s="110" t="str">
        <f>IFERROR(VLOOKUP(B80,'Статьи'!$A$2:C102,3,0)," ")</f>
        <v> </v>
      </c>
      <c r="B80" s="111"/>
      <c r="C80" s="122"/>
      <c r="D80" s="115"/>
      <c r="E80" s="115"/>
      <c r="F80" s="115"/>
      <c r="G80" s="115"/>
      <c r="H80" s="115"/>
      <c r="I80" s="116">
        <f t="shared" si="22"/>
        <v>0</v>
      </c>
      <c r="J80" s="123"/>
      <c r="K80" s="118"/>
      <c r="L80" s="118"/>
      <c r="M80" s="118"/>
      <c r="N80" s="118"/>
      <c r="O80" s="118"/>
      <c r="P80" s="116">
        <f t="shared" si="23"/>
        <v>0</v>
      </c>
      <c r="Q80" s="119">
        <f t="shared" si="20"/>
        <v>0</v>
      </c>
      <c r="R80" s="120">
        <f t="shared" si="21"/>
        <v>0</v>
      </c>
      <c r="S80" s="121" t="str">
        <f t="shared" si="24"/>
        <v/>
      </c>
    </row>
    <row r="81" hidden="1" outlineLevel="1">
      <c r="A81" s="110" t="str">
        <f>IFERROR(VLOOKUP(B81,'Статьи'!$A$2:C103,3,0)," ")</f>
        <v> </v>
      </c>
      <c r="B81" s="111"/>
      <c r="C81" s="122"/>
      <c r="D81" s="115"/>
      <c r="E81" s="115"/>
      <c r="F81" s="115"/>
      <c r="G81" s="115"/>
      <c r="H81" s="115"/>
      <c r="I81" s="116">
        <f t="shared" si="22"/>
        <v>0</v>
      </c>
      <c r="J81" s="123"/>
      <c r="K81" s="118"/>
      <c r="L81" s="118"/>
      <c r="M81" s="118"/>
      <c r="N81" s="118"/>
      <c r="O81" s="118"/>
      <c r="P81" s="116">
        <f t="shared" si="23"/>
        <v>0</v>
      </c>
      <c r="Q81" s="119">
        <f t="shared" si="20"/>
        <v>0</v>
      </c>
      <c r="R81" s="120">
        <f t="shared" si="21"/>
        <v>0</v>
      </c>
      <c r="S81" s="121" t="str">
        <f t="shared" si="24"/>
        <v/>
      </c>
    </row>
    <row r="82" hidden="1" outlineLevel="1">
      <c r="A82" s="110" t="str">
        <f>IFERROR(VLOOKUP(B82,'Статьи'!$A$2:C104,3,0)," ")</f>
        <v> </v>
      </c>
      <c r="B82" s="111"/>
      <c r="C82" s="122"/>
      <c r="D82" s="115"/>
      <c r="E82" s="115"/>
      <c r="F82" s="115"/>
      <c r="G82" s="115"/>
      <c r="H82" s="115"/>
      <c r="I82" s="116">
        <f t="shared" si="22"/>
        <v>0</v>
      </c>
      <c r="J82" s="123"/>
      <c r="K82" s="118"/>
      <c r="L82" s="118"/>
      <c r="M82" s="118"/>
      <c r="N82" s="118"/>
      <c r="O82" s="118"/>
      <c r="P82" s="116">
        <f t="shared" si="23"/>
        <v>0</v>
      </c>
      <c r="Q82" s="119">
        <f t="shared" si="20"/>
        <v>0</v>
      </c>
      <c r="R82" s="120">
        <f t="shared" si="21"/>
        <v>0</v>
      </c>
      <c r="S82" s="121" t="str">
        <f t="shared" si="24"/>
        <v/>
      </c>
    </row>
    <row r="83" hidden="1" outlineLevel="1">
      <c r="A83" s="110" t="str">
        <f>IFERROR(VLOOKUP(B83,'Статьи'!$A$2:C105,3,0)," ")</f>
        <v> </v>
      </c>
      <c r="B83" s="111"/>
      <c r="C83" s="122"/>
      <c r="D83" s="115"/>
      <c r="E83" s="115"/>
      <c r="F83" s="115"/>
      <c r="G83" s="115"/>
      <c r="H83" s="115"/>
      <c r="I83" s="116">
        <f t="shared" si="22"/>
        <v>0</v>
      </c>
      <c r="J83" s="123"/>
      <c r="K83" s="118"/>
      <c r="L83" s="118"/>
      <c r="M83" s="118"/>
      <c r="N83" s="118"/>
      <c r="O83" s="118"/>
      <c r="P83" s="116">
        <f t="shared" si="23"/>
        <v>0</v>
      </c>
      <c r="Q83" s="119">
        <f t="shared" si="20"/>
        <v>0</v>
      </c>
      <c r="R83" s="120">
        <f t="shared" si="21"/>
        <v>0</v>
      </c>
      <c r="S83" s="121" t="str">
        <f t="shared" si="24"/>
        <v/>
      </c>
    </row>
    <row r="84">
      <c r="A84" s="110" t="str">
        <f>IFERROR(VLOOKUP(B84,'Статьи'!$A$2:C106,3,0)," ")</f>
        <v> </v>
      </c>
      <c r="B84" s="111"/>
      <c r="C84" s="122"/>
      <c r="D84" s="115"/>
      <c r="E84" s="115"/>
      <c r="F84" s="115"/>
      <c r="G84" s="115"/>
      <c r="H84" s="115"/>
      <c r="I84" s="116">
        <f t="shared" si="22"/>
        <v>0</v>
      </c>
      <c r="J84" s="123"/>
      <c r="K84" s="118"/>
      <c r="L84" s="118"/>
      <c r="M84" s="118"/>
      <c r="N84" s="118"/>
      <c r="O84" s="118"/>
      <c r="P84" s="116">
        <f t="shared" si="23"/>
        <v>0</v>
      </c>
      <c r="Q84" s="119">
        <f t="shared" si="20"/>
        <v>0</v>
      </c>
      <c r="R84" s="120">
        <f t="shared" si="21"/>
        <v>0</v>
      </c>
      <c r="S84" s="121" t="str">
        <f t="shared" si="24"/>
        <v/>
      </c>
    </row>
    <row r="85">
      <c r="A85" s="152"/>
      <c r="B85" s="153" t="s">
        <v>138</v>
      </c>
      <c r="C85" s="154">
        <f t="shared" ref="C85:K85" si="25">C55+C58</f>
        <v>8</v>
      </c>
      <c r="D85" s="155">
        <f t="shared" si="25"/>
        <v>0</v>
      </c>
      <c r="E85" s="155">
        <f t="shared" si="25"/>
        <v>0</v>
      </c>
      <c r="F85" s="155">
        <f t="shared" si="25"/>
        <v>0</v>
      </c>
      <c r="G85" s="155">
        <f t="shared" si="25"/>
        <v>0</v>
      </c>
      <c r="H85" s="155">
        <f t="shared" si="25"/>
        <v>0</v>
      </c>
      <c r="I85" s="157">
        <f t="shared" si="25"/>
        <v>8</v>
      </c>
      <c r="J85" s="154">
        <f t="shared" si="25"/>
        <v>0</v>
      </c>
      <c r="K85" s="155">
        <f t="shared" si="25"/>
        <v>0</v>
      </c>
      <c r="L85" s="155"/>
      <c r="M85" s="155"/>
      <c r="N85" s="155"/>
      <c r="O85" s="155"/>
      <c r="P85" s="157">
        <f>P55+P58</f>
        <v>0</v>
      </c>
      <c r="Q85" s="155">
        <f t="shared" si="20"/>
        <v>8</v>
      </c>
      <c r="R85" s="158">
        <f t="shared" si="21"/>
        <v>0</v>
      </c>
      <c r="S85" s="177" t="str">
        <f>IF(Q85=0,"",IF(R85&gt;1,"выполнение","план не выполнен"))</f>
        <v>план не выполнен</v>
      </c>
    </row>
    <row r="86">
      <c r="A86" s="160"/>
      <c r="B86" s="161" t="s">
        <v>139</v>
      </c>
      <c r="C86" s="162">
        <f t="shared" ref="C86:K86" si="26">IFERROR(C85/C$3,"")</f>
        <v>1</v>
      </c>
      <c r="D86" s="163" t="str">
        <f t="shared" si="26"/>
        <v/>
      </c>
      <c r="E86" s="163" t="str">
        <f t="shared" si="26"/>
        <v/>
      </c>
      <c r="F86" s="163" t="str">
        <f t="shared" si="26"/>
        <v/>
      </c>
      <c r="G86" s="163" t="str">
        <f t="shared" si="26"/>
        <v/>
      </c>
      <c r="H86" s="163" t="str">
        <f t="shared" si="26"/>
        <v/>
      </c>
      <c r="I86" s="164">
        <f t="shared" si="26"/>
        <v>1</v>
      </c>
      <c r="J86" s="162" t="str">
        <f t="shared" si="26"/>
        <v/>
      </c>
      <c r="K86" s="163" t="str">
        <f t="shared" si="26"/>
        <v/>
      </c>
      <c r="L86" s="163"/>
      <c r="M86" s="163"/>
      <c r="N86" s="163"/>
      <c r="O86" s="163"/>
      <c r="P86" s="164" t="str">
        <f>IFERROR(P85/P$3,"")</f>
        <v/>
      </c>
      <c r="Q86" s="121"/>
      <c r="R86" s="121"/>
      <c r="S86" s="121" t="str">
        <f t="shared" ref="S86:S87" si="27">IF(Q86=0,"",IF(Q86=0,0,IF(R86&gt;1,"перерасход","экономия")))</f>
        <v/>
      </c>
    </row>
    <row r="87">
      <c r="A87" s="178"/>
      <c r="B87" s="179"/>
      <c r="C87" s="124"/>
      <c r="D87" s="115"/>
      <c r="E87" s="115"/>
      <c r="F87" s="115"/>
      <c r="G87" s="115"/>
      <c r="H87" s="115"/>
      <c r="I87" s="116"/>
      <c r="J87" s="123"/>
      <c r="K87" s="118"/>
      <c r="L87" s="118"/>
      <c r="M87" s="118"/>
      <c r="N87" s="118"/>
      <c r="O87" s="118"/>
      <c r="P87" s="116"/>
      <c r="Q87" s="180"/>
      <c r="R87" s="121"/>
      <c r="S87" s="121" t="str">
        <f t="shared" si="27"/>
        <v/>
      </c>
    </row>
    <row r="88">
      <c r="A88" s="181"/>
      <c r="B88" s="127" t="s">
        <v>140</v>
      </c>
      <c r="C88" s="182">
        <f t="shared" ref="C88:K88" si="28">C101+C132+C89</f>
        <v>0</v>
      </c>
      <c r="D88" s="183">
        <f t="shared" si="28"/>
        <v>0</v>
      </c>
      <c r="E88" s="183">
        <f t="shared" si="28"/>
        <v>0</v>
      </c>
      <c r="F88" s="183">
        <f t="shared" si="28"/>
        <v>0</v>
      </c>
      <c r="G88" s="183">
        <f t="shared" si="28"/>
        <v>0</v>
      </c>
      <c r="H88" s="183">
        <f t="shared" si="28"/>
        <v>0</v>
      </c>
      <c r="I88" s="184">
        <f t="shared" si="28"/>
        <v>0</v>
      </c>
      <c r="J88" s="182">
        <f t="shared" si="28"/>
        <v>0</v>
      </c>
      <c r="K88" s="183">
        <f t="shared" si="28"/>
        <v>0</v>
      </c>
      <c r="L88" s="183"/>
      <c r="M88" s="183"/>
      <c r="N88" s="183"/>
      <c r="O88" s="183"/>
      <c r="P88" s="185">
        <f>P101+P132+P89</f>
        <v>0</v>
      </c>
      <c r="Q88" s="183">
        <f t="shared" ref="Q88:Q142" si="30">I88-P88</f>
        <v>0</v>
      </c>
      <c r="R88" s="186">
        <f t="shared" ref="R88:R142" si="31">IFERROR(I88/P88,0)</f>
        <v>0</v>
      </c>
      <c r="S88" s="134" t="str">
        <f>IF(Q88=0,"",IF(R88&gt;1,"план не выполнен","выполнение"))</f>
        <v/>
      </c>
    </row>
    <row r="89">
      <c r="A89" s="135"/>
      <c r="B89" s="136" t="s">
        <v>141</v>
      </c>
      <c r="C89" s="137">
        <f t="shared" ref="C89:K89" si="29">SUM(C90:C100)</f>
        <v>0</v>
      </c>
      <c r="D89" s="138">
        <f t="shared" si="29"/>
        <v>0</v>
      </c>
      <c r="E89" s="138">
        <f t="shared" si="29"/>
        <v>0</v>
      </c>
      <c r="F89" s="138">
        <f t="shared" si="29"/>
        <v>0</v>
      </c>
      <c r="G89" s="138">
        <f t="shared" si="29"/>
        <v>0</v>
      </c>
      <c r="H89" s="138">
        <f t="shared" si="29"/>
        <v>0</v>
      </c>
      <c r="I89" s="139">
        <f t="shared" si="29"/>
        <v>0</v>
      </c>
      <c r="J89" s="137">
        <f t="shared" si="29"/>
        <v>0</v>
      </c>
      <c r="K89" s="138">
        <f t="shared" si="29"/>
        <v>0</v>
      </c>
      <c r="L89" s="138"/>
      <c r="M89" s="138"/>
      <c r="N89" s="138"/>
      <c r="O89" s="138"/>
      <c r="P89" s="140">
        <f>SUM(P90:P100)</f>
        <v>0</v>
      </c>
      <c r="Q89" s="138">
        <f t="shared" si="30"/>
        <v>0</v>
      </c>
      <c r="R89" s="187">
        <f t="shared" si="31"/>
        <v>0</v>
      </c>
      <c r="S89" s="141" t="str">
        <f>IF(Q89=0,"",IF(Q89=0,0,IF(R89&gt;1,"перерасход","экономия")))</f>
        <v/>
      </c>
    </row>
    <row r="90">
      <c r="A90" s="142" t="str">
        <f>IFERROR(VLOOKUP(B90,'Статьи'!$A$2:C112,3,0)," ")</f>
        <v> </v>
      </c>
      <c r="B90" s="125" t="str">
        <f>IFERROR(__xludf.DUMMYFUNCTION("iferror(filter('Статьи'!$A$1:$A177,'Статьи'!$B$1:$B177=$B$89))"),"")</f>
        <v/>
      </c>
      <c r="C90" s="171"/>
      <c r="D90" s="172"/>
      <c r="E90" s="149"/>
      <c r="F90" s="149"/>
      <c r="G90" s="149"/>
      <c r="H90" s="149"/>
      <c r="I90" s="188">
        <f t="shared" ref="I90:I100" si="32">sum(C90:H90)</f>
        <v>0</v>
      </c>
      <c r="J90" s="170"/>
      <c r="K90" s="149"/>
      <c r="L90" s="149"/>
      <c r="M90" s="149"/>
      <c r="N90" s="149"/>
      <c r="O90" s="149"/>
      <c r="P90" s="188">
        <f t="shared" ref="P90:P94" si="33">SUM(J90:K90)</f>
        <v>0</v>
      </c>
      <c r="Q90" s="132">
        <f t="shared" si="30"/>
        <v>0</v>
      </c>
      <c r="R90" s="133">
        <f t="shared" si="31"/>
        <v>0</v>
      </c>
      <c r="S90" s="121" t="str">
        <f t="shared" ref="S90:S94" si="34">IF(Q90=0,"",IF(R90=0,"обратить внимание",IF(R90&gt;1,"перерасход","экономия")))</f>
        <v/>
      </c>
    </row>
    <row r="91">
      <c r="A91" s="142" t="str">
        <f>IFERROR(VLOOKUP(B91,'Статьи'!$A$2:C113,3,0)," ")</f>
        <v> </v>
      </c>
      <c r="B91" s="125"/>
      <c r="C91" s="171"/>
      <c r="D91" s="172"/>
      <c r="E91" s="149"/>
      <c r="F91" s="149"/>
      <c r="G91" s="149"/>
      <c r="H91" s="149"/>
      <c r="I91" s="188">
        <f t="shared" si="32"/>
        <v>0</v>
      </c>
      <c r="J91" s="189"/>
      <c r="K91" s="149"/>
      <c r="L91" s="149"/>
      <c r="M91" s="149"/>
      <c r="N91" s="149"/>
      <c r="O91" s="149"/>
      <c r="P91" s="188">
        <f t="shared" si="33"/>
        <v>0</v>
      </c>
      <c r="Q91" s="132">
        <f t="shared" si="30"/>
        <v>0</v>
      </c>
      <c r="R91" s="133">
        <f t="shared" si="31"/>
        <v>0</v>
      </c>
      <c r="S91" s="121" t="str">
        <f t="shared" si="34"/>
        <v/>
      </c>
    </row>
    <row r="92">
      <c r="A92" s="142" t="str">
        <f>IFERROR(VLOOKUP(B92,'Статьи'!$A$2:C114,3,0)," ")</f>
        <v> </v>
      </c>
      <c r="B92" s="125"/>
      <c r="C92" s="171"/>
      <c r="D92" s="172"/>
      <c r="E92" s="149"/>
      <c r="F92" s="149"/>
      <c r="G92" s="149"/>
      <c r="H92" s="149"/>
      <c r="I92" s="188">
        <f t="shared" si="32"/>
        <v>0</v>
      </c>
      <c r="J92" s="189"/>
      <c r="K92" s="149"/>
      <c r="L92" s="149"/>
      <c r="M92" s="149"/>
      <c r="N92" s="149"/>
      <c r="O92" s="149"/>
      <c r="P92" s="188">
        <f t="shared" si="33"/>
        <v>0</v>
      </c>
      <c r="Q92" s="132">
        <f t="shared" si="30"/>
        <v>0</v>
      </c>
      <c r="R92" s="133">
        <f t="shared" si="31"/>
        <v>0</v>
      </c>
      <c r="S92" s="121" t="str">
        <f t="shared" si="34"/>
        <v/>
      </c>
    </row>
    <row r="93">
      <c r="A93" s="142" t="str">
        <f>IFERROR(VLOOKUP(B93,'Статьи'!$A$2:C115,3,0)," ")</f>
        <v> </v>
      </c>
      <c r="B93" s="125"/>
      <c r="C93" s="171"/>
      <c r="D93" s="172"/>
      <c r="E93" s="149"/>
      <c r="F93" s="149"/>
      <c r="G93" s="149"/>
      <c r="H93" s="149"/>
      <c r="I93" s="188">
        <f t="shared" si="32"/>
        <v>0</v>
      </c>
      <c r="J93" s="170"/>
      <c r="K93" s="149"/>
      <c r="L93" s="149"/>
      <c r="M93" s="149"/>
      <c r="N93" s="149"/>
      <c r="O93" s="149"/>
      <c r="P93" s="188">
        <f t="shared" si="33"/>
        <v>0</v>
      </c>
      <c r="Q93" s="132">
        <f t="shared" si="30"/>
        <v>0</v>
      </c>
      <c r="R93" s="133">
        <f t="shared" si="31"/>
        <v>0</v>
      </c>
      <c r="S93" s="121" t="str">
        <f t="shared" si="34"/>
        <v/>
      </c>
    </row>
    <row r="94" collapsed="1">
      <c r="A94" s="190" t="str">
        <f>IFERROR(VLOOKUP(B94,'Статьи'!$A$2:C116,3,0)," ")</f>
        <v> </v>
      </c>
      <c r="B94" s="125"/>
      <c r="C94" s="170"/>
      <c r="D94" s="149"/>
      <c r="E94" s="149"/>
      <c r="F94" s="149"/>
      <c r="G94" s="149"/>
      <c r="H94" s="149"/>
      <c r="I94" s="188">
        <f t="shared" si="32"/>
        <v>0</v>
      </c>
      <c r="J94" s="170"/>
      <c r="K94" s="149"/>
      <c r="L94" s="149"/>
      <c r="M94" s="149"/>
      <c r="N94" s="149"/>
      <c r="O94" s="149"/>
      <c r="P94" s="188">
        <f t="shared" si="33"/>
        <v>0</v>
      </c>
      <c r="Q94" s="132">
        <f t="shared" si="30"/>
        <v>0</v>
      </c>
      <c r="R94" s="133">
        <f t="shared" si="31"/>
        <v>0</v>
      </c>
      <c r="S94" s="121" t="str">
        <f t="shared" si="34"/>
        <v/>
      </c>
    </row>
    <row r="95" hidden="1" outlineLevel="1">
      <c r="A95" s="190"/>
      <c r="B95" s="125"/>
      <c r="C95" s="170"/>
      <c r="D95" s="149"/>
      <c r="E95" s="149"/>
      <c r="F95" s="149"/>
      <c r="G95" s="149"/>
      <c r="H95" s="149"/>
      <c r="I95" s="188">
        <f t="shared" si="32"/>
        <v>0</v>
      </c>
      <c r="J95" s="170"/>
      <c r="K95" s="149"/>
      <c r="L95" s="149"/>
      <c r="M95" s="149"/>
      <c r="N95" s="149"/>
      <c r="O95" s="149"/>
      <c r="P95" s="188">
        <f t="shared" ref="P95:P100" si="35">sum(F95:J95)</f>
        <v>0</v>
      </c>
      <c r="Q95" s="132">
        <f t="shared" si="30"/>
        <v>0</v>
      </c>
      <c r="R95" s="133">
        <f t="shared" si="31"/>
        <v>0</v>
      </c>
      <c r="S95" s="121" t="str">
        <f t="shared" ref="S95:S100" si="36">IF(Q95=0,"",IF(Q95=0,0,IF(R95&gt;1,"перерасход","экономия")))</f>
        <v/>
      </c>
    </row>
    <row r="96" hidden="1" outlineLevel="1">
      <c r="A96" s="190"/>
      <c r="B96" s="125"/>
      <c r="C96" s="170"/>
      <c r="D96" s="149"/>
      <c r="E96" s="149"/>
      <c r="F96" s="149"/>
      <c r="G96" s="149"/>
      <c r="H96" s="149"/>
      <c r="I96" s="188">
        <f t="shared" si="32"/>
        <v>0</v>
      </c>
      <c r="J96" s="170"/>
      <c r="K96" s="149"/>
      <c r="L96" s="149"/>
      <c r="M96" s="149"/>
      <c r="N96" s="149"/>
      <c r="O96" s="149"/>
      <c r="P96" s="188">
        <f t="shared" si="35"/>
        <v>0</v>
      </c>
      <c r="Q96" s="132">
        <f t="shared" si="30"/>
        <v>0</v>
      </c>
      <c r="R96" s="133">
        <f t="shared" si="31"/>
        <v>0</v>
      </c>
      <c r="S96" s="121" t="str">
        <f t="shared" si="36"/>
        <v/>
      </c>
    </row>
    <row r="97" hidden="1" outlineLevel="1">
      <c r="A97" s="190"/>
      <c r="B97" s="125"/>
      <c r="C97" s="170"/>
      <c r="D97" s="149"/>
      <c r="E97" s="149"/>
      <c r="F97" s="149"/>
      <c r="G97" s="149"/>
      <c r="H97" s="149"/>
      <c r="I97" s="188">
        <f t="shared" si="32"/>
        <v>0</v>
      </c>
      <c r="J97" s="170"/>
      <c r="K97" s="149"/>
      <c r="L97" s="149"/>
      <c r="M97" s="149"/>
      <c r="N97" s="149"/>
      <c r="O97" s="149"/>
      <c r="P97" s="188">
        <f t="shared" si="35"/>
        <v>0</v>
      </c>
      <c r="Q97" s="132">
        <f t="shared" si="30"/>
        <v>0</v>
      </c>
      <c r="R97" s="133">
        <f t="shared" si="31"/>
        <v>0</v>
      </c>
      <c r="S97" s="121" t="str">
        <f t="shared" si="36"/>
        <v/>
      </c>
    </row>
    <row r="98" hidden="1" outlineLevel="1">
      <c r="A98" s="190"/>
      <c r="B98" s="125"/>
      <c r="C98" s="170"/>
      <c r="D98" s="149"/>
      <c r="E98" s="149"/>
      <c r="F98" s="149"/>
      <c r="G98" s="149"/>
      <c r="H98" s="149"/>
      <c r="I98" s="188">
        <f t="shared" si="32"/>
        <v>0</v>
      </c>
      <c r="J98" s="170"/>
      <c r="K98" s="149"/>
      <c r="L98" s="149"/>
      <c r="M98" s="149"/>
      <c r="N98" s="149"/>
      <c r="O98" s="149"/>
      <c r="P98" s="188">
        <f t="shared" si="35"/>
        <v>0</v>
      </c>
      <c r="Q98" s="132">
        <f t="shared" si="30"/>
        <v>0</v>
      </c>
      <c r="R98" s="133">
        <f t="shared" si="31"/>
        <v>0</v>
      </c>
      <c r="S98" s="121" t="str">
        <f t="shared" si="36"/>
        <v/>
      </c>
    </row>
    <row r="99" hidden="1" outlineLevel="1">
      <c r="A99" s="190"/>
      <c r="B99" s="125"/>
      <c r="C99" s="170"/>
      <c r="D99" s="149"/>
      <c r="E99" s="149"/>
      <c r="F99" s="149"/>
      <c r="G99" s="149"/>
      <c r="H99" s="149"/>
      <c r="I99" s="188">
        <f t="shared" si="32"/>
        <v>0</v>
      </c>
      <c r="J99" s="170"/>
      <c r="K99" s="149"/>
      <c r="L99" s="149"/>
      <c r="M99" s="149"/>
      <c r="N99" s="149"/>
      <c r="O99" s="149"/>
      <c r="P99" s="188">
        <f t="shared" si="35"/>
        <v>0</v>
      </c>
      <c r="Q99" s="132">
        <f t="shared" si="30"/>
        <v>0</v>
      </c>
      <c r="R99" s="133">
        <f t="shared" si="31"/>
        <v>0</v>
      </c>
      <c r="S99" s="121" t="str">
        <f t="shared" si="36"/>
        <v/>
      </c>
    </row>
    <row r="100" hidden="1" outlineLevel="1">
      <c r="A100" s="190"/>
      <c r="B100" s="125"/>
      <c r="C100" s="170"/>
      <c r="D100" s="149"/>
      <c r="E100" s="149"/>
      <c r="F100" s="149"/>
      <c r="G100" s="149"/>
      <c r="H100" s="149"/>
      <c r="I100" s="188">
        <f t="shared" si="32"/>
        <v>0</v>
      </c>
      <c r="J100" s="170"/>
      <c r="K100" s="149"/>
      <c r="L100" s="149"/>
      <c r="M100" s="149"/>
      <c r="N100" s="149"/>
      <c r="O100" s="149"/>
      <c r="P100" s="188">
        <f t="shared" si="35"/>
        <v>0</v>
      </c>
      <c r="Q100" s="132">
        <f t="shared" si="30"/>
        <v>0</v>
      </c>
      <c r="R100" s="133">
        <f t="shared" si="31"/>
        <v>0</v>
      </c>
      <c r="S100" s="121" t="str">
        <f t="shared" si="36"/>
        <v/>
      </c>
    </row>
    <row r="101">
      <c r="A101" s="135"/>
      <c r="B101" s="136" t="s">
        <v>90</v>
      </c>
      <c r="C101" s="137">
        <f t="shared" ref="C101:K101" si="37">SUM(C102:C131)</f>
        <v>0</v>
      </c>
      <c r="D101" s="138">
        <f t="shared" si="37"/>
        <v>0</v>
      </c>
      <c r="E101" s="138">
        <f t="shared" si="37"/>
        <v>0</v>
      </c>
      <c r="F101" s="138">
        <f t="shared" si="37"/>
        <v>0</v>
      </c>
      <c r="G101" s="138">
        <f t="shared" si="37"/>
        <v>0</v>
      </c>
      <c r="H101" s="138">
        <f t="shared" si="37"/>
        <v>0</v>
      </c>
      <c r="I101" s="139">
        <f t="shared" si="37"/>
        <v>0</v>
      </c>
      <c r="J101" s="137">
        <f t="shared" si="37"/>
        <v>0</v>
      </c>
      <c r="K101" s="138">
        <f t="shared" si="37"/>
        <v>0</v>
      </c>
      <c r="L101" s="138"/>
      <c r="M101" s="138"/>
      <c r="N101" s="138"/>
      <c r="O101" s="138"/>
      <c r="P101" s="140">
        <f>SUM(P102:P131)</f>
        <v>0</v>
      </c>
      <c r="Q101" s="138">
        <f t="shared" si="30"/>
        <v>0</v>
      </c>
      <c r="R101" s="187">
        <f t="shared" si="31"/>
        <v>0</v>
      </c>
      <c r="S101" s="141" t="str">
        <f>IF(Q101=0,"",IF(R101&gt;1,"план не выполнен","выполнение"))</f>
        <v/>
      </c>
    </row>
    <row r="102">
      <c r="A102" s="142" t="str">
        <f>IFERROR(VLOOKUP(B102,'Статьи'!$A$2:C124,3,0)," ")</f>
        <v>1С</v>
      </c>
      <c r="B102" s="125" t="str">
        <f>IFERROR(__xludf.DUMMYFUNCTION("iferror(filter('Статьи'!$A$1:$A177,'Статьи'!$B$1:$B177=$B$101))"),"Аренда, коммунальные услуги")</f>
        <v>Аренда, коммунальные услуги</v>
      </c>
      <c r="C102" s="171"/>
      <c r="D102" s="172"/>
      <c r="E102" s="149"/>
      <c r="F102" s="149"/>
      <c r="G102" s="149"/>
      <c r="H102" s="149"/>
      <c r="I102" s="188">
        <f t="shared" ref="I102:I141" si="38">sum(C102:H102)</f>
        <v>0</v>
      </c>
      <c r="J102" s="170"/>
      <c r="K102" s="149"/>
      <c r="L102" s="149"/>
      <c r="M102" s="149"/>
      <c r="N102" s="149"/>
      <c r="O102" s="149"/>
      <c r="P102" s="188">
        <f t="shared" ref="P102:P131" si="39">SUM(J102:K102)</f>
        <v>0</v>
      </c>
      <c r="Q102" s="132">
        <f t="shared" si="30"/>
        <v>0</v>
      </c>
      <c r="R102" s="133">
        <f t="shared" si="31"/>
        <v>0</v>
      </c>
      <c r="S102" s="121" t="str">
        <f t="shared" ref="S102:S131" si="40">IF(Q102=0,"",IF(R102=0,"обратить внимание",IF(R102&gt;1,"перерасход","экономия")))</f>
        <v/>
      </c>
    </row>
    <row r="103">
      <c r="A103" s="191" t="str">
        <f>IFERROR(VLOOKUP(B103,'Статьи'!$A$2:C125,3,0)," ")</f>
        <v>1С</v>
      </c>
      <c r="B103" s="192" t="str">
        <f>IFERROR(__xludf.DUMMYFUNCTION("""COMPUTED_VALUE"""),"Аутсорсинг и прочие услуги")</f>
        <v>Аутсорсинг и прочие услуги</v>
      </c>
      <c r="C103" s="171"/>
      <c r="D103" s="172"/>
      <c r="E103" s="149"/>
      <c r="F103" s="149"/>
      <c r="G103" s="149"/>
      <c r="H103" s="149"/>
      <c r="I103" s="188">
        <f t="shared" si="38"/>
        <v>0</v>
      </c>
      <c r="J103" s="170"/>
      <c r="K103" s="149"/>
      <c r="L103" s="149"/>
      <c r="M103" s="149"/>
      <c r="N103" s="149"/>
      <c r="O103" s="149"/>
      <c r="P103" s="188">
        <f t="shared" si="39"/>
        <v>0</v>
      </c>
      <c r="Q103" s="132">
        <f t="shared" si="30"/>
        <v>0</v>
      </c>
      <c r="R103" s="133">
        <f t="shared" si="31"/>
        <v>0</v>
      </c>
      <c r="S103" s="121" t="str">
        <f t="shared" si="40"/>
        <v/>
      </c>
    </row>
    <row r="104">
      <c r="A104" s="193" t="str">
        <f>IFERROR(VLOOKUP(B104,'Статьи'!$A$2:C126,3,0)," ")</f>
        <v>1С</v>
      </c>
      <c r="B104" s="194" t="str">
        <f>IFERROR(__xludf.DUMMYFUNCTION("""COMPUTED_VALUE"""),"Командировочные расходы")</f>
        <v>Командировочные расходы</v>
      </c>
      <c r="C104" s="171"/>
      <c r="D104" s="172"/>
      <c r="E104" s="149"/>
      <c r="F104" s="149"/>
      <c r="G104" s="149"/>
      <c r="H104" s="149"/>
      <c r="I104" s="188">
        <f t="shared" si="38"/>
        <v>0</v>
      </c>
      <c r="J104" s="170"/>
      <c r="K104" s="149"/>
      <c r="L104" s="149"/>
      <c r="M104" s="149"/>
      <c r="N104" s="149"/>
      <c r="O104" s="149"/>
      <c r="P104" s="188">
        <f t="shared" si="39"/>
        <v>0</v>
      </c>
      <c r="Q104" s="132">
        <f t="shared" si="30"/>
        <v>0</v>
      </c>
      <c r="R104" s="133">
        <f t="shared" si="31"/>
        <v>0</v>
      </c>
      <c r="S104" s="121" t="str">
        <f t="shared" si="40"/>
        <v/>
      </c>
    </row>
    <row r="105">
      <c r="A105" s="195" t="str">
        <f>IFERROR(VLOOKUP(B105,'Статьи'!$A$2:C127,3,0)," ")</f>
        <v>ДДС отчетного месяца. Без НДС!</v>
      </c>
      <c r="B105" s="196" t="str">
        <f>IFERROR(__xludf.DUMMYFUNCTION("""COMPUTED_VALUE"""),"Комиссии банка")</f>
        <v>Комиссии банка</v>
      </c>
      <c r="C105" s="171"/>
      <c r="D105" s="172"/>
      <c r="E105" s="149"/>
      <c r="F105" s="149"/>
      <c r="G105" s="149"/>
      <c r="H105" s="149"/>
      <c r="I105" s="188">
        <f t="shared" si="38"/>
        <v>0</v>
      </c>
      <c r="J105" s="170"/>
      <c r="K105" s="149"/>
      <c r="L105" s="149"/>
      <c r="M105" s="149"/>
      <c r="N105" s="149"/>
      <c r="O105" s="149"/>
      <c r="P105" s="188">
        <f t="shared" si="39"/>
        <v>0</v>
      </c>
      <c r="Q105" s="132">
        <f t="shared" si="30"/>
        <v>0</v>
      </c>
      <c r="R105" s="133">
        <f t="shared" si="31"/>
        <v>0</v>
      </c>
      <c r="S105" s="121" t="str">
        <f t="shared" si="40"/>
        <v/>
      </c>
    </row>
    <row r="106">
      <c r="A106" s="191" t="str">
        <f>IFERROR(VLOOKUP(B106,'Статьи'!$A$2:C128,3,0)," ")</f>
        <v>ДДС отчетного месяца. Без НДС!</v>
      </c>
      <c r="B106" s="192" t="str">
        <f>IFERROR(__xludf.DUMMYFUNCTION("""COMPUTED_VALUE"""),"Обучение сотрудников")</f>
        <v>Обучение сотрудников</v>
      </c>
      <c r="C106" s="171"/>
      <c r="D106" s="172"/>
      <c r="E106" s="149"/>
      <c r="F106" s="149"/>
      <c r="G106" s="149"/>
      <c r="H106" s="149"/>
      <c r="I106" s="188">
        <f t="shared" si="38"/>
        <v>0</v>
      </c>
      <c r="J106" s="170"/>
      <c r="K106" s="149"/>
      <c r="L106" s="149"/>
      <c r="M106" s="149"/>
      <c r="N106" s="149"/>
      <c r="O106" s="149"/>
      <c r="P106" s="188">
        <f t="shared" si="39"/>
        <v>0</v>
      </c>
      <c r="Q106" s="132">
        <f t="shared" si="30"/>
        <v>0</v>
      </c>
      <c r="R106" s="133">
        <f t="shared" si="31"/>
        <v>0</v>
      </c>
      <c r="S106" s="121" t="str">
        <f t="shared" si="40"/>
        <v/>
      </c>
    </row>
    <row r="107">
      <c r="A107" s="142" t="str">
        <f>IFERROR(VLOOKUP(B107,'Статьи'!$A$2:C129,3,0)," ")</f>
        <v>ДДС отчетного месяца. Без НДС!</v>
      </c>
      <c r="B107" s="125" t="str">
        <f>IFERROR(__xludf.DUMMYFUNCTION("""COMPUTED_VALUE"""),"Подбор персонала")</f>
        <v>Подбор персонала</v>
      </c>
      <c r="C107" s="171"/>
      <c r="D107" s="172"/>
      <c r="E107" s="149"/>
      <c r="F107" s="149"/>
      <c r="G107" s="149"/>
      <c r="H107" s="149"/>
      <c r="I107" s="188">
        <f t="shared" si="38"/>
        <v>0</v>
      </c>
      <c r="J107" s="189"/>
      <c r="K107" s="149"/>
      <c r="L107" s="149"/>
      <c r="M107" s="149"/>
      <c r="N107" s="149"/>
      <c r="O107" s="149"/>
      <c r="P107" s="188">
        <f t="shared" si="39"/>
        <v>0</v>
      </c>
      <c r="Q107" s="132">
        <f t="shared" si="30"/>
        <v>0</v>
      </c>
      <c r="R107" s="133">
        <f t="shared" si="31"/>
        <v>0</v>
      </c>
      <c r="S107" s="121" t="str">
        <f t="shared" si="40"/>
        <v/>
      </c>
    </row>
    <row r="108">
      <c r="A108" s="142" t="str">
        <f>IFERROR(VLOOKUP(B108,'Статьи'!$A$2:C130,3,0)," ")</f>
        <v>ДДС отчетного месяца. Без НДС!</v>
      </c>
      <c r="B108" s="125" t="str">
        <f>IFERROR(__xludf.DUMMYFUNCTION("""COMPUTED_VALUE"""),"Почтовые расходы")</f>
        <v>Почтовые расходы</v>
      </c>
      <c r="C108" s="171"/>
      <c r="D108" s="172"/>
      <c r="E108" s="149"/>
      <c r="F108" s="149"/>
      <c r="G108" s="149"/>
      <c r="H108" s="149"/>
      <c r="I108" s="188">
        <f t="shared" si="38"/>
        <v>0</v>
      </c>
      <c r="J108" s="170"/>
      <c r="K108" s="149"/>
      <c r="L108" s="149"/>
      <c r="M108" s="149"/>
      <c r="N108" s="149"/>
      <c r="O108" s="149"/>
      <c r="P108" s="188">
        <f t="shared" si="39"/>
        <v>0</v>
      </c>
      <c r="Q108" s="132">
        <f t="shared" si="30"/>
        <v>0</v>
      </c>
      <c r="R108" s="133">
        <f t="shared" si="31"/>
        <v>0</v>
      </c>
      <c r="S108" s="121" t="str">
        <f t="shared" si="40"/>
        <v/>
      </c>
    </row>
    <row r="109">
      <c r="A109" s="142" t="str">
        <f>IFERROR(VLOOKUP(B109,'Статьи'!$A$2:C131,3,0)," ")</f>
        <v>ДДС отчетного месяца. Без НДС!</v>
      </c>
      <c r="B109" s="125" t="str">
        <f>IFERROR(__xludf.DUMMYFUNCTION("""COMPUTED_VALUE"""),"Представительские расходы")</f>
        <v>Представительские расходы</v>
      </c>
      <c r="C109" s="171"/>
      <c r="D109" s="172"/>
      <c r="E109" s="149"/>
      <c r="F109" s="149"/>
      <c r="G109" s="149"/>
      <c r="H109" s="149"/>
      <c r="I109" s="188">
        <f t="shared" si="38"/>
        <v>0</v>
      </c>
      <c r="J109" s="170"/>
      <c r="K109" s="149"/>
      <c r="L109" s="149"/>
      <c r="M109" s="149"/>
      <c r="N109" s="149"/>
      <c r="O109" s="149"/>
      <c r="P109" s="188">
        <f t="shared" si="39"/>
        <v>0</v>
      </c>
      <c r="Q109" s="132">
        <f t="shared" si="30"/>
        <v>0</v>
      </c>
      <c r="R109" s="133">
        <f t="shared" si="31"/>
        <v>0</v>
      </c>
      <c r="S109" s="121" t="str">
        <f t="shared" si="40"/>
        <v/>
      </c>
    </row>
    <row r="110">
      <c r="A110" s="142" t="str">
        <f>IFERROR(VLOOKUP(B110,'Статьи'!$A$2:C132,3,0)," ")</f>
        <v>ДДС отчетного месяца. Без НДС!</v>
      </c>
      <c r="B110" s="125" t="str">
        <f>IFERROR(__xludf.DUMMYFUNCTION("""COMPUTED_VALUE"""),"Содержание офиса")</f>
        <v>Содержание офиса</v>
      </c>
      <c r="C110" s="171"/>
      <c r="D110" s="172"/>
      <c r="E110" s="149"/>
      <c r="F110" s="149"/>
      <c r="G110" s="149"/>
      <c r="H110" s="149"/>
      <c r="I110" s="188">
        <f t="shared" si="38"/>
        <v>0</v>
      </c>
      <c r="J110" s="189"/>
      <c r="K110" s="149"/>
      <c r="L110" s="149"/>
      <c r="M110" s="149"/>
      <c r="N110" s="149"/>
      <c r="O110" s="149"/>
      <c r="P110" s="188">
        <f t="shared" si="39"/>
        <v>0</v>
      </c>
      <c r="Q110" s="132">
        <f t="shared" si="30"/>
        <v>0</v>
      </c>
      <c r="R110" s="133">
        <f t="shared" si="31"/>
        <v>0</v>
      </c>
      <c r="S110" s="121" t="str">
        <f t="shared" si="40"/>
        <v/>
      </c>
    </row>
    <row r="111">
      <c r="A111" s="142" t="str">
        <f>IFERROR(VLOOKUP(B111,'Статьи'!$A$2:C133,3,0)," ")</f>
        <v>ДДС отчетного месяца. Без НДС!</v>
      </c>
      <c r="B111" s="125" t="str">
        <f>IFERROR(__xludf.DUMMYFUNCTION("""COMPUTED_VALUE"""),"Услуги связи + Интернет")</f>
        <v>Услуги связи + Интернет</v>
      </c>
      <c r="C111" s="171"/>
      <c r="D111" s="172"/>
      <c r="E111" s="149"/>
      <c r="F111" s="149"/>
      <c r="G111" s="149"/>
      <c r="H111" s="149"/>
      <c r="I111" s="188">
        <f t="shared" si="38"/>
        <v>0</v>
      </c>
      <c r="J111" s="189"/>
      <c r="K111" s="149"/>
      <c r="L111" s="149"/>
      <c r="M111" s="149"/>
      <c r="N111" s="149"/>
      <c r="O111" s="149"/>
      <c r="P111" s="188">
        <f t="shared" si="39"/>
        <v>0</v>
      </c>
      <c r="Q111" s="132">
        <f t="shared" si="30"/>
        <v>0</v>
      </c>
      <c r="R111" s="133">
        <f t="shared" si="31"/>
        <v>0</v>
      </c>
      <c r="S111" s="121" t="str">
        <f t="shared" si="40"/>
        <v/>
      </c>
    </row>
    <row r="112">
      <c r="A112" s="142" t="str">
        <f>IFERROR(VLOOKUP(B112,'Статьи'!$A$2:C134,3,0)," ")</f>
        <v>ДДС отчетного месяца. Без НДС!</v>
      </c>
      <c r="B112" s="125" t="str">
        <f>IFERROR(__xludf.DUMMYFUNCTION("""COMPUTED_VALUE"""),"Штрафы")</f>
        <v>Штрафы</v>
      </c>
      <c r="C112" s="171"/>
      <c r="D112" s="172"/>
      <c r="E112" s="149"/>
      <c r="F112" s="149"/>
      <c r="G112" s="149"/>
      <c r="H112" s="149"/>
      <c r="I112" s="188">
        <f t="shared" si="38"/>
        <v>0</v>
      </c>
      <c r="J112" s="189"/>
      <c r="K112" s="149"/>
      <c r="L112" s="149"/>
      <c r="M112" s="149"/>
      <c r="N112" s="149"/>
      <c r="O112" s="149"/>
      <c r="P112" s="188">
        <f t="shared" si="39"/>
        <v>0</v>
      </c>
      <c r="Q112" s="132">
        <f t="shared" si="30"/>
        <v>0</v>
      </c>
      <c r="R112" s="133">
        <f t="shared" si="31"/>
        <v>0</v>
      </c>
      <c r="S112" s="121" t="str">
        <f t="shared" si="40"/>
        <v/>
      </c>
    </row>
    <row r="113" collapsed="1">
      <c r="A113" s="142" t="str">
        <f>IFERROR(VLOOKUP(B113,'Статьи'!$A$2:C135,3,0)," ")</f>
        <v> </v>
      </c>
      <c r="B113" s="125"/>
      <c r="C113" s="197"/>
      <c r="D113" s="149"/>
      <c r="E113" s="149"/>
      <c r="F113" s="149"/>
      <c r="G113" s="149"/>
      <c r="H113" s="149"/>
      <c r="I113" s="188">
        <f t="shared" si="38"/>
        <v>0</v>
      </c>
      <c r="J113" s="189"/>
      <c r="K113" s="149"/>
      <c r="L113" s="149"/>
      <c r="M113" s="149"/>
      <c r="N113" s="149"/>
      <c r="O113" s="149"/>
      <c r="P113" s="188">
        <f t="shared" si="39"/>
        <v>0</v>
      </c>
      <c r="Q113" s="132">
        <f t="shared" si="30"/>
        <v>0</v>
      </c>
      <c r="R113" s="133">
        <f t="shared" si="31"/>
        <v>0</v>
      </c>
      <c r="S113" s="121" t="str">
        <f t="shared" si="40"/>
        <v/>
      </c>
    </row>
    <row r="114" hidden="1" outlineLevel="1">
      <c r="A114" s="142" t="str">
        <f>IFERROR(VLOOKUP(B114,'Статьи'!$A$2:C136,3,0)," ")</f>
        <v> </v>
      </c>
      <c r="B114" s="125"/>
      <c r="C114" s="197"/>
      <c r="D114" s="149"/>
      <c r="E114" s="149"/>
      <c r="F114" s="149"/>
      <c r="G114" s="149"/>
      <c r="H114" s="149"/>
      <c r="I114" s="188">
        <f t="shared" si="38"/>
        <v>0</v>
      </c>
      <c r="J114" s="170"/>
      <c r="K114" s="149"/>
      <c r="L114" s="149"/>
      <c r="M114" s="149"/>
      <c r="N114" s="149"/>
      <c r="O114" s="149"/>
      <c r="P114" s="188">
        <f t="shared" si="39"/>
        <v>0</v>
      </c>
      <c r="Q114" s="132">
        <f t="shared" si="30"/>
        <v>0</v>
      </c>
      <c r="R114" s="133">
        <f t="shared" si="31"/>
        <v>0</v>
      </c>
      <c r="S114" s="121" t="str">
        <f t="shared" si="40"/>
        <v/>
      </c>
    </row>
    <row r="115" hidden="1" outlineLevel="1">
      <c r="A115" s="142" t="str">
        <f>IFERROR(VLOOKUP(B115,'Статьи'!$A$2:C137,3,0)," ")</f>
        <v> </v>
      </c>
      <c r="B115" s="125"/>
      <c r="C115" s="197"/>
      <c r="D115" s="149"/>
      <c r="E115" s="198"/>
      <c r="F115" s="198"/>
      <c r="G115" s="198"/>
      <c r="H115" s="198"/>
      <c r="I115" s="188">
        <f t="shared" si="38"/>
        <v>0</v>
      </c>
      <c r="J115" s="189"/>
      <c r="K115" s="149"/>
      <c r="L115" s="149"/>
      <c r="M115" s="149"/>
      <c r="N115" s="149"/>
      <c r="O115" s="149"/>
      <c r="P115" s="188">
        <f t="shared" si="39"/>
        <v>0</v>
      </c>
      <c r="Q115" s="132">
        <f t="shared" si="30"/>
        <v>0</v>
      </c>
      <c r="R115" s="133">
        <f t="shared" si="31"/>
        <v>0</v>
      </c>
      <c r="S115" s="121" t="str">
        <f t="shared" si="40"/>
        <v/>
      </c>
    </row>
    <row r="116" hidden="1" outlineLevel="1">
      <c r="A116" s="142" t="str">
        <f>IFERROR(VLOOKUP(B116,'Статьи'!$A$2:C138,3,0)," ")</f>
        <v> </v>
      </c>
      <c r="B116" s="125"/>
      <c r="C116" s="197"/>
      <c r="D116" s="149"/>
      <c r="E116" s="149"/>
      <c r="F116" s="149"/>
      <c r="G116" s="149"/>
      <c r="H116" s="149"/>
      <c r="I116" s="188">
        <f t="shared" si="38"/>
        <v>0</v>
      </c>
      <c r="J116" s="189"/>
      <c r="K116" s="149"/>
      <c r="L116" s="149"/>
      <c r="M116" s="149"/>
      <c r="N116" s="149"/>
      <c r="O116" s="149"/>
      <c r="P116" s="188">
        <f t="shared" si="39"/>
        <v>0</v>
      </c>
      <c r="Q116" s="132">
        <f t="shared" si="30"/>
        <v>0</v>
      </c>
      <c r="R116" s="133">
        <f t="shared" si="31"/>
        <v>0</v>
      </c>
      <c r="S116" s="121" t="str">
        <f t="shared" si="40"/>
        <v/>
      </c>
    </row>
    <row r="117" hidden="1" outlineLevel="1">
      <c r="A117" s="142" t="str">
        <f>IFERROR(VLOOKUP(B117,'Статьи'!$A$2:C139,3,0)," ")</f>
        <v> </v>
      </c>
      <c r="B117" s="125"/>
      <c r="C117" s="197"/>
      <c r="D117" s="149"/>
      <c r="E117" s="149"/>
      <c r="F117" s="149"/>
      <c r="G117" s="149"/>
      <c r="H117" s="149"/>
      <c r="I117" s="188">
        <f t="shared" si="38"/>
        <v>0</v>
      </c>
      <c r="J117" s="189"/>
      <c r="K117" s="149"/>
      <c r="L117" s="149"/>
      <c r="M117" s="149"/>
      <c r="N117" s="149"/>
      <c r="O117" s="149"/>
      <c r="P117" s="188">
        <f t="shared" si="39"/>
        <v>0</v>
      </c>
      <c r="Q117" s="132">
        <f t="shared" si="30"/>
        <v>0</v>
      </c>
      <c r="R117" s="133">
        <f t="shared" si="31"/>
        <v>0</v>
      </c>
      <c r="S117" s="121" t="str">
        <f t="shared" si="40"/>
        <v/>
      </c>
    </row>
    <row r="118" hidden="1" outlineLevel="1">
      <c r="A118" s="142" t="str">
        <f>IFERROR(VLOOKUP(B118,'Статьи'!$A$2:C140,3,0)," ")</f>
        <v> </v>
      </c>
      <c r="B118" s="125"/>
      <c r="C118" s="197"/>
      <c r="D118" s="149"/>
      <c r="E118" s="149"/>
      <c r="F118" s="149"/>
      <c r="G118" s="149"/>
      <c r="H118" s="149"/>
      <c r="I118" s="188">
        <f t="shared" si="38"/>
        <v>0</v>
      </c>
      <c r="J118" s="170"/>
      <c r="K118" s="149"/>
      <c r="L118" s="149"/>
      <c r="M118" s="149"/>
      <c r="N118" s="149"/>
      <c r="O118" s="149"/>
      <c r="P118" s="188">
        <f t="shared" si="39"/>
        <v>0</v>
      </c>
      <c r="Q118" s="132">
        <f t="shared" si="30"/>
        <v>0</v>
      </c>
      <c r="R118" s="133">
        <f t="shared" si="31"/>
        <v>0</v>
      </c>
      <c r="S118" s="121" t="str">
        <f t="shared" si="40"/>
        <v/>
      </c>
    </row>
    <row r="119" hidden="1" outlineLevel="1">
      <c r="A119" s="142" t="str">
        <f>IFERROR(VLOOKUP(B119,'Статьи'!$A$2:C141,3,0)," ")</f>
        <v> </v>
      </c>
      <c r="B119" s="125"/>
      <c r="C119" s="197"/>
      <c r="D119" s="149"/>
      <c r="E119" s="149"/>
      <c r="F119" s="149"/>
      <c r="G119" s="149"/>
      <c r="H119" s="149"/>
      <c r="I119" s="188">
        <f t="shared" si="38"/>
        <v>0</v>
      </c>
      <c r="J119" s="189"/>
      <c r="K119" s="149"/>
      <c r="L119" s="149"/>
      <c r="M119" s="149"/>
      <c r="N119" s="149"/>
      <c r="O119" s="149"/>
      <c r="P119" s="188">
        <f t="shared" si="39"/>
        <v>0</v>
      </c>
      <c r="Q119" s="132">
        <f t="shared" si="30"/>
        <v>0</v>
      </c>
      <c r="R119" s="133">
        <f t="shared" si="31"/>
        <v>0</v>
      </c>
      <c r="S119" s="121" t="str">
        <f t="shared" si="40"/>
        <v/>
      </c>
    </row>
    <row r="120" hidden="1" outlineLevel="1">
      <c r="A120" s="142" t="str">
        <f>IFERROR(VLOOKUP(B120,'Статьи'!$A$2:C142,3,0)," ")</f>
        <v> </v>
      </c>
      <c r="B120" s="125"/>
      <c r="C120" s="197"/>
      <c r="D120" s="149"/>
      <c r="E120" s="149"/>
      <c r="F120" s="149"/>
      <c r="G120" s="149"/>
      <c r="H120" s="149"/>
      <c r="I120" s="188">
        <f t="shared" si="38"/>
        <v>0</v>
      </c>
      <c r="J120" s="189"/>
      <c r="K120" s="149"/>
      <c r="L120" s="149"/>
      <c r="M120" s="149"/>
      <c r="N120" s="149"/>
      <c r="O120" s="149"/>
      <c r="P120" s="188">
        <f t="shared" si="39"/>
        <v>0</v>
      </c>
      <c r="Q120" s="132">
        <f t="shared" si="30"/>
        <v>0</v>
      </c>
      <c r="R120" s="133">
        <f t="shared" si="31"/>
        <v>0</v>
      </c>
      <c r="S120" s="121" t="str">
        <f t="shared" si="40"/>
        <v/>
      </c>
    </row>
    <row r="121" hidden="1" outlineLevel="1">
      <c r="A121" s="142" t="str">
        <f>IFERROR(VLOOKUP(B121,'Статьи'!$A$2:C143,3,0)," ")</f>
        <v> </v>
      </c>
      <c r="B121" s="125"/>
      <c r="C121" s="197"/>
      <c r="D121" s="149"/>
      <c r="E121" s="149"/>
      <c r="F121" s="149"/>
      <c r="G121" s="149"/>
      <c r="H121" s="149"/>
      <c r="I121" s="188">
        <f t="shared" si="38"/>
        <v>0</v>
      </c>
      <c r="J121" s="170"/>
      <c r="K121" s="149"/>
      <c r="L121" s="149"/>
      <c r="M121" s="149"/>
      <c r="N121" s="149"/>
      <c r="O121" s="149"/>
      <c r="P121" s="188">
        <f t="shared" si="39"/>
        <v>0</v>
      </c>
      <c r="Q121" s="132">
        <f t="shared" si="30"/>
        <v>0</v>
      </c>
      <c r="R121" s="133">
        <f t="shared" si="31"/>
        <v>0</v>
      </c>
      <c r="S121" s="121" t="str">
        <f t="shared" si="40"/>
        <v/>
      </c>
    </row>
    <row r="122" hidden="1" outlineLevel="1">
      <c r="A122" s="142" t="str">
        <f>IFERROR(VLOOKUP(B122,'Статьи'!$A$2:C144,3,0)," ")</f>
        <v> </v>
      </c>
      <c r="B122" s="125"/>
      <c r="C122" s="197"/>
      <c r="D122" s="149"/>
      <c r="E122" s="149"/>
      <c r="F122" s="149"/>
      <c r="G122" s="149"/>
      <c r="H122" s="149"/>
      <c r="I122" s="188">
        <f t="shared" si="38"/>
        <v>0</v>
      </c>
      <c r="J122" s="189"/>
      <c r="K122" s="149"/>
      <c r="L122" s="149"/>
      <c r="M122" s="149"/>
      <c r="N122" s="149"/>
      <c r="O122" s="149"/>
      <c r="P122" s="188">
        <f t="shared" si="39"/>
        <v>0</v>
      </c>
      <c r="Q122" s="132">
        <f t="shared" si="30"/>
        <v>0</v>
      </c>
      <c r="R122" s="133">
        <f t="shared" si="31"/>
        <v>0</v>
      </c>
      <c r="S122" s="121" t="str">
        <f t="shared" si="40"/>
        <v/>
      </c>
    </row>
    <row r="123" hidden="1" outlineLevel="1">
      <c r="A123" s="142" t="str">
        <f>IFERROR(VLOOKUP(B123,'Статьи'!$A$2:C145,3,0)," ")</f>
        <v> </v>
      </c>
      <c r="B123" s="125"/>
      <c r="C123" s="197"/>
      <c r="D123" s="149"/>
      <c r="E123" s="149"/>
      <c r="F123" s="149"/>
      <c r="G123" s="149"/>
      <c r="H123" s="149"/>
      <c r="I123" s="188">
        <f t="shared" si="38"/>
        <v>0</v>
      </c>
      <c r="J123" s="170"/>
      <c r="K123" s="149"/>
      <c r="L123" s="149"/>
      <c r="M123" s="149"/>
      <c r="N123" s="149"/>
      <c r="O123" s="149"/>
      <c r="P123" s="188">
        <f t="shared" si="39"/>
        <v>0</v>
      </c>
      <c r="Q123" s="132">
        <f t="shared" si="30"/>
        <v>0</v>
      </c>
      <c r="R123" s="133">
        <f t="shared" si="31"/>
        <v>0</v>
      </c>
      <c r="S123" s="121" t="str">
        <f t="shared" si="40"/>
        <v/>
      </c>
    </row>
    <row r="124" hidden="1" outlineLevel="1">
      <c r="A124" s="142" t="str">
        <f>IFERROR(VLOOKUP(B124,'Статьи'!$A$2:C146,3,0)," ")</f>
        <v> </v>
      </c>
      <c r="B124" s="125"/>
      <c r="C124" s="170"/>
      <c r="D124" s="149"/>
      <c r="E124" s="149"/>
      <c r="F124" s="149"/>
      <c r="G124" s="149"/>
      <c r="H124" s="149"/>
      <c r="I124" s="188">
        <f t="shared" si="38"/>
        <v>0</v>
      </c>
      <c r="J124" s="170"/>
      <c r="K124" s="149"/>
      <c r="L124" s="149"/>
      <c r="M124" s="149"/>
      <c r="N124" s="149"/>
      <c r="O124" s="149"/>
      <c r="P124" s="188">
        <f t="shared" si="39"/>
        <v>0</v>
      </c>
      <c r="Q124" s="132">
        <f t="shared" si="30"/>
        <v>0</v>
      </c>
      <c r="R124" s="133">
        <f t="shared" si="31"/>
        <v>0</v>
      </c>
      <c r="S124" s="121" t="str">
        <f t="shared" si="40"/>
        <v/>
      </c>
    </row>
    <row r="125" hidden="1" outlineLevel="1">
      <c r="A125" s="142" t="str">
        <f>IFERROR(VLOOKUP(B125,'Статьи'!$A$2:C147,3,0)," ")</f>
        <v> </v>
      </c>
      <c r="B125" s="125"/>
      <c r="C125" s="170"/>
      <c r="D125" s="149"/>
      <c r="E125" s="149"/>
      <c r="F125" s="149"/>
      <c r="G125" s="149"/>
      <c r="H125" s="149"/>
      <c r="I125" s="188">
        <f t="shared" si="38"/>
        <v>0</v>
      </c>
      <c r="J125" s="170"/>
      <c r="K125" s="149"/>
      <c r="L125" s="149"/>
      <c r="M125" s="149"/>
      <c r="N125" s="149"/>
      <c r="O125" s="149"/>
      <c r="P125" s="188">
        <f t="shared" si="39"/>
        <v>0</v>
      </c>
      <c r="Q125" s="132">
        <f t="shared" si="30"/>
        <v>0</v>
      </c>
      <c r="R125" s="133">
        <f t="shared" si="31"/>
        <v>0</v>
      </c>
      <c r="S125" s="121" t="str">
        <f t="shared" si="40"/>
        <v/>
      </c>
    </row>
    <row r="126" hidden="1" outlineLevel="1">
      <c r="A126" s="142" t="str">
        <f>IFERROR(VLOOKUP(B126,'Статьи'!$A$2:C148,3,0)," ")</f>
        <v> </v>
      </c>
      <c r="B126" s="125"/>
      <c r="C126" s="170"/>
      <c r="D126" s="149"/>
      <c r="E126" s="149"/>
      <c r="F126" s="149"/>
      <c r="G126" s="149"/>
      <c r="H126" s="149"/>
      <c r="I126" s="188">
        <f t="shared" si="38"/>
        <v>0</v>
      </c>
      <c r="J126" s="170"/>
      <c r="K126" s="149"/>
      <c r="L126" s="149"/>
      <c r="M126" s="149"/>
      <c r="N126" s="149"/>
      <c r="O126" s="149"/>
      <c r="P126" s="188">
        <f t="shared" si="39"/>
        <v>0</v>
      </c>
      <c r="Q126" s="132">
        <f t="shared" si="30"/>
        <v>0</v>
      </c>
      <c r="R126" s="133">
        <f t="shared" si="31"/>
        <v>0</v>
      </c>
      <c r="S126" s="121" t="str">
        <f t="shared" si="40"/>
        <v/>
      </c>
    </row>
    <row r="127" hidden="1" outlineLevel="1">
      <c r="A127" s="142" t="str">
        <f>IFERROR(VLOOKUP(B127,'Статьи'!$A$2:C149,3,0)," ")</f>
        <v> </v>
      </c>
      <c r="B127" s="125"/>
      <c r="C127" s="170"/>
      <c r="D127" s="149"/>
      <c r="E127" s="149"/>
      <c r="F127" s="149"/>
      <c r="G127" s="149"/>
      <c r="H127" s="149"/>
      <c r="I127" s="188">
        <f t="shared" si="38"/>
        <v>0</v>
      </c>
      <c r="J127" s="170"/>
      <c r="K127" s="149"/>
      <c r="L127" s="149"/>
      <c r="M127" s="149"/>
      <c r="N127" s="149"/>
      <c r="O127" s="149"/>
      <c r="P127" s="188">
        <f t="shared" si="39"/>
        <v>0</v>
      </c>
      <c r="Q127" s="132">
        <f t="shared" si="30"/>
        <v>0</v>
      </c>
      <c r="R127" s="133">
        <f t="shared" si="31"/>
        <v>0</v>
      </c>
      <c r="S127" s="121" t="str">
        <f t="shared" si="40"/>
        <v/>
      </c>
    </row>
    <row r="128" hidden="1" outlineLevel="1">
      <c r="A128" s="142" t="str">
        <f>IFERROR(VLOOKUP(B128,'Статьи'!$A$2:C150,3,0)," ")</f>
        <v> </v>
      </c>
      <c r="B128" s="125"/>
      <c r="C128" s="170"/>
      <c r="D128" s="149"/>
      <c r="E128" s="149"/>
      <c r="F128" s="149"/>
      <c r="G128" s="149"/>
      <c r="H128" s="149"/>
      <c r="I128" s="188">
        <f t="shared" si="38"/>
        <v>0</v>
      </c>
      <c r="J128" s="170"/>
      <c r="K128" s="149"/>
      <c r="L128" s="149"/>
      <c r="M128" s="149"/>
      <c r="N128" s="149"/>
      <c r="O128" s="149"/>
      <c r="P128" s="188">
        <f t="shared" si="39"/>
        <v>0</v>
      </c>
      <c r="Q128" s="132">
        <f t="shared" si="30"/>
        <v>0</v>
      </c>
      <c r="R128" s="133">
        <f t="shared" si="31"/>
        <v>0</v>
      </c>
      <c r="S128" s="121" t="str">
        <f t="shared" si="40"/>
        <v/>
      </c>
    </row>
    <row r="129" hidden="1" outlineLevel="1">
      <c r="A129" s="142" t="str">
        <f>IFERROR(VLOOKUP(B129,'Статьи'!$A$2:C151,3,0)," ")</f>
        <v> </v>
      </c>
      <c r="B129" s="125"/>
      <c r="C129" s="170"/>
      <c r="D129" s="149"/>
      <c r="E129" s="149"/>
      <c r="F129" s="149"/>
      <c r="G129" s="149"/>
      <c r="H129" s="149"/>
      <c r="I129" s="188">
        <f t="shared" si="38"/>
        <v>0</v>
      </c>
      <c r="J129" s="170"/>
      <c r="K129" s="149"/>
      <c r="L129" s="149"/>
      <c r="M129" s="149"/>
      <c r="N129" s="149"/>
      <c r="O129" s="149"/>
      <c r="P129" s="188">
        <f t="shared" si="39"/>
        <v>0</v>
      </c>
      <c r="Q129" s="132">
        <f t="shared" si="30"/>
        <v>0</v>
      </c>
      <c r="R129" s="133">
        <f t="shared" si="31"/>
        <v>0</v>
      </c>
      <c r="S129" s="121" t="str">
        <f t="shared" si="40"/>
        <v/>
      </c>
    </row>
    <row r="130" hidden="1" outlineLevel="1">
      <c r="A130" s="142" t="str">
        <f>IFERROR(VLOOKUP(B130,'Статьи'!$A$2:C152,3,0)," ")</f>
        <v> </v>
      </c>
      <c r="B130" s="125"/>
      <c r="C130" s="170"/>
      <c r="D130" s="149"/>
      <c r="E130" s="149"/>
      <c r="F130" s="149"/>
      <c r="G130" s="149"/>
      <c r="H130" s="149"/>
      <c r="I130" s="188">
        <f t="shared" si="38"/>
        <v>0</v>
      </c>
      <c r="J130" s="170"/>
      <c r="K130" s="149"/>
      <c r="L130" s="149"/>
      <c r="M130" s="149"/>
      <c r="N130" s="149"/>
      <c r="O130" s="149"/>
      <c r="P130" s="188">
        <f t="shared" si="39"/>
        <v>0</v>
      </c>
      <c r="Q130" s="132">
        <f t="shared" si="30"/>
        <v>0</v>
      </c>
      <c r="R130" s="133">
        <f t="shared" si="31"/>
        <v>0</v>
      </c>
      <c r="S130" s="121" t="str">
        <f t="shared" si="40"/>
        <v/>
      </c>
    </row>
    <row r="131">
      <c r="A131" s="142" t="str">
        <f>IFERROR(VLOOKUP(B131,'Статьи'!$A$2:C153,3,0)," ")</f>
        <v> </v>
      </c>
      <c r="B131" s="125"/>
      <c r="C131" s="170"/>
      <c r="D131" s="149"/>
      <c r="E131" s="149"/>
      <c r="F131" s="149"/>
      <c r="G131" s="149"/>
      <c r="H131" s="149"/>
      <c r="I131" s="188">
        <f t="shared" si="38"/>
        <v>0</v>
      </c>
      <c r="J131" s="170"/>
      <c r="K131" s="149"/>
      <c r="L131" s="149"/>
      <c r="M131" s="149"/>
      <c r="N131" s="149"/>
      <c r="O131" s="149"/>
      <c r="P131" s="188">
        <f t="shared" si="39"/>
        <v>0</v>
      </c>
      <c r="Q131" s="132">
        <f t="shared" si="30"/>
        <v>0</v>
      </c>
      <c r="R131" s="133">
        <f t="shared" si="31"/>
        <v>0</v>
      </c>
      <c r="S131" s="121" t="str">
        <f t="shared" si="40"/>
        <v/>
      </c>
    </row>
    <row r="132">
      <c r="A132" s="135"/>
      <c r="B132" s="136" t="s">
        <v>107</v>
      </c>
      <c r="C132" s="137">
        <f t="shared" ref="C132:H132" si="41">SUM(C133:C141)</f>
        <v>0</v>
      </c>
      <c r="D132" s="138">
        <f t="shared" si="41"/>
        <v>0</v>
      </c>
      <c r="E132" s="138">
        <f t="shared" si="41"/>
        <v>0</v>
      </c>
      <c r="F132" s="138">
        <f t="shared" si="41"/>
        <v>0</v>
      </c>
      <c r="G132" s="138">
        <f t="shared" si="41"/>
        <v>0</v>
      </c>
      <c r="H132" s="138">
        <f t="shared" si="41"/>
        <v>0</v>
      </c>
      <c r="I132" s="139">
        <f t="shared" si="38"/>
        <v>0</v>
      </c>
      <c r="J132" s="137">
        <f t="shared" ref="J132:P132" si="42">SUM(J133:J141)</f>
        <v>0</v>
      </c>
      <c r="K132" s="138">
        <f t="shared" si="42"/>
        <v>0</v>
      </c>
      <c r="L132" s="138">
        <f t="shared" si="42"/>
        <v>0</v>
      </c>
      <c r="M132" s="138">
        <f t="shared" si="42"/>
        <v>0</v>
      </c>
      <c r="N132" s="138">
        <f t="shared" si="42"/>
        <v>0</v>
      </c>
      <c r="O132" s="138">
        <f t="shared" si="42"/>
        <v>0</v>
      </c>
      <c r="P132" s="140">
        <f t="shared" si="42"/>
        <v>0</v>
      </c>
      <c r="Q132" s="138">
        <f t="shared" si="30"/>
        <v>0</v>
      </c>
      <c r="R132" s="187">
        <f t="shared" si="31"/>
        <v>0</v>
      </c>
      <c r="S132" s="229" t="str">
        <f>IF(Q132=0,"",IF(R132&gt;1,"план не выполнен","выполнение"))</f>
        <v/>
      </c>
    </row>
    <row r="133" collapsed="1">
      <c r="A133" s="142" t="str">
        <f>IFERROR(VLOOKUP(B133,'Статьи'!$A$2:C155,3,0)," ")</f>
        <v>ДДС отчетного месяца. Без НДС!</v>
      </c>
      <c r="B133" s="125" t="str">
        <f>IFERROR(__xludf.DUMMYFUNCTION("iferror(filter('Статьи'!$A$1:$A177,'Статьи'!$B$1:$B177=$B$132))"),"Подписка на сайты по поиску клиентов")</f>
        <v>Подписка на сайты по поиску клиентов</v>
      </c>
      <c r="C133" s="170"/>
      <c r="D133" s="149"/>
      <c r="E133" s="149"/>
      <c r="F133" s="149"/>
      <c r="G133" s="149"/>
      <c r="H133" s="149"/>
      <c r="I133" s="188">
        <f t="shared" si="38"/>
        <v>0</v>
      </c>
      <c r="J133" s="170"/>
      <c r="K133" s="149"/>
      <c r="L133" s="149"/>
      <c r="M133" s="149"/>
      <c r="N133" s="149"/>
      <c r="O133" s="149"/>
      <c r="P133" s="188">
        <f t="shared" ref="P133:P140" si="43">SUM(J133:K133)</f>
        <v>0</v>
      </c>
      <c r="Q133" s="132">
        <f t="shared" si="30"/>
        <v>0</v>
      </c>
      <c r="R133" s="133">
        <f t="shared" si="31"/>
        <v>0</v>
      </c>
      <c r="S133" s="121" t="str">
        <f t="shared" ref="S133:S141" si="44">IF(Q133=0,"",IF(R133=0,"обратить внимание",IF(R133&gt;1,"перерасход","экономия")))</f>
        <v/>
      </c>
    </row>
    <row r="134" hidden="1" outlineLevel="1">
      <c r="A134" s="142" t="str">
        <f>IFERROR(VLOOKUP(B134,'Статьи'!$A$2:C156,3,0)," ")</f>
        <v> </v>
      </c>
      <c r="B134" s="125"/>
      <c r="C134" s="170"/>
      <c r="D134" s="149"/>
      <c r="E134" s="149"/>
      <c r="F134" s="149"/>
      <c r="G134" s="149"/>
      <c r="H134" s="149"/>
      <c r="I134" s="188">
        <f t="shared" si="38"/>
        <v>0</v>
      </c>
      <c r="J134" s="170"/>
      <c r="K134" s="149"/>
      <c r="L134" s="149"/>
      <c r="M134" s="149"/>
      <c r="N134" s="149"/>
      <c r="O134" s="149"/>
      <c r="P134" s="188">
        <f t="shared" si="43"/>
        <v>0</v>
      </c>
      <c r="Q134" s="132">
        <f t="shared" si="30"/>
        <v>0</v>
      </c>
      <c r="R134" s="133">
        <f t="shared" si="31"/>
        <v>0</v>
      </c>
      <c r="S134" s="121" t="str">
        <f t="shared" si="44"/>
        <v/>
      </c>
    </row>
    <row r="135" hidden="1" outlineLevel="1">
      <c r="A135" s="175" t="str">
        <f>IFERROR(VLOOKUP(B135,'Статьи'!$A$2:C157,3,0)," ")</f>
        <v> </v>
      </c>
      <c r="B135" s="175"/>
      <c r="C135" s="170"/>
      <c r="D135" s="149"/>
      <c r="E135" s="149"/>
      <c r="F135" s="149"/>
      <c r="G135" s="149"/>
      <c r="H135" s="149"/>
      <c r="I135" s="188">
        <f t="shared" si="38"/>
        <v>0</v>
      </c>
      <c r="J135" s="170"/>
      <c r="K135" s="149"/>
      <c r="L135" s="149"/>
      <c r="M135" s="149"/>
      <c r="N135" s="149"/>
      <c r="O135" s="149"/>
      <c r="P135" s="188">
        <f t="shared" si="43"/>
        <v>0</v>
      </c>
      <c r="Q135" s="132">
        <f t="shared" si="30"/>
        <v>0</v>
      </c>
      <c r="R135" s="133">
        <f t="shared" si="31"/>
        <v>0</v>
      </c>
      <c r="S135" s="121" t="str">
        <f t="shared" si="44"/>
        <v/>
      </c>
    </row>
    <row r="136" hidden="1" outlineLevel="1">
      <c r="A136" s="175" t="str">
        <f>IFERROR(VLOOKUP(B136,'Статьи'!$A$2:C158,3,0)," ")</f>
        <v> </v>
      </c>
      <c r="B136" s="175"/>
      <c r="C136" s="170"/>
      <c r="D136" s="149"/>
      <c r="E136" s="149"/>
      <c r="F136" s="149"/>
      <c r="G136" s="149"/>
      <c r="H136" s="149"/>
      <c r="I136" s="188">
        <f t="shared" si="38"/>
        <v>0</v>
      </c>
      <c r="J136" s="170"/>
      <c r="K136" s="149"/>
      <c r="L136" s="149"/>
      <c r="M136" s="149"/>
      <c r="N136" s="149"/>
      <c r="O136" s="149"/>
      <c r="P136" s="188">
        <f t="shared" si="43"/>
        <v>0</v>
      </c>
      <c r="Q136" s="132">
        <f t="shared" si="30"/>
        <v>0</v>
      </c>
      <c r="R136" s="133">
        <f t="shared" si="31"/>
        <v>0</v>
      </c>
      <c r="S136" s="121" t="str">
        <f t="shared" si="44"/>
        <v/>
      </c>
    </row>
    <row r="137" hidden="1" outlineLevel="1">
      <c r="A137" s="175" t="str">
        <f>IFERROR(VLOOKUP(B137,'Статьи'!$A$2:C159,3,0)," ")</f>
        <v> </v>
      </c>
      <c r="B137" s="175"/>
      <c r="C137" s="170"/>
      <c r="D137" s="149"/>
      <c r="E137" s="149"/>
      <c r="F137" s="149"/>
      <c r="G137" s="149"/>
      <c r="H137" s="149"/>
      <c r="I137" s="188">
        <f t="shared" si="38"/>
        <v>0</v>
      </c>
      <c r="J137" s="170"/>
      <c r="K137" s="149"/>
      <c r="L137" s="149"/>
      <c r="M137" s="149"/>
      <c r="N137" s="149"/>
      <c r="O137" s="149"/>
      <c r="P137" s="188">
        <f t="shared" si="43"/>
        <v>0</v>
      </c>
      <c r="Q137" s="132">
        <f t="shared" si="30"/>
        <v>0</v>
      </c>
      <c r="R137" s="133">
        <f t="shared" si="31"/>
        <v>0</v>
      </c>
      <c r="S137" s="121" t="str">
        <f t="shared" si="44"/>
        <v/>
      </c>
    </row>
    <row r="138" hidden="1" outlineLevel="1">
      <c r="A138" s="175" t="str">
        <f>IFERROR(VLOOKUP(B138,'Статьи'!$A$2:C160,3,0)," ")</f>
        <v> </v>
      </c>
      <c r="B138" s="175"/>
      <c r="C138" s="170"/>
      <c r="D138" s="149"/>
      <c r="E138" s="149"/>
      <c r="F138" s="149"/>
      <c r="G138" s="149"/>
      <c r="H138" s="149"/>
      <c r="I138" s="188">
        <f t="shared" si="38"/>
        <v>0</v>
      </c>
      <c r="J138" s="170"/>
      <c r="K138" s="149"/>
      <c r="L138" s="149"/>
      <c r="M138" s="149"/>
      <c r="N138" s="149"/>
      <c r="O138" s="149"/>
      <c r="P138" s="188">
        <f t="shared" si="43"/>
        <v>0</v>
      </c>
      <c r="Q138" s="132">
        <f t="shared" si="30"/>
        <v>0</v>
      </c>
      <c r="R138" s="133">
        <f t="shared" si="31"/>
        <v>0</v>
      </c>
      <c r="S138" s="121" t="str">
        <f t="shared" si="44"/>
        <v/>
      </c>
    </row>
    <row r="139" hidden="1" outlineLevel="1">
      <c r="A139" s="175" t="str">
        <f>IFERROR(VLOOKUP(B139,'Статьи'!$A$2:C161,3,0)," ")</f>
        <v> </v>
      </c>
      <c r="B139" s="175"/>
      <c r="C139" s="170"/>
      <c r="D139" s="149"/>
      <c r="E139" s="149"/>
      <c r="F139" s="149"/>
      <c r="G139" s="149"/>
      <c r="H139" s="149"/>
      <c r="I139" s="188">
        <f t="shared" si="38"/>
        <v>0</v>
      </c>
      <c r="J139" s="170"/>
      <c r="K139" s="149"/>
      <c r="L139" s="149"/>
      <c r="M139" s="149"/>
      <c r="N139" s="149"/>
      <c r="O139" s="149"/>
      <c r="P139" s="188">
        <f t="shared" si="43"/>
        <v>0</v>
      </c>
      <c r="Q139" s="132">
        <f t="shared" si="30"/>
        <v>0</v>
      </c>
      <c r="R139" s="133">
        <f t="shared" si="31"/>
        <v>0</v>
      </c>
      <c r="S139" s="121" t="str">
        <f t="shared" si="44"/>
        <v/>
      </c>
    </row>
    <row r="140" hidden="1" outlineLevel="1">
      <c r="A140" s="175" t="str">
        <f>IFERROR(VLOOKUP(B140,'Статьи'!$A$2:C162,3,0)," ")</f>
        <v> </v>
      </c>
      <c r="B140" s="175"/>
      <c r="C140" s="170"/>
      <c r="D140" s="149"/>
      <c r="E140" s="149"/>
      <c r="F140" s="149"/>
      <c r="G140" s="149"/>
      <c r="H140" s="149"/>
      <c r="I140" s="188">
        <f t="shared" si="38"/>
        <v>0</v>
      </c>
      <c r="J140" s="170"/>
      <c r="K140" s="149"/>
      <c r="L140" s="149"/>
      <c r="M140" s="149"/>
      <c r="N140" s="149"/>
      <c r="O140" s="149"/>
      <c r="P140" s="188">
        <f t="shared" si="43"/>
        <v>0</v>
      </c>
      <c r="Q140" s="132">
        <f t="shared" si="30"/>
        <v>0</v>
      </c>
      <c r="R140" s="133">
        <f t="shared" si="31"/>
        <v>0</v>
      </c>
      <c r="S140" s="121" t="str">
        <f t="shared" si="44"/>
        <v/>
      </c>
    </row>
    <row r="141">
      <c r="A141" s="175" t="str">
        <f>IFERROR(VLOOKUP(B141,'Статьи'!$A$2:C163,3,0)," ")</f>
        <v> </v>
      </c>
      <c r="B141" s="175"/>
      <c r="C141" s="170"/>
      <c r="D141" s="149"/>
      <c r="E141" s="149"/>
      <c r="F141" s="149"/>
      <c r="G141" s="149"/>
      <c r="H141" s="149"/>
      <c r="I141" s="188">
        <f t="shared" si="38"/>
        <v>0</v>
      </c>
      <c r="J141" s="170"/>
      <c r="K141" s="149"/>
      <c r="L141" s="149"/>
      <c r="M141" s="149"/>
      <c r="N141" s="149"/>
      <c r="O141" s="149"/>
      <c r="P141" s="188">
        <f>sum(F141:J141)</f>
        <v>0</v>
      </c>
      <c r="Q141" s="132">
        <f t="shared" si="30"/>
        <v>0</v>
      </c>
      <c r="R141" s="133">
        <f t="shared" si="31"/>
        <v>0</v>
      </c>
      <c r="S141" s="121" t="str">
        <f t="shared" si="44"/>
        <v/>
      </c>
    </row>
    <row r="142">
      <c r="A142" s="152"/>
      <c r="B142" s="153" t="s">
        <v>142</v>
      </c>
      <c r="C142" s="154">
        <f t="shared" ref="C142:K142" si="45">C85+C88</f>
        <v>8</v>
      </c>
      <c r="D142" s="155">
        <f t="shared" si="45"/>
        <v>0</v>
      </c>
      <c r="E142" s="155">
        <f t="shared" si="45"/>
        <v>0</v>
      </c>
      <c r="F142" s="155">
        <f t="shared" si="45"/>
        <v>0</v>
      </c>
      <c r="G142" s="155">
        <f t="shared" si="45"/>
        <v>0</v>
      </c>
      <c r="H142" s="155">
        <f t="shared" si="45"/>
        <v>0</v>
      </c>
      <c r="I142" s="157">
        <f t="shared" si="45"/>
        <v>8</v>
      </c>
      <c r="J142" s="154">
        <f t="shared" si="45"/>
        <v>0</v>
      </c>
      <c r="K142" s="155">
        <f t="shared" si="45"/>
        <v>0</v>
      </c>
      <c r="L142" s="155"/>
      <c r="M142" s="155"/>
      <c r="N142" s="155"/>
      <c r="O142" s="155"/>
      <c r="P142" s="157">
        <f>P85+P88</f>
        <v>0</v>
      </c>
      <c r="Q142" s="155">
        <f t="shared" si="30"/>
        <v>8</v>
      </c>
      <c r="R142" s="158">
        <f t="shared" si="31"/>
        <v>0</v>
      </c>
      <c r="S142" s="159" t="str">
        <f>IF(Q142=0,"",IF(R142&gt;1,"выполнение","план не выполнен"))</f>
        <v>план не выполнен</v>
      </c>
    </row>
    <row r="143">
      <c r="A143" s="160"/>
      <c r="B143" s="161" t="s">
        <v>143</v>
      </c>
      <c r="C143" s="162">
        <f t="shared" ref="C143:K143" si="46">IFERROR(C142/C$3,"")</f>
        <v>1</v>
      </c>
      <c r="D143" s="163" t="str">
        <f t="shared" si="46"/>
        <v/>
      </c>
      <c r="E143" s="163" t="str">
        <f t="shared" si="46"/>
        <v/>
      </c>
      <c r="F143" s="163" t="str">
        <f t="shared" si="46"/>
        <v/>
      </c>
      <c r="G143" s="163" t="str">
        <f t="shared" si="46"/>
        <v/>
      </c>
      <c r="H143" s="163" t="str">
        <f t="shared" si="46"/>
        <v/>
      </c>
      <c r="I143" s="164">
        <f t="shared" si="46"/>
        <v>1</v>
      </c>
      <c r="J143" s="162" t="str">
        <f t="shared" si="46"/>
        <v/>
      </c>
      <c r="K143" s="163" t="str">
        <f t="shared" si="46"/>
        <v/>
      </c>
      <c r="L143" s="163"/>
      <c r="M143" s="163"/>
      <c r="N143" s="163"/>
      <c r="O143" s="163"/>
      <c r="P143" s="164" t="str">
        <f>IFERROR(P142/P$3,"")</f>
        <v/>
      </c>
      <c r="Q143" s="133"/>
      <c r="R143" s="133"/>
      <c r="S143" s="121" t="str">
        <f t="shared" ref="S143:S144" si="47">IF(Q143=0,"",IF(Q143=0,0,IF(R143&gt;1,"перерасход","экономия")))</f>
        <v/>
      </c>
    </row>
    <row r="144">
      <c r="A144" s="142"/>
      <c r="B144" s="125"/>
      <c r="C144" s="199"/>
      <c r="D144" s="200"/>
      <c r="E144" s="200"/>
      <c r="F144" s="200"/>
      <c r="G144" s="200"/>
      <c r="H144" s="200"/>
      <c r="I144" s="116"/>
      <c r="J144" s="123"/>
      <c r="K144" s="118"/>
      <c r="L144" s="118"/>
      <c r="M144" s="118"/>
      <c r="N144" s="118"/>
      <c r="O144" s="118"/>
      <c r="P144" s="116"/>
      <c r="Q144" s="132"/>
      <c r="R144" s="133"/>
      <c r="S144" s="121" t="str">
        <f t="shared" si="47"/>
        <v/>
      </c>
    </row>
    <row r="145">
      <c r="A145" s="201"/>
      <c r="B145" s="202" t="s">
        <v>111</v>
      </c>
      <c r="C145" s="203">
        <f t="shared" ref="C145:H145" si="48">SUM(C146:C154)</f>
        <v>0</v>
      </c>
      <c r="D145" s="204">
        <f t="shared" si="48"/>
        <v>0</v>
      </c>
      <c r="E145" s="204">
        <f t="shared" si="48"/>
        <v>0</v>
      </c>
      <c r="F145" s="204">
        <f t="shared" si="48"/>
        <v>0</v>
      </c>
      <c r="G145" s="204">
        <f t="shared" si="48"/>
        <v>0</v>
      </c>
      <c r="H145" s="204">
        <f t="shared" si="48"/>
        <v>0</v>
      </c>
      <c r="I145" s="205">
        <f>SUM(C145:H145)</f>
        <v>0</v>
      </c>
      <c r="J145" s="206">
        <f t="shared" ref="J145:P145" si="49">SUM(J146:J154)</f>
        <v>0</v>
      </c>
      <c r="K145" s="207">
        <f t="shared" si="49"/>
        <v>0</v>
      </c>
      <c r="L145" s="207">
        <f t="shared" si="49"/>
        <v>0</v>
      </c>
      <c r="M145" s="207">
        <f t="shared" si="49"/>
        <v>0</v>
      </c>
      <c r="N145" s="207">
        <f t="shared" si="49"/>
        <v>0</v>
      </c>
      <c r="O145" s="207">
        <f t="shared" si="49"/>
        <v>0</v>
      </c>
      <c r="P145" s="208">
        <f t="shared" si="49"/>
        <v>0</v>
      </c>
      <c r="Q145" s="204">
        <f t="shared" ref="Q145:Q173" si="50">I145-P145</f>
        <v>0</v>
      </c>
      <c r="R145" s="209">
        <f t="shared" ref="R145:R173" si="51">IFERROR(I145/P145,0)</f>
        <v>0</v>
      </c>
      <c r="S145" s="210" t="str">
        <f>IF(Q145=0,"",IF(R145&gt;1,"выполнение","план не выполнен"))</f>
        <v/>
      </c>
    </row>
    <row r="146">
      <c r="A146" s="142" t="str">
        <f>IFERROR(VLOOKUP(B146,'Статьи'!$A$2:C168,3,0)," ")</f>
        <v>ДДС отчетного месяца. Без НДС!</v>
      </c>
      <c r="B146" s="125" t="str">
        <f>IFERROR(__xludf.DUMMYFUNCTION("iferror(filter('Статьи'!$A$1:$A177,'Статьи'!$B$1:$B177=B145))"),"Поступления прочие")</f>
        <v>Поступления прочие</v>
      </c>
      <c r="C146" s="170"/>
      <c r="D146" s="149"/>
      <c r="E146" s="149"/>
      <c r="F146" s="149"/>
      <c r="G146" s="149"/>
      <c r="H146" s="149"/>
      <c r="I146" s="211">
        <f t="shared" ref="I146:I172" si="52">sum(C146:H146)</f>
        <v>0</v>
      </c>
      <c r="J146" s="122"/>
      <c r="K146" s="114"/>
      <c r="L146" s="114"/>
      <c r="M146" s="114"/>
      <c r="N146" s="114"/>
      <c r="O146" s="114"/>
      <c r="P146" s="211">
        <f t="shared" ref="P146:P153" si="53">SUM(J146:K146)</f>
        <v>0</v>
      </c>
      <c r="Q146" s="132">
        <f t="shared" si="50"/>
        <v>0</v>
      </c>
      <c r="R146" s="133">
        <f t="shared" si="51"/>
        <v>0</v>
      </c>
      <c r="S146" s="121" t="str">
        <f t="shared" ref="S146:S154" si="54">IF(Q146=0,"",IF(R146=0,"обратить внимание",IF(R146&gt;1,"выполнение","план не выполнен")))</f>
        <v/>
      </c>
    </row>
    <row r="147">
      <c r="A147" s="142" t="str">
        <f>IFERROR(VLOOKUP(B147,'Статьи'!$A$2:C169,3,0)," ")</f>
        <v>ДДС отчетного месяца. Без НДС!</v>
      </c>
      <c r="B147" s="125" t="str">
        <f>IFERROR(__xludf.DUMMYFUNCTION("""COMPUTED_VALUE"""),"Поступления страховые выплаты")</f>
        <v>Поступления страховые выплаты</v>
      </c>
      <c r="C147" s="170"/>
      <c r="D147" s="149"/>
      <c r="E147" s="149"/>
      <c r="F147" s="149"/>
      <c r="G147" s="149"/>
      <c r="H147" s="149"/>
      <c r="I147" s="211">
        <f t="shared" si="52"/>
        <v>0</v>
      </c>
      <c r="J147" s="122"/>
      <c r="K147" s="114"/>
      <c r="L147" s="114"/>
      <c r="M147" s="114"/>
      <c r="N147" s="114"/>
      <c r="O147" s="114"/>
      <c r="P147" s="211">
        <f t="shared" si="53"/>
        <v>0</v>
      </c>
      <c r="Q147" s="132">
        <f t="shared" si="50"/>
        <v>0</v>
      </c>
      <c r="R147" s="133">
        <f t="shared" si="51"/>
        <v>0</v>
      </c>
      <c r="S147" s="121" t="str">
        <f t="shared" si="54"/>
        <v/>
      </c>
    </row>
    <row r="148">
      <c r="A148" s="142" t="str">
        <f>IFERROR(VLOOKUP(B148,'Статьи'!$A$2:C170,3,0)," ")</f>
        <v>отчет Учета ОС Вкладка Свод строка 37</v>
      </c>
      <c r="B148" s="125" t="str">
        <f>IFERROR(__xludf.DUMMYFUNCTION("""COMPUTED_VALUE"""),"Продажа ОС")</f>
        <v>Продажа ОС</v>
      </c>
      <c r="C148" s="170"/>
      <c r="D148" s="149"/>
      <c r="E148" s="149"/>
      <c r="F148" s="149"/>
      <c r="G148" s="149"/>
      <c r="H148" s="149"/>
      <c r="I148" s="211">
        <f t="shared" si="52"/>
        <v>0</v>
      </c>
      <c r="J148" s="122"/>
      <c r="K148" s="114"/>
      <c r="L148" s="114"/>
      <c r="M148" s="114"/>
      <c r="N148" s="114"/>
      <c r="O148" s="114"/>
      <c r="P148" s="211">
        <f t="shared" si="53"/>
        <v>0</v>
      </c>
      <c r="Q148" s="132">
        <f t="shared" si="50"/>
        <v>0</v>
      </c>
      <c r="R148" s="133">
        <f t="shared" si="51"/>
        <v>0</v>
      </c>
      <c r="S148" s="121" t="str">
        <f t="shared" si="54"/>
        <v/>
      </c>
    </row>
    <row r="149">
      <c r="A149" s="142" t="str">
        <f>IFERROR(VLOOKUP(B149,'Статьи'!$A$2:C171,3,0)," ")</f>
        <v>ДДС отчетного месяца. Без НДС!</v>
      </c>
      <c r="B149" s="125" t="str">
        <f>IFERROR(__xludf.DUMMYFUNCTION("""COMPUTED_VALUE"""),"Прочие поступления от фин. операций")</f>
        <v>Прочие поступления от фин. операций</v>
      </c>
      <c r="C149" s="170"/>
      <c r="D149" s="149"/>
      <c r="E149" s="149"/>
      <c r="F149" s="149"/>
      <c r="G149" s="149"/>
      <c r="H149" s="149"/>
      <c r="I149" s="211">
        <f t="shared" si="52"/>
        <v>0</v>
      </c>
      <c r="J149" s="122"/>
      <c r="K149" s="114"/>
      <c r="L149" s="114"/>
      <c r="M149" s="114"/>
      <c r="N149" s="114"/>
      <c r="O149" s="114"/>
      <c r="P149" s="211">
        <f t="shared" si="53"/>
        <v>0</v>
      </c>
      <c r="Q149" s="132">
        <f t="shared" si="50"/>
        <v>0</v>
      </c>
      <c r="R149" s="133">
        <f t="shared" si="51"/>
        <v>0</v>
      </c>
      <c r="S149" s="121" t="str">
        <f t="shared" si="54"/>
        <v/>
      </c>
    </row>
    <row r="150">
      <c r="A150" s="142" t="str">
        <f>IFERROR(VLOOKUP(B150,'Статьи'!$A$2:C172,3,0)," ")</f>
        <v> </v>
      </c>
      <c r="B150" s="125"/>
      <c r="C150" s="170"/>
      <c r="D150" s="149"/>
      <c r="E150" s="149"/>
      <c r="F150" s="149"/>
      <c r="G150" s="149"/>
      <c r="H150" s="149"/>
      <c r="I150" s="211">
        <f t="shared" si="52"/>
        <v>0</v>
      </c>
      <c r="J150" s="122" t="str">
        <f>C150</f>
        <v/>
      </c>
      <c r="K150" s="114"/>
      <c r="L150" s="114"/>
      <c r="M150" s="114"/>
      <c r="N150" s="114"/>
      <c r="O150" s="114"/>
      <c r="P150" s="211">
        <f t="shared" si="53"/>
        <v>0</v>
      </c>
      <c r="Q150" s="132">
        <f t="shared" si="50"/>
        <v>0</v>
      </c>
      <c r="R150" s="133">
        <f t="shared" si="51"/>
        <v>0</v>
      </c>
      <c r="S150" s="121" t="str">
        <f t="shared" si="54"/>
        <v/>
      </c>
    </row>
    <row r="151" collapsed="1">
      <c r="A151" s="142" t="str">
        <f>IFERROR(VLOOKUP(B151,'Статьи'!$A$2:C173,3,0)," ")</f>
        <v> </v>
      </c>
      <c r="B151" s="125"/>
      <c r="C151" s="170"/>
      <c r="D151" s="149"/>
      <c r="E151" s="149"/>
      <c r="F151" s="149"/>
      <c r="G151" s="149"/>
      <c r="H151" s="149"/>
      <c r="I151" s="211">
        <f t="shared" si="52"/>
        <v>0</v>
      </c>
      <c r="J151" s="122"/>
      <c r="K151" s="114"/>
      <c r="L151" s="114"/>
      <c r="M151" s="114"/>
      <c r="N151" s="114"/>
      <c r="O151" s="114"/>
      <c r="P151" s="211">
        <f t="shared" si="53"/>
        <v>0</v>
      </c>
      <c r="Q151" s="132">
        <f t="shared" si="50"/>
        <v>0</v>
      </c>
      <c r="R151" s="133">
        <f t="shared" si="51"/>
        <v>0</v>
      </c>
      <c r="S151" s="121" t="str">
        <f t="shared" si="54"/>
        <v/>
      </c>
    </row>
    <row r="152" hidden="1" outlineLevel="1">
      <c r="A152" s="142" t="str">
        <f>IFERROR(VLOOKUP(B152,'Статьи'!$A$2:C174,3,0)," ")</f>
        <v> </v>
      </c>
      <c r="B152" s="125"/>
      <c r="C152" s="170"/>
      <c r="D152" s="149"/>
      <c r="E152" s="149"/>
      <c r="F152" s="149"/>
      <c r="G152" s="149"/>
      <c r="H152" s="149"/>
      <c r="I152" s="211">
        <f t="shared" si="52"/>
        <v>0</v>
      </c>
      <c r="J152" s="122"/>
      <c r="K152" s="114"/>
      <c r="L152" s="114"/>
      <c r="M152" s="114"/>
      <c r="N152" s="114"/>
      <c r="O152" s="114"/>
      <c r="P152" s="211">
        <f t="shared" si="53"/>
        <v>0</v>
      </c>
      <c r="Q152" s="132">
        <f t="shared" si="50"/>
        <v>0</v>
      </c>
      <c r="R152" s="133">
        <f t="shared" si="51"/>
        <v>0</v>
      </c>
      <c r="S152" s="121" t="str">
        <f t="shared" si="54"/>
        <v/>
      </c>
    </row>
    <row r="153" hidden="1" outlineLevel="1">
      <c r="A153" s="142" t="str">
        <f>IFERROR(VLOOKUP(B153,'Статьи'!$A$2:C175,3,0)," ")</f>
        <v> </v>
      </c>
      <c r="B153" s="125"/>
      <c r="C153" s="170"/>
      <c r="D153" s="149"/>
      <c r="E153" s="149"/>
      <c r="F153" s="149"/>
      <c r="G153" s="149"/>
      <c r="H153" s="149"/>
      <c r="I153" s="211">
        <f t="shared" si="52"/>
        <v>0</v>
      </c>
      <c r="J153" s="122"/>
      <c r="K153" s="114"/>
      <c r="L153" s="114"/>
      <c r="M153" s="114"/>
      <c r="N153" s="114"/>
      <c r="O153" s="114"/>
      <c r="P153" s="211">
        <f t="shared" si="53"/>
        <v>0</v>
      </c>
      <c r="Q153" s="132">
        <f t="shared" si="50"/>
        <v>0</v>
      </c>
      <c r="R153" s="133">
        <f t="shared" si="51"/>
        <v>0</v>
      </c>
      <c r="S153" s="121" t="str">
        <f t="shared" si="54"/>
        <v/>
      </c>
    </row>
    <row r="154">
      <c r="A154" s="142" t="str">
        <f>IFERROR(VLOOKUP(B154,'Статьи'!$A$2:C176,3,0)," ")</f>
        <v> </v>
      </c>
      <c r="B154" s="125"/>
      <c r="C154" s="170"/>
      <c r="D154" s="149"/>
      <c r="E154" s="149"/>
      <c r="F154" s="149"/>
      <c r="G154" s="149"/>
      <c r="H154" s="149"/>
      <c r="I154" s="211">
        <f t="shared" si="52"/>
        <v>0</v>
      </c>
      <c r="J154" s="122"/>
      <c r="K154" s="114"/>
      <c r="L154" s="114"/>
      <c r="M154" s="114"/>
      <c r="N154" s="114"/>
      <c r="O154" s="114"/>
      <c r="P154" s="211">
        <f>sum(F154:J154)</f>
        <v>0</v>
      </c>
      <c r="Q154" s="132">
        <f t="shared" si="50"/>
        <v>0</v>
      </c>
      <c r="R154" s="133">
        <f t="shared" si="51"/>
        <v>0</v>
      </c>
      <c r="S154" s="121" t="str">
        <f t="shared" si="54"/>
        <v/>
      </c>
    </row>
    <row r="155">
      <c r="A155" s="212"/>
      <c r="B155" s="213" t="s">
        <v>101</v>
      </c>
      <c r="C155" s="203">
        <f t="shared" ref="C155:H155" si="55">SUM(C156:C172)</f>
        <v>0</v>
      </c>
      <c r="D155" s="204">
        <f t="shared" si="55"/>
        <v>0</v>
      </c>
      <c r="E155" s="204">
        <f t="shared" si="55"/>
        <v>0</v>
      </c>
      <c r="F155" s="204">
        <f t="shared" si="55"/>
        <v>0</v>
      </c>
      <c r="G155" s="204">
        <f t="shared" si="55"/>
        <v>0</v>
      </c>
      <c r="H155" s="204">
        <f t="shared" si="55"/>
        <v>0</v>
      </c>
      <c r="I155" s="208">
        <f t="shared" si="52"/>
        <v>0</v>
      </c>
      <c r="J155" s="206">
        <f t="shared" ref="J155:K155" si="56">SUM(J156:J172)</f>
        <v>0</v>
      </c>
      <c r="K155" s="207">
        <f t="shared" si="56"/>
        <v>0</v>
      </c>
      <c r="L155" s="207"/>
      <c r="M155" s="207"/>
      <c r="N155" s="207"/>
      <c r="O155" s="207"/>
      <c r="P155" s="208">
        <f>SUM(P156:P172)</f>
        <v>0</v>
      </c>
      <c r="Q155" s="207">
        <f t="shared" si="50"/>
        <v>0</v>
      </c>
      <c r="R155" s="214">
        <f t="shared" si="51"/>
        <v>0</v>
      </c>
      <c r="S155" s="210" t="str">
        <f>IF(Q155=0,"",IF(R155&gt;1,"план не выполнен","выполнение"))</f>
        <v/>
      </c>
    </row>
    <row r="156">
      <c r="A156" s="142" t="str">
        <f>IFERROR(VLOOKUP(B156,'Статьи'!$A$2:C178,3,0)," ")</f>
        <v>ДДС отчетного месяца. Без НДС!</v>
      </c>
      <c r="B156" s="125" t="str">
        <f>IFERROR(__xludf.DUMMYFUNCTION("iferror(filter('Статьи'!$A$1:$A177,'Статьи'!$B$1:$B177=B155))"),"Курсовые разницы")</f>
        <v>Курсовые разницы</v>
      </c>
      <c r="C156" s="171"/>
      <c r="D156" s="149"/>
      <c r="E156" s="149"/>
      <c r="F156" s="149"/>
      <c r="G156" s="149"/>
      <c r="H156" s="149"/>
      <c r="I156" s="211">
        <f t="shared" si="52"/>
        <v>0</v>
      </c>
      <c r="J156" s="122"/>
      <c r="K156" s="114"/>
      <c r="L156" s="114"/>
      <c r="M156" s="114"/>
      <c r="N156" s="114"/>
      <c r="O156" s="114"/>
      <c r="P156" s="211">
        <f t="shared" ref="P156:P171" si="57">SUM(J156:K156)</f>
        <v>0</v>
      </c>
      <c r="Q156" s="132">
        <f t="shared" si="50"/>
        <v>0</v>
      </c>
      <c r="R156" s="133">
        <f t="shared" si="51"/>
        <v>0</v>
      </c>
      <c r="S156" s="121" t="str">
        <f t="shared" ref="S156:S172" si="58">IF(Q156=0,"",IF(R156=0,"обратить внимание",IF(R156&gt;1,"перерасход","экономия")))</f>
        <v/>
      </c>
    </row>
    <row r="157">
      <c r="A157" s="142" t="str">
        <f>IFERROR(VLOOKUP(B157,'Статьи'!$A$2:C179,3,0)," ")</f>
        <v>1С</v>
      </c>
      <c r="B157" s="125" t="str">
        <f>IFERROR(__xludf.DUMMYFUNCTION("""COMPUTED_VALUE"""),"Налог  на прибыль УСН 6%")</f>
        <v>Налог  на прибыль УСН 6%</v>
      </c>
      <c r="C157" s="171"/>
      <c r="D157" s="149"/>
      <c r="E157" s="149"/>
      <c r="F157" s="149"/>
      <c r="G157" s="149"/>
      <c r="H157" s="149"/>
      <c r="I157" s="211">
        <f t="shared" si="52"/>
        <v>0</v>
      </c>
      <c r="J157" s="122"/>
      <c r="K157" s="114"/>
      <c r="L157" s="114"/>
      <c r="M157" s="114"/>
      <c r="N157" s="114"/>
      <c r="O157" s="114"/>
      <c r="P157" s="211">
        <f t="shared" si="57"/>
        <v>0</v>
      </c>
      <c r="Q157" s="132">
        <f t="shared" si="50"/>
        <v>0</v>
      </c>
      <c r="R157" s="133">
        <f t="shared" si="51"/>
        <v>0</v>
      </c>
      <c r="S157" s="121" t="str">
        <f t="shared" si="58"/>
        <v/>
      </c>
    </row>
    <row r="158">
      <c r="A158" s="142" t="str">
        <f>IFERROR(VLOOKUP(B158,'Статьи'!$A$2:C180,3,0)," ")</f>
        <v>1С</v>
      </c>
      <c r="B158" s="125" t="str">
        <f>IFERROR(__xludf.DUMMYFUNCTION("""COMPUTED_VALUE"""),"Налог на прибыль 20%")</f>
        <v>Налог на прибыль 20%</v>
      </c>
      <c r="C158" s="171"/>
      <c r="D158" s="149"/>
      <c r="E158" s="149"/>
      <c r="F158" s="149"/>
      <c r="G158" s="149"/>
      <c r="H158" s="149"/>
      <c r="I158" s="211">
        <f t="shared" si="52"/>
        <v>0</v>
      </c>
      <c r="J158" s="122"/>
      <c r="K158" s="114"/>
      <c r="L158" s="114"/>
      <c r="M158" s="114"/>
      <c r="N158" s="114"/>
      <c r="O158" s="114"/>
      <c r="P158" s="211">
        <f t="shared" si="57"/>
        <v>0</v>
      </c>
      <c r="Q158" s="132">
        <f t="shared" si="50"/>
        <v>0</v>
      </c>
      <c r="R158" s="133">
        <f t="shared" si="51"/>
        <v>0</v>
      </c>
      <c r="S158" s="121" t="str">
        <f t="shared" si="58"/>
        <v/>
      </c>
    </row>
    <row r="159">
      <c r="A159" s="142" t="str">
        <f>IFERROR(VLOOKUP(B159,'Статьи'!$A$2:C181,3,0)," ")</f>
        <v>отчет Учет ОС</v>
      </c>
      <c r="B159" s="125" t="str">
        <f>IFERROR(__xludf.DUMMYFUNCTION("""COMPUTED_VALUE"""),"Амортизация ОС")</f>
        <v>Амортизация ОС</v>
      </c>
      <c r="C159" s="215"/>
      <c r="D159" s="149"/>
      <c r="E159" s="149"/>
      <c r="F159" s="149"/>
      <c r="G159" s="149"/>
      <c r="H159" s="149"/>
      <c r="I159" s="211">
        <f t="shared" si="52"/>
        <v>0</v>
      </c>
      <c r="J159" s="122"/>
      <c r="K159" s="114"/>
      <c r="L159" s="114"/>
      <c r="M159" s="114"/>
      <c r="N159" s="114"/>
      <c r="O159" s="114"/>
      <c r="P159" s="211">
        <f t="shared" si="57"/>
        <v>0</v>
      </c>
      <c r="Q159" s="132">
        <f t="shared" si="50"/>
        <v>0</v>
      </c>
      <c r="R159" s="133">
        <f t="shared" si="51"/>
        <v>0</v>
      </c>
      <c r="S159" s="121" t="str">
        <f t="shared" si="58"/>
        <v/>
      </c>
    </row>
    <row r="160">
      <c r="A160" s="142" t="str">
        <f>IFERROR(VLOOKUP(B160,'Статьи'!$A$2:C182,3,0)," ")</f>
        <v>ДДС отчетного месяца. Без НДС!</v>
      </c>
      <c r="B160" s="125" t="str">
        <f>IFERROR(__xludf.DUMMYFUNCTION("""COMPUTED_VALUE"""),"Прочие расходы")</f>
        <v>Прочие расходы</v>
      </c>
      <c r="C160" s="171"/>
      <c r="D160" s="149"/>
      <c r="E160" s="149"/>
      <c r="F160" s="149"/>
      <c r="G160" s="149"/>
      <c r="H160" s="149"/>
      <c r="I160" s="211">
        <f t="shared" si="52"/>
        <v>0</v>
      </c>
      <c r="J160" s="122"/>
      <c r="K160" s="114"/>
      <c r="L160" s="114"/>
      <c r="M160" s="114"/>
      <c r="N160" s="114"/>
      <c r="O160" s="114"/>
      <c r="P160" s="211">
        <f t="shared" si="57"/>
        <v>0</v>
      </c>
      <c r="Q160" s="132">
        <f t="shared" si="50"/>
        <v>0</v>
      </c>
      <c r="R160" s="133">
        <f t="shared" si="51"/>
        <v>0</v>
      </c>
      <c r="S160" s="121" t="str">
        <f t="shared" si="58"/>
        <v/>
      </c>
    </row>
    <row r="161">
      <c r="A161" s="142" t="str">
        <f>IFERROR(VLOOKUP(B161,'Статьи'!$A$2:C183,3,0)," ")</f>
        <v>ДДС отчетного месяца. Без НДС!</v>
      </c>
      <c r="B161" s="111" t="str">
        <f>IFERROR(__xludf.DUMMYFUNCTION("""COMPUTED_VALUE"""),"Ремонт ОС")</f>
        <v>Ремонт ОС</v>
      </c>
      <c r="C161" s="171"/>
      <c r="D161" s="149"/>
      <c r="E161" s="149"/>
      <c r="F161" s="149"/>
      <c r="G161" s="149"/>
      <c r="H161" s="149"/>
      <c r="I161" s="211">
        <f t="shared" si="52"/>
        <v>0</v>
      </c>
      <c r="J161" s="122"/>
      <c r="K161" s="114"/>
      <c r="L161" s="114"/>
      <c r="M161" s="114"/>
      <c r="N161" s="114"/>
      <c r="O161" s="114"/>
      <c r="P161" s="211">
        <f t="shared" si="57"/>
        <v>0</v>
      </c>
      <c r="Q161" s="132">
        <f t="shared" si="50"/>
        <v>0</v>
      </c>
      <c r="R161" s="133">
        <f t="shared" si="51"/>
        <v>0</v>
      </c>
      <c r="S161" s="121" t="str">
        <f t="shared" si="58"/>
        <v/>
      </c>
    </row>
    <row r="162">
      <c r="A162" s="142" t="str">
        <f>IFERROR(VLOOKUP(B162,'Статьи'!$A$2:C184,3,0)," ")</f>
        <v>отчет Учет ФД</v>
      </c>
      <c r="B162" s="111" t="str">
        <f>IFERROR(__xludf.DUMMYFUNCTION("""COMPUTED_VALUE"""),"Оплаты %  кредиты")</f>
        <v>Оплаты %  кредиты</v>
      </c>
      <c r="C162" s="171"/>
      <c r="D162" s="149"/>
      <c r="E162" s="149"/>
      <c r="F162" s="149"/>
      <c r="G162" s="149"/>
      <c r="H162" s="149"/>
      <c r="I162" s="211">
        <f t="shared" si="52"/>
        <v>0</v>
      </c>
      <c r="J162" s="122"/>
      <c r="K162" s="114"/>
      <c r="L162" s="114"/>
      <c r="M162" s="114"/>
      <c r="N162" s="114"/>
      <c r="O162" s="114"/>
      <c r="P162" s="211">
        <f t="shared" si="57"/>
        <v>0</v>
      </c>
      <c r="Q162" s="132">
        <f t="shared" si="50"/>
        <v>0</v>
      </c>
      <c r="R162" s="133">
        <f t="shared" si="51"/>
        <v>0</v>
      </c>
      <c r="S162" s="121" t="str">
        <f t="shared" si="58"/>
        <v/>
      </c>
    </row>
    <row r="163" collapsed="1">
      <c r="A163" s="110" t="str">
        <f>IFERROR(VLOOKUP(B163,'Статьи'!$A$2:C185,3,0)," ")</f>
        <v> </v>
      </c>
      <c r="B163" s="111"/>
      <c r="C163" s="171"/>
      <c r="D163" s="149"/>
      <c r="E163" s="149"/>
      <c r="F163" s="149"/>
      <c r="G163" s="149"/>
      <c r="H163" s="149"/>
      <c r="I163" s="211">
        <f t="shared" si="52"/>
        <v>0</v>
      </c>
      <c r="J163" s="122"/>
      <c r="K163" s="114"/>
      <c r="L163" s="114"/>
      <c r="M163" s="114"/>
      <c r="N163" s="114"/>
      <c r="O163" s="114"/>
      <c r="P163" s="211">
        <f t="shared" si="57"/>
        <v>0</v>
      </c>
      <c r="Q163" s="132">
        <f t="shared" si="50"/>
        <v>0</v>
      </c>
      <c r="R163" s="133">
        <f t="shared" si="51"/>
        <v>0</v>
      </c>
      <c r="S163" s="121" t="str">
        <f t="shared" si="58"/>
        <v/>
      </c>
    </row>
    <row r="164" hidden="1" outlineLevel="1">
      <c r="A164" s="110" t="str">
        <f>IFERROR(VLOOKUP(B164,'Статьи'!$A$2:C186,3,0)," ")</f>
        <v> </v>
      </c>
      <c r="B164" s="111"/>
      <c r="C164" s="170"/>
      <c r="I164" s="211">
        <f t="shared" si="52"/>
        <v>0</v>
      </c>
      <c r="J164" s="122"/>
      <c r="K164" s="114"/>
      <c r="L164" s="114"/>
      <c r="M164" s="114"/>
      <c r="N164" s="114"/>
      <c r="O164" s="114"/>
      <c r="P164" s="211">
        <f t="shared" si="57"/>
        <v>0</v>
      </c>
      <c r="Q164" s="132">
        <f t="shared" si="50"/>
        <v>0</v>
      </c>
      <c r="R164" s="133">
        <f t="shared" si="51"/>
        <v>0</v>
      </c>
      <c r="S164" s="121" t="str">
        <f t="shared" si="58"/>
        <v/>
      </c>
    </row>
    <row r="165" hidden="1" outlineLevel="1">
      <c r="A165" s="110" t="str">
        <f>IFERROR(VLOOKUP(B165,'Статьи'!$A$2:C187,3,0)," ")</f>
        <v> </v>
      </c>
      <c r="B165" s="111"/>
      <c r="C165" s="170"/>
      <c r="I165" s="211">
        <f t="shared" si="52"/>
        <v>0</v>
      </c>
      <c r="J165" s="122"/>
      <c r="K165" s="114"/>
      <c r="L165" s="114"/>
      <c r="M165" s="114"/>
      <c r="N165" s="114"/>
      <c r="O165" s="114"/>
      <c r="P165" s="211">
        <f t="shared" si="57"/>
        <v>0</v>
      </c>
      <c r="Q165" s="132">
        <f t="shared" si="50"/>
        <v>0</v>
      </c>
      <c r="R165" s="133">
        <f t="shared" si="51"/>
        <v>0</v>
      </c>
      <c r="S165" s="121" t="str">
        <f t="shared" si="58"/>
        <v/>
      </c>
    </row>
    <row r="166" hidden="1" outlineLevel="1">
      <c r="A166" s="110" t="str">
        <f>IFERROR(VLOOKUP(B166,'Статьи'!$A$2:C188,3,0)," ")</f>
        <v> </v>
      </c>
      <c r="B166" s="111"/>
      <c r="C166" s="170"/>
      <c r="I166" s="211">
        <f t="shared" si="52"/>
        <v>0</v>
      </c>
      <c r="J166" s="122"/>
      <c r="K166" s="114"/>
      <c r="L166" s="114"/>
      <c r="M166" s="114"/>
      <c r="N166" s="114"/>
      <c r="O166" s="114"/>
      <c r="P166" s="211">
        <f t="shared" si="57"/>
        <v>0</v>
      </c>
      <c r="Q166" s="132">
        <f t="shared" si="50"/>
        <v>0</v>
      </c>
      <c r="R166" s="133">
        <f t="shared" si="51"/>
        <v>0</v>
      </c>
      <c r="S166" s="121" t="str">
        <f t="shared" si="58"/>
        <v/>
      </c>
    </row>
    <row r="167" hidden="1" outlineLevel="1">
      <c r="A167" s="110" t="str">
        <f>IFERROR(VLOOKUP(B167,'Статьи'!$A$2:C189,3,0)," ")</f>
        <v> </v>
      </c>
      <c r="B167" s="111"/>
      <c r="C167" s="170"/>
      <c r="I167" s="211">
        <f t="shared" si="52"/>
        <v>0</v>
      </c>
      <c r="J167" s="122"/>
      <c r="K167" s="114"/>
      <c r="L167" s="114"/>
      <c r="M167" s="114"/>
      <c r="N167" s="114"/>
      <c r="O167" s="114"/>
      <c r="P167" s="211">
        <f t="shared" si="57"/>
        <v>0</v>
      </c>
      <c r="Q167" s="132">
        <f t="shared" si="50"/>
        <v>0</v>
      </c>
      <c r="R167" s="133">
        <f t="shared" si="51"/>
        <v>0</v>
      </c>
      <c r="S167" s="121" t="str">
        <f t="shared" si="58"/>
        <v/>
      </c>
    </row>
    <row r="168" hidden="1" outlineLevel="1">
      <c r="A168" s="110" t="str">
        <f>IFERROR(VLOOKUP(B168,'Статьи'!$A$2:C190,3,0)," ")</f>
        <v> </v>
      </c>
      <c r="B168" s="111"/>
      <c r="C168" s="170"/>
      <c r="I168" s="211">
        <f t="shared" si="52"/>
        <v>0</v>
      </c>
      <c r="J168" s="122"/>
      <c r="K168" s="114"/>
      <c r="L168" s="114"/>
      <c r="M168" s="114"/>
      <c r="N168" s="114"/>
      <c r="O168" s="114"/>
      <c r="P168" s="211">
        <f t="shared" si="57"/>
        <v>0</v>
      </c>
      <c r="Q168" s="132">
        <f t="shared" si="50"/>
        <v>0</v>
      </c>
      <c r="R168" s="133">
        <f t="shared" si="51"/>
        <v>0</v>
      </c>
      <c r="S168" s="121" t="str">
        <f t="shared" si="58"/>
        <v/>
      </c>
    </row>
    <row r="169" hidden="1" outlineLevel="1">
      <c r="A169" s="110" t="str">
        <f>IFERROR(VLOOKUP(B169,'Статьи'!$A$2:C191,3,0)," ")</f>
        <v> </v>
      </c>
      <c r="B169" s="111"/>
      <c r="C169" s="170"/>
      <c r="I169" s="211">
        <f t="shared" si="52"/>
        <v>0</v>
      </c>
      <c r="J169" s="122"/>
      <c r="K169" s="114"/>
      <c r="L169" s="114"/>
      <c r="M169" s="114"/>
      <c r="N169" s="114"/>
      <c r="O169" s="114"/>
      <c r="P169" s="211">
        <f t="shared" si="57"/>
        <v>0</v>
      </c>
      <c r="Q169" s="132">
        <f t="shared" si="50"/>
        <v>0</v>
      </c>
      <c r="R169" s="133">
        <f t="shared" si="51"/>
        <v>0</v>
      </c>
      <c r="S169" s="121" t="str">
        <f t="shared" si="58"/>
        <v/>
      </c>
    </row>
    <row r="170" hidden="1" outlineLevel="1">
      <c r="A170" s="110" t="str">
        <f>IFERROR(VLOOKUP(B170,'Статьи'!$A$2:C192,3,0)," ")</f>
        <v> </v>
      </c>
      <c r="B170" s="111"/>
      <c r="C170" s="170"/>
      <c r="I170" s="211">
        <f t="shared" si="52"/>
        <v>0</v>
      </c>
      <c r="J170" s="122"/>
      <c r="K170" s="114"/>
      <c r="L170" s="114"/>
      <c r="M170" s="114"/>
      <c r="N170" s="114"/>
      <c r="O170" s="114"/>
      <c r="P170" s="211">
        <f t="shared" si="57"/>
        <v>0</v>
      </c>
      <c r="Q170" s="132">
        <f t="shared" si="50"/>
        <v>0</v>
      </c>
      <c r="R170" s="133">
        <f t="shared" si="51"/>
        <v>0</v>
      </c>
      <c r="S170" s="121" t="str">
        <f t="shared" si="58"/>
        <v/>
      </c>
    </row>
    <row r="171" hidden="1" outlineLevel="1">
      <c r="A171" s="110" t="str">
        <f>IFERROR(VLOOKUP(B171,'Статьи'!$A$2:C193,3,0)," ")</f>
        <v> </v>
      </c>
      <c r="B171" s="111"/>
      <c r="C171" s="170"/>
      <c r="I171" s="211">
        <f t="shared" si="52"/>
        <v>0</v>
      </c>
      <c r="J171" s="122"/>
      <c r="K171" s="114"/>
      <c r="L171" s="114"/>
      <c r="M171" s="114"/>
      <c r="N171" s="114"/>
      <c r="O171" s="114"/>
      <c r="P171" s="211">
        <f t="shared" si="57"/>
        <v>0</v>
      </c>
      <c r="Q171" s="132">
        <f t="shared" si="50"/>
        <v>0</v>
      </c>
      <c r="R171" s="133">
        <f t="shared" si="51"/>
        <v>0</v>
      </c>
      <c r="S171" s="121" t="str">
        <f t="shared" si="58"/>
        <v/>
      </c>
    </row>
    <row r="172">
      <c r="A172" s="110" t="str">
        <f>IFERROR(VLOOKUP(B172,'Статьи'!$A$2:C194,3,0)," ")</f>
        <v> </v>
      </c>
      <c r="B172" s="111"/>
      <c r="C172" s="170"/>
      <c r="D172" s="149"/>
      <c r="E172" s="149"/>
      <c r="F172" s="149"/>
      <c r="G172" s="149"/>
      <c r="H172" s="149"/>
      <c r="I172" s="211">
        <f t="shared" si="52"/>
        <v>0</v>
      </c>
      <c r="J172" s="122"/>
      <c r="K172" s="114"/>
      <c r="L172" s="114"/>
      <c r="M172" s="114"/>
      <c r="N172" s="114"/>
      <c r="O172" s="114"/>
      <c r="P172" s="211">
        <f>sum(F172:J172)</f>
        <v>0</v>
      </c>
      <c r="Q172" s="132">
        <f t="shared" si="50"/>
        <v>0</v>
      </c>
      <c r="R172" s="133">
        <f t="shared" si="51"/>
        <v>0</v>
      </c>
      <c r="S172" s="121" t="str">
        <f t="shared" si="58"/>
        <v/>
      </c>
    </row>
    <row r="173">
      <c r="A173" s="152"/>
      <c r="B173" s="153" t="s">
        <v>144</v>
      </c>
      <c r="C173" s="154">
        <f t="shared" ref="C173:K173" si="59">C142+C155+C145</f>
        <v>8</v>
      </c>
      <c r="D173" s="155">
        <f t="shared" si="59"/>
        <v>0</v>
      </c>
      <c r="E173" s="155">
        <f t="shared" si="59"/>
        <v>0</v>
      </c>
      <c r="F173" s="155">
        <f t="shared" si="59"/>
        <v>0</v>
      </c>
      <c r="G173" s="155">
        <f t="shared" si="59"/>
        <v>0</v>
      </c>
      <c r="H173" s="155">
        <f t="shared" si="59"/>
        <v>0</v>
      </c>
      <c r="I173" s="157">
        <f t="shared" si="59"/>
        <v>8</v>
      </c>
      <c r="J173" s="154">
        <f t="shared" si="59"/>
        <v>0</v>
      </c>
      <c r="K173" s="155">
        <f t="shared" si="59"/>
        <v>0</v>
      </c>
      <c r="L173" s="155"/>
      <c r="M173" s="155"/>
      <c r="N173" s="155"/>
      <c r="O173" s="155"/>
      <c r="P173" s="157">
        <f>P142+P155+P145</f>
        <v>0</v>
      </c>
      <c r="Q173" s="155">
        <f t="shared" si="50"/>
        <v>8</v>
      </c>
      <c r="R173" s="158">
        <f t="shared" si="51"/>
        <v>0</v>
      </c>
      <c r="S173" s="159" t="str">
        <f>IF(Q173=0,"",IF(R173&gt;1,"выполнение","план не выполнен"))</f>
        <v>план не выполнен</v>
      </c>
    </row>
    <row r="174">
      <c r="A174" s="160"/>
      <c r="B174" s="161" t="s">
        <v>145</v>
      </c>
      <c r="C174" s="216">
        <f t="shared" ref="C174:K174" si="60">IFERROR(C173/C$3,0)</f>
        <v>1</v>
      </c>
      <c r="D174" s="217">
        <f t="shared" si="60"/>
        <v>0</v>
      </c>
      <c r="E174" s="217">
        <f t="shared" si="60"/>
        <v>0</v>
      </c>
      <c r="F174" s="217">
        <f t="shared" si="60"/>
        <v>0</v>
      </c>
      <c r="G174" s="217">
        <f t="shared" si="60"/>
        <v>0</v>
      </c>
      <c r="H174" s="217">
        <f t="shared" si="60"/>
        <v>0</v>
      </c>
      <c r="I174" s="218">
        <f t="shared" si="60"/>
        <v>1</v>
      </c>
      <c r="J174" s="216">
        <f t="shared" si="60"/>
        <v>0</v>
      </c>
      <c r="K174" s="217">
        <f t="shared" si="60"/>
        <v>0</v>
      </c>
      <c r="L174" s="217"/>
      <c r="M174" s="217"/>
      <c r="N174" s="217"/>
      <c r="O174" s="217"/>
      <c r="P174" s="218">
        <f>IFERROR(P173/P$3,0)</f>
        <v>0</v>
      </c>
      <c r="Q174" s="219"/>
      <c r="R174" s="219"/>
      <c r="S174" s="219"/>
    </row>
    <row r="175">
      <c r="A175" s="110"/>
      <c r="B175" s="111"/>
      <c r="C175" s="115"/>
      <c r="D175" s="115"/>
      <c r="E175" s="115"/>
      <c r="F175" s="115"/>
      <c r="G175" s="115"/>
      <c r="H175" s="115"/>
      <c r="I175" s="118"/>
      <c r="J175" s="118"/>
      <c r="K175" s="118"/>
      <c r="L175" s="118"/>
      <c r="M175" s="118"/>
      <c r="N175" s="118"/>
      <c r="O175" s="118"/>
      <c r="P175" s="118"/>
      <c r="Q175" s="118"/>
      <c r="R175" s="220"/>
      <c r="S175" s="220"/>
    </row>
    <row r="176">
      <c r="A176" s="142"/>
      <c r="B176" s="125"/>
      <c r="C176" s="115"/>
      <c r="D176" s="115"/>
      <c r="E176" s="115"/>
      <c r="F176" s="114"/>
      <c r="G176" s="115"/>
      <c r="H176" s="115"/>
      <c r="I176" s="118"/>
      <c r="J176" s="118"/>
      <c r="K176" s="118"/>
      <c r="L176" s="118"/>
      <c r="M176" s="118"/>
      <c r="N176" s="118"/>
      <c r="O176" s="118"/>
      <c r="P176" s="118"/>
      <c r="Q176" s="118"/>
      <c r="R176" s="220"/>
      <c r="S176" s="220"/>
    </row>
    <row r="177">
      <c r="A177" s="110"/>
      <c r="B177" s="111"/>
      <c r="C177" s="115"/>
      <c r="D177" s="115"/>
      <c r="E177" s="115"/>
      <c r="F177" s="115"/>
      <c r="G177" s="115"/>
      <c r="H177" s="115"/>
      <c r="I177" s="118"/>
      <c r="J177" s="118"/>
      <c r="K177" s="118"/>
      <c r="L177" s="118"/>
      <c r="M177" s="118"/>
      <c r="N177" s="118"/>
      <c r="O177" s="118"/>
      <c r="P177" s="118"/>
      <c r="Q177" s="118"/>
      <c r="R177" s="220"/>
      <c r="S177" s="220"/>
    </row>
  </sheetData>
  <mergeCells count="11">
    <mergeCell ref="C168:H168"/>
    <mergeCell ref="C169:H169"/>
    <mergeCell ref="C170:H170"/>
    <mergeCell ref="C171:H171"/>
    <mergeCell ref="C1:I1"/>
    <mergeCell ref="J1:P1"/>
    <mergeCell ref="Q1:R1"/>
    <mergeCell ref="C164:H164"/>
    <mergeCell ref="C165:H165"/>
    <mergeCell ref="C166:H166"/>
    <mergeCell ref="C167:H167"/>
  </mergeCells>
  <conditionalFormatting sqref="C13:H54">
    <cfRule type="expression" dxfId="4" priority="1">
      <formula>C$2=""</formula>
    </cfRule>
  </conditionalFormatting>
  <conditionalFormatting sqref="C13:H54">
    <cfRule type="expression" dxfId="2" priority="2">
      <formula>OR(#REF!=C$2,#REF!=C$2,#REF!=C$2,#REF!=C$2,#REF!=C$2,#REF!=C$2,#REF!=C$2,#REF!=C$2,#REF!=C$2)</formula>
    </cfRule>
  </conditionalFormatting>
  <conditionalFormatting sqref="C59:H84 C91:C93">
    <cfRule type="expression" dxfId="4" priority="3">
      <formula>C$2=""</formula>
    </cfRule>
  </conditionalFormatting>
  <conditionalFormatting sqref="C59:H84 C91:C93">
    <cfRule type="expression" dxfId="2" priority="4">
      <formula>OR(#REF!=C$2,#REF!=C$2,#REF!=C$2,#REF!=C$2,#REF!=C$2,#REF!=C$2,#REF!=C$2,#REF!=C$2,#REF!=C$2)</formula>
    </cfRule>
  </conditionalFormatting>
  <conditionalFormatting sqref="A1:A2">
    <cfRule type="notContainsBlanks" dxfId="2" priority="5">
      <formula>LEN(TRIM(A1))&gt;0</formula>
    </cfRule>
  </conditionalFormatting>
  <conditionalFormatting sqref="S1:S177">
    <cfRule type="containsText" dxfId="2" priority="6" operator="containsText" text="выполнение">
      <formula>NOT(ISERROR(SEARCH(("выполнение"),(S1))))</formula>
    </cfRule>
  </conditionalFormatting>
  <conditionalFormatting sqref="S1:S177">
    <cfRule type="containsText" dxfId="3" priority="7" operator="containsText" text="план не выполнен">
      <formula>NOT(ISERROR(SEARCH(("план не выполнен"),(S1))))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7.13"/>
    <col customWidth="1" min="2" max="2" width="38.25"/>
    <col customWidth="1" min="3" max="3" width="10.63"/>
    <col collapsed="1" customWidth="1" min="4" max="4" width="10.63"/>
    <col customWidth="1" hidden="1" min="5" max="8" width="10.63" outlineLevel="1"/>
    <col customWidth="1" min="9" max="10" width="10.63"/>
    <col collapsed="1" customWidth="1" min="11" max="11" width="10.63"/>
    <col customWidth="1" hidden="1" min="12" max="15" width="10.63" outlineLevel="1"/>
    <col customWidth="1" min="16" max="16" width="10.63"/>
    <col customWidth="1" min="17" max="18" width="11.38"/>
    <col customWidth="1" min="19" max="19" width="16.88"/>
  </cols>
  <sheetData>
    <row r="1">
      <c r="A1" s="88">
        <v>8.0</v>
      </c>
      <c r="B1" s="89"/>
      <c r="C1" s="90" t="s">
        <v>127</v>
      </c>
      <c r="D1" s="91"/>
      <c r="E1" s="91"/>
      <c r="F1" s="91"/>
      <c r="G1" s="91"/>
      <c r="H1" s="91"/>
      <c r="I1" s="92"/>
      <c r="J1" s="93" t="s">
        <v>128</v>
      </c>
      <c r="K1" s="91"/>
      <c r="L1" s="91"/>
      <c r="M1" s="91"/>
      <c r="N1" s="91"/>
      <c r="O1" s="91"/>
      <c r="P1" s="92"/>
      <c r="Q1" s="94" t="s">
        <v>129</v>
      </c>
      <c r="S1" s="94"/>
    </row>
    <row r="2">
      <c r="A2" s="88" t="s">
        <v>130</v>
      </c>
      <c r="B2" s="89"/>
      <c r="C2" s="95" t="str">
        <f t="array" ref="C2:H2">TRANSPOSE('Справочник'!D2:D7)</f>
        <v>ООО "Весело живем"</v>
      </c>
      <c r="D2" s="96" t="s">
        <v>84</v>
      </c>
      <c r="E2" s="97">
        <v>3.0</v>
      </c>
      <c r="F2" s="97">
        <v>4.0</v>
      </c>
      <c r="G2" s="97">
        <v>5.0</v>
      </c>
      <c r="H2" s="97">
        <v>6.0</v>
      </c>
      <c r="I2" s="98" t="s">
        <v>131</v>
      </c>
      <c r="J2" s="95" t="str">
        <f t="array" ref="J2:O2">TRANSPOSE('Справочник'!D2:D7)</f>
        <v>ООО "Весело живем"</v>
      </c>
      <c r="K2" s="96" t="s">
        <v>84</v>
      </c>
      <c r="L2" s="97">
        <v>3.0</v>
      </c>
      <c r="M2" s="97">
        <v>4.0</v>
      </c>
      <c r="N2" s="97">
        <v>5.0</v>
      </c>
      <c r="O2" s="97">
        <v>6.0</v>
      </c>
      <c r="P2" s="98" t="s">
        <v>131</v>
      </c>
      <c r="Q2" s="99" t="s">
        <v>154</v>
      </c>
      <c r="R2" s="100" t="s">
        <v>133</v>
      </c>
      <c r="S2" s="101" t="s">
        <v>134</v>
      </c>
    </row>
    <row r="3">
      <c r="A3" s="102"/>
      <c r="B3" s="103" t="s">
        <v>86</v>
      </c>
      <c r="C3" s="104">
        <f t="shared" ref="C3:H3" si="1">SUM(C4:C10)</f>
        <v>9</v>
      </c>
      <c r="D3" s="105">
        <f t="shared" si="1"/>
        <v>0</v>
      </c>
      <c r="E3" s="105">
        <f t="shared" si="1"/>
        <v>0</v>
      </c>
      <c r="F3" s="105">
        <f t="shared" si="1"/>
        <v>0</v>
      </c>
      <c r="G3" s="105">
        <f t="shared" si="1"/>
        <v>0</v>
      </c>
      <c r="H3" s="105">
        <f t="shared" si="1"/>
        <v>0</v>
      </c>
      <c r="I3" s="106">
        <f>sum(C3:H3)</f>
        <v>9</v>
      </c>
      <c r="J3" s="104">
        <f t="shared" ref="J3:K3" si="2">SUM(J4:J10)</f>
        <v>0</v>
      </c>
      <c r="K3" s="105">
        <f t="shared" si="2"/>
        <v>0</v>
      </c>
      <c r="L3" s="105"/>
      <c r="M3" s="105"/>
      <c r="N3" s="105"/>
      <c r="O3" s="105"/>
      <c r="P3" s="107">
        <f>SUM(P4:P10)</f>
        <v>0</v>
      </c>
      <c r="Q3" s="105">
        <f t="shared" ref="Q3:Q55" si="3">I3-P3</f>
        <v>9</v>
      </c>
      <c r="R3" s="108">
        <f t="shared" ref="R3:R55" si="4">IFERROR(I3/P3,0)</f>
        <v>0</v>
      </c>
      <c r="S3" s="109" t="str">
        <f>IF(Q3=0,"",IF(R3&gt;1,"выполнение","план не выполнен"))</f>
        <v>план не выполнен</v>
      </c>
    </row>
    <row r="4">
      <c r="A4" s="110" t="str">
        <f>IFERROR(VLOOKUP(B4,'Статьи'!$A$2:C26,3,0)," ")</f>
        <v>1С сч 90.01 убрать НДС!</v>
      </c>
      <c r="B4" s="111" t="str">
        <f>IFERROR(__xludf.DUMMYFUNCTION("iferror(filter('Статьи'!$A$1:$A177,'Статьи'!$B$1:$B177=$B$3))"),"Выручка от аренды машиноместа")</f>
        <v>Выручка от аренды машиноместа</v>
      </c>
      <c r="C4" s="112">
        <v>9.0</v>
      </c>
      <c r="D4" s="113"/>
      <c r="E4" s="114"/>
      <c r="F4" s="115"/>
      <c r="G4" s="115"/>
      <c r="H4" s="115"/>
      <c r="I4" s="116">
        <f t="shared" ref="I4:I8" si="5">SUM(C4:H4)</f>
        <v>9</v>
      </c>
      <c r="J4" s="117"/>
      <c r="K4" s="118"/>
      <c r="L4" s="118"/>
      <c r="M4" s="118"/>
      <c r="N4" s="118"/>
      <c r="O4" s="118"/>
      <c r="P4" s="116">
        <f t="shared" ref="P4:P5" si="6">SUM(J4:K4)</f>
        <v>0</v>
      </c>
      <c r="Q4" s="119">
        <f t="shared" si="3"/>
        <v>9</v>
      </c>
      <c r="R4" s="120">
        <f t="shared" si="4"/>
        <v>0</v>
      </c>
      <c r="S4" s="121" t="str">
        <f t="shared" ref="S4:S10" si="7">IF(Q4=0,"",IF(R4=0,"обратить внимание",IF(R4&gt;1,"выполнение","план не выполнен")))</f>
        <v>обратить внимание</v>
      </c>
    </row>
    <row r="5" collapsed="1">
      <c r="A5" s="110" t="str">
        <f>IFERROR(VLOOKUP(B5,'Статьи'!$A$2:C27,3,0)," ")</f>
        <v>1С сч 90.01 убрать НДС!</v>
      </c>
      <c r="B5" s="111" t="str">
        <f>IFERROR(__xludf.DUMMYFUNCTION("""COMPUTED_VALUE"""),"Выручка за грузоперевозки")</f>
        <v>Выручка за грузоперевозки</v>
      </c>
      <c r="C5" s="112"/>
      <c r="D5" s="113"/>
      <c r="E5" s="114"/>
      <c r="F5" s="115"/>
      <c r="G5" s="115"/>
      <c r="H5" s="115"/>
      <c r="I5" s="116">
        <f t="shared" si="5"/>
        <v>0</v>
      </c>
      <c r="J5" s="117"/>
      <c r="K5" s="118"/>
      <c r="L5" s="118"/>
      <c r="M5" s="118"/>
      <c r="N5" s="118"/>
      <c r="O5" s="118"/>
      <c r="P5" s="116">
        <f t="shared" si="6"/>
        <v>0</v>
      </c>
      <c r="Q5" s="119">
        <f t="shared" si="3"/>
        <v>0</v>
      </c>
      <c r="R5" s="120">
        <f t="shared" si="4"/>
        <v>0</v>
      </c>
      <c r="S5" s="121" t="str">
        <f t="shared" si="7"/>
        <v/>
      </c>
    </row>
    <row r="6" hidden="1" outlineLevel="1">
      <c r="A6" s="110" t="str">
        <f>IFERROR(VLOOKUP(B6,'Статьи'!$A$2:C28,3,0)," ")</f>
        <v> </v>
      </c>
      <c r="B6" s="111"/>
      <c r="C6" s="122"/>
      <c r="D6" s="115"/>
      <c r="E6" s="115"/>
      <c r="F6" s="114"/>
      <c r="G6" s="114"/>
      <c r="H6" s="114"/>
      <c r="I6" s="116">
        <f t="shared" si="5"/>
        <v>0</v>
      </c>
      <c r="J6" s="123"/>
      <c r="K6" s="118"/>
      <c r="L6" s="118"/>
      <c r="M6" s="118"/>
      <c r="N6" s="118"/>
      <c r="O6" s="118"/>
      <c r="P6" s="116">
        <f t="shared" ref="P6:P8" si="8">SUM(F6:J6)</f>
        <v>0</v>
      </c>
      <c r="Q6" s="119">
        <f t="shared" si="3"/>
        <v>0</v>
      </c>
      <c r="R6" s="120">
        <f t="shared" si="4"/>
        <v>0</v>
      </c>
      <c r="S6" s="121" t="str">
        <f t="shared" si="7"/>
        <v/>
      </c>
    </row>
    <row r="7" hidden="1" outlineLevel="1">
      <c r="A7" s="110" t="str">
        <f>IFERROR(VLOOKUP(B7,'Статьи'!$A$2:C29,3,0)," ")</f>
        <v> </v>
      </c>
      <c r="B7" s="111"/>
      <c r="C7" s="122"/>
      <c r="D7" s="115"/>
      <c r="E7" s="115"/>
      <c r="F7" s="115"/>
      <c r="G7" s="115"/>
      <c r="H7" s="115"/>
      <c r="I7" s="116">
        <f t="shared" si="5"/>
        <v>0</v>
      </c>
      <c r="J7" s="123"/>
      <c r="K7" s="118"/>
      <c r="L7" s="118"/>
      <c r="M7" s="118"/>
      <c r="N7" s="118"/>
      <c r="O7" s="118"/>
      <c r="P7" s="116">
        <f t="shared" si="8"/>
        <v>0</v>
      </c>
      <c r="Q7" s="119">
        <f t="shared" si="3"/>
        <v>0</v>
      </c>
      <c r="R7" s="120">
        <f t="shared" si="4"/>
        <v>0</v>
      </c>
      <c r="S7" s="121" t="str">
        <f t="shared" si="7"/>
        <v/>
      </c>
    </row>
    <row r="8" hidden="1" outlineLevel="1">
      <c r="A8" s="110" t="str">
        <f>IFERROR(VLOOKUP(B8,'Статьи'!$A$2:C30,3,0)," ")</f>
        <v> </v>
      </c>
      <c r="B8" s="111"/>
      <c r="C8" s="122"/>
      <c r="D8" s="115"/>
      <c r="E8" s="115"/>
      <c r="F8" s="115"/>
      <c r="G8" s="115"/>
      <c r="H8" s="115"/>
      <c r="I8" s="116">
        <f t="shared" si="5"/>
        <v>0</v>
      </c>
      <c r="J8" s="123"/>
      <c r="K8" s="118"/>
      <c r="L8" s="118"/>
      <c r="M8" s="118"/>
      <c r="N8" s="118"/>
      <c r="O8" s="118"/>
      <c r="P8" s="116">
        <f t="shared" si="8"/>
        <v>0</v>
      </c>
      <c r="Q8" s="119">
        <f t="shared" si="3"/>
        <v>0</v>
      </c>
      <c r="R8" s="120">
        <f t="shared" si="4"/>
        <v>0</v>
      </c>
      <c r="S8" s="121" t="str">
        <f t="shared" si="7"/>
        <v/>
      </c>
    </row>
    <row r="9" hidden="1" outlineLevel="1">
      <c r="A9" s="110" t="str">
        <f>IFERROR(VLOOKUP(B9,'Статьи'!$A$2:C31,3,0)," ")</f>
        <v> </v>
      </c>
      <c r="B9" s="111"/>
      <c r="C9" s="124"/>
      <c r="D9" s="115"/>
      <c r="E9" s="115"/>
      <c r="F9" s="115"/>
      <c r="G9" s="115"/>
      <c r="H9" s="115"/>
      <c r="I9" s="116"/>
      <c r="J9" s="123"/>
      <c r="K9" s="118"/>
      <c r="L9" s="118"/>
      <c r="M9" s="118"/>
      <c r="N9" s="118"/>
      <c r="O9" s="118"/>
      <c r="P9" s="116"/>
      <c r="Q9" s="119">
        <f t="shared" si="3"/>
        <v>0</v>
      </c>
      <c r="R9" s="120">
        <f t="shared" si="4"/>
        <v>0</v>
      </c>
      <c r="S9" s="121" t="str">
        <f t="shared" si="7"/>
        <v/>
      </c>
    </row>
    <row r="10">
      <c r="A10" s="110" t="str">
        <f>IFERROR(VLOOKUP(B10,'Статьи'!$A$2:C32,3,0)," ")</f>
        <v> </v>
      </c>
      <c r="B10" s="125"/>
      <c r="C10" s="122"/>
      <c r="D10" s="115"/>
      <c r="E10" s="115"/>
      <c r="F10" s="115"/>
      <c r="G10" s="115"/>
      <c r="H10" s="115"/>
      <c r="I10" s="116"/>
      <c r="J10" s="123"/>
      <c r="K10" s="118"/>
      <c r="L10" s="118"/>
      <c r="M10" s="118"/>
      <c r="N10" s="118"/>
      <c r="O10" s="118"/>
      <c r="P10" s="116"/>
      <c r="Q10" s="119">
        <f t="shared" si="3"/>
        <v>0</v>
      </c>
      <c r="R10" s="120">
        <f t="shared" si="4"/>
        <v>0</v>
      </c>
      <c r="S10" s="121" t="str">
        <f t="shared" si="7"/>
        <v/>
      </c>
    </row>
    <row r="11">
      <c r="A11" s="126"/>
      <c r="B11" s="127" t="s">
        <v>135</v>
      </c>
      <c r="C11" s="128">
        <f t="shared" ref="C11:K11" si="9">C12+C58</f>
        <v>0</v>
      </c>
      <c r="D11" s="129">
        <f t="shared" si="9"/>
        <v>0</v>
      </c>
      <c r="E11" s="129">
        <f t="shared" si="9"/>
        <v>0</v>
      </c>
      <c r="F11" s="129">
        <f t="shared" si="9"/>
        <v>0</v>
      </c>
      <c r="G11" s="129">
        <f t="shared" si="9"/>
        <v>0</v>
      </c>
      <c r="H11" s="129">
        <f t="shared" si="9"/>
        <v>0</v>
      </c>
      <c r="I11" s="130">
        <f t="shared" si="9"/>
        <v>0</v>
      </c>
      <c r="J11" s="128">
        <f t="shared" si="9"/>
        <v>0</v>
      </c>
      <c r="K11" s="129">
        <f t="shared" si="9"/>
        <v>0</v>
      </c>
      <c r="L11" s="129"/>
      <c r="M11" s="129"/>
      <c r="N11" s="129"/>
      <c r="O11" s="129"/>
      <c r="P11" s="131">
        <f>P12+P58</f>
        <v>0</v>
      </c>
      <c r="Q11" s="132">
        <f t="shared" si="3"/>
        <v>0</v>
      </c>
      <c r="R11" s="133">
        <f t="shared" si="4"/>
        <v>0</v>
      </c>
      <c r="S11" s="134" t="str">
        <f>IF(Q11=0,"",IF(R11&gt;1,"план не выполнен","выполнение"))</f>
        <v/>
      </c>
    </row>
    <row r="12">
      <c r="A12" s="135"/>
      <c r="B12" s="136" t="s">
        <v>99</v>
      </c>
      <c r="C12" s="137">
        <f t="shared" ref="C12:K12" si="10">sum(C13:C54)</f>
        <v>0</v>
      </c>
      <c r="D12" s="138">
        <f t="shared" si="10"/>
        <v>0</v>
      </c>
      <c r="E12" s="138">
        <f t="shared" si="10"/>
        <v>0</v>
      </c>
      <c r="F12" s="138">
        <f t="shared" si="10"/>
        <v>0</v>
      </c>
      <c r="G12" s="138">
        <f t="shared" si="10"/>
        <v>0</v>
      </c>
      <c r="H12" s="138">
        <f t="shared" si="10"/>
        <v>0</v>
      </c>
      <c r="I12" s="139">
        <f t="shared" si="10"/>
        <v>0</v>
      </c>
      <c r="J12" s="137">
        <f t="shared" si="10"/>
        <v>0</v>
      </c>
      <c r="K12" s="138">
        <f t="shared" si="10"/>
        <v>0</v>
      </c>
      <c r="L12" s="138"/>
      <c r="M12" s="138"/>
      <c r="N12" s="138"/>
      <c r="O12" s="138"/>
      <c r="P12" s="140">
        <f>sum(P13:P54)</f>
        <v>0</v>
      </c>
      <c r="Q12" s="119">
        <f t="shared" si="3"/>
        <v>0</v>
      </c>
      <c r="R12" s="120">
        <f t="shared" si="4"/>
        <v>0</v>
      </c>
      <c r="S12" s="121" t="str">
        <f t="shared" ref="S12:S17" si="11">IF(Q12=0,"",IF(R12=0,"обратить внимание",IF(R12&gt;1,"перерасход","экономия")))</f>
        <v/>
      </c>
    </row>
    <row r="13">
      <c r="A13" s="142" t="str">
        <f>IFERROR(VLOOKUP(B13,'Статьи'!$A$2:C35,3,0)," ")</f>
        <v>ДДС отчетного месяца. Без НДС!</v>
      </c>
      <c r="B13" s="125" t="str">
        <f>IFERROR(__xludf.DUMMYFUNCTION("iferror(filter('Статьи'!$A$1:$A177,'Статьи'!$B$1:$B177=$B$12))"),"Комиссия топливных компаний")</f>
        <v>Комиссия топливных компаний</v>
      </c>
      <c r="C13" s="112"/>
      <c r="D13" s="113"/>
      <c r="E13" s="114"/>
      <c r="F13" s="114"/>
      <c r="G13" s="114"/>
      <c r="H13" s="143"/>
      <c r="I13" s="116">
        <f t="shared" ref="I13:I54" si="12">sum(C13:H13)</f>
        <v>0</v>
      </c>
      <c r="J13" s="117"/>
      <c r="K13" s="118"/>
      <c r="L13" s="118"/>
      <c r="M13" s="118"/>
      <c r="N13" s="118"/>
      <c r="O13" s="118"/>
      <c r="P13" s="116">
        <f t="shared" ref="P13:P16" si="13">SUM(J13:K13)</f>
        <v>0</v>
      </c>
      <c r="Q13" s="119">
        <f t="shared" si="3"/>
        <v>0</v>
      </c>
      <c r="R13" s="120">
        <f t="shared" si="4"/>
        <v>0</v>
      </c>
      <c r="S13" s="121" t="str">
        <f t="shared" si="11"/>
        <v/>
      </c>
    </row>
    <row r="14">
      <c r="A14" s="142" t="str">
        <f>IFERROR(VLOOKUP(B14,'Статьи'!$A$2:C36,3,0)," ")</f>
        <v>1С</v>
      </c>
      <c r="B14" s="125" t="str">
        <f>IFERROR(__xludf.DUMMYFUNCTION("""COMPUTED_VALUE"""),"Топливо для грузовых авто ")</f>
        <v>Топливо для грузовых авто </v>
      </c>
      <c r="C14" s="145"/>
      <c r="D14" s="113"/>
      <c r="E14" s="114"/>
      <c r="F14" s="146"/>
      <c r="G14" s="146"/>
      <c r="H14" s="143"/>
      <c r="I14" s="116">
        <f t="shared" si="12"/>
        <v>0</v>
      </c>
      <c r="J14" s="117"/>
      <c r="K14" s="118"/>
      <c r="L14" s="118"/>
      <c r="M14" s="118"/>
      <c r="N14" s="118"/>
      <c r="O14" s="118"/>
      <c r="P14" s="116">
        <f t="shared" si="13"/>
        <v>0</v>
      </c>
      <c r="Q14" s="119">
        <f t="shared" si="3"/>
        <v>0</v>
      </c>
      <c r="R14" s="120">
        <f t="shared" si="4"/>
        <v>0</v>
      </c>
      <c r="S14" s="121" t="str">
        <f t="shared" si="11"/>
        <v/>
      </c>
    </row>
    <row r="15">
      <c r="A15" s="142" t="str">
        <f>IFERROR(VLOOKUP(B15,'Статьи'!$A$2:C37,3,0)," ")</f>
        <v> </v>
      </c>
      <c r="B15" s="144"/>
      <c r="C15" s="145"/>
      <c r="D15" s="113"/>
      <c r="E15" s="114"/>
      <c r="F15" s="146"/>
      <c r="G15" s="146"/>
      <c r="H15" s="143"/>
      <c r="I15" s="116">
        <f t="shared" si="12"/>
        <v>0</v>
      </c>
      <c r="J15" s="117"/>
      <c r="K15" s="118"/>
      <c r="L15" s="118"/>
      <c r="M15" s="118"/>
      <c r="N15" s="118"/>
      <c r="O15" s="118"/>
      <c r="P15" s="116">
        <f t="shared" si="13"/>
        <v>0</v>
      </c>
      <c r="Q15" s="119">
        <f t="shared" si="3"/>
        <v>0</v>
      </c>
      <c r="R15" s="120">
        <f t="shared" si="4"/>
        <v>0</v>
      </c>
      <c r="S15" s="121" t="str">
        <f t="shared" si="11"/>
        <v/>
      </c>
    </row>
    <row r="16">
      <c r="A16" s="142" t="str">
        <f>IFERROR(VLOOKUP(B16,'Статьи'!$A$2:C38,3,0)," ")</f>
        <v> </v>
      </c>
      <c r="B16" s="144"/>
      <c r="C16" s="145"/>
      <c r="D16" s="113"/>
      <c r="E16" s="114"/>
      <c r="F16" s="146"/>
      <c r="G16" s="146"/>
      <c r="H16" s="143"/>
      <c r="I16" s="116">
        <f t="shared" si="12"/>
        <v>0</v>
      </c>
      <c r="J16" s="117"/>
      <c r="K16" s="118"/>
      <c r="L16" s="118"/>
      <c r="M16" s="118"/>
      <c r="N16" s="118"/>
      <c r="O16" s="118"/>
      <c r="P16" s="116">
        <f t="shared" si="13"/>
        <v>0</v>
      </c>
      <c r="Q16" s="119">
        <f t="shared" si="3"/>
        <v>0</v>
      </c>
      <c r="R16" s="120">
        <f t="shared" si="4"/>
        <v>0</v>
      </c>
      <c r="S16" s="121" t="str">
        <f t="shared" si="11"/>
        <v/>
      </c>
    </row>
    <row r="17" collapsed="1">
      <c r="A17" s="147" t="str">
        <f>IFERROR(VLOOKUP(B17,'Статьи'!$A$2:C39,3,0)," ")</f>
        <v> </v>
      </c>
      <c r="B17" s="144"/>
      <c r="C17" s="145"/>
      <c r="D17" s="114"/>
      <c r="E17" s="114"/>
      <c r="F17" s="146"/>
      <c r="G17" s="146"/>
      <c r="H17" s="143"/>
      <c r="I17" s="116">
        <f t="shared" si="12"/>
        <v>0</v>
      </c>
      <c r="J17" s="123"/>
      <c r="K17" s="118"/>
      <c r="L17" s="118"/>
      <c r="M17" s="118"/>
      <c r="N17" s="118"/>
      <c r="O17" s="118"/>
      <c r="P17" s="116">
        <f t="shared" ref="P17:P54" si="14">sum(F17:J17)</f>
        <v>0</v>
      </c>
      <c r="Q17" s="119">
        <f t="shared" si="3"/>
        <v>0</v>
      </c>
      <c r="R17" s="120">
        <f t="shared" si="4"/>
        <v>0</v>
      </c>
      <c r="S17" s="121" t="str">
        <f t="shared" si="11"/>
        <v/>
      </c>
    </row>
    <row r="18" hidden="1" outlineLevel="1">
      <c r="A18" s="147"/>
      <c r="B18" s="144"/>
      <c r="C18" s="145"/>
      <c r="D18" s="114"/>
      <c r="E18" s="114"/>
      <c r="F18" s="146"/>
      <c r="G18" s="146"/>
      <c r="H18" s="143"/>
      <c r="I18" s="116">
        <f t="shared" si="12"/>
        <v>0</v>
      </c>
      <c r="J18" s="123"/>
      <c r="K18" s="118"/>
      <c r="L18" s="118"/>
      <c r="M18" s="118"/>
      <c r="N18" s="118"/>
      <c r="O18" s="118"/>
      <c r="P18" s="116">
        <f t="shared" si="14"/>
        <v>0</v>
      </c>
      <c r="Q18" s="132">
        <f t="shared" si="3"/>
        <v>0</v>
      </c>
      <c r="R18" s="133">
        <f t="shared" si="4"/>
        <v>0</v>
      </c>
      <c r="S18" s="133">
        <f t="shared" ref="S18:S54" si="15">IF(Q18=0,0,IF(R18&gt;1,"перерасход","экономия"))</f>
        <v>0</v>
      </c>
    </row>
    <row r="19" hidden="1" outlineLevel="1">
      <c r="A19" s="147"/>
      <c r="B19" s="144"/>
      <c r="C19" s="148"/>
      <c r="D19" s="114"/>
      <c r="E19" s="114"/>
      <c r="F19" s="146"/>
      <c r="G19" s="146"/>
      <c r="H19" s="143"/>
      <c r="I19" s="116">
        <f t="shared" si="12"/>
        <v>0</v>
      </c>
      <c r="J19" s="123"/>
      <c r="K19" s="118"/>
      <c r="L19" s="118"/>
      <c r="M19" s="118"/>
      <c r="N19" s="118"/>
      <c r="O19" s="118"/>
      <c r="P19" s="116">
        <f t="shared" si="14"/>
        <v>0</v>
      </c>
      <c r="Q19" s="132">
        <f t="shared" si="3"/>
        <v>0</v>
      </c>
      <c r="R19" s="133">
        <f t="shared" si="4"/>
        <v>0</v>
      </c>
      <c r="S19" s="133">
        <f t="shared" si="15"/>
        <v>0</v>
      </c>
    </row>
    <row r="20" hidden="1" outlineLevel="1">
      <c r="A20" s="147"/>
      <c r="B20" s="144"/>
      <c r="C20" s="148"/>
      <c r="D20" s="114"/>
      <c r="E20" s="114"/>
      <c r="F20" s="146"/>
      <c r="G20" s="146"/>
      <c r="H20" s="143"/>
      <c r="I20" s="116">
        <f t="shared" si="12"/>
        <v>0</v>
      </c>
      <c r="J20" s="123"/>
      <c r="K20" s="118"/>
      <c r="L20" s="118"/>
      <c r="M20" s="118"/>
      <c r="N20" s="118"/>
      <c r="O20" s="118"/>
      <c r="P20" s="116">
        <f t="shared" si="14"/>
        <v>0</v>
      </c>
      <c r="Q20" s="132">
        <f t="shared" si="3"/>
        <v>0</v>
      </c>
      <c r="R20" s="133">
        <f t="shared" si="4"/>
        <v>0</v>
      </c>
      <c r="S20" s="133">
        <f t="shared" si="15"/>
        <v>0</v>
      </c>
    </row>
    <row r="21" hidden="1" outlineLevel="1">
      <c r="A21" s="147"/>
      <c r="B21" s="144"/>
      <c r="C21" s="148"/>
      <c r="D21" s="114"/>
      <c r="E21" s="114"/>
      <c r="F21" s="146"/>
      <c r="G21" s="146"/>
      <c r="H21" s="143"/>
      <c r="I21" s="116">
        <f t="shared" si="12"/>
        <v>0</v>
      </c>
      <c r="J21" s="123"/>
      <c r="K21" s="118"/>
      <c r="L21" s="118"/>
      <c r="M21" s="118"/>
      <c r="N21" s="118"/>
      <c r="O21" s="118"/>
      <c r="P21" s="116">
        <f t="shared" si="14"/>
        <v>0</v>
      </c>
      <c r="Q21" s="132">
        <f t="shared" si="3"/>
        <v>0</v>
      </c>
      <c r="R21" s="133">
        <f t="shared" si="4"/>
        <v>0</v>
      </c>
      <c r="S21" s="133">
        <f t="shared" si="15"/>
        <v>0</v>
      </c>
    </row>
    <row r="22" hidden="1" outlineLevel="1">
      <c r="A22" s="147"/>
      <c r="B22" s="144"/>
      <c r="C22" s="145"/>
      <c r="D22" s="114"/>
      <c r="E22" s="114"/>
      <c r="F22" s="146"/>
      <c r="G22" s="146"/>
      <c r="H22" s="149"/>
      <c r="I22" s="116">
        <f t="shared" si="12"/>
        <v>0</v>
      </c>
      <c r="J22" s="123"/>
      <c r="K22" s="118"/>
      <c r="L22" s="118"/>
      <c r="M22" s="118"/>
      <c r="N22" s="118"/>
      <c r="O22" s="118"/>
      <c r="P22" s="116">
        <f t="shared" si="14"/>
        <v>0</v>
      </c>
      <c r="Q22" s="132">
        <f t="shared" si="3"/>
        <v>0</v>
      </c>
      <c r="R22" s="133">
        <f t="shared" si="4"/>
        <v>0</v>
      </c>
      <c r="S22" s="133">
        <f t="shared" si="15"/>
        <v>0</v>
      </c>
    </row>
    <row r="23" hidden="1" outlineLevel="1">
      <c r="A23" s="150"/>
      <c r="B23" s="151"/>
      <c r="C23" s="148"/>
      <c r="D23" s="114"/>
      <c r="E23" s="114"/>
      <c r="F23" s="146"/>
      <c r="G23" s="146"/>
      <c r="H23" s="143"/>
      <c r="I23" s="116">
        <f t="shared" si="12"/>
        <v>0</v>
      </c>
      <c r="J23" s="123"/>
      <c r="K23" s="118"/>
      <c r="L23" s="118"/>
      <c r="M23" s="118"/>
      <c r="N23" s="118"/>
      <c r="O23" s="118"/>
      <c r="P23" s="116">
        <f t="shared" si="14"/>
        <v>0</v>
      </c>
      <c r="Q23" s="132">
        <f t="shared" si="3"/>
        <v>0</v>
      </c>
      <c r="R23" s="133">
        <f t="shared" si="4"/>
        <v>0</v>
      </c>
      <c r="S23" s="133">
        <f t="shared" si="15"/>
        <v>0</v>
      </c>
    </row>
    <row r="24" hidden="1" outlineLevel="1">
      <c r="A24" s="142"/>
      <c r="B24" s="125"/>
      <c r="C24" s="148"/>
      <c r="D24" s="114"/>
      <c r="E24" s="114"/>
      <c r="F24" s="146"/>
      <c r="G24" s="146"/>
      <c r="H24" s="143"/>
      <c r="I24" s="116">
        <f t="shared" si="12"/>
        <v>0</v>
      </c>
      <c r="J24" s="123"/>
      <c r="K24" s="118"/>
      <c r="L24" s="118"/>
      <c r="M24" s="118"/>
      <c r="N24" s="118"/>
      <c r="O24" s="118"/>
      <c r="P24" s="116">
        <f t="shared" si="14"/>
        <v>0</v>
      </c>
      <c r="Q24" s="132">
        <f t="shared" si="3"/>
        <v>0</v>
      </c>
      <c r="R24" s="133">
        <f t="shared" si="4"/>
        <v>0</v>
      </c>
      <c r="S24" s="133">
        <f t="shared" si="15"/>
        <v>0</v>
      </c>
    </row>
    <row r="25" hidden="1" outlineLevel="1">
      <c r="A25" s="142"/>
      <c r="B25" s="125"/>
      <c r="C25" s="123"/>
      <c r="D25" s="114"/>
      <c r="E25" s="114"/>
      <c r="F25" s="114"/>
      <c r="G25" s="114"/>
      <c r="H25" s="143"/>
      <c r="I25" s="116">
        <f t="shared" si="12"/>
        <v>0</v>
      </c>
      <c r="J25" s="123"/>
      <c r="K25" s="118"/>
      <c r="L25" s="118"/>
      <c r="M25" s="118"/>
      <c r="N25" s="118"/>
      <c r="O25" s="118"/>
      <c r="P25" s="116">
        <f t="shared" si="14"/>
        <v>0</v>
      </c>
      <c r="Q25" s="132">
        <f t="shared" si="3"/>
        <v>0</v>
      </c>
      <c r="R25" s="133">
        <f t="shared" si="4"/>
        <v>0</v>
      </c>
      <c r="S25" s="133">
        <f t="shared" si="15"/>
        <v>0</v>
      </c>
    </row>
    <row r="26" hidden="1" outlineLevel="1">
      <c r="A26" s="142"/>
      <c r="B26" s="125"/>
      <c r="C26" s="123"/>
      <c r="D26" s="114"/>
      <c r="E26" s="114"/>
      <c r="F26" s="114"/>
      <c r="G26" s="114"/>
      <c r="H26" s="143"/>
      <c r="I26" s="116">
        <f t="shared" si="12"/>
        <v>0</v>
      </c>
      <c r="J26" s="123"/>
      <c r="K26" s="118"/>
      <c r="L26" s="118"/>
      <c r="M26" s="118"/>
      <c r="N26" s="118"/>
      <c r="O26" s="118"/>
      <c r="P26" s="116">
        <f t="shared" si="14"/>
        <v>0</v>
      </c>
      <c r="Q26" s="132">
        <f t="shared" si="3"/>
        <v>0</v>
      </c>
      <c r="R26" s="133">
        <f t="shared" si="4"/>
        <v>0</v>
      </c>
      <c r="S26" s="133">
        <f t="shared" si="15"/>
        <v>0</v>
      </c>
    </row>
    <row r="27" hidden="1" outlineLevel="1">
      <c r="A27" s="142"/>
      <c r="B27" s="125"/>
      <c r="C27" s="123"/>
      <c r="D27" s="114"/>
      <c r="E27" s="114"/>
      <c r="F27" s="114"/>
      <c r="G27" s="114"/>
      <c r="H27" s="143"/>
      <c r="I27" s="116">
        <f t="shared" si="12"/>
        <v>0</v>
      </c>
      <c r="J27" s="123"/>
      <c r="K27" s="118"/>
      <c r="L27" s="118"/>
      <c r="M27" s="118"/>
      <c r="N27" s="118"/>
      <c r="O27" s="118"/>
      <c r="P27" s="116">
        <f t="shared" si="14"/>
        <v>0</v>
      </c>
      <c r="Q27" s="132">
        <f t="shared" si="3"/>
        <v>0</v>
      </c>
      <c r="R27" s="133">
        <f t="shared" si="4"/>
        <v>0</v>
      </c>
      <c r="S27" s="133">
        <f t="shared" si="15"/>
        <v>0</v>
      </c>
    </row>
    <row r="28" hidden="1" outlineLevel="1">
      <c r="A28" s="142"/>
      <c r="B28" s="125"/>
      <c r="C28" s="123"/>
      <c r="D28" s="114"/>
      <c r="E28" s="114"/>
      <c r="F28" s="114"/>
      <c r="G28" s="114"/>
      <c r="H28" s="143"/>
      <c r="I28" s="116">
        <f t="shared" si="12"/>
        <v>0</v>
      </c>
      <c r="J28" s="123"/>
      <c r="K28" s="118"/>
      <c r="L28" s="118"/>
      <c r="M28" s="118"/>
      <c r="N28" s="118"/>
      <c r="O28" s="118"/>
      <c r="P28" s="116">
        <f t="shared" si="14"/>
        <v>0</v>
      </c>
      <c r="Q28" s="132">
        <f t="shared" si="3"/>
        <v>0</v>
      </c>
      <c r="R28" s="133">
        <f t="shared" si="4"/>
        <v>0</v>
      </c>
      <c r="S28" s="133">
        <f t="shared" si="15"/>
        <v>0</v>
      </c>
    </row>
    <row r="29" hidden="1" outlineLevel="1">
      <c r="A29" s="142"/>
      <c r="B29" s="125"/>
      <c r="C29" s="123"/>
      <c r="D29" s="114"/>
      <c r="E29" s="114"/>
      <c r="F29" s="114"/>
      <c r="G29" s="114"/>
      <c r="H29" s="143"/>
      <c r="I29" s="116">
        <f t="shared" si="12"/>
        <v>0</v>
      </c>
      <c r="J29" s="123"/>
      <c r="K29" s="118"/>
      <c r="L29" s="118"/>
      <c r="M29" s="118"/>
      <c r="N29" s="118"/>
      <c r="O29" s="118"/>
      <c r="P29" s="116">
        <f t="shared" si="14"/>
        <v>0</v>
      </c>
      <c r="Q29" s="132">
        <f t="shared" si="3"/>
        <v>0</v>
      </c>
      <c r="R29" s="133">
        <f t="shared" si="4"/>
        <v>0</v>
      </c>
      <c r="S29" s="133">
        <f t="shared" si="15"/>
        <v>0</v>
      </c>
    </row>
    <row r="30" hidden="1" outlineLevel="1">
      <c r="A30" s="142"/>
      <c r="B30" s="125"/>
      <c r="C30" s="123"/>
      <c r="D30" s="114"/>
      <c r="E30" s="114"/>
      <c r="F30" s="114"/>
      <c r="G30" s="114"/>
      <c r="H30" s="143"/>
      <c r="I30" s="116">
        <f t="shared" si="12"/>
        <v>0</v>
      </c>
      <c r="J30" s="123"/>
      <c r="K30" s="118"/>
      <c r="L30" s="118"/>
      <c r="M30" s="118"/>
      <c r="N30" s="118"/>
      <c r="O30" s="118"/>
      <c r="P30" s="116">
        <f t="shared" si="14"/>
        <v>0</v>
      </c>
      <c r="Q30" s="132">
        <f t="shared" si="3"/>
        <v>0</v>
      </c>
      <c r="R30" s="133">
        <f t="shared" si="4"/>
        <v>0</v>
      </c>
      <c r="S30" s="133">
        <f t="shared" si="15"/>
        <v>0</v>
      </c>
    </row>
    <row r="31" hidden="1" outlineLevel="1">
      <c r="A31" s="142"/>
      <c r="B31" s="125"/>
      <c r="C31" s="123"/>
      <c r="D31" s="114"/>
      <c r="E31" s="114"/>
      <c r="F31" s="114"/>
      <c r="G31" s="114"/>
      <c r="H31" s="143"/>
      <c r="I31" s="116">
        <f t="shared" si="12"/>
        <v>0</v>
      </c>
      <c r="J31" s="123"/>
      <c r="K31" s="118"/>
      <c r="L31" s="118"/>
      <c r="M31" s="118"/>
      <c r="N31" s="118"/>
      <c r="O31" s="118"/>
      <c r="P31" s="116">
        <f t="shared" si="14"/>
        <v>0</v>
      </c>
      <c r="Q31" s="132">
        <f t="shared" si="3"/>
        <v>0</v>
      </c>
      <c r="R31" s="133">
        <f t="shared" si="4"/>
        <v>0</v>
      </c>
      <c r="S31" s="133">
        <f t="shared" si="15"/>
        <v>0</v>
      </c>
    </row>
    <row r="32" hidden="1" outlineLevel="1">
      <c r="A32" s="142"/>
      <c r="B32" s="125"/>
      <c r="C32" s="123"/>
      <c r="D32" s="114"/>
      <c r="E32" s="114"/>
      <c r="F32" s="114"/>
      <c r="G32" s="114"/>
      <c r="H32" s="143"/>
      <c r="I32" s="116">
        <f t="shared" si="12"/>
        <v>0</v>
      </c>
      <c r="J32" s="123"/>
      <c r="K32" s="118"/>
      <c r="L32" s="118"/>
      <c r="M32" s="118"/>
      <c r="N32" s="118"/>
      <c r="O32" s="118"/>
      <c r="P32" s="116">
        <f t="shared" si="14"/>
        <v>0</v>
      </c>
      <c r="Q32" s="132">
        <f t="shared" si="3"/>
        <v>0</v>
      </c>
      <c r="R32" s="133">
        <f t="shared" si="4"/>
        <v>0</v>
      </c>
      <c r="S32" s="133">
        <f t="shared" si="15"/>
        <v>0</v>
      </c>
    </row>
    <row r="33" hidden="1" outlineLevel="1">
      <c r="A33" s="142"/>
      <c r="B33" s="125"/>
      <c r="C33" s="123"/>
      <c r="D33" s="114"/>
      <c r="E33" s="114"/>
      <c r="F33" s="114"/>
      <c r="G33" s="114"/>
      <c r="H33" s="143"/>
      <c r="I33" s="116">
        <f t="shared" si="12"/>
        <v>0</v>
      </c>
      <c r="J33" s="123"/>
      <c r="K33" s="118"/>
      <c r="L33" s="118"/>
      <c r="M33" s="118"/>
      <c r="N33" s="118"/>
      <c r="O33" s="118"/>
      <c r="P33" s="116">
        <f t="shared" si="14"/>
        <v>0</v>
      </c>
      <c r="Q33" s="132">
        <f t="shared" si="3"/>
        <v>0</v>
      </c>
      <c r="R33" s="133">
        <f t="shared" si="4"/>
        <v>0</v>
      </c>
      <c r="S33" s="133">
        <f t="shared" si="15"/>
        <v>0</v>
      </c>
    </row>
    <row r="34" hidden="1" outlineLevel="1">
      <c r="A34" s="142"/>
      <c r="B34" s="125"/>
      <c r="C34" s="123"/>
      <c r="D34" s="114"/>
      <c r="E34" s="114"/>
      <c r="F34" s="114"/>
      <c r="G34" s="114"/>
      <c r="H34" s="143"/>
      <c r="I34" s="116">
        <f t="shared" si="12"/>
        <v>0</v>
      </c>
      <c r="J34" s="123"/>
      <c r="K34" s="118"/>
      <c r="L34" s="118"/>
      <c r="M34" s="118"/>
      <c r="N34" s="118"/>
      <c r="O34" s="118"/>
      <c r="P34" s="116">
        <f t="shared" si="14"/>
        <v>0</v>
      </c>
      <c r="Q34" s="132">
        <f t="shared" si="3"/>
        <v>0</v>
      </c>
      <c r="R34" s="133">
        <f t="shared" si="4"/>
        <v>0</v>
      </c>
      <c r="S34" s="133">
        <f t="shared" si="15"/>
        <v>0</v>
      </c>
    </row>
    <row r="35" hidden="1" outlineLevel="1">
      <c r="A35" s="142"/>
      <c r="B35" s="125"/>
      <c r="C35" s="123"/>
      <c r="D35" s="114"/>
      <c r="E35" s="114"/>
      <c r="F35" s="114"/>
      <c r="G35" s="114"/>
      <c r="H35" s="143"/>
      <c r="I35" s="116">
        <f t="shared" si="12"/>
        <v>0</v>
      </c>
      <c r="J35" s="123"/>
      <c r="K35" s="118"/>
      <c r="L35" s="118"/>
      <c r="M35" s="118"/>
      <c r="N35" s="118"/>
      <c r="O35" s="118"/>
      <c r="P35" s="116">
        <f t="shared" si="14"/>
        <v>0</v>
      </c>
      <c r="Q35" s="132">
        <f t="shared" si="3"/>
        <v>0</v>
      </c>
      <c r="R35" s="133">
        <f t="shared" si="4"/>
        <v>0</v>
      </c>
      <c r="S35" s="133">
        <f t="shared" si="15"/>
        <v>0</v>
      </c>
    </row>
    <row r="36" hidden="1" outlineLevel="1">
      <c r="A36" s="142"/>
      <c r="B36" s="125"/>
      <c r="C36" s="123"/>
      <c r="D36" s="114"/>
      <c r="E36" s="114"/>
      <c r="F36" s="114"/>
      <c r="G36" s="114"/>
      <c r="H36" s="143"/>
      <c r="I36" s="116">
        <f t="shared" si="12"/>
        <v>0</v>
      </c>
      <c r="J36" s="123"/>
      <c r="K36" s="118"/>
      <c r="L36" s="118"/>
      <c r="M36" s="118"/>
      <c r="N36" s="118"/>
      <c r="O36" s="118"/>
      <c r="P36" s="116">
        <f t="shared" si="14"/>
        <v>0</v>
      </c>
      <c r="Q36" s="132">
        <f t="shared" si="3"/>
        <v>0</v>
      </c>
      <c r="R36" s="133">
        <f t="shared" si="4"/>
        <v>0</v>
      </c>
      <c r="S36" s="133">
        <f t="shared" si="15"/>
        <v>0</v>
      </c>
    </row>
    <row r="37" hidden="1" outlineLevel="1">
      <c r="A37" s="142"/>
      <c r="B37" s="125"/>
      <c r="C37" s="123"/>
      <c r="D37" s="114"/>
      <c r="E37" s="114"/>
      <c r="F37" s="114"/>
      <c r="G37" s="114"/>
      <c r="H37" s="143"/>
      <c r="I37" s="116">
        <f t="shared" si="12"/>
        <v>0</v>
      </c>
      <c r="J37" s="123"/>
      <c r="K37" s="118"/>
      <c r="L37" s="118"/>
      <c r="M37" s="118"/>
      <c r="N37" s="118"/>
      <c r="O37" s="118"/>
      <c r="P37" s="116">
        <f t="shared" si="14"/>
        <v>0</v>
      </c>
      <c r="Q37" s="132">
        <f t="shared" si="3"/>
        <v>0</v>
      </c>
      <c r="R37" s="133">
        <f t="shared" si="4"/>
        <v>0</v>
      </c>
      <c r="S37" s="133">
        <f t="shared" si="15"/>
        <v>0</v>
      </c>
    </row>
    <row r="38" hidden="1" outlineLevel="1">
      <c r="A38" s="142"/>
      <c r="B38" s="125"/>
      <c r="C38" s="123"/>
      <c r="D38" s="114"/>
      <c r="E38" s="114"/>
      <c r="F38" s="114"/>
      <c r="G38" s="114"/>
      <c r="H38" s="143"/>
      <c r="I38" s="116">
        <f t="shared" si="12"/>
        <v>0</v>
      </c>
      <c r="J38" s="123"/>
      <c r="K38" s="118"/>
      <c r="L38" s="118"/>
      <c r="M38" s="118"/>
      <c r="N38" s="118"/>
      <c r="O38" s="118"/>
      <c r="P38" s="116">
        <f t="shared" si="14"/>
        <v>0</v>
      </c>
      <c r="Q38" s="132">
        <f t="shared" si="3"/>
        <v>0</v>
      </c>
      <c r="R38" s="133">
        <f t="shared" si="4"/>
        <v>0</v>
      </c>
      <c r="S38" s="133">
        <f t="shared" si="15"/>
        <v>0</v>
      </c>
    </row>
    <row r="39" hidden="1" outlineLevel="1">
      <c r="A39" s="142"/>
      <c r="B39" s="125"/>
      <c r="C39" s="123"/>
      <c r="D39" s="114"/>
      <c r="E39" s="114"/>
      <c r="F39" s="114"/>
      <c r="G39" s="114"/>
      <c r="H39" s="143"/>
      <c r="I39" s="116">
        <f t="shared" si="12"/>
        <v>0</v>
      </c>
      <c r="J39" s="123"/>
      <c r="K39" s="118"/>
      <c r="L39" s="118"/>
      <c r="M39" s="118"/>
      <c r="N39" s="118"/>
      <c r="O39" s="118"/>
      <c r="P39" s="116">
        <f t="shared" si="14"/>
        <v>0</v>
      </c>
      <c r="Q39" s="132">
        <f t="shared" si="3"/>
        <v>0</v>
      </c>
      <c r="R39" s="133">
        <f t="shared" si="4"/>
        <v>0</v>
      </c>
      <c r="S39" s="133">
        <f t="shared" si="15"/>
        <v>0</v>
      </c>
    </row>
    <row r="40" hidden="1" outlineLevel="1">
      <c r="A40" s="142"/>
      <c r="B40" s="125"/>
      <c r="C40" s="123"/>
      <c r="D40" s="114"/>
      <c r="E40" s="114"/>
      <c r="F40" s="114"/>
      <c r="G40" s="114"/>
      <c r="H40" s="143"/>
      <c r="I40" s="116">
        <f t="shared" si="12"/>
        <v>0</v>
      </c>
      <c r="J40" s="123"/>
      <c r="K40" s="118"/>
      <c r="L40" s="118"/>
      <c r="M40" s="118"/>
      <c r="N40" s="118"/>
      <c r="O40" s="118"/>
      <c r="P40" s="116">
        <f t="shared" si="14"/>
        <v>0</v>
      </c>
      <c r="Q40" s="132">
        <f t="shared" si="3"/>
        <v>0</v>
      </c>
      <c r="R40" s="133">
        <f t="shared" si="4"/>
        <v>0</v>
      </c>
      <c r="S40" s="133">
        <f t="shared" si="15"/>
        <v>0</v>
      </c>
    </row>
    <row r="41" hidden="1" outlineLevel="1">
      <c r="A41" s="142"/>
      <c r="B41" s="125"/>
      <c r="C41" s="123"/>
      <c r="D41" s="114"/>
      <c r="E41" s="114"/>
      <c r="F41" s="114"/>
      <c r="G41" s="114"/>
      <c r="H41" s="143"/>
      <c r="I41" s="116">
        <f t="shared" si="12"/>
        <v>0</v>
      </c>
      <c r="J41" s="123"/>
      <c r="K41" s="118"/>
      <c r="L41" s="118"/>
      <c r="M41" s="118"/>
      <c r="N41" s="118"/>
      <c r="O41" s="118"/>
      <c r="P41" s="116">
        <f t="shared" si="14"/>
        <v>0</v>
      </c>
      <c r="Q41" s="132">
        <f t="shared" si="3"/>
        <v>0</v>
      </c>
      <c r="R41" s="133">
        <f t="shared" si="4"/>
        <v>0</v>
      </c>
      <c r="S41" s="133">
        <f t="shared" si="15"/>
        <v>0</v>
      </c>
    </row>
    <row r="42" hidden="1" outlineLevel="1">
      <c r="A42" s="142"/>
      <c r="B42" s="125"/>
      <c r="C42" s="123"/>
      <c r="D42" s="114"/>
      <c r="E42" s="114"/>
      <c r="F42" s="114"/>
      <c r="G42" s="114"/>
      <c r="H42" s="143"/>
      <c r="I42" s="116">
        <f t="shared" si="12"/>
        <v>0</v>
      </c>
      <c r="J42" s="123"/>
      <c r="K42" s="118"/>
      <c r="L42" s="118"/>
      <c r="M42" s="118"/>
      <c r="N42" s="118"/>
      <c r="O42" s="118"/>
      <c r="P42" s="116">
        <f t="shared" si="14"/>
        <v>0</v>
      </c>
      <c r="Q42" s="132">
        <f t="shared" si="3"/>
        <v>0</v>
      </c>
      <c r="R42" s="133">
        <f t="shared" si="4"/>
        <v>0</v>
      </c>
      <c r="S42" s="133">
        <f t="shared" si="15"/>
        <v>0</v>
      </c>
    </row>
    <row r="43" hidden="1" outlineLevel="1">
      <c r="A43" s="142"/>
      <c r="B43" s="125"/>
      <c r="C43" s="123"/>
      <c r="D43" s="114"/>
      <c r="E43" s="114"/>
      <c r="F43" s="114"/>
      <c r="G43" s="114"/>
      <c r="H43" s="143"/>
      <c r="I43" s="116">
        <f t="shared" si="12"/>
        <v>0</v>
      </c>
      <c r="J43" s="123"/>
      <c r="K43" s="118"/>
      <c r="L43" s="118"/>
      <c r="M43" s="118"/>
      <c r="N43" s="118"/>
      <c r="O43" s="118"/>
      <c r="P43" s="116">
        <f t="shared" si="14"/>
        <v>0</v>
      </c>
      <c r="Q43" s="132">
        <f t="shared" si="3"/>
        <v>0</v>
      </c>
      <c r="R43" s="133">
        <f t="shared" si="4"/>
        <v>0</v>
      </c>
      <c r="S43" s="133">
        <f t="shared" si="15"/>
        <v>0</v>
      </c>
    </row>
    <row r="44" hidden="1" outlineLevel="1">
      <c r="A44" s="142"/>
      <c r="B44" s="125"/>
      <c r="C44" s="123"/>
      <c r="D44" s="114"/>
      <c r="E44" s="114"/>
      <c r="F44" s="114"/>
      <c r="G44" s="114"/>
      <c r="H44" s="143"/>
      <c r="I44" s="116">
        <f t="shared" si="12"/>
        <v>0</v>
      </c>
      <c r="J44" s="123"/>
      <c r="K44" s="118"/>
      <c r="L44" s="118"/>
      <c r="M44" s="118"/>
      <c r="N44" s="118"/>
      <c r="O44" s="118"/>
      <c r="P44" s="116">
        <f t="shared" si="14"/>
        <v>0</v>
      </c>
      <c r="Q44" s="132">
        <f t="shared" si="3"/>
        <v>0</v>
      </c>
      <c r="R44" s="133">
        <f t="shared" si="4"/>
        <v>0</v>
      </c>
      <c r="S44" s="133">
        <f t="shared" si="15"/>
        <v>0</v>
      </c>
    </row>
    <row r="45" hidden="1" outlineLevel="1">
      <c r="A45" s="142"/>
      <c r="B45" s="125"/>
      <c r="C45" s="123"/>
      <c r="D45" s="114"/>
      <c r="E45" s="114"/>
      <c r="F45" s="114"/>
      <c r="G45" s="114"/>
      <c r="H45" s="143"/>
      <c r="I45" s="116">
        <f t="shared" si="12"/>
        <v>0</v>
      </c>
      <c r="J45" s="123"/>
      <c r="K45" s="118"/>
      <c r="L45" s="118"/>
      <c r="M45" s="118"/>
      <c r="N45" s="118"/>
      <c r="O45" s="118"/>
      <c r="P45" s="116">
        <f t="shared" si="14"/>
        <v>0</v>
      </c>
      <c r="Q45" s="132">
        <f t="shared" si="3"/>
        <v>0</v>
      </c>
      <c r="R45" s="133">
        <f t="shared" si="4"/>
        <v>0</v>
      </c>
      <c r="S45" s="133">
        <f t="shared" si="15"/>
        <v>0</v>
      </c>
    </row>
    <row r="46" hidden="1" outlineLevel="1">
      <c r="A46" s="142"/>
      <c r="B46" s="125"/>
      <c r="C46" s="123"/>
      <c r="D46" s="114"/>
      <c r="E46" s="114"/>
      <c r="F46" s="114"/>
      <c r="G46" s="114"/>
      <c r="H46" s="143"/>
      <c r="I46" s="116">
        <f t="shared" si="12"/>
        <v>0</v>
      </c>
      <c r="J46" s="123"/>
      <c r="K46" s="118"/>
      <c r="L46" s="118"/>
      <c r="M46" s="118"/>
      <c r="N46" s="118"/>
      <c r="O46" s="118"/>
      <c r="P46" s="116">
        <f t="shared" si="14"/>
        <v>0</v>
      </c>
      <c r="Q46" s="132">
        <f t="shared" si="3"/>
        <v>0</v>
      </c>
      <c r="R46" s="133">
        <f t="shared" si="4"/>
        <v>0</v>
      </c>
      <c r="S46" s="133">
        <f t="shared" si="15"/>
        <v>0</v>
      </c>
    </row>
    <row r="47" hidden="1" outlineLevel="1">
      <c r="A47" s="142"/>
      <c r="B47" s="125"/>
      <c r="C47" s="123"/>
      <c r="D47" s="114"/>
      <c r="E47" s="114"/>
      <c r="F47" s="114"/>
      <c r="G47" s="114"/>
      <c r="H47" s="143"/>
      <c r="I47" s="116">
        <f t="shared" si="12"/>
        <v>0</v>
      </c>
      <c r="J47" s="123"/>
      <c r="K47" s="118"/>
      <c r="L47" s="118"/>
      <c r="M47" s="118"/>
      <c r="N47" s="118"/>
      <c r="O47" s="118"/>
      <c r="P47" s="116">
        <f t="shared" si="14"/>
        <v>0</v>
      </c>
      <c r="Q47" s="132">
        <f t="shared" si="3"/>
        <v>0</v>
      </c>
      <c r="R47" s="133">
        <f t="shared" si="4"/>
        <v>0</v>
      </c>
      <c r="S47" s="133">
        <f t="shared" si="15"/>
        <v>0</v>
      </c>
    </row>
    <row r="48" hidden="1" outlineLevel="1">
      <c r="A48" s="142"/>
      <c r="B48" s="125"/>
      <c r="C48" s="123"/>
      <c r="D48" s="114"/>
      <c r="E48" s="114"/>
      <c r="F48" s="114"/>
      <c r="G48" s="114"/>
      <c r="H48" s="143"/>
      <c r="I48" s="116">
        <f t="shared" si="12"/>
        <v>0</v>
      </c>
      <c r="J48" s="123"/>
      <c r="K48" s="118"/>
      <c r="L48" s="118"/>
      <c r="M48" s="118"/>
      <c r="N48" s="118"/>
      <c r="O48" s="118"/>
      <c r="P48" s="116">
        <f t="shared" si="14"/>
        <v>0</v>
      </c>
      <c r="Q48" s="132">
        <f t="shared" si="3"/>
        <v>0</v>
      </c>
      <c r="R48" s="133">
        <f t="shared" si="4"/>
        <v>0</v>
      </c>
      <c r="S48" s="133">
        <f t="shared" si="15"/>
        <v>0</v>
      </c>
    </row>
    <row r="49" hidden="1" outlineLevel="1">
      <c r="A49" s="142"/>
      <c r="B49" s="125"/>
      <c r="C49" s="123"/>
      <c r="D49" s="143"/>
      <c r="E49" s="114"/>
      <c r="F49" s="114"/>
      <c r="G49" s="114"/>
      <c r="H49" s="143"/>
      <c r="I49" s="116">
        <f t="shared" si="12"/>
        <v>0</v>
      </c>
      <c r="J49" s="123"/>
      <c r="K49" s="118"/>
      <c r="L49" s="118"/>
      <c r="M49" s="118"/>
      <c r="N49" s="118"/>
      <c r="O49" s="118"/>
      <c r="P49" s="116">
        <f t="shared" si="14"/>
        <v>0</v>
      </c>
      <c r="Q49" s="132">
        <f t="shared" si="3"/>
        <v>0</v>
      </c>
      <c r="R49" s="133">
        <f t="shared" si="4"/>
        <v>0</v>
      </c>
      <c r="S49" s="133">
        <f t="shared" si="15"/>
        <v>0</v>
      </c>
    </row>
    <row r="50" hidden="1" outlineLevel="1">
      <c r="A50" s="142"/>
      <c r="B50" s="125"/>
      <c r="C50" s="123"/>
      <c r="D50" s="114"/>
      <c r="E50" s="114"/>
      <c r="F50" s="114"/>
      <c r="G50" s="114"/>
      <c r="H50" s="143"/>
      <c r="I50" s="116">
        <f t="shared" si="12"/>
        <v>0</v>
      </c>
      <c r="J50" s="123"/>
      <c r="K50" s="118"/>
      <c r="L50" s="118"/>
      <c r="M50" s="118"/>
      <c r="N50" s="118"/>
      <c r="O50" s="118"/>
      <c r="P50" s="116">
        <f t="shared" si="14"/>
        <v>0</v>
      </c>
      <c r="Q50" s="132">
        <f t="shared" si="3"/>
        <v>0</v>
      </c>
      <c r="R50" s="133">
        <f t="shared" si="4"/>
        <v>0</v>
      </c>
      <c r="S50" s="133">
        <f t="shared" si="15"/>
        <v>0</v>
      </c>
    </row>
    <row r="51" hidden="1" outlineLevel="1">
      <c r="A51" s="142"/>
      <c r="B51" s="125"/>
      <c r="C51" s="123"/>
      <c r="D51" s="114"/>
      <c r="E51" s="114"/>
      <c r="F51" s="114"/>
      <c r="G51" s="114"/>
      <c r="H51" s="143"/>
      <c r="I51" s="116">
        <f t="shared" si="12"/>
        <v>0</v>
      </c>
      <c r="J51" s="123"/>
      <c r="K51" s="118"/>
      <c r="L51" s="118"/>
      <c r="M51" s="118"/>
      <c r="N51" s="118"/>
      <c r="O51" s="118"/>
      <c r="P51" s="116">
        <f t="shared" si="14"/>
        <v>0</v>
      </c>
      <c r="Q51" s="132">
        <f t="shared" si="3"/>
        <v>0</v>
      </c>
      <c r="R51" s="133">
        <f t="shared" si="4"/>
        <v>0</v>
      </c>
      <c r="S51" s="133">
        <f t="shared" si="15"/>
        <v>0</v>
      </c>
    </row>
    <row r="52" hidden="1" outlineLevel="1">
      <c r="A52" s="142"/>
      <c r="B52" s="125"/>
      <c r="C52" s="123"/>
      <c r="D52" s="114"/>
      <c r="E52" s="114"/>
      <c r="F52" s="114"/>
      <c r="G52" s="114"/>
      <c r="H52" s="149"/>
      <c r="I52" s="116">
        <f t="shared" si="12"/>
        <v>0</v>
      </c>
      <c r="J52" s="123"/>
      <c r="K52" s="118"/>
      <c r="L52" s="118"/>
      <c r="M52" s="118"/>
      <c r="N52" s="118"/>
      <c r="O52" s="118"/>
      <c r="P52" s="116">
        <f t="shared" si="14"/>
        <v>0</v>
      </c>
      <c r="Q52" s="132">
        <f t="shared" si="3"/>
        <v>0</v>
      </c>
      <c r="R52" s="133">
        <f t="shared" si="4"/>
        <v>0</v>
      </c>
      <c r="S52" s="133">
        <f t="shared" si="15"/>
        <v>0</v>
      </c>
    </row>
    <row r="53" hidden="1" outlineLevel="1">
      <c r="A53" s="142"/>
      <c r="B53" s="125"/>
      <c r="C53" s="123"/>
      <c r="D53" s="114"/>
      <c r="E53" s="114"/>
      <c r="F53" s="114"/>
      <c r="G53" s="114"/>
      <c r="H53" s="143"/>
      <c r="I53" s="116">
        <f t="shared" si="12"/>
        <v>0</v>
      </c>
      <c r="J53" s="123"/>
      <c r="K53" s="118"/>
      <c r="L53" s="118"/>
      <c r="M53" s="118"/>
      <c r="N53" s="118"/>
      <c r="O53" s="118"/>
      <c r="P53" s="116">
        <f t="shared" si="14"/>
        <v>0</v>
      </c>
      <c r="Q53" s="132">
        <f t="shared" si="3"/>
        <v>0</v>
      </c>
      <c r="R53" s="133">
        <f t="shared" si="4"/>
        <v>0</v>
      </c>
      <c r="S53" s="133">
        <f t="shared" si="15"/>
        <v>0</v>
      </c>
    </row>
    <row r="54" hidden="1" outlineLevel="1">
      <c r="A54" s="142"/>
      <c r="B54" s="125"/>
      <c r="C54" s="122"/>
      <c r="D54" s="114"/>
      <c r="E54" s="114"/>
      <c r="F54" s="114"/>
      <c r="G54" s="114"/>
      <c r="H54" s="143"/>
      <c r="I54" s="116">
        <f t="shared" si="12"/>
        <v>0</v>
      </c>
      <c r="J54" s="123"/>
      <c r="K54" s="118"/>
      <c r="L54" s="118"/>
      <c r="M54" s="118"/>
      <c r="N54" s="118"/>
      <c r="O54" s="118"/>
      <c r="P54" s="116">
        <f t="shared" si="14"/>
        <v>0</v>
      </c>
      <c r="Q54" s="132">
        <f t="shared" si="3"/>
        <v>0</v>
      </c>
      <c r="R54" s="133">
        <f t="shared" si="4"/>
        <v>0</v>
      </c>
      <c r="S54" s="133">
        <f t="shared" si="15"/>
        <v>0</v>
      </c>
    </row>
    <row r="55">
      <c r="A55" s="152"/>
      <c r="B55" s="153" t="s">
        <v>136</v>
      </c>
      <c r="C55" s="154">
        <f t="shared" ref="C55:K55" si="16">C3+C12</f>
        <v>9</v>
      </c>
      <c r="D55" s="155">
        <f t="shared" si="16"/>
        <v>0</v>
      </c>
      <c r="E55" s="155">
        <f t="shared" si="16"/>
        <v>0</v>
      </c>
      <c r="F55" s="155">
        <f t="shared" si="16"/>
        <v>0</v>
      </c>
      <c r="G55" s="155">
        <f t="shared" si="16"/>
        <v>0</v>
      </c>
      <c r="H55" s="156">
        <f t="shared" si="16"/>
        <v>0</v>
      </c>
      <c r="I55" s="157">
        <f t="shared" si="16"/>
        <v>9</v>
      </c>
      <c r="J55" s="154">
        <f t="shared" si="16"/>
        <v>0</v>
      </c>
      <c r="K55" s="155">
        <f t="shared" si="16"/>
        <v>0</v>
      </c>
      <c r="L55" s="155"/>
      <c r="M55" s="155"/>
      <c r="N55" s="155"/>
      <c r="O55" s="155"/>
      <c r="P55" s="157">
        <f>P3+P12</f>
        <v>0</v>
      </c>
      <c r="Q55" s="155">
        <f t="shared" si="3"/>
        <v>9</v>
      </c>
      <c r="R55" s="158">
        <f t="shared" si="4"/>
        <v>0</v>
      </c>
      <c r="S55" s="159" t="str">
        <f>IF(Q55=0,"",IF(R55&gt;1,"выполнение","план не выполнен"))</f>
        <v>план не выполнен</v>
      </c>
    </row>
    <row r="56">
      <c r="A56" s="160"/>
      <c r="B56" s="161" t="s">
        <v>137</v>
      </c>
      <c r="C56" s="162">
        <f t="shared" ref="C56:K56" si="17">IFERROR(C55/C$3,"")</f>
        <v>1</v>
      </c>
      <c r="D56" s="163" t="str">
        <f t="shared" si="17"/>
        <v/>
      </c>
      <c r="E56" s="163" t="str">
        <f t="shared" si="17"/>
        <v/>
      </c>
      <c r="F56" s="163" t="str">
        <f t="shared" si="17"/>
        <v/>
      </c>
      <c r="G56" s="163" t="str">
        <f t="shared" si="17"/>
        <v/>
      </c>
      <c r="H56" s="163" t="str">
        <f t="shared" si="17"/>
        <v/>
      </c>
      <c r="I56" s="164">
        <f t="shared" si="17"/>
        <v>1</v>
      </c>
      <c r="J56" s="163" t="str">
        <f t="shared" si="17"/>
        <v/>
      </c>
      <c r="K56" s="163" t="str">
        <f t="shared" si="17"/>
        <v/>
      </c>
      <c r="L56" s="163"/>
      <c r="M56" s="163"/>
      <c r="N56" s="163"/>
      <c r="O56" s="163"/>
      <c r="P56" s="164" t="str">
        <f>IFERROR(P55/P$3,"")</f>
        <v/>
      </c>
      <c r="Q56" s="121"/>
      <c r="R56" s="121"/>
      <c r="S56" s="121"/>
    </row>
    <row r="57">
      <c r="A57" s="142"/>
      <c r="B57" s="125"/>
      <c r="C57" s="122"/>
      <c r="D57" s="114"/>
      <c r="E57" s="114"/>
      <c r="F57" s="114"/>
      <c r="G57" s="114"/>
      <c r="H57" s="114"/>
      <c r="I57" s="116"/>
      <c r="J57" s="123"/>
      <c r="K57" s="118"/>
      <c r="L57" s="118"/>
      <c r="M57" s="118"/>
      <c r="N57" s="118"/>
      <c r="O57" s="118"/>
      <c r="P57" s="116"/>
      <c r="Q57" s="121"/>
      <c r="R57" s="121"/>
      <c r="S57" s="121"/>
    </row>
    <row r="58">
      <c r="A58" s="135"/>
      <c r="B58" s="136" t="s">
        <v>94</v>
      </c>
      <c r="C58" s="165">
        <f t="shared" ref="C58:H58" si="18">sum(C59:C79)</f>
        <v>0</v>
      </c>
      <c r="D58" s="166">
        <f t="shared" si="18"/>
        <v>0</v>
      </c>
      <c r="E58" s="166">
        <f t="shared" si="18"/>
        <v>0</v>
      </c>
      <c r="F58" s="166">
        <f t="shared" si="18"/>
        <v>0</v>
      </c>
      <c r="G58" s="166">
        <f t="shared" si="18"/>
        <v>0</v>
      </c>
      <c r="H58" s="166">
        <f t="shared" si="18"/>
        <v>0</v>
      </c>
      <c r="I58" s="167">
        <f t="shared" ref="I58:K58" si="19">SUM(I59:I84)</f>
        <v>0</v>
      </c>
      <c r="J58" s="165">
        <f t="shared" si="19"/>
        <v>0</v>
      </c>
      <c r="K58" s="166">
        <f t="shared" si="19"/>
        <v>0</v>
      </c>
      <c r="L58" s="166"/>
      <c r="M58" s="166"/>
      <c r="N58" s="166"/>
      <c r="O58" s="166"/>
      <c r="P58" s="168">
        <f>SUM(P59:P84)</f>
        <v>0</v>
      </c>
      <c r="Q58" s="166">
        <f t="shared" ref="Q58:Q85" si="20">I58-P58</f>
        <v>0</v>
      </c>
      <c r="R58" s="169">
        <f t="shared" ref="R58:R85" si="21">IFERROR(I58/P58,0)</f>
        <v>0</v>
      </c>
      <c r="S58" s="141" t="str">
        <f>IF(Q58=0,"",IF(R58&gt;1,"план не выполнен","выполнение"))</f>
        <v/>
      </c>
    </row>
    <row r="59">
      <c r="A59" s="142" t="str">
        <f>IFERROR(VLOOKUP(B59,'Статьи'!$A$2:C81,3,0)," ")</f>
        <v>1С</v>
      </c>
      <c r="B59" s="125" t="str">
        <f>IFERROR(__xludf.DUMMYFUNCTION("iferror(filter('Статьи'!$A$1:$A177,'Статьи'!$B$1:$B177=$B$58))"),"Зарплата производственного персонала")</f>
        <v>Зарплата производственного персонала</v>
      </c>
      <c r="C59" s="170"/>
      <c r="D59" s="149"/>
      <c r="E59" s="143"/>
      <c r="F59" s="143"/>
      <c r="G59" s="143"/>
      <c r="H59" s="143"/>
      <c r="I59" s="116">
        <f t="shared" ref="I59:I84" si="22">SUM(C59:H59)</f>
        <v>0</v>
      </c>
      <c r="J59" s="117"/>
      <c r="K59" s="118"/>
      <c r="L59" s="118"/>
      <c r="M59" s="118"/>
      <c r="N59" s="118"/>
      <c r="O59" s="118"/>
      <c r="P59" s="116">
        <f t="shared" ref="P59:P84" si="23">SUM(J59:K59)</f>
        <v>0</v>
      </c>
      <c r="Q59" s="119">
        <f t="shared" si="20"/>
        <v>0</v>
      </c>
      <c r="R59" s="120">
        <f t="shared" si="21"/>
        <v>0</v>
      </c>
      <c r="S59" s="121" t="str">
        <f t="shared" ref="S59:S84" si="24">IF(Q59=0,"",IF(R59=0,"обратить внимание",IF(R59&gt;1,"перерасход","экономия")))</f>
        <v/>
      </c>
    </row>
    <row r="60">
      <c r="A60" s="142" t="str">
        <f>IFERROR(VLOOKUP(B60,'Статьи'!$A$2:C82,3,0)," ")</f>
        <v>ДДС отчетного месяца. Без НДС!</v>
      </c>
      <c r="B60" s="125" t="str">
        <f>IFERROR(__xludf.DUMMYFUNCTION("""COMPUTED_VALUE"""),"Таможенные расходы")</f>
        <v>Таможенные расходы</v>
      </c>
      <c r="C60" s="171"/>
      <c r="D60" s="149"/>
      <c r="E60" s="143"/>
      <c r="F60" s="143"/>
      <c r="G60" s="143"/>
      <c r="H60" s="149"/>
      <c r="I60" s="116">
        <f t="shared" si="22"/>
        <v>0</v>
      </c>
      <c r="J60" s="117"/>
      <c r="K60" s="118"/>
      <c r="L60" s="118"/>
      <c r="M60" s="118"/>
      <c r="N60" s="118"/>
      <c r="O60" s="118"/>
      <c r="P60" s="116">
        <f t="shared" si="23"/>
        <v>0</v>
      </c>
      <c r="Q60" s="119">
        <f t="shared" si="20"/>
        <v>0</v>
      </c>
      <c r="R60" s="120">
        <f t="shared" si="21"/>
        <v>0</v>
      </c>
      <c r="S60" s="121" t="str">
        <f t="shared" si="24"/>
        <v/>
      </c>
    </row>
    <row r="61">
      <c r="A61" s="142" t="str">
        <f>IFERROR(VLOOKUP(B61,'Статьи'!$A$2:C83,3,0)," ")</f>
        <v> </v>
      </c>
      <c r="B61" s="125"/>
      <c r="C61" s="171"/>
      <c r="D61" s="172"/>
      <c r="E61" s="143"/>
      <c r="F61" s="143"/>
      <c r="G61" s="143"/>
      <c r="H61" s="149"/>
      <c r="I61" s="116">
        <f t="shared" si="22"/>
        <v>0</v>
      </c>
      <c r="J61" s="117"/>
      <c r="K61" s="118"/>
      <c r="L61" s="118"/>
      <c r="M61" s="118"/>
      <c r="N61" s="118"/>
      <c r="O61" s="118"/>
      <c r="P61" s="116">
        <f t="shared" si="23"/>
        <v>0</v>
      </c>
      <c r="Q61" s="119">
        <f t="shared" si="20"/>
        <v>0</v>
      </c>
      <c r="R61" s="120">
        <f t="shared" si="21"/>
        <v>0</v>
      </c>
      <c r="S61" s="121" t="str">
        <f t="shared" si="24"/>
        <v/>
      </c>
    </row>
    <row r="62">
      <c r="A62" s="142" t="str">
        <f>IFERROR(VLOOKUP(B62,'Статьи'!$A$2:C84,3,0)," ")</f>
        <v> </v>
      </c>
      <c r="B62" s="125"/>
      <c r="C62" s="171"/>
      <c r="D62" s="172"/>
      <c r="E62" s="143"/>
      <c r="F62" s="143"/>
      <c r="G62" s="143"/>
      <c r="H62" s="149"/>
      <c r="I62" s="116">
        <f t="shared" si="22"/>
        <v>0</v>
      </c>
      <c r="J62" s="123"/>
      <c r="K62" s="118"/>
      <c r="L62" s="118"/>
      <c r="M62" s="118"/>
      <c r="N62" s="118"/>
      <c r="O62" s="118"/>
      <c r="P62" s="116">
        <f t="shared" si="23"/>
        <v>0</v>
      </c>
      <c r="Q62" s="119">
        <f t="shared" si="20"/>
        <v>0</v>
      </c>
      <c r="R62" s="120">
        <f t="shared" si="21"/>
        <v>0</v>
      </c>
      <c r="S62" s="121" t="str">
        <f t="shared" si="24"/>
        <v/>
      </c>
    </row>
    <row r="63">
      <c r="A63" s="142" t="str">
        <f>IFERROR(VLOOKUP(B63,'Статьи'!$A$2:C85,3,0)," ")</f>
        <v> </v>
      </c>
      <c r="B63" s="125"/>
      <c r="C63" s="171"/>
      <c r="D63" s="172"/>
      <c r="E63" s="143"/>
      <c r="F63" s="143"/>
      <c r="G63" s="143"/>
      <c r="H63" s="149"/>
      <c r="I63" s="116">
        <f t="shared" si="22"/>
        <v>0</v>
      </c>
      <c r="J63" s="117"/>
      <c r="K63" s="118"/>
      <c r="L63" s="118"/>
      <c r="M63" s="118"/>
      <c r="N63" s="118"/>
      <c r="O63" s="118"/>
      <c r="P63" s="116">
        <f t="shared" si="23"/>
        <v>0</v>
      </c>
      <c r="Q63" s="119">
        <f t="shared" si="20"/>
        <v>0</v>
      </c>
      <c r="R63" s="120">
        <f t="shared" si="21"/>
        <v>0</v>
      </c>
      <c r="S63" s="121" t="str">
        <f t="shared" si="24"/>
        <v/>
      </c>
    </row>
    <row r="64">
      <c r="A64" s="142" t="str">
        <f>IFERROR(VLOOKUP(B64,'Статьи'!$A$2:C86,3,0)," ")</f>
        <v> </v>
      </c>
      <c r="B64" s="125"/>
      <c r="C64" s="171"/>
      <c r="D64" s="172"/>
      <c r="E64" s="143"/>
      <c r="F64" s="143"/>
      <c r="G64" s="143"/>
      <c r="H64" s="149"/>
      <c r="I64" s="116">
        <f t="shared" si="22"/>
        <v>0</v>
      </c>
      <c r="J64" s="117"/>
      <c r="K64" s="118"/>
      <c r="L64" s="118"/>
      <c r="M64" s="118"/>
      <c r="N64" s="118"/>
      <c r="O64" s="118"/>
      <c r="P64" s="116">
        <f t="shared" si="23"/>
        <v>0</v>
      </c>
      <c r="Q64" s="119">
        <f t="shared" si="20"/>
        <v>0</v>
      </c>
      <c r="R64" s="120">
        <f t="shared" si="21"/>
        <v>0</v>
      </c>
      <c r="S64" s="121" t="str">
        <f t="shared" si="24"/>
        <v/>
      </c>
    </row>
    <row r="65">
      <c r="A65" s="142" t="str">
        <f>IFERROR(VLOOKUP(B65,'Статьи'!$A$2:C87,3,0)," ")</f>
        <v> </v>
      </c>
      <c r="B65" s="125"/>
      <c r="C65" s="171"/>
      <c r="D65" s="172"/>
      <c r="E65" s="143"/>
      <c r="F65" s="143"/>
      <c r="G65" s="143"/>
      <c r="H65" s="149"/>
      <c r="I65" s="116">
        <f t="shared" si="22"/>
        <v>0</v>
      </c>
      <c r="J65" s="117"/>
      <c r="K65" s="118"/>
      <c r="L65" s="118"/>
      <c r="M65" s="118"/>
      <c r="N65" s="118"/>
      <c r="O65" s="118"/>
      <c r="P65" s="116">
        <f t="shared" si="23"/>
        <v>0</v>
      </c>
      <c r="Q65" s="119">
        <f t="shared" si="20"/>
        <v>0</v>
      </c>
      <c r="R65" s="120">
        <f t="shared" si="21"/>
        <v>0</v>
      </c>
      <c r="S65" s="121" t="str">
        <f t="shared" si="24"/>
        <v/>
      </c>
    </row>
    <row r="66">
      <c r="A66" s="142" t="str">
        <f>IFERROR(VLOOKUP(B66,'Статьи'!$A$2:C88,3,0)," ")</f>
        <v> </v>
      </c>
      <c r="B66" s="125"/>
      <c r="C66" s="171"/>
      <c r="D66" s="172"/>
      <c r="E66" s="143"/>
      <c r="F66" s="143"/>
      <c r="G66" s="143"/>
      <c r="H66" s="149"/>
      <c r="I66" s="116">
        <f t="shared" si="22"/>
        <v>0</v>
      </c>
      <c r="J66" s="117"/>
      <c r="K66" s="118"/>
      <c r="L66" s="118"/>
      <c r="M66" s="118"/>
      <c r="N66" s="118"/>
      <c r="O66" s="118"/>
      <c r="P66" s="116">
        <f t="shared" si="23"/>
        <v>0</v>
      </c>
      <c r="Q66" s="119">
        <f t="shared" si="20"/>
        <v>0</v>
      </c>
      <c r="R66" s="120">
        <f t="shared" si="21"/>
        <v>0</v>
      </c>
      <c r="S66" s="121" t="str">
        <f t="shared" si="24"/>
        <v/>
      </c>
    </row>
    <row r="67">
      <c r="A67" s="142" t="str">
        <f>IFERROR(VLOOKUP(B67,'Статьи'!$A$2:C89,3,0)," ")</f>
        <v> </v>
      </c>
      <c r="B67" s="125"/>
      <c r="C67" s="171"/>
      <c r="D67" s="172"/>
      <c r="E67" s="143"/>
      <c r="F67" s="143"/>
      <c r="G67" s="143"/>
      <c r="H67" s="149"/>
      <c r="I67" s="116">
        <f t="shared" si="22"/>
        <v>0</v>
      </c>
      <c r="J67" s="117"/>
      <c r="K67" s="118"/>
      <c r="L67" s="118"/>
      <c r="M67" s="118"/>
      <c r="N67" s="118"/>
      <c r="O67" s="118"/>
      <c r="P67" s="116">
        <f t="shared" si="23"/>
        <v>0</v>
      </c>
      <c r="Q67" s="119">
        <f t="shared" si="20"/>
        <v>0</v>
      </c>
      <c r="R67" s="120">
        <f t="shared" si="21"/>
        <v>0</v>
      </c>
      <c r="S67" s="121" t="str">
        <f t="shared" si="24"/>
        <v/>
      </c>
    </row>
    <row r="68">
      <c r="A68" s="142" t="str">
        <f>IFERROR(VLOOKUP(B68,'Статьи'!$A$2:C90,3,0)," ")</f>
        <v> </v>
      </c>
      <c r="B68" s="125"/>
      <c r="C68" s="171"/>
      <c r="D68" s="172"/>
      <c r="E68" s="143"/>
      <c r="F68" s="143"/>
      <c r="G68" s="143"/>
      <c r="H68" s="149"/>
      <c r="I68" s="116">
        <f t="shared" si="22"/>
        <v>0</v>
      </c>
      <c r="J68" s="123"/>
      <c r="K68" s="118"/>
      <c r="L68" s="118"/>
      <c r="M68" s="118"/>
      <c r="N68" s="118"/>
      <c r="O68" s="118"/>
      <c r="P68" s="116">
        <f t="shared" si="23"/>
        <v>0</v>
      </c>
      <c r="Q68" s="119">
        <f t="shared" si="20"/>
        <v>0</v>
      </c>
      <c r="R68" s="120">
        <f t="shared" si="21"/>
        <v>0</v>
      </c>
      <c r="S68" s="121" t="str">
        <f t="shared" si="24"/>
        <v/>
      </c>
    </row>
    <row r="69">
      <c r="A69" s="142" t="str">
        <f>IFERROR(VLOOKUP(B69,'Статьи'!$A$2:C91,3,0)," ")</f>
        <v> </v>
      </c>
      <c r="B69" s="125"/>
      <c r="C69" s="171"/>
      <c r="D69" s="172"/>
      <c r="E69" s="143"/>
      <c r="F69" s="143"/>
      <c r="G69" s="143"/>
      <c r="H69" s="149"/>
      <c r="I69" s="116">
        <f t="shared" si="22"/>
        <v>0</v>
      </c>
      <c r="J69" s="117"/>
      <c r="K69" s="118"/>
      <c r="L69" s="118"/>
      <c r="M69" s="118"/>
      <c r="N69" s="118"/>
      <c r="O69" s="118"/>
      <c r="P69" s="116">
        <f t="shared" si="23"/>
        <v>0</v>
      </c>
      <c r="Q69" s="119">
        <f t="shared" si="20"/>
        <v>0</v>
      </c>
      <c r="R69" s="120">
        <f t="shared" si="21"/>
        <v>0</v>
      </c>
      <c r="S69" s="121" t="str">
        <f t="shared" si="24"/>
        <v/>
      </c>
    </row>
    <row r="70">
      <c r="A70" s="142" t="str">
        <f>IFERROR(VLOOKUP(B70,'Статьи'!$A$2:C92,3,0)," ")</f>
        <v> </v>
      </c>
      <c r="B70" s="125"/>
      <c r="C70" s="171"/>
      <c r="D70" s="172"/>
      <c r="E70" s="143"/>
      <c r="F70" s="143"/>
      <c r="G70" s="143"/>
      <c r="H70" s="149"/>
      <c r="I70" s="116">
        <f t="shared" si="22"/>
        <v>0</v>
      </c>
      <c r="J70" s="117"/>
      <c r="K70" s="118"/>
      <c r="L70" s="118"/>
      <c r="M70" s="118"/>
      <c r="N70" s="118"/>
      <c r="O70" s="118"/>
      <c r="P70" s="116">
        <f t="shared" si="23"/>
        <v>0</v>
      </c>
      <c r="Q70" s="119">
        <f t="shared" si="20"/>
        <v>0</v>
      </c>
      <c r="R70" s="120">
        <f t="shared" si="21"/>
        <v>0</v>
      </c>
      <c r="S70" s="121" t="str">
        <f t="shared" si="24"/>
        <v/>
      </c>
    </row>
    <row r="71" collapsed="1">
      <c r="A71" s="142" t="str">
        <f>IFERROR(VLOOKUP(B71,'Статьи'!$A$2:C93,3,0)," ")</f>
        <v> </v>
      </c>
      <c r="B71" s="125"/>
      <c r="C71" s="171"/>
      <c r="D71" s="172"/>
      <c r="E71" s="143"/>
      <c r="F71" s="143"/>
      <c r="G71" s="143"/>
      <c r="H71" s="149"/>
      <c r="I71" s="116">
        <f t="shared" si="22"/>
        <v>0</v>
      </c>
      <c r="J71" s="117"/>
      <c r="K71" s="118"/>
      <c r="L71" s="118"/>
      <c r="M71" s="118"/>
      <c r="N71" s="118"/>
      <c r="O71" s="118"/>
      <c r="P71" s="116">
        <f t="shared" si="23"/>
        <v>0</v>
      </c>
      <c r="Q71" s="119">
        <f t="shared" si="20"/>
        <v>0</v>
      </c>
      <c r="R71" s="120">
        <f t="shared" si="21"/>
        <v>0</v>
      </c>
      <c r="S71" s="121" t="str">
        <f t="shared" si="24"/>
        <v/>
      </c>
    </row>
    <row r="72" hidden="1" outlineLevel="1">
      <c r="A72" s="142" t="str">
        <f>IFERROR(VLOOKUP(B72,'Статьи'!$A$2:C94,3,0)," ")</f>
        <v> </v>
      </c>
      <c r="B72" s="125"/>
      <c r="C72" s="170"/>
      <c r="D72" s="149"/>
      <c r="E72" s="143"/>
      <c r="F72" s="143"/>
      <c r="G72" s="143"/>
      <c r="H72" s="149"/>
      <c r="I72" s="116">
        <f t="shared" si="22"/>
        <v>0</v>
      </c>
      <c r="J72" s="123"/>
      <c r="K72" s="118"/>
      <c r="L72" s="118"/>
      <c r="M72" s="118"/>
      <c r="N72" s="118"/>
      <c r="O72" s="118"/>
      <c r="P72" s="116">
        <f t="shared" si="23"/>
        <v>0</v>
      </c>
      <c r="Q72" s="119">
        <f t="shared" si="20"/>
        <v>0</v>
      </c>
      <c r="R72" s="120">
        <f t="shared" si="21"/>
        <v>0</v>
      </c>
      <c r="S72" s="121" t="str">
        <f t="shared" si="24"/>
        <v/>
      </c>
    </row>
    <row r="73" hidden="1" outlineLevel="1">
      <c r="A73" s="142" t="str">
        <f>IFERROR(VLOOKUP(B73,'Статьи'!$A$2:C95,3,0)," ")</f>
        <v> </v>
      </c>
      <c r="B73" s="125"/>
      <c r="C73" s="170"/>
      <c r="D73" s="149"/>
      <c r="E73" s="143"/>
      <c r="F73" s="143"/>
      <c r="G73" s="143"/>
      <c r="H73" s="149"/>
      <c r="I73" s="116">
        <f t="shared" si="22"/>
        <v>0</v>
      </c>
      <c r="J73" s="123"/>
      <c r="K73" s="118"/>
      <c r="L73" s="118"/>
      <c r="M73" s="118"/>
      <c r="N73" s="118"/>
      <c r="O73" s="118"/>
      <c r="P73" s="116">
        <f t="shared" si="23"/>
        <v>0</v>
      </c>
      <c r="Q73" s="119">
        <f t="shared" si="20"/>
        <v>0</v>
      </c>
      <c r="R73" s="120">
        <f t="shared" si="21"/>
        <v>0</v>
      </c>
      <c r="S73" s="121" t="str">
        <f t="shared" si="24"/>
        <v/>
      </c>
    </row>
    <row r="74" hidden="1" outlineLevel="1">
      <c r="A74" s="142" t="str">
        <f>IFERROR(VLOOKUP(B74,'Статьи'!$A$2:C96,3,0)," ")</f>
        <v> </v>
      </c>
      <c r="B74" s="125"/>
      <c r="C74" s="170"/>
      <c r="D74" s="149"/>
      <c r="E74" s="143"/>
      <c r="F74" s="143"/>
      <c r="G74" s="143"/>
      <c r="H74" s="149"/>
      <c r="I74" s="116">
        <f t="shared" si="22"/>
        <v>0</v>
      </c>
      <c r="J74" s="123"/>
      <c r="K74" s="118"/>
      <c r="L74" s="118"/>
      <c r="M74" s="118"/>
      <c r="N74" s="118"/>
      <c r="O74" s="118"/>
      <c r="P74" s="116">
        <f t="shared" si="23"/>
        <v>0</v>
      </c>
      <c r="Q74" s="119">
        <f t="shared" si="20"/>
        <v>0</v>
      </c>
      <c r="R74" s="120">
        <f t="shared" si="21"/>
        <v>0</v>
      </c>
      <c r="S74" s="121" t="str">
        <f t="shared" si="24"/>
        <v/>
      </c>
    </row>
    <row r="75" hidden="1" outlineLevel="1">
      <c r="A75" s="142" t="str">
        <f>IFERROR(VLOOKUP(B75,'Статьи'!$A$2:C97,3,0)," ")</f>
        <v> </v>
      </c>
      <c r="B75" s="125"/>
      <c r="C75" s="170"/>
      <c r="D75" s="149"/>
      <c r="E75" s="143"/>
      <c r="F75" s="143"/>
      <c r="G75" s="143"/>
      <c r="H75" s="149"/>
      <c r="I75" s="116">
        <f t="shared" si="22"/>
        <v>0</v>
      </c>
      <c r="J75" s="123"/>
      <c r="K75" s="118"/>
      <c r="L75" s="118"/>
      <c r="M75" s="118"/>
      <c r="N75" s="118"/>
      <c r="O75" s="118"/>
      <c r="P75" s="116">
        <f t="shared" si="23"/>
        <v>0</v>
      </c>
      <c r="Q75" s="119">
        <f t="shared" si="20"/>
        <v>0</v>
      </c>
      <c r="R75" s="120">
        <f t="shared" si="21"/>
        <v>0</v>
      </c>
      <c r="S75" s="121" t="str">
        <f t="shared" si="24"/>
        <v/>
      </c>
    </row>
    <row r="76" hidden="1" outlineLevel="1">
      <c r="A76" s="142" t="str">
        <f>IFERROR(VLOOKUP(B76,'Статьи'!$A$2:C98,3,0)," ")</f>
        <v> </v>
      </c>
      <c r="B76" s="125"/>
      <c r="C76" s="173"/>
      <c r="D76" s="143"/>
      <c r="E76" s="149"/>
      <c r="F76" s="143"/>
      <c r="G76" s="143"/>
      <c r="H76" s="143"/>
      <c r="I76" s="116">
        <f t="shared" si="22"/>
        <v>0</v>
      </c>
      <c r="J76" s="123"/>
      <c r="K76" s="118"/>
      <c r="L76" s="118"/>
      <c r="M76" s="118"/>
      <c r="N76" s="118"/>
      <c r="O76" s="118"/>
      <c r="P76" s="116">
        <f t="shared" si="23"/>
        <v>0</v>
      </c>
      <c r="Q76" s="119">
        <f t="shared" si="20"/>
        <v>0</v>
      </c>
      <c r="R76" s="120">
        <f t="shared" si="21"/>
        <v>0</v>
      </c>
      <c r="S76" s="121" t="str">
        <f t="shared" si="24"/>
        <v/>
      </c>
    </row>
    <row r="77" hidden="1" outlineLevel="1">
      <c r="A77" s="142" t="str">
        <f>IFERROR(VLOOKUP(B77,'Статьи'!$A$2:C99,3,0)," ")</f>
        <v> </v>
      </c>
      <c r="B77" s="125"/>
      <c r="C77" s="170"/>
      <c r="D77" s="174"/>
      <c r="E77" s="174"/>
      <c r="F77" s="174"/>
      <c r="G77" s="174"/>
      <c r="H77" s="174"/>
      <c r="I77" s="116">
        <f t="shared" si="22"/>
        <v>0</v>
      </c>
      <c r="J77" s="123"/>
      <c r="K77" s="118"/>
      <c r="L77" s="118"/>
      <c r="M77" s="118"/>
      <c r="N77" s="118"/>
      <c r="O77" s="118"/>
      <c r="P77" s="116">
        <f t="shared" si="23"/>
        <v>0</v>
      </c>
      <c r="Q77" s="119">
        <f t="shared" si="20"/>
        <v>0</v>
      </c>
      <c r="R77" s="120">
        <f t="shared" si="21"/>
        <v>0</v>
      </c>
      <c r="S77" s="121" t="str">
        <f t="shared" si="24"/>
        <v/>
      </c>
    </row>
    <row r="78" hidden="1" outlineLevel="1">
      <c r="A78" s="175" t="str">
        <f>IFERROR(VLOOKUP(B78,'Статьи'!$A$2:C100,3,0)," ")</f>
        <v> </v>
      </c>
      <c r="B78" s="176"/>
      <c r="C78" s="122"/>
      <c r="D78" s="114"/>
      <c r="E78" s="114"/>
      <c r="F78" s="114"/>
      <c r="G78" s="114"/>
      <c r="H78" s="149"/>
      <c r="I78" s="116">
        <f t="shared" si="22"/>
        <v>0</v>
      </c>
      <c r="J78" s="123"/>
      <c r="K78" s="118"/>
      <c r="L78" s="118"/>
      <c r="M78" s="118"/>
      <c r="N78" s="118"/>
      <c r="O78" s="118"/>
      <c r="P78" s="116">
        <f t="shared" si="23"/>
        <v>0</v>
      </c>
      <c r="Q78" s="119">
        <f t="shared" si="20"/>
        <v>0</v>
      </c>
      <c r="R78" s="120">
        <f t="shared" si="21"/>
        <v>0</v>
      </c>
      <c r="S78" s="121" t="str">
        <f t="shared" si="24"/>
        <v/>
      </c>
    </row>
    <row r="79" hidden="1" outlineLevel="1">
      <c r="A79" s="110" t="str">
        <f>IFERROR(VLOOKUP(B79,'Статьи'!$A$2:C101,3,0)," ")</f>
        <v> </v>
      </c>
      <c r="B79" s="111"/>
      <c r="C79" s="122"/>
      <c r="D79" s="115"/>
      <c r="E79" s="115"/>
      <c r="F79" s="115"/>
      <c r="G79" s="115"/>
      <c r="H79" s="115"/>
      <c r="I79" s="116">
        <f t="shared" si="22"/>
        <v>0</v>
      </c>
      <c r="J79" s="123"/>
      <c r="K79" s="118"/>
      <c r="L79" s="118"/>
      <c r="M79" s="118"/>
      <c r="N79" s="118"/>
      <c r="O79" s="118"/>
      <c r="P79" s="116">
        <f t="shared" si="23"/>
        <v>0</v>
      </c>
      <c r="Q79" s="119">
        <f t="shared" si="20"/>
        <v>0</v>
      </c>
      <c r="R79" s="120">
        <f t="shared" si="21"/>
        <v>0</v>
      </c>
      <c r="S79" s="121" t="str">
        <f t="shared" si="24"/>
        <v/>
      </c>
    </row>
    <row r="80" hidden="1" outlineLevel="1">
      <c r="A80" s="110" t="str">
        <f>IFERROR(VLOOKUP(B80,'Статьи'!$A$2:C102,3,0)," ")</f>
        <v> </v>
      </c>
      <c r="B80" s="111"/>
      <c r="C80" s="122"/>
      <c r="D80" s="115"/>
      <c r="E80" s="115"/>
      <c r="F80" s="115"/>
      <c r="G80" s="115"/>
      <c r="H80" s="115"/>
      <c r="I80" s="116">
        <f t="shared" si="22"/>
        <v>0</v>
      </c>
      <c r="J80" s="123"/>
      <c r="K80" s="118"/>
      <c r="L80" s="118"/>
      <c r="M80" s="118"/>
      <c r="N80" s="118"/>
      <c r="O80" s="118"/>
      <c r="P80" s="116">
        <f t="shared" si="23"/>
        <v>0</v>
      </c>
      <c r="Q80" s="119">
        <f t="shared" si="20"/>
        <v>0</v>
      </c>
      <c r="R80" s="120">
        <f t="shared" si="21"/>
        <v>0</v>
      </c>
      <c r="S80" s="121" t="str">
        <f t="shared" si="24"/>
        <v/>
      </c>
    </row>
    <row r="81" hidden="1" outlineLevel="1">
      <c r="A81" s="110" t="str">
        <f>IFERROR(VLOOKUP(B81,'Статьи'!$A$2:C103,3,0)," ")</f>
        <v> </v>
      </c>
      <c r="B81" s="111"/>
      <c r="C81" s="122"/>
      <c r="D81" s="115"/>
      <c r="E81" s="115"/>
      <c r="F81" s="115"/>
      <c r="G81" s="115"/>
      <c r="H81" s="115"/>
      <c r="I81" s="116">
        <f t="shared" si="22"/>
        <v>0</v>
      </c>
      <c r="J81" s="123"/>
      <c r="K81" s="118"/>
      <c r="L81" s="118"/>
      <c r="M81" s="118"/>
      <c r="N81" s="118"/>
      <c r="O81" s="118"/>
      <c r="P81" s="116">
        <f t="shared" si="23"/>
        <v>0</v>
      </c>
      <c r="Q81" s="119">
        <f t="shared" si="20"/>
        <v>0</v>
      </c>
      <c r="R81" s="120">
        <f t="shared" si="21"/>
        <v>0</v>
      </c>
      <c r="S81" s="121" t="str">
        <f t="shared" si="24"/>
        <v/>
      </c>
    </row>
    <row r="82" hidden="1" outlineLevel="1">
      <c r="A82" s="110" t="str">
        <f>IFERROR(VLOOKUP(B82,'Статьи'!$A$2:C104,3,0)," ")</f>
        <v> </v>
      </c>
      <c r="B82" s="111"/>
      <c r="C82" s="122"/>
      <c r="D82" s="115"/>
      <c r="E82" s="115"/>
      <c r="F82" s="115"/>
      <c r="G82" s="115"/>
      <c r="H82" s="115"/>
      <c r="I82" s="116">
        <f t="shared" si="22"/>
        <v>0</v>
      </c>
      <c r="J82" s="123"/>
      <c r="K82" s="118"/>
      <c r="L82" s="118"/>
      <c r="M82" s="118"/>
      <c r="N82" s="118"/>
      <c r="O82" s="118"/>
      <c r="P82" s="116">
        <f t="shared" si="23"/>
        <v>0</v>
      </c>
      <c r="Q82" s="119">
        <f t="shared" si="20"/>
        <v>0</v>
      </c>
      <c r="R82" s="120">
        <f t="shared" si="21"/>
        <v>0</v>
      </c>
      <c r="S82" s="121" t="str">
        <f t="shared" si="24"/>
        <v/>
      </c>
    </row>
    <row r="83" hidden="1" outlineLevel="1">
      <c r="A83" s="110" t="str">
        <f>IFERROR(VLOOKUP(B83,'Статьи'!$A$2:C105,3,0)," ")</f>
        <v> </v>
      </c>
      <c r="B83" s="111"/>
      <c r="C83" s="122"/>
      <c r="D83" s="115"/>
      <c r="E83" s="115"/>
      <c r="F83" s="115"/>
      <c r="G83" s="115"/>
      <c r="H83" s="115"/>
      <c r="I83" s="116">
        <f t="shared" si="22"/>
        <v>0</v>
      </c>
      <c r="J83" s="123"/>
      <c r="K83" s="118"/>
      <c r="L83" s="118"/>
      <c r="M83" s="118"/>
      <c r="N83" s="118"/>
      <c r="O83" s="118"/>
      <c r="P83" s="116">
        <f t="shared" si="23"/>
        <v>0</v>
      </c>
      <c r="Q83" s="119">
        <f t="shared" si="20"/>
        <v>0</v>
      </c>
      <c r="R83" s="120">
        <f t="shared" si="21"/>
        <v>0</v>
      </c>
      <c r="S83" s="121" t="str">
        <f t="shared" si="24"/>
        <v/>
      </c>
    </row>
    <row r="84">
      <c r="A84" s="110" t="str">
        <f>IFERROR(VLOOKUP(B84,'Статьи'!$A$2:C106,3,0)," ")</f>
        <v> </v>
      </c>
      <c r="B84" s="111"/>
      <c r="C84" s="122"/>
      <c r="D84" s="115"/>
      <c r="E84" s="115"/>
      <c r="F84" s="115"/>
      <c r="G84" s="115"/>
      <c r="H84" s="115"/>
      <c r="I84" s="116">
        <f t="shared" si="22"/>
        <v>0</v>
      </c>
      <c r="J84" s="123"/>
      <c r="K84" s="118"/>
      <c r="L84" s="118"/>
      <c r="M84" s="118"/>
      <c r="N84" s="118"/>
      <c r="O84" s="118"/>
      <c r="P84" s="116">
        <f t="shared" si="23"/>
        <v>0</v>
      </c>
      <c r="Q84" s="119">
        <f t="shared" si="20"/>
        <v>0</v>
      </c>
      <c r="R84" s="120">
        <f t="shared" si="21"/>
        <v>0</v>
      </c>
      <c r="S84" s="121" t="str">
        <f t="shared" si="24"/>
        <v/>
      </c>
    </row>
    <row r="85">
      <c r="A85" s="152"/>
      <c r="B85" s="153" t="s">
        <v>138</v>
      </c>
      <c r="C85" s="154">
        <f t="shared" ref="C85:K85" si="25">C55+C58</f>
        <v>9</v>
      </c>
      <c r="D85" s="155">
        <f t="shared" si="25"/>
        <v>0</v>
      </c>
      <c r="E85" s="155">
        <f t="shared" si="25"/>
        <v>0</v>
      </c>
      <c r="F85" s="155">
        <f t="shared" si="25"/>
        <v>0</v>
      </c>
      <c r="G85" s="155">
        <f t="shared" si="25"/>
        <v>0</v>
      </c>
      <c r="H85" s="155">
        <f t="shared" si="25"/>
        <v>0</v>
      </c>
      <c r="I85" s="157">
        <f t="shared" si="25"/>
        <v>9</v>
      </c>
      <c r="J85" s="154">
        <f t="shared" si="25"/>
        <v>0</v>
      </c>
      <c r="K85" s="155">
        <f t="shared" si="25"/>
        <v>0</v>
      </c>
      <c r="L85" s="155"/>
      <c r="M85" s="155"/>
      <c r="N85" s="155"/>
      <c r="O85" s="155"/>
      <c r="P85" s="157">
        <f>P55+P58</f>
        <v>0</v>
      </c>
      <c r="Q85" s="155">
        <f t="shared" si="20"/>
        <v>9</v>
      </c>
      <c r="R85" s="158">
        <f t="shared" si="21"/>
        <v>0</v>
      </c>
      <c r="S85" s="177" t="str">
        <f>IF(Q85=0,"",IF(R85&gt;1,"выполнение","план не выполнен"))</f>
        <v>план не выполнен</v>
      </c>
    </row>
    <row r="86">
      <c r="A86" s="160"/>
      <c r="B86" s="161" t="s">
        <v>139</v>
      </c>
      <c r="C86" s="162">
        <f t="shared" ref="C86:K86" si="26">IFERROR(C85/C$3,"")</f>
        <v>1</v>
      </c>
      <c r="D86" s="163" t="str">
        <f t="shared" si="26"/>
        <v/>
      </c>
      <c r="E86" s="163" t="str">
        <f t="shared" si="26"/>
        <v/>
      </c>
      <c r="F86" s="163" t="str">
        <f t="shared" si="26"/>
        <v/>
      </c>
      <c r="G86" s="163" t="str">
        <f t="shared" si="26"/>
        <v/>
      </c>
      <c r="H86" s="163" t="str">
        <f t="shared" si="26"/>
        <v/>
      </c>
      <c r="I86" s="164">
        <f t="shared" si="26"/>
        <v>1</v>
      </c>
      <c r="J86" s="162" t="str">
        <f t="shared" si="26"/>
        <v/>
      </c>
      <c r="K86" s="163" t="str">
        <f t="shared" si="26"/>
        <v/>
      </c>
      <c r="L86" s="163"/>
      <c r="M86" s="163"/>
      <c r="N86" s="163"/>
      <c r="O86" s="163"/>
      <c r="P86" s="164" t="str">
        <f>IFERROR(P85/P$3,"")</f>
        <v/>
      </c>
      <c r="Q86" s="121"/>
      <c r="R86" s="121"/>
      <c r="S86" s="121" t="str">
        <f t="shared" ref="S86:S87" si="27">IF(Q86=0,"",IF(Q86=0,0,IF(R86&gt;1,"перерасход","экономия")))</f>
        <v/>
      </c>
    </row>
    <row r="87">
      <c r="A87" s="178"/>
      <c r="B87" s="179"/>
      <c r="C87" s="124"/>
      <c r="D87" s="115"/>
      <c r="E87" s="115"/>
      <c r="F87" s="115"/>
      <c r="G87" s="115"/>
      <c r="H87" s="115"/>
      <c r="I87" s="116"/>
      <c r="J87" s="123"/>
      <c r="K87" s="118"/>
      <c r="L87" s="118"/>
      <c r="M87" s="118"/>
      <c r="N87" s="118"/>
      <c r="O87" s="118"/>
      <c r="P87" s="116"/>
      <c r="Q87" s="180"/>
      <c r="R87" s="121"/>
      <c r="S87" s="121" t="str">
        <f t="shared" si="27"/>
        <v/>
      </c>
    </row>
    <row r="88">
      <c r="A88" s="181"/>
      <c r="B88" s="127" t="s">
        <v>140</v>
      </c>
      <c r="C88" s="182">
        <f t="shared" ref="C88:K88" si="28">C101+C132+C89</f>
        <v>0</v>
      </c>
      <c r="D88" s="183">
        <f t="shared" si="28"/>
        <v>0</v>
      </c>
      <c r="E88" s="183">
        <f t="shared" si="28"/>
        <v>0</v>
      </c>
      <c r="F88" s="183">
        <f t="shared" si="28"/>
        <v>0</v>
      </c>
      <c r="G88" s="183">
        <f t="shared" si="28"/>
        <v>0</v>
      </c>
      <c r="H88" s="183">
        <f t="shared" si="28"/>
        <v>0</v>
      </c>
      <c r="I88" s="184">
        <f t="shared" si="28"/>
        <v>0</v>
      </c>
      <c r="J88" s="182">
        <f t="shared" si="28"/>
        <v>0</v>
      </c>
      <c r="K88" s="183">
        <f t="shared" si="28"/>
        <v>0</v>
      </c>
      <c r="L88" s="183"/>
      <c r="M88" s="183"/>
      <c r="N88" s="183"/>
      <c r="O88" s="183"/>
      <c r="P88" s="185">
        <f>P101+P132+P89</f>
        <v>0</v>
      </c>
      <c r="Q88" s="183">
        <f t="shared" ref="Q88:Q142" si="30">I88-P88</f>
        <v>0</v>
      </c>
      <c r="R88" s="186">
        <f t="shared" ref="R88:R142" si="31">IFERROR(I88/P88,0)</f>
        <v>0</v>
      </c>
      <c r="S88" s="134" t="str">
        <f>IF(Q88=0,"",IF(R88&gt;1,"план не выполнен","выполнение"))</f>
        <v/>
      </c>
    </row>
    <row r="89">
      <c r="A89" s="135"/>
      <c r="B89" s="136" t="s">
        <v>141</v>
      </c>
      <c r="C89" s="137">
        <f t="shared" ref="C89:K89" si="29">SUM(C90:C100)</f>
        <v>0</v>
      </c>
      <c r="D89" s="138">
        <f t="shared" si="29"/>
        <v>0</v>
      </c>
      <c r="E89" s="138">
        <f t="shared" si="29"/>
        <v>0</v>
      </c>
      <c r="F89" s="138">
        <f t="shared" si="29"/>
        <v>0</v>
      </c>
      <c r="G89" s="138">
        <f t="shared" si="29"/>
        <v>0</v>
      </c>
      <c r="H89" s="138">
        <f t="shared" si="29"/>
        <v>0</v>
      </c>
      <c r="I89" s="139">
        <f t="shared" si="29"/>
        <v>0</v>
      </c>
      <c r="J89" s="137">
        <f t="shared" si="29"/>
        <v>0</v>
      </c>
      <c r="K89" s="138">
        <f t="shared" si="29"/>
        <v>0</v>
      </c>
      <c r="L89" s="138"/>
      <c r="M89" s="138"/>
      <c r="N89" s="138"/>
      <c r="O89" s="138"/>
      <c r="P89" s="140">
        <f>SUM(P90:P100)</f>
        <v>0</v>
      </c>
      <c r="Q89" s="138">
        <f t="shared" si="30"/>
        <v>0</v>
      </c>
      <c r="R89" s="187">
        <f t="shared" si="31"/>
        <v>0</v>
      </c>
      <c r="S89" s="141" t="str">
        <f>IF(Q89=0,"",IF(Q89=0,0,IF(R89&gt;1,"перерасход","экономия")))</f>
        <v/>
      </c>
    </row>
    <row r="90">
      <c r="A90" s="142" t="str">
        <f>IFERROR(VLOOKUP(B90,'Статьи'!$A$2:C112,3,0)," ")</f>
        <v> </v>
      </c>
      <c r="B90" s="125" t="str">
        <f>IFERROR(__xludf.DUMMYFUNCTION("iferror(filter('Статьи'!$A$1:$A177,'Статьи'!$B$1:$B177=$B$89))"),"")</f>
        <v/>
      </c>
      <c r="C90" s="171"/>
      <c r="D90" s="172"/>
      <c r="E90" s="149"/>
      <c r="F90" s="149"/>
      <c r="G90" s="149"/>
      <c r="H90" s="149"/>
      <c r="I90" s="188">
        <f t="shared" ref="I90:I100" si="32">sum(C90:H90)</f>
        <v>0</v>
      </c>
      <c r="J90" s="170"/>
      <c r="K90" s="149"/>
      <c r="L90" s="149"/>
      <c r="M90" s="149"/>
      <c r="N90" s="149"/>
      <c r="O90" s="149"/>
      <c r="P90" s="188">
        <f t="shared" ref="P90:P94" si="33">SUM(J90:K90)</f>
        <v>0</v>
      </c>
      <c r="Q90" s="132">
        <f t="shared" si="30"/>
        <v>0</v>
      </c>
      <c r="R90" s="133">
        <f t="shared" si="31"/>
        <v>0</v>
      </c>
      <c r="S90" s="121" t="str">
        <f t="shared" ref="S90:S94" si="34">IF(Q90=0,"",IF(R90=0,"обратить внимание",IF(R90&gt;1,"перерасход","экономия")))</f>
        <v/>
      </c>
    </row>
    <row r="91">
      <c r="A91" s="142" t="str">
        <f>IFERROR(VLOOKUP(B91,'Статьи'!$A$2:C113,3,0)," ")</f>
        <v> </v>
      </c>
      <c r="B91" s="125"/>
      <c r="C91" s="171"/>
      <c r="D91" s="172"/>
      <c r="E91" s="149"/>
      <c r="F91" s="149"/>
      <c r="G91" s="149"/>
      <c r="H91" s="149"/>
      <c r="I91" s="188">
        <f t="shared" si="32"/>
        <v>0</v>
      </c>
      <c r="J91" s="189"/>
      <c r="K91" s="149"/>
      <c r="L91" s="149"/>
      <c r="M91" s="149"/>
      <c r="N91" s="149"/>
      <c r="O91" s="149"/>
      <c r="P91" s="188">
        <f t="shared" si="33"/>
        <v>0</v>
      </c>
      <c r="Q91" s="132">
        <f t="shared" si="30"/>
        <v>0</v>
      </c>
      <c r="R91" s="133">
        <f t="shared" si="31"/>
        <v>0</v>
      </c>
      <c r="S91" s="121" t="str">
        <f t="shared" si="34"/>
        <v/>
      </c>
    </row>
    <row r="92">
      <c r="A92" s="142" t="str">
        <f>IFERROR(VLOOKUP(B92,'Статьи'!$A$2:C114,3,0)," ")</f>
        <v> </v>
      </c>
      <c r="B92" s="125"/>
      <c r="C92" s="171"/>
      <c r="D92" s="172"/>
      <c r="E92" s="149"/>
      <c r="F92" s="149"/>
      <c r="G92" s="149"/>
      <c r="H92" s="149"/>
      <c r="I92" s="188">
        <f t="shared" si="32"/>
        <v>0</v>
      </c>
      <c r="J92" s="189"/>
      <c r="K92" s="149"/>
      <c r="L92" s="149"/>
      <c r="M92" s="149"/>
      <c r="N92" s="149"/>
      <c r="O92" s="149"/>
      <c r="P92" s="188">
        <f t="shared" si="33"/>
        <v>0</v>
      </c>
      <c r="Q92" s="132">
        <f t="shared" si="30"/>
        <v>0</v>
      </c>
      <c r="R92" s="133">
        <f t="shared" si="31"/>
        <v>0</v>
      </c>
      <c r="S92" s="121" t="str">
        <f t="shared" si="34"/>
        <v/>
      </c>
    </row>
    <row r="93">
      <c r="A93" s="142" t="str">
        <f>IFERROR(VLOOKUP(B93,'Статьи'!$A$2:C115,3,0)," ")</f>
        <v> </v>
      </c>
      <c r="B93" s="125"/>
      <c r="C93" s="171"/>
      <c r="D93" s="172"/>
      <c r="E93" s="149"/>
      <c r="F93" s="149"/>
      <c r="G93" s="149"/>
      <c r="H93" s="149"/>
      <c r="I93" s="188">
        <f t="shared" si="32"/>
        <v>0</v>
      </c>
      <c r="J93" s="170"/>
      <c r="K93" s="149"/>
      <c r="L93" s="149"/>
      <c r="M93" s="149"/>
      <c r="N93" s="149"/>
      <c r="O93" s="149"/>
      <c r="P93" s="188">
        <f t="shared" si="33"/>
        <v>0</v>
      </c>
      <c r="Q93" s="132">
        <f t="shared" si="30"/>
        <v>0</v>
      </c>
      <c r="R93" s="133">
        <f t="shared" si="31"/>
        <v>0</v>
      </c>
      <c r="S93" s="121" t="str">
        <f t="shared" si="34"/>
        <v/>
      </c>
    </row>
    <row r="94" collapsed="1">
      <c r="A94" s="190" t="str">
        <f>IFERROR(VLOOKUP(B94,'Статьи'!$A$2:C116,3,0)," ")</f>
        <v> </v>
      </c>
      <c r="B94" s="125"/>
      <c r="C94" s="170"/>
      <c r="D94" s="149"/>
      <c r="E94" s="149"/>
      <c r="F94" s="149"/>
      <c r="G94" s="149"/>
      <c r="H94" s="149"/>
      <c r="I94" s="188">
        <f t="shared" si="32"/>
        <v>0</v>
      </c>
      <c r="J94" s="170"/>
      <c r="K94" s="149"/>
      <c r="L94" s="149"/>
      <c r="M94" s="149"/>
      <c r="N94" s="149"/>
      <c r="O94" s="149"/>
      <c r="P94" s="188">
        <f t="shared" si="33"/>
        <v>0</v>
      </c>
      <c r="Q94" s="132">
        <f t="shared" si="30"/>
        <v>0</v>
      </c>
      <c r="R94" s="133">
        <f t="shared" si="31"/>
        <v>0</v>
      </c>
      <c r="S94" s="121" t="str">
        <f t="shared" si="34"/>
        <v/>
      </c>
    </row>
    <row r="95" hidden="1" outlineLevel="1">
      <c r="A95" s="190"/>
      <c r="B95" s="125"/>
      <c r="C95" s="170"/>
      <c r="D95" s="149"/>
      <c r="E95" s="149"/>
      <c r="F95" s="149"/>
      <c r="G95" s="149"/>
      <c r="H95" s="149"/>
      <c r="I95" s="188">
        <f t="shared" si="32"/>
        <v>0</v>
      </c>
      <c r="J95" s="170"/>
      <c r="K95" s="149"/>
      <c r="L95" s="149"/>
      <c r="M95" s="149"/>
      <c r="N95" s="149"/>
      <c r="O95" s="149"/>
      <c r="P95" s="188">
        <f t="shared" ref="P95:P100" si="35">sum(F95:J95)</f>
        <v>0</v>
      </c>
      <c r="Q95" s="132">
        <f t="shared" si="30"/>
        <v>0</v>
      </c>
      <c r="R95" s="133">
        <f t="shared" si="31"/>
        <v>0</v>
      </c>
      <c r="S95" s="121" t="str">
        <f t="shared" ref="S95:S100" si="36">IF(Q95=0,"",IF(Q95=0,0,IF(R95&gt;1,"перерасход","экономия")))</f>
        <v/>
      </c>
    </row>
    <row r="96" hidden="1" outlineLevel="1">
      <c r="A96" s="190"/>
      <c r="B96" s="125"/>
      <c r="C96" s="170"/>
      <c r="D96" s="149"/>
      <c r="E96" s="149"/>
      <c r="F96" s="149"/>
      <c r="G96" s="149"/>
      <c r="H96" s="149"/>
      <c r="I96" s="188">
        <f t="shared" si="32"/>
        <v>0</v>
      </c>
      <c r="J96" s="170"/>
      <c r="K96" s="149"/>
      <c r="L96" s="149"/>
      <c r="M96" s="149"/>
      <c r="N96" s="149"/>
      <c r="O96" s="149"/>
      <c r="P96" s="188">
        <f t="shared" si="35"/>
        <v>0</v>
      </c>
      <c r="Q96" s="132">
        <f t="shared" si="30"/>
        <v>0</v>
      </c>
      <c r="R96" s="133">
        <f t="shared" si="31"/>
        <v>0</v>
      </c>
      <c r="S96" s="121" t="str">
        <f t="shared" si="36"/>
        <v/>
      </c>
    </row>
    <row r="97" hidden="1" outlineLevel="1">
      <c r="A97" s="190"/>
      <c r="B97" s="125"/>
      <c r="C97" s="170"/>
      <c r="D97" s="149"/>
      <c r="E97" s="149"/>
      <c r="F97" s="149"/>
      <c r="G97" s="149"/>
      <c r="H97" s="149"/>
      <c r="I97" s="188">
        <f t="shared" si="32"/>
        <v>0</v>
      </c>
      <c r="J97" s="170"/>
      <c r="K97" s="149"/>
      <c r="L97" s="149"/>
      <c r="M97" s="149"/>
      <c r="N97" s="149"/>
      <c r="O97" s="149"/>
      <c r="P97" s="188">
        <f t="shared" si="35"/>
        <v>0</v>
      </c>
      <c r="Q97" s="132">
        <f t="shared" si="30"/>
        <v>0</v>
      </c>
      <c r="R97" s="133">
        <f t="shared" si="31"/>
        <v>0</v>
      </c>
      <c r="S97" s="121" t="str">
        <f t="shared" si="36"/>
        <v/>
      </c>
    </row>
    <row r="98" hidden="1" outlineLevel="1">
      <c r="A98" s="190"/>
      <c r="B98" s="125"/>
      <c r="C98" s="170"/>
      <c r="D98" s="149"/>
      <c r="E98" s="149"/>
      <c r="F98" s="149"/>
      <c r="G98" s="149"/>
      <c r="H98" s="149"/>
      <c r="I98" s="188">
        <f t="shared" si="32"/>
        <v>0</v>
      </c>
      <c r="J98" s="170"/>
      <c r="K98" s="149"/>
      <c r="L98" s="149"/>
      <c r="M98" s="149"/>
      <c r="N98" s="149"/>
      <c r="O98" s="149"/>
      <c r="P98" s="188">
        <f t="shared" si="35"/>
        <v>0</v>
      </c>
      <c r="Q98" s="132">
        <f t="shared" si="30"/>
        <v>0</v>
      </c>
      <c r="R98" s="133">
        <f t="shared" si="31"/>
        <v>0</v>
      </c>
      <c r="S98" s="121" t="str">
        <f t="shared" si="36"/>
        <v/>
      </c>
    </row>
    <row r="99" hidden="1" outlineLevel="1">
      <c r="A99" s="190"/>
      <c r="B99" s="125"/>
      <c r="C99" s="170"/>
      <c r="D99" s="149"/>
      <c r="E99" s="149"/>
      <c r="F99" s="149"/>
      <c r="G99" s="149"/>
      <c r="H99" s="149"/>
      <c r="I99" s="188">
        <f t="shared" si="32"/>
        <v>0</v>
      </c>
      <c r="J99" s="170"/>
      <c r="K99" s="149"/>
      <c r="L99" s="149"/>
      <c r="M99" s="149"/>
      <c r="N99" s="149"/>
      <c r="O99" s="149"/>
      <c r="P99" s="188">
        <f t="shared" si="35"/>
        <v>0</v>
      </c>
      <c r="Q99" s="132">
        <f t="shared" si="30"/>
        <v>0</v>
      </c>
      <c r="R99" s="133">
        <f t="shared" si="31"/>
        <v>0</v>
      </c>
      <c r="S99" s="121" t="str">
        <f t="shared" si="36"/>
        <v/>
      </c>
    </row>
    <row r="100" hidden="1" outlineLevel="1">
      <c r="A100" s="190"/>
      <c r="B100" s="125"/>
      <c r="C100" s="170"/>
      <c r="D100" s="149"/>
      <c r="E100" s="149"/>
      <c r="F100" s="149"/>
      <c r="G100" s="149"/>
      <c r="H100" s="149"/>
      <c r="I100" s="188">
        <f t="shared" si="32"/>
        <v>0</v>
      </c>
      <c r="J100" s="170"/>
      <c r="K100" s="149"/>
      <c r="L100" s="149"/>
      <c r="M100" s="149"/>
      <c r="N100" s="149"/>
      <c r="O100" s="149"/>
      <c r="P100" s="188">
        <f t="shared" si="35"/>
        <v>0</v>
      </c>
      <c r="Q100" s="132">
        <f t="shared" si="30"/>
        <v>0</v>
      </c>
      <c r="R100" s="133">
        <f t="shared" si="31"/>
        <v>0</v>
      </c>
      <c r="S100" s="121" t="str">
        <f t="shared" si="36"/>
        <v/>
      </c>
    </row>
    <row r="101">
      <c r="A101" s="135"/>
      <c r="B101" s="136" t="s">
        <v>90</v>
      </c>
      <c r="C101" s="137">
        <f t="shared" ref="C101:K101" si="37">SUM(C102:C131)</f>
        <v>0</v>
      </c>
      <c r="D101" s="138">
        <f t="shared" si="37"/>
        <v>0</v>
      </c>
      <c r="E101" s="138">
        <f t="shared" si="37"/>
        <v>0</v>
      </c>
      <c r="F101" s="138">
        <f t="shared" si="37"/>
        <v>0</v>
      </c>
      <c r="G101" s="138">
        <f t="shared" si="37"/>
        <v>0</v>
      </c>
      <c r="H101" s="138">
        <f t="shared" si="37"/>
        <v>0</v>
      </c>
      <c r="I101" s="139">
        <f t="shared" si="37"/>
        <v>0</v>
      </c>
      <c r="J101" s="137">
        <f t="shared" si="37"/>
        <v>0</v>
      </c>
      <c r="K101" s="138">
        <f t="shared" si="37"/>
        <v>0</v>
      </c>
      <c r="L101" s="138"/>
      <c r="M101" s="138"/>
      <c r="N101" s="138"/>
      <c r="O101" s="138"/>
      <c r="P101" s="140">
        <f>SUM(P102:P131)</f>
        <v>0</v>
      </c>
      <c r="Q101" s="138">
        <f t="shared" si="30"/>
        <v>0</v>
      </c>
      <c r="R101" s="187">
        <f t="shared" si="31"/>
        <v>0</v>
      </c>
      <c r="S101" s="141" t="str">
        <f>IF(Q101=0,"",IF(R101&gt;1,"план не выполнен","выполнение"))</f>
        <v/>
      </c>
    </row>
    <row r="102">
      <c r="A102" s="142" t="str">
        <f>IFERROR(VLOOKUP(B102,'Статьи'!$A$2:C124,3,0)," ")</f>
        <v>1С</v>
      </c>
      <c r="B102" s="125" t="str">
        <f>IFERROR(__xludf.DUMMYFUNCTION("iferror(filter('Статьи'!$A$1:$A177,'Статьи'!$B$1:$B177=$B$101))"),"Аренда, коммунальные услуги")</f>
        <v>Аренда, коммунальные услуги</v>
      </c>
      <c r="C102" s="171"/>
      <c r="D102" s="172"/>
      <c r="E102" s="149"/>
      <c r="F102" s="149"/>
      <c r="G102" s="149"/>
      <c r="H102" s="149"/>
      <c r="I102" s="188">
        <f t="shared" ref="I102:I141" si="38">sum(C102:H102)</f>
        <v>0</v>
      </c>
      <c r="J102" s="170"/>
      <c r="K102" s="149"/>
      <c r="L102" s="149"/>
      <c r="M102" s="149"/>
      <c r="N102" s="149"/>
      <c r="O102" s="149"/>
      <c r="P102" s="188">
        <f t="shared" ref="P102:P131" si="39">SUM(J102:K102)</f>
        <v>0</v>
      </c>
      <c r="Q102" s="132">
        <f t="shared" si="30"/>
        <v>0</v>
      </c>
      <c r="R102" s="133">
        <f t="shared" si="31"/>
        <v>0</v>
      </c>
      <c r="S102" s="121" t="str">
        <f t="shared" ref="S102:S131" si="40">IF(Q102=0,"",IF(R102=0,"обратить внимание",IF(R102&gt;1,"перерасход","экономия")))</f>
        <v/>
      </c>
    </row>
    <row r="103">
      <c r="A103" s="191" t="str">
        <f>IFERROR(VLOOKUP(B103,'Статьи'!$A$2:C125,3,0)," ")</f>
        <v>1С</v>
      </c>
      <c r="B103" s="192" t="str">
        <f>IFERROR(__xludf.DUMMYFUNCTION("""COMPUTED_VALUE"""),"Аутсорсинг и прочие услуги")</f>
        <v>Аутсорсинг и прочие услуги</v>
      </c>
      <c r="C103" s="171"/>
      <c r="D103" s="172"/>
      <c r="E103" s="149"/>
      <c r="F103" s="149"/>
      <c r="G103" s="149"/>
      <c r="H103" s="149"/>
      <c r="I103" s="188">
        <f t="shared" si="38"/>
        <v>0</v>
      </c>
      <c r="J103" s="170"/>
      <c r="K103" s="149"/>
      <c r="L103" s="149"/>
      <c r="M103" s="149"/>
      <c r="N103" s="149"/>
      <c r="O103" s="149"/>
      <c r="P103" s="188">
        <f t="shared" si="39"/>
        <v>0</v>
      </c>
      <c r="Q103" s="132">
        <f t="shared" si="30"/>
        <v>0</v>
      </c>
      <c r="R103" s="133">
        <f t="shared" si="31"/>
        <v>0</v>
      </c>
      <c r="S103" s="121" t="str">
        <f t="shared" si="40"/>
        <v/>
      </c>
    </row>
    <row r="104">
      <c r="A104" s="193" t="str">
        <f>IFERROR(VLOOKUP(B104,'Статьи'!$A$2:C126,3,0)," ")</f>
        <v>1С</v>
      </c>
      <c r="B104" s="194" t="str">
        <f>IFERROR(__xludf.DUMMYFUNCTION("""COMPUTED_VALUE"""),"Командировочные расходы")</f>
        <v>Командировочные расходы</v>
      </c>
      <c r="C104" s="171"/>
      <c r="D104" s="172"/>
      <c r="E104" s="149"/>
      <c r="F104" s="149"/>
      <c r="G104" s="149"/>
      <c r="H104" s="149"/>
      <c r="I104" s="188">
        <f t="shared" si="38"/>
        <v>0</v>
      </c>
      <c r="J104" s="170"/>
      <c r="K104" s="149"/>
      <c r="L104" s="149"/>
      <c r="M104" s="149"/>
      <c r="N104" s="149"/>
      <c r="O104" s="149"/>
      <c r="P104" s="188">
        <f t="shared" si="39"/>
        <v>0</v>
      </c>
      <c r="Q104" s="132">
        <f t="shared" si="30"/>
        <v>0</v>
      </c>
      <c r="R104" s="133">
        <f t="shared" si="31"/>
        <v>0</v>
      </c>
      <c r="S104" s="121" t="str">
        <f t="shared" si="40"/>
        <v/>
      </c>
    </row>
    <row r="105">
      <c r="A105" s="195" t="str">
        <f>IFERROR(VLOOKUP(B105,'Статьи'!$A$2:C127,3,0)," ")</f>
        <v>ДДС отчетного месяца. Без НДС!</v>
      </c>
      <c r="B105" s="196" t="str">
        <f>IFERROR(__xludf.DUMMYFUNCTION("""COMPUTED_VALUE"""),"Комиссии банка")</f>
        <v>Комиссии банка</v>
      </c>
      <c r="C105" s="171"/>
      <c r="D105" s="172"/>
      <c r="E105" s="149"/>
      <c r="F105" s="149"/>
      <c r="G105" s="149"/>
      <c r="H105" s="149"/>
      <c r="I105" s="188">
        <f t="shared" si="38"/>
        <v>0</v>
      </c>
      <c r="J105" s="170"/>
      <c r="K105" s="149"/>
      <c r="L105" s="149"/>
      <c r="M105" s="149"/>
      <c r="N105" s="149"/>
      <c r="O105" s="149"/>
      <c r="P105" s="188">
        <f t="shared" si="39"/>
        <v>0</v>
      </c>
      <c r="Q105" s="132">
        <f t="shared" si="30"/>
        <v>0</v>
      </c>
      <c r="R105" s="133">
        <f t="shared" si="31"/>
        <v>0</v>
      </c>
      <c r="S105" s="121" t="str">
        <f t="shared" si="40"/>
        <v/>
      </c>
    </row>
    <row r="106">
      <c r="A106" s="191" t="str">
        <f>IFERROR(VLOOKUP(B106,'Статьи'!$A$2:C128,3,0)," ")</f>
        <v>ДДС отчетного месяца. Без НДС!</v>
      </c>
      <c r="B106" s="192" t="str">
        <f>IFERROR(__xludf.DUMMYFUNCTION("""COMPUTED_VALUE"""),"Обучение сотрудников")</f>
        <v>Обучение сотрудников</v>
      </c>
      <c r="C106" s="171"/>
      <c r="D106" s="172"/>
      <c r="E106" s="149"/>
      <c r="F106" s="149"/>
      <c r="G106" s="149"/>
      <c r="H106" s="149"/>
      <c r="I106" s="188">
        <f t="shared" si="38"/>
        <v>0</v>
      </c>
      <c r="J106" s="170"/>
      <c r="K106" s="149"/>
      <c r="L106" s="149"/>
      <c r="M106" s="149"/>
      <c r="N106" s="149"/>
      <c r="O106" s="149"/>
      <c r="P106" s="188">
        <f t="shared" si="39"/>
        <v>0</v>
      </c>
      <c r="Q106" s="132">
        <f t="shared" si="30"/>
        <v>0</v>
      </c>
      <c r="R106" s="133">
        <f t="shared" si="31"/>
        <v>0</v>
      </c>
      <c r="S106" s="121" t="str">
        <f t="shared" si="40"/>
        <v/>
      </c>
    </row>
    <row r="107">
      <c r="A107" s="142" t="str">
        <f>IFERROR(VLOOKUP(B107,'Статьи'!$A$2:C129,3,0)," ")</f>
        <v>ДДС отчетного месяца. Без НДС!</v>
      </c>
      <c r="B107" s="125" t="str">
        <f>IFERROR(__xludf.DUMMYFUNCTION("""COMPUTED_VALUE"""),"Подбор персонала")</f>
        <v>Подбор персонала</v>
      </c>
      <c r="C107" s="171"/>
      <c r="D107" s="172"/>
      <c r="E107" s="149"/>
      <c r="F107" s="149"/>
      <c r="G107" s="149"/>
      <c r="H107" s="149"/>
      <c r="I107" s="188">
        <f t="shared" si="38"/>
        <v>0</v>
      </c>
      <c r="J107" s="189"/>
      <c r="K107" s="149"/>
      <c r="L107" s="149"/>
      <c r="M107" s="149"/>
      <c r="N107" s="149"/>
      <c r="O107" s="149"/>
      <c r="P107" s="188">
        <f t="shared" si="39"/>
        <v>0</v>
      </c>
      <c r="Q107" s="132">
        <f t="shared" si="30"/>
        <v>0</v>
      </c>
      <c r="R107" s="133">
        <f t="shared" si="31"/>
        <v>0</v>
      </c>
      <c r="S107" s="121" t="str">
        <f t="shared" si="40"/>
        <v/>
      </c>
    </row>
    <row r="108">
      <c r="A108" s="142" t="str">
        <f>IFERROR(VLOOKUP(B108,'Статьи'!$A$2:C130,3,0)," ")</f>
        <v>ДДС отчетного месяца. Без НДС!</v>
      </c>
      <c r="B108" s="125" t="str">
        <f>IFERROR(__xludf.DUMMYFUNCTION("""COMPUTED_VALUE"""),"Почтовые расходы")</f>
        <v>Почтовые расходы</v>
      </c>
      <c r="C108" s="171"/>
      <c r="D108" s="172"/>
      <c r="E108" s="149"/>
      <c r="F108" s="149"/>
      <c r="G108" s="149"/>
      <c r="H108" s="149"/>
      <c r="I108" s="188">
        <f t="shared" si="38"/>
        <v>0</v>
      </c>
      <c r="J108" s="170"/>
      <c r="K108" s="149"/>
      <c r="L108" s="149"/>
      <c r="M108" s="149"/>
      <c r="N108" s="149"/>
      <c r="O108" s="149"/>
      <c r="P108" s="188">
        <f t="shared" si="39"/>
        <v>0</v>
      </c>
      <c r="Q108" s="132">
        <f t="shared" si="30"/>
        <v>0</v>
      </c>
      <c r="R108" s="133">
        <f t="shared" si="31"/>
        <v>0</v>
      </c>
      <c r="S108" s="121" t="str">
        <f t="shared" si="40"/>
        <v/>
      </c>
    </row>
    <row r="109">
      <c r="A109" s="142" t="str">
        <f>IFERROR(VLOOKUP(B109,'Статьи'!$A$2:C131,3,0)," ")</f>
        <v>ДДС отчетного месяца. Без НДС!</v>
      </c>
      <c r="B109" s="125" t="str">
        <f>IFERROR(__xludf.DUMMYFUNCTION("""COMPUTED_VALUE"""),"Представительские расходы")</f>
        <v>Представительские расходы</v>
      </c>
      <c r="C109" s="171"/>
      <c r="D109" s="172"/>
      <c r="E109" s="149"/>
      <c r="F109" s="149"/>
      <c r="G109" s="149"/>
      <c r="H109" s="149"/>
      <c r="I109" s="188">
        <f t="shared" si="38"/>
        <v>0</v>
      </c>
      <c r="J109" s="170"/>
      <c r="K109" s="149"/>
      <c r="L109" s="149"/>
      <c r="M109" s="149"/>
      <c r="N109" s="149"/>
      <c r="O109" s="149"/>
      <c r="P109" s="188">
        <f t="shared" si="39"/>
        <v>0</v>
      </c>
      <c r="Q109" s="132">
        <f t="shared" si="30"/>
        <v>0</v>
      </c>
      <c r="R109" s="133">
        <f t="shared" si="31"/>
        <v>0</v>
      </c>
      <c r="S109" s="121" t="str">
        <f t="shared" si="40"/>
        <v/>
      </c>
    </row>
    <row r="110">
      <c r="A110" s="142" t="str">
        <f>IFERROR(VLOOKUP(B110,'Статьи'!$A$2:C132,3,0)," ")</f>
        <v>ДДС отчетного месяца. Без НДС!</v>
      </c>
      <c r="B110" s="125" t="str">
        <f>IFERROR(__xludf.DUMMYFUNCTION("""COMPUTED_VALUE"""),"Содержание офиса")</f>
        <v>Содержание офиса</v>
      </c>
      <c r="C110" s="171"/>
      <c r="D110" s="172"/>
      <c r="E110" s="149"/>
      <c r="F110" s="149"/>
      <c r="G110" s="149"/>
      <c r="H110" s="149"/>
      <c r="I110" s="188">
        <f t="shared" si="38"/>
        <v>0</v>
      </c>
      <c r="J110" s="189"/>
      <c r="K110" s="149"/>
      <c r="L110" s="149"/>
      <c r="M110" s="149"/>
      <c r="N110" s="149"/>
      <c r="O110" s="149"/>
      <c r="P110" s="188">
        <f t="shared" si="39"/>
        <v>0</v>
      </c>
      <c r="Q110" s="132">
        <f t="shared" si="30"/>
        <v>0</v>
      </c>
      <c r="R110" s="133">
        <f t="shared" si="31"/>
        <v>0</v>
      </c>
      <c r="S110" s="121" t="str">
        <f t="shared" si="40"/>
        <v/>
      </c>
    </row>
    <row r="111">
      <c r="A111" s="142" t="str">
        <f>IFERROR(VLOOKUP(B111,'Статьи'!$A$2:C133,3,0)," ")</f>
        <v>ДДС отчетного месяца. Без НДС!</v>
      </c>
      <c r="B111" s="125" t="str">
        <f>IFERROR(__xludf.DUMMYFUNCTION("""COMPUTED_VALUE"""),"Услуги связи + Интернет")</f>
        <v>Услуги связи + Интернет</v>
      </c>
      <c r="C111" s="171"/>
      <c r="D111" s="172"/>
      <c r="E111" s="149"/>
      <c r="F111" s="149"/>
      <c r="G111" s="149"/>
      <c r="H111" s="149"/>
      <c r="I111" s="188">
        <f t="shared" si="38"/>
        <v>0</v>
      </c>
      <c r="J111" s="189"/>
      <c r="K111" s="149"/>
      <c r="L111" s="149"/>
      <c r="M111" s="149"/>
      <c r="N111" s="149"/>
      <c r="O111" s="149"/>
      <c r="P111" s="188">
        <f t="shared" si="39"/>
        <v>0</v>
      </c>
      <c r="Q111" s="132">
        <f t="shared" si="30"/>
        <v>0</v>
      </c>
      <c r="R111" s="133">
        <f t="shared" si="31"/>
        <v>0</v>
      </c>
      <c r="S111" s="121" t="str">
        <f t="shared" si="40"/>
        <v/>
      </c>
    </row>
    <row r="112">
      <c r="A112" s="142" t="str">
        <f>IFERROR(VLOOKUP(B112,'Статьи'!$A$2:C134,3,0)," ")</f>
        <v>ДДС отчетного месяца. Без НДС!</v>
      </c>
      <c r="B112" s="125" t="str">
        <f>IFERROR(__xludf.DUMMYFUNCTION("""COMPUTED_VALUE"""),"Штрафы")</f>
        <v>Штрафы</v>
      </c>
      <c r="C112" s="171"/>
      <c r="D112" s="172"/>
      <c r="E112" s="149"/>
      <c r="F112" s="149"/>
      <c r="G112" s="149"/>
      <c r="H112" s="149"/>
      <c r="I112" s="188">
        <f t="shared" si="38"/>
        <v>0</v>
      </c>
      <c r="J112" s="189"/>
      <c r="K112" s="149"/>
      <c r="L112" s="149"/>
      <c r="M112" s="149"/>
      <c r="N112" s="149"/>
      <c r="O112" s="149"/>
      <c r="P112" s="188">
        <f t="shared" si="39"/>
        <v>0</v>
      </c>
      <c r="Q112" s="132">
        <f t="shared" si="30"/>
        <v>0</v>
      </c>
      <c r="R112" s="133">
        <f t="shared" si="31"/>
        <v>0</v>
      </c>
      <c r="S112" s="121" t="str">
        <f t="shared" si="40"/>
        <v/>
      </c>
    </row>
    <row r="113" collapsed="1">
      <c r="A113" s="142" t="str">
        <f>IFERROR(VLOOKUP(B113,'Статьи'!$A$2:C135,3,0)," ")</f>
        <v> </v>
      </c>
      <c r="B113" s="125"/>
      <c r="C113" s="197"/>
      <c r="D113" s="149"/>
      <c r="E113" s="149"/>
      <c r="F113" s="149"/>
      <c r="G113" s="149"/>
      <c r="H113" s="149"/>
      <c r="I113" s="188">
        <f t="shared" si="38"/>
        <v>0</v>
      </c>
      <c r="J113" s="189"/>
      <c r="K113" s="149"/>
      <c r="L113" s="149"/>
      <c r="M113" s="149"/>
      <c r="N113" s="149"/>
      <c r="O113" s="149"/>
      <c r="P113" s="188">
        <f t="shared" si="39"/>
        <v>0</v>
      </c>
      <c r="Q113" s="132">
        <f t="shared" si="30"/>
        <v>0</v>
      </c>
      <c r="R113" s="133">
        <f t="shared" si="31"/>
        <v>0</v>
      </c>
      <c r="S113" s="121" t="str">
        <f t="shared" si="40"/>
        <v/>
      </c>
    </row>
    <row r="114" hidden="1" outlineLevel="1">
      <c r="A114" s="142" t="str">
        <f>IFERROR(VLOOKUP(B114,'Статьи'!$A$2:C136,3,0)," ")</f>
        <v> </v>
      </c>
      <c r="B114" s="125"/>
      <c r="C114" s="197"/>
      <c r="D114" s="149"/>
      <c r="E114" s="149"/>
      <c r="F114" s="149"/>
      <c r="G114" s="149"/>
      <c r="H114" s="149"/>
      <c r="I114" s="188">
        <f t="shared" si="38"/>
        <v>0</v>
      </c>
      <c r="J114" s="170"/>
      <c r="K114" s="149"/>
      <c r="L114" s="149"/>
      <c r="M114" s="149"/>
      <c r="N114" s="149"/>
      <c r="O114" s="149"/>
      <c r="P114" s="188">
        <f t="shared" si="39"/>
        <v>0</v>
      </c>
      <c r="Q114" s="132">
        <f t="shared" si="30"/>
        <v>0</v>
      </c>
      <c r="R114" s="133">
        <f t="shared" si="31"/>
        <v>0</v>
      </c>
      <c r="S114" s="121" t="str">
        <f t="shared" si="40"/>
        <v/>
      </c>
    </row>
    <row r="115" hidden="1" outlineLevel="1">
      <c r="A115" s="142" t="str">
        <f>IFERROR(VLOOKUP(B115,'Статьи'!$A$2:C137,3,0)," ")</f>
        <v> </v>
      </c>
      <c r="B115" s="125"/>
      <c r="C115" s="197"/>
      <c r="D115" s="149"/>
      <c r="E115" s="198"/>
      <c r="F115" s="198"/>
      <c r="G115" s="198"/>
      <c r="H115" s="198"/>
      <c r="I115" s="188">
        <f t="shared" si="38"/>
        <v>0</v>
      </c>
      <c r="J115" s="189"/>
      <c r="K115" s="149"/>
      <c r="L115" s="149"/>
      <c r="M115" s="149"/>
      <c r="N115" s="149"/>
      <c r="O115" s="149"/>
      <c r="P115" s="188">
        <f t="shared" si="39"/>
        <v>0</v>
      </c>
      <c r="Q115" s="132">
        <f t="shared" si="30"/>
        <v>0</v>
      </c>
      <c r="R115" s="133">
        <f t="shared" si="31"/>
        <v>0</v>
      </c>
      <c r="S115" s="121" t="str">
        <f t="shared" si="40"/>
        <v/>
      </c>
    </row>
    <row r="116" hidden="1" outlineLevel="1">
      <c r="A116" s="142" t="str">
        <f>IFERROR(VLOOKUP(B116,'Статьи'!$A$2:C138,3,0)," ")</f>
        <v> </v>
      </c>
      <c r="B116" s="125"/>
      <c r="C116" s="197"/>
      <c r="D116" s="149"/>
      <c r="E116" s="149"/>
      <c r="F116" s="149"/>
      <c r="G116" s="149"/>
      <c r="H116" s="149"/>
      <c r="I116" s="188">
        <f t="shared" si="38"/>
        <v>0</v>
      </c>
      <c r="J116" s="189"/>
      <c r="K116" s="149"/>
      <c r="L116" s="149"/>
      <c r="M116" s="149"/>
      <c r="N116" s="149"/>
      <c r="O116" s="149"/>
      <c r="P116" s="188">
        <f t="shared" si="39"/>
        <v>0</v>
      </c>
      <c r="Q116" s="132">
        <f t="shared" si="30"/>
        <v>0</v>
      </c>
      <c r="R116" s="133">
        <f t="shared" si="31"/>
        <v>0</v>
      </c>
      <c r="S116" s="121" t="str">
        <f t="shared" si="40"/>
        <v/>
      </c>
    </row>
    <row r="117" hidden="1" outlineLevel="1">
      <c r="A117" s="142" t="str">
        <f>IFERROR(VLOOKUP(B117,'Статьи'!$A$2:C139,3,0)," ")</f>
        <v> </v>
      </c>
      <c r="B117" s="125"/>
      <c r="C117" s="197"/>
      <c r="D117" s="149"/>
      <c r="E117" s="149"/>
      <c r="F117" s="149"/>
      <c r="G117" s="149"/>
      <c r="H117" s="149"/>
      <c r="I117" s="188">
        <f t="shared" si="38"/>
        <v>0</v>
      </c>
      <c r="J117" s="189"/>
      <c r="K117" s="149"/>
      <c r="L117" s="149"/>
      <c r="M117" s="149"/>
      <c r="N117" s="149"/>
      <c r="O117" s="149"/>
      <c r="P117" s="188">
        <f t="shared" si="39"/>
        <v>0</v>
      </c>
      <c r="Q117" s="132">
        <f t="shared" si="30"/>
        <v>0</v>
      </c>
      <c r="R117" s="133">
        <f t="shared" si="31"/>
        <v>0</v>
      </c>
      <c r="S117" s="121" t="str">
        <f t="shared" si="40"/>
        <v/>
      </c>
    </row>
    <row r="118" hidden="1" outlineLevel="1">
      <c r="A118" s="142" t="str">
        <f>IFERROR(VLOOKUP(B118,'Статьи'!$A$2:C140,3,0)," ")</f>
        <v> </v>
      </c>
      <c r="B118" s="125"/>
      <c r="C118" s="197"/>
      <c r="D118" s="149"/>
      <c r="E118" s="149"/>
      <c r="F118" s="149"/>
      <c r="G118" s="149"/>
      <c r="H118" s="149"/>
      <c r="I118" s="188">
        <f t="shared" si="38"/>
        <v>0</v>
      </c>
      <c r="J118" s="170"/>
      <c r="K118" s="149"/>
      <c r="L118" s="149"/>
      <c r="M118" s="149"/>
      <c r="N118" s="149"/>
      <c r="O118" s="149"/>
      <c r="P118" s="188">
        <f t="shared" si="39"/>
        <v>0</v>
      </c>
      <c r="Q118" s="132">
        <f t="shared" si="30"/>
        <v>0</v>
      </c>
      <c r="R118" s="133">
        <f t="shared" si="31"/>
        <v>0</v>
      </c>
      <c r="S118" s="121" t="str">
        <f t="shared" si="40"/>
        <v/>
      </c>
    </row>
    <row r="119" hidden="1" outlineLevel="1">
      <c r="A119" s="142" t="str">
        <f>IFERROR(VLOOKUP(B119,'Статьи'!$A$2:C141,3,0)," ")</f>
        <v> </v>
      </c>
      <c r="B119" s="125"/>
      <c r="C119" s="197"/>
      <c r="D119" s="149"/>
      <c r="E119" s="149"/>
      <c r="F119" s="149"/>
      <c r="G119" s="149"/>
      <c r="H119" s="149"/>
      <c r="I119" s="188">
        <f t="shared" si="38"/>
        <v>0</v>
      </c>
      <c r="J119" s="189"/>
      <c r="K119" s="149"/>
      <c r="L119" s="149"/>
      <c r="M119" s="149"/>
      <c r="N119" s="149"/>
      <c r="O119" s="149"/>
      <c r="P119" s="188">
        <f t="shared" si="39"/>
        <v>0</v>
      </c>
      <c r="Q119" s="132">
        <f t="shared" si="30"/>
        <v>0</v>
      </c>
      <c r="R119" s="133">
        <f t="shared" si="31"/>
        <v>0</v>
      </c>
      <c r="S119" s="121" t="str">
        <f t="shared" si="40"/>
        <v/>
      </c>
    </row>
    <row r="120" hidden="1" outlineLevel="1">
      <c r="A120" s="142" t="str">
        <f>IFERROR(VLOOKUP(B120,'Статьи'!$A$2:C142,3,0)," ")</f>
        <v> </v>
      </c>
      <c r="B120" s="125"/>
      <c r="C120" s="197"/>
      <c r="D120" s="149"/>
      <c r="E120" s="149"/>
      <c r="F120" s="149"/>
      <c r="G120" s="149"/>
      <c r="H120" s="149"/>
      <c r="I120" s="188">
        <f t="shared" si="38"/>
        <v>0</v>
      </c>
      <c r="J120" s="189"/>
      <c r="K120" s="149"/>
      <c r="L120" s="149"/>
      <c r="M120" s="149"/>
      <c r="N120" s="149"/>
      <c r="O120" s="149"/>
      <c r="P120" s="188">
        <f t="shared" si="39"/>
        <v>0</v>
      </c>
      <c r="Q120" s="132">
        <f t="shared" si="30"/>
        <v>0</v>
      </c>
      <c r="R120" s="133">
        <f t="shared" si="31"/>
        <v>0</v>
      </c>
      <c r="S120" s="121" t="str">
        <f t="shared" si="40"/>
        <v/>
      </c>
    </row>
    <row r="121" hidden="1" outlineLevel="1">
      <c r="A121" s="142" t="str">
        <f>IFERROR(VLOOKUP(B121,'Статьи'!$A$2:C143,3,0)," ")</f>
        <v> </v>
      </c>
      <c r="B121" s="125"/>
      <c r="C121" s="197"/>
      <c r="D121" s="149"/>
      <c r="E121" s="149"/>
      <c r="F121" s="149"/>
      <c r="G121" s="149"/>
      <c r="H121" s="149"/>
      <c r="I121" s="188">
        <f t="shared" si="38"/>
        <v>0</v>
      </c>
      <c r="J121" s="170"/>
      <c r="K121" s="149"/>
      <c r="L121" s="149"/>
      <c r="M121" s="149"/>
      <c r="N121" s="149"/>
      <c r="O121" s="149"/>
      <c r="P121" s="188">
        <f t="shared" si="39"/>
        <v>0</v>
      </c>
      <c r="Q121" s="132">
        <f t="shared" si="30"/>
        <v>0</v>
      </c>
      <c r="R121" s="133">
        <f t="shared" si="31"/>
        <v>0</v>
      </c>
      <c r="S121" s="121" t="str">
        <f t="shared" si="40"/>
        <v/>
      </c>
    </row>
    <row r="122" hidden="1" outlineLevel="1">
      <c r="A122" s="142" t="str">
        <f>IFERROR(VLOOKUP(B122,'Статьи'!$A$2:C144,3,0)," ")</f>
        <v> </v>
      </c>
      <c r="B122" s="125"/>
      <c r="C122" s="197"/>
      <c r="D122" s="149"/>
      <c r="E122" s="149"/>
      <c r="F122" s="149"/>
      <c r="G122" s="149"/>
      <c r="H122" s="149"/>
      <c r="I122" s="188">
        <f t="shared" si="38"/>
        <v>0</v>
      </c>
      <c r="J122" s="189"/>
      <c r="K122" s="149"/>
      <c r="L122" s="149"/>
      <c r="M122" s="149"/>
      <c r="N122" s="149"/>
      <c r="O122" s="149"/>
      <c r="P122" s="188">
        <f t="shared" si="39"/>
        <v>0</v>
      </c>
      <c r="Q122" s="132">
        <f t="shared" si="30"/>
        <v>0</v>
      </c>
      <c r="R122" s="133">
        <f t="shared" si="31"/>
        <v>0</v>
      </c>
      <c r="S122" s="121" t="str">
        <f t="shared" si="40"/>
        <v/>
      </c>
    </row>
    <row r="123" hidden="1" outlineLevel="1">
      <c r="A123" s="142" t="str">
        <f>IFERROR(VLOOKUP(B123,'Статьи'!$A$2:C145,3,0)," ")</f>
        <v> </v>
      </c>
      <c r="B123" s="125"/>
      <c r="C123" s="197"/>
      <c r="D123" s="149"/>
      <c r="E123" s="149"/>
      <c r="F123" s="149"/>
      <c r="G123" s="149"/>
      <c r="H123" s="149"/>
      <c r="I123" s="188">
        <f t="shared" si="38"/>
        <v>0</v>
      </c>
      <c r="J123" s="170"/>
      <c r="K123" s="149"/>
      <c r="L123" s="149"/>
      <c r="M123" s="149"/>
      <c r="N123" s="149"/>
      <c r="O123" s="149"/>
      <c r="P123" s="188">
        <f t="shared" si="39"/>
        <v>0</v>
      </c>
      <c r="Q123" s="132">
        <f t="shared" si="30"/>
        <v>0</v>
      </c>
      <c r="R123" s="133">
        <f t="shared" si="31"/>
        <v>0</v>
      </c>
      <c r="S123" s="121" t="str">
        <f t="shared" si="40"/>
        <v/>
      </c>
    </row>
    <row r="124" hidden="1" outlineLevel="1">
      <c r="A124" s="142" t="str">
        <f>IFERROR(VLOOKUP(B124,'Статьи'!$A$2:C146,3,0)," ")</f>
        <v> </v>
      </c>
      <c r="B124" s="125"/>
      <c r="C124" s="170"/>
      <c r="D124" s="149"/>
      <c r="E124" s="149"/>
      <c r="F124" s="149"/>
      <c r="G124" s="149"/>
      <c r="H124" s="149"/>
      <c r="I124" s="188">
        <f t="shared" si="38"/>
        <v>0</v>
      </c>
      <c r="J124" s="170"/>
      <c r="K124" s="149"/>
      <c r="L124" s="149"/>
      <c r="M124" s="149"/>
      <c r="N124" s="149"/>
      <c r="O124" s="149"/>
      <c r="P124" s="188">
        <f t="shared" si="39"/>
        <v>0</v>
      </c>
      <c r="Q124" s="132">
        <f t="shared" si="30"/>
        <v>0</v>
      </c>
      <c r="R124" s="133">
        <f t="shared" si="31"/>
        <v>0</v>
      </c>
      <c r="S124" s="121" t="str">
        <f t="shared" si="40"/>
        <v/>
      </c>
    </row>
    <row r="125" hidden="1" outlineLevel="1">
      <c r="A125" s="142" t="str">
        <f>IFERROR(VLOOKUP(B125,'Статьи'!$A$2:C147,3,0)," ")</f>
        <v> </v>
      </c>
      <c r="B125" s="125"/>
      <c r="C125" s="170"/>
      <c r="D125" s="149"/>
      <c r="E125" s="149"/>
      <c r="F125" s="149"/>
      <c r="G125" s="149"/>
      <c r="H125" s="149"/>
      <c r="I125" s="188">
        <f t="shared" si="38"/>
        <v>0</v>
      </c>
      <c r="J125" s="170"/>
      <c r="K125" s="149"/>
      <c r="L125" s="149"/>
      <c r="M125" s="149"/>
      <c r="N125" s="149"/>
      <c r="O125" s="149"/>
      <c r="P125" s="188">
        <f t="shared" si="39"/>
        <v>0</v>
      </c>
      <c r="Q125" s="132">
        <f t="shared" si="30"/>
        <v>0</v>
      </c>
      <c r="R125" s="133">
        <f t="shared" si="31"/>
        <v>0</v>
      </c>
      <c r="S125" s="121" t="str">
        <f t="shared" si="40"/>
        <v/>
      </c>
    </row>
    <row r="126" hidden="1" outlineLevel="1">
      <c r="A126" s="142" t="str">
        <f>IFERROR(VLOOKUP(B126,'Статьи'!$A$2:C148,3,0)," ")</f>
        <v> </v>
      </c>
      <c r="B126" s="125"/>
      <c r="C126" s="170"/>
      <c r="D126" s="149"/>
      <c r="E126" s="149"/>
      <c r="F126" s="149"/>
      <c r="G126" s="149"/>
      <c r="H126" s="149"/>
      <c r="I126" s="188">
        <f t="shared" si="38"/>
        <v>0</v>
      </c>
      <c r="J126" s="170"/>
      <c r="K126" s="149"/>
      <c r="L126" s="149"/>
      <c r="M126" s="149"/>
      <c r="N126" s="149"/>
      <c r="O126" s="149"/>
      <c r="P126" s="188">
        <f t="shared" si="39"/>
        <v>0</v>
      </c>
      <c r="Q126" s="132">
        <f t="shared" si="30"/>
        <v>0</v>
      </c>
      <c r="R126" s="133">
        <f t="shared" si="31"/>
        <v>0</v>
      </c>
      <c r="S126" s="121" t="str">
        <f t="shared" si="40"/>
        <v/>
      </c>
    </row>
    <row r="127" hidden="1" outlineLevel="1">
      <c r="A127" s="142" t="str">
        <f>IFERROR(VLOOKUP(B127,'Статьи'!$A$2:C149,3,0)," ")</f>
        <v> </v>
      </c>
      <c r="B127" s="125"/>
      <c r="C127" s="170"/>
      <c r="D127" s="149"/>
      <c r="E127" s="149"/>
      <c r="F127" s="149"/>
      <c r="G127" s="149"/>
      <c r="H127" s="149"/>
      <c r="I127" s="188">
        <f t="shared" si="38"/>
        <v>0</v>
      </c>
      <c r="J127" s="170"/>
      <c r="K127" s="149"/>
      <c r="L127" s="149"/>
      <c r="M127" s="149"/>
      <c r="N127" s="149"/>
      <c r="O127" s="149"/>
      <c r="P127" s="188">
        <f t="shared" si="39"/>
        <v>0</v>
      </c>
      <c r="Q127" s="132">
        <f t="shared" si="30"/>
        <v>0</v>
      </c>
      <c r="R127" s="133">
        <f t="shared" si="31"/>
        <v>0</v>
      </c>
      <c r="S127" s="121" t="str">
        <f t="shared" si="40"/>
        <v/>
      </c>
    </row>
    <row r="128" hidden="1" outlineLevel="1">
      <c r="A128" s="142" t="str">
        <f>IFERROR(VLOOKUP(B128,'Статьи'!$A$2:C150,3,0)," ")</f>
        <v> </v>
      </c>
      <c r="B128" s="125"/>
      <c r="C128" s="170"/>
      <c r="D128" s="149"/>
      <c r="E128" s="149"/>
      <c r="F128" s="149"/>
      <c r="G128" s="149"/>
      <c r="H128" s="149"/>
      <c r="I128" s="188">
        <f t="shared" si="38"/>
        <v>0</v>
      </c>
      <c r="J128" s="170"/>
      <c r="K128" s="149"/>
      <c r="L128" s="149"/>
      <c r="M128" s="149"/>
      <c r="N128" s="149"/>
      <c r="O128" s="149"/>
      <c r="P128" s="188">
        <f t="shared" si="39"/>
        <v>0</v>
      </c>
      <c r="Q128" s="132">
        <f t="shared" si="30"/>
        <v>0</v>
      </c>
      <c r="R128" s="133">
        <f t="shared" si="31"/>
        <v>0</v>
      </c>
      <c r="S128" s="121" t="str">
        <f t="shared" si="40"/>
        <v/>
      </c>
    </row>
    <row r="129" hidden="1" outlineLevel="1">
      <c r="A129" s="142" t="str">
        <f>IFERROR(VLOOKUP(B129,'Статьи'!$A$2:C151,3,0)," ")</f>
        <v> </v>
      </c>
      <c r="B129" s="125"/>
      <c r="C129" s="170"/>
      <c r="D129" s="149"/>
      <c r="E129" s="149"/>
      <c r="F129" s="149"/>
      <c r="G129" s="149"/>
      <c r="H129" s="149"/>
      <c r="I129" s="188">
        <f t="shared" si="38"/>
        <v>0</v>
      </c>
      <c r="J129" s="170"/>
      <c r="K129" s="149"/>
      <c r="L129" s="149"/>
      <c r="M129" s="149"/>
      <c r="N129" s="149"/>
      <c r="O129" s="149"/>
      <c r="P129" s="188">
        <f t="shared" si="39"/>
        <v>0</v>
      </c>
      <c r="Q129" s="132">
        <f t="shared" si="30"/>
        <v>0</v>
      </c>
      <c r="R129" s="133">
        <f t="shared" si="31"/>
        <v>0</v>
      </c>
      <c r="S129" s="121" t="str">
        <f t="shared" si="40"/>
        <v/>
      </c>
    </row>
    <row r="130" hidden="1" outlineLevel="1">
      <c r="A130" s="142" t="str">
        <f>IFERROR(VLOOKUP(B130,'Статьи'!$A$2:C152,3,0)," ")</f>
        <v> </v>
      </c>
      <c r="B130" s="125"/>
      <c r="C130" s="170"/>
      <c r="D130" s="149"/>
      <c r="E130" s="149"/>
      <c r="F130" s="149"/>
      <c r="G130" s="149"/>
      <c r="H130" s="149"/>
      <c r="I130" s="188">
        <f t="shared" si="38"/>
        <v>0</v>
      </c>
      <c r="J130" s="170"/>
      <c r="K130" s="149"/>
      <c r="L130" s="149"/>
      <c r="M130" s="149"/>
      <c r="N130" s="149"/>
      <c r="O130" s="149"/>
      <c r="P130" s="188">
        <f t="shared" si="39"/>
        <v>0</v>
      </c>
      <c r="Q130" s="132">
        <f t="shared" si="30"/>
        <v>0</v>
      </c>
      <c r="R130" s="133">
        <f t="shared" si="31"/>
        <v>0</v>
      </c>
      <c r="S130" s="121" t="str">
        <f t="shared" si="40"/>
        <v/>
      </c>
    </row>
    <row r="131">
      <c r="A131" s="142" t="str">
        <f>IFERROR(VLOOKUP(B131,'Статьи'!$A$2:C153,3,0)," ")</f>
        <v> </v>
      </c>
      <c r="B131" s="125"/>
      <c r="C131" s="170"/>
      <c r="D131" s="149"/>
      <c r="E131" s="149"/>
      <c r="F131" s="149"/>
      <c r="G131" s="149"/>
      <c r="H131" s="149"/>
      <c r="I131" s="188">
        <f t="shared" si="38"/>
        <v>0</v>
      </c>
      <c r="J131" s="170"/>
      <c r="K131" s="149"/>
      <c r="L131" s="149"/>
      <c r="M131" s="149"/>
      <c r="N131" s="149"/>
      <c r="O131" s="149"/>
      <c r="P131" s="188">
        <f t="shared" si="39"/>
        <v>0</v>
      </c>
      <c r="Q131" s="132">
        <f t="shared" si="30"/>
        <v>0</v>
      </c>
      <c r="R131" s="133">
        <f t="shared" si="31"/>
        <v>0</v>
      </c>
      <c r="S131" s="121" t="str">
        <f t="shared" si="40"/>
        <v/>
      </c>
    </row>
    <row r="132">
      <c r="A132" s="135"/>
      <c r="B132" s="136" t="s">
        <v>107</v>
      </c>
      <c r="C132" s="137">
        <f t="shared" ref="C132:H132" si="41">SUM(C133:C141)</f>
        <v>0</v>
      </c>
      <c r="D132" s="138">
        <f t="shared" si="41"/>
        <v>0</v>
      </c>
      <c r="E132" s="138">
        <f t="shared" si="41"/>
        <v>0</v>
      </c>
      <c r="F132" s="138">
        <f t="shared" si="41"/>
        <v>0</v>
      </c>
      <c r="G132" s="138">
        <f t="shared" si="41"/>
        <v>0</v>
      </c>
      <c r="H132" s="138">
        <f t="shared" si="41"/>
        <v>0</v>
      </c>
      <c r="I132" s="139">
        <f t="shared" si="38"/>
        <v>0</v>
      </c>
      <c r="J132" s="137">
        <f t="shared" ref="J132:P132" si="42">SUM(J133:J141)</f>
        <v>0</v>
      </c>
      <c r="K132" s="138">
        <f t="shared" si="42"/>
        <v>0</v>
      </c>
      <c r="L132" s="138">
        <f t="shared" si="42"/>
        <v>0</v>
      </c>
      <c r="M132" s="138">
        <f t="shared" si="42"/>
        <v>0</v>
      </c>
      <c r="N132" s="138">
        <f t="shared" si="42"/>
        <v>0</v>
      </c>
      <c r="O132" s="138">
        <f t="shared" si="42"/>
        <v>0</v>
      </c>
      <c r="P132" s="140">
        <f t="shared" si="42"/>
        <v>0</v>
      </c>
      <c r="Q132" s="138">
        <f t="shared" si="30"/>
        <v>0</v>
      </c>
      <c r="R132" s="187">
        <f t="shared" si="31"/>
        <v>0</v>
      </c>
      <c r="S132" s="229" t="str">
        <f>IF(Q132=0,"",IF(R132&gt;1,"план не выполнен","выполнение"))</f>
        <v/>
      </c>
    </row>
    <row r="133" collapsed="1">
      <c r="A133" s="142" t="str">
        <f>IFERROR(VLOOKUP(B133,'Статьи'!$A$2:C155,3,0)," ")</f>
        <v>ДДС отчетного месяца. Без НДС!</v>
      </c>
      <c r="B133" s="125" t="str">
        <f>IFERROR(__xludf.DUMMYFUNCTION("iferror(filter('Статьи'!$A$1:$A177,'Статьи'!$B$1:$B177=$B$132))"),"Подписка на сайты по поиску клиентов")</f>
        <v>Подписка на сайты по поиску клиентов</v>
      </c>
      <c r="C133" s="170"/>
      <c r="D133" s="149"/>
      <c r="E133" s="149"/>
      <c r="F133" s="149"/>
      <c r="G133" s="149"/>
      <c r="H133" s="149"/>
      <c r="I133" s="188">
        <f t="shared" si="38"/>
        <v>0</v>
      </c>
      <c r="J133" s="170"/>
      <c r="K133" s="149"/>
      <c r="L133" s="149"/>
      <c r="M133" s="149"/>
      <c r="N133" s="149"/>
      <c r="O133" s="149"/>
      <c r="P133" s="188">
        <f t="shared" ref="P133:P140" si="43">SUM(J133:K133)</f>
        <v>0</v>
      </c>
      <c r="Q133" s="132">
        <f t="shared" si="30"/>
        <v>0</v>
      </c>
      <c r="R133" s="133">
        <f t="shared" si="31"/>
        <v>0</v>
      </c>
      <c r="S133" s="121" t="str">
        <f t="shared" ref="S133:S141" si="44">IF(Q133=0,"",IF(R133=0,"обратить внимание",IF(R133&gt;1,"перерасход","экономия")))</f>
        <v/>
      </c>
    </row>
    <row r="134" hidden="1" outlineLevel="1">
      <c r="A134" s="142" t="str">
        <f>IFERROR(VLOOKUP(B134,'Статьи'!$A$2:C156,3,0)," ")</f>
        <v> </v>
      </c>
      <c r="B134" s="125"/>
      <c r="C134" s="170"/>
      <c r="D134" s="149"/>
      <c r="E134" s="149"/>
      <c r="F134" s="149"/>
      <c r="G134" s="149"/>
      <c r="H134" s="149"/>
      <c r="I134" s="188">
        <f t="shared" si="38"/>
        <v>0</v>
      </c>
      <c r="J134" s="170"/>
      <c r="K134" s="149"/>
      <c r="L134" s="149"/>
      <c r="M134" s="149"/>
      <c r="N134" s="149"/>
      <c r="O134" s="149"/>
      <c r="P134" s="188">
        <f t="shared" si="43"/>
        <v>0</v>
      </c>
      <c r="Q134" s="132">
        <f t="shared" si="30"/>
        <v>0</v>
      </c>
      <c r="R134" s="133">
        <f t="shared" si="31"/>
        <v>0</v>
      </c>
      <c r="S134" s="121" t="str">
        <f t="shared" si="44"/>
        <v/>
      </c>
    </row>
    <row r="135" hidden="1" outlineLevel="1">
      <c r="A135" s="175" t="str">
        <f>IFERROR(VLOOKUP(B135,'Статьи'!$A$2:C157,3,0)," ")</f>
        <v> </v>
      </c>
      <c r="B135" s="175"/>
      <c r="C135" s="170"/>
      <c r="D135" s="149"/>
      <c r="E135" s="149"/>
      <c r="F135" s="149"/>
      <c r="G135" s="149"/>
      <c r="H135" s="149"/>
      <c r="I135" s="188">
        <f t="shared" si="38"/>
        <v>0</v>
      </c>
      <c r="J135" s="170"/>
      <c r="K135" s="149"/>
      <c r="L135" s="149"/>
      <c r="M135" s="149"/>
      <c r="N135" s="149"/>
      <c r="O135" s="149"/>
      <c r="P135" s="188">
        <f t="shared" si="43"/>
        <v>0</v>
      </c>
      <c r="Q135" s="132">
        <f t="shared" si="30"/>
        <v>0</v>
      </c>
      <c r="R135" s="133">
        <f t="shared" si="31"/>
        <v>0</v>
      </c>
      <c r="S135" s="121" t="str">
        <f t="shared" si="44"/>
        <v/>
      </c>
    </row>
    <row r="136" hidden="1" outlineLevel="1">
      <c r="A136" s="175" t="str">
        <f>IFERROR(VLOOKUP(B136,'Статьи'!$A$2:C158,3,0)," ")</f>
        <v> </v>
      </c>
      <c r="B136" s="175"/>
      <c r="C136" s="170"/>
      <c r="D136" s="149"/>
      <c r="E136" s="149"/>
      <c r="F136" s="149"/>
      <c r="G136" s="149"/>
      <c r="H136" s="149"/>
      <c r="I136" s="188">
        <f t="shared" si="38"/>
        <v>0</v>
      </c>
      <c r="J136" s="170"/>
      <c r="K136" s="149"/>
      <c r="L136" s="149"/>
      <c r="M136" s="149"/>
      <c r="N136" s="149"/>
      <c r="O136" s="149"/>
      <c r="P136" s="188">
        <f t="shared" si="43"/>
        <v>0</v>
      </c>
      <c r="Q136" s="132">
        <f t="shared" si="30"/>
        <v>0</v>
      </c>
      <c r="R136" s="133">
        <f t="shared" si="31"/>
        <v>0</v>
      </c>
      <c r="S136" s="121" t="str">
        <f t="shared" si="44"/>
        <v/>
      </c>
    </row>
    <row r="137" hidden="1" outlineLevel="1">
      <c r="A137" s="175" t="str">
        <f>IFERROR(VLOOKUP(B137,'Статьи'!$A$2:C159,3,0)," ")</f>
        <v> </v>
      </c>
      <c r="B137" s="175"/>
      <c r="C137" s="170"/>
      <c r="D137" s="149"/>
      <c r="E137" s="149"/>
      <c r="F137" s="149"/>
      <c r="G137" s="149"/>
      <c r="H137" s="149"/>
      <c r="I137" s="188">
        <f t="shared" si="38"/>
        <v>0</v>
      </c>
      <c r="J137" s="170"/>
      <c r="K137" s="149"/>
      <c r="L137" s="149"/>
      <c r="M137" s="149"/>
      <c r="N137" s="149"/>
      <c r="O137" s="149"/>
      <c r="P137" s="188">
        <f t="shared" si="43"/>
        <v>0</v>
      </c>
      <c r="Q137" s="132">
        <f t="shared" si="30"/>
        <v>0</v>
      </c>
      <c r="R137" s="133">
        <f t="shared" si="31"/>
        <v>0</v>
      </c>
      <c r="S137" s="121" t="str">
        <f t="shared" si="44"/>
        <v/>
      </c>
    </row>
    <row r="138" hidden="1" outlineLevel="1">
      <c r="A138" s="175" t="str">
        <f>IFERROR(VLOOKUP(B138,'Статьи'!$A$2:C160,3,0)," ")</f>
        <v> </v>
      </c>
      <c r="B138" s="175"/>
      <c r="C138" s="170"/>
      <c r="D138" s="149"/>
      <c r="E138" s="149"/>
      <c r="F138" s="149"/>
      <c r="G138" s="149"/>
      <c r="H138" s="149"/>
      <c r="I138" s="188">
        <f t="shared" si="38"/>
        <v>0</v>
      </c>
      <c r="J138" s="170"/>
      <c r="K138" s="149"/>
      <c r="L138" s="149"/>
      <c r="M138" s="149"/>
      <c r="N138" s="149"/>
      <c r="O138" s="149"/>
      <c r="P138" s="188">
        <f t="shared" si="43"/>
        <v>0</v>
      </c>
      <c r="Q138" s="132">
        <f t="shared" si="30"/>
        <v>0</v>
      </c>
      <c r="R138" s="133">
        <f t="shared" si="31"/>
        <v>0</v>
      </c>
      <c r="S138" s="121" t="str">
        <f t="shared" si="44"/>
        <v/>
      </c>
    </row>
    <row r="139" hidden="1" outlineLevel="1">
      <c r="A139" s="175" t="str">
        <f>IFERROR(VLOOKUP(B139,'Статьи'!$A$2:C161,3,0)," ")</f>
        <v> </v>
      </c>
      <c r="B139" s="175"/>
      <c r="C139" s="170"/>
      <c r="D139" s="149"/>
      <c r="E139" s="149"/>
      <c r="F139" s="149"/>
      <c r="G139" s="149"/>
      <c r="H139" s="149"/>
      <c r="I139" s="188">
        <f t="shared" si="38"/>
        <v>0</v>
      </c>
      <c r="J139" s="170"/>
      <c r="K139" s="149"/>
      <c r="L139" s="149"/>
      <c r="M139" s="149"/>
      <c r="N139" s="149"/>
      <c r="O139" s="149"/>
      <c r="P139" s="188">
        <f t="shared" si="43"/>
        <v>0</v>
      </c>
      <c r="Q139" s="132">
        <f t="shared" si="30"/>
        <v>0</v>
      </c>
      <c r="R139" s="133">
        <f t="shared" si="31"/>
        <v>0</v>
      </c>
      <c r="S139" s="121" t="str">
        <f t="shared" si="44"/>
        <v/>
      </c>
    </row>
    <row r="140" hidden="1" outlineLevel="1">
      <c r="A140" s="175" t="str">
        <f>IFERROR(VLOOKUP(B140,'Статьи'!$A$2:C162,3,0)," ")</f>
        <v> </v>
      </c>
      <c r="B140" s="175"/>
      <c r="C140" s="170"/>
      <c r="D140" s="149"/>
      <c r="E140" s="149"/>
      <c r="F140" s="149"/>
      <c r="G140" s="149"/>
      <c r="H140" s="149"/>
      <c r="I140" s="188">
        <f t="shared" si="38"/>
        <v>0</v>
      </c>
      <c r="J140" s="170"/>
      <c r="K140" s="149"/>
      <c r="L140" s="149"/>
      <c r="M140" s="149"/>
      <c r="N140" s="149"/>
      <c r="O140" s="149"/>
      <c r="P140" s="188">
        <f t="shared" si="43"/>
        <v>0</v>
      </c>
      <c r="Q140" s="132">
        <f t="shared" si="30"/>
        <v>0</v>
      </c>
      <c r="R140" s="133">
        <f t="shared" si="31"/>
        <v>0</v>
      </c>
      <c r="S140" s="121" t="str">
        <f t="shared" si="44"/>
        <v/>
      </c>
    </row>
    <row r="141">
      <c r="A141" s="175" t="str">
        <f>IFERROR(VLOOKUP(B141,'Статьи'!$A$2:C163,3,0)," ")</f>
        <v> </v>
      </c>
      <c r="B141" s="175"/>
      <c r="C141" s="170"/>
      <c r="D141" s="149"/>
      <c r="E141" s="149"/>
      <c r="F141" s="149"/>
      <c r="G141" s="149"/>
      <c r="H141" s="149"/>
      <c r="I141" s="188">
        <f t="shared" si="38"/>
        <v>0</v>
      </c>
      <c r="J141" s="170"/>
      <c r="K141" s="149"/>
      <c r="L141" s="149"/>
      <c r="M141" s="149"/>
      <c r="N141" s="149"/>
      <c r="O141" s="149"/>
      <c r="P141" s="188">
        <f>sum(F141:J141)</f>
        <v>0</v>
      </c>
      <c r="Q141" s="132">
        <f t="shared" si="30"/>
        <v>0</v>
      </c>
      <c r="R141" s="133">
        <f t="shared" si="31"/>
        <v>0</v>
      </c>
      <c r="S141" s="121" t="str">
        <f t="shared" si="44"/>
        <v/>
      </c>
    </row>
    <row r="142">
      <c r="A142" s="152"/>
      <c r="B142" s="153" t="s">
        <v>142</v>
      </c>
      <c r="C142" s="154">
        <f t="shared" ref="C142:K142" si="45">C85+C88</f>
        <v>9</v>
      </c>
      <c r="D142" s="155">
        <f t="shared" si="45"/>
        <v>0</v>
      </c>
      <c r="E142" s="155">
        <f t="shared" si="45"/>
        <v>0</v>
      </c>
      <c r="F142" s="155">
        <f t="shared" si="45"/>
        <v>0</v>
      </c>
      <c r="G142" s="155">
        <f t="shared" si="45"/>
        <v>0</v>
      </c>
      <c r="H142" s="155">
        <f t="shared" si="45"/>
        <v>0</v>
      </c>
      <c r="I142" s="157">
        <f t="shared" si="45"/>
        <v>9</v>
      </c>
      <c r="J142" s="154">
        <f t="shared" si="45"/>
        <v>0</v>
      </c>
      <c r="K142" s="155">
        <f t="shared" si="45"/>
        <v>0</v>
      </c>
      <c r="L142" s="155"/>
      <c r="M142" s="155"/>
      <c r="N142" s="155"/>
      <c r="O142" s="155"/>
      <c r="P142" s="157">
        <f>P85+P88</f>
        <v>0</v>
      </c>
      <c r="Q142" s="155">
        <f t="shared" si="30"/>
        <v>9</v>
      </c>
      <c r="R142" s="158">
        <f t="shared" si="31"/>
        <v>0</v>
      </c>
      <c r="S142" s="159" t="str">
        <f>IF(Q142=0,"",IF(R142&gt;1,"выполнение","план не выполнен"))</f>
        <v>план не выполнен</v>
      </c>
    </row>
    <row r="143">
      <c r="A143" s="160"/>
      <c r="B143" s="161" t="s">
        <v>143</v>
      </c>
      <c r="C143" s="162">
        <f t="shared" ref="C143:K143" si="46">IFERROR(C142/C$3,"")</f>
        <v>1</v>
      </c>
      <c r="D143" s="163" t="str">
        <f t="shared" si="46"/>
        <v/>
      </c>
      <c r="E143" s="163" t="str">
        <f t="shared" si="46"/>
        <v/>
      </c>
      <c r="F143" s="163" t="str">
        <f t="shared" si="46"/>
        <v/>
      </c>
      <c r="G143" s="163" t="str">
        <f t="shared" si="46"/>
        <v/>
      </c>
      <c r="H143" s="163" t="str">
        <f t="shared" si="46"/>
        <v/>
      </c>
      <c r="I143" s="164">
        <f t="shared" si="46"/>
        <v>1</v>
      </c>
      <c r="J143" s="162" t="str">
        <f t="shared" si="46"/>
        <v/>
      </c>
      <c r="K143" s="163" t="str">
        <f t="shared" si="46"/>
        <v/>
      </c>
      <c r="L143" s="163"/>
      <c r="M143" s="163"/>
      <c r="N143" s="163"/>
      <c r="O143" s="163"/>
      <c r="P143" s="164" t="str">
        <f>IFERROR(P142/P$3,"")</f>
        <v/>
      </c>
      <c r="Q143" s="133"/>
      <c r="R143" s="133"/>
      <c r="S143" s="121" t="str">
        <f t="shared" ref="S143:S144" si="47">IF(Q143=0,"",IF(Q143=0,0,IF(R143&gt;1,"перерасход","экономия")))</f>
        <v/>
      </c>
    </row>
    <row r="144">
      <c r="A144" s="142"/>
      <c r="B144" s="125"/>
      <c r="C144" s="199"/>
      <c r="D144" s="200"/>
      <c r="E144" s="200"/>
      <c r="F144" s="200"/>
      <c r="G144" s="200"/>
      <c r="H144" s="200"/>
      <c r="I144" s="116"/>
      <c r="J144" s="123"/>
      <c r="K144" s="118"/>
      <c r="L144" s="118"/>
      <c r="M144" s="118"/>
      <c r="N144" s="118"/>
      <c r="O144" s="118"/>
      <c r="P144" s="116"/>
      <c r="Q144" s="132"/>
      <c r="R144" s="133"/>
      <c r="S144" s="121" t="str">
        <f t="shared" si="47"/>
        <v/>
      </c>
    </row>
    <row r="145">
      <c r="A145" s="201"/>
      <c r="B145" s="202" t="s">
        <v>111</v>
      </c>
      <c r="C145" s="203">
        <f t="shared" ref="C145:H145" si="48">SUM(C146:C154)</f>
        <v>0</v>
      </c>
      <c r="D145" s="204">
        <f t="shared" si="48"/>
        <v>0</v>
      </c>
      <c r="E145" s="204">
        <f t="shared" si="48"/>
        <v>0</v>
      </c>
      <c r="F145" s="204">
        <f t="shared" si="48"/>
        <v>0</v>
      </c>
      <c r="G145" s="204">
        <f t="shared" si="48"/>
        <v>0</v>
      </c>
      <c r="H145" s="204">
        <f t="shared" si="48"/>
        <v>0</v>
      </c>
      <c r="I145" s="205">
        <f>SUM(C145:H145)</f>
        <v>0</v>
      </c>
      <c r="J145" s="206">
        <f t="shared" ref="J145:P145" si="49">SUM(J146:J154)</f>
        <v>0</v>
      </c>
      <c r="K145" s="207">
        <f t="shared" si="49"/>
        <v>0</v>
      </c>
      <c r="L145" s="207">
        <f t="shared" si="49"/>
        <v>0</v>
      </c>
      <c r="M145" s="207">
        <f t="shared" si="49"/>
        <v>0</v>
      </c>
      <c r="N145" s="207">
        <f t="shared" si="49"/>
        <v>0</v>
      </c>
      <c r="O145" s="207">
        <f t="shared" si="49"/>
        <v>0</v>
      </c>
      <c r="P145" s="208">
        <f t="shared" si="49"/>
        <v>0</v>
      </c>
      <c r="Q145" s="204">
        <f t="shared" ref="Q145:Q173" si="50">I145-P145</f>
        <v>0</v>
      </c>
      <c r="R145" s="209">
        <f t="shared" ref="R145:R173" si="51">IFERROR(I145/P145,0)</f>
        <v>0</v>
      </c>
      <c r="S145" s="210" t="str">
        <f>IF(Q145=0,"",IF(R145&gt;1,"выполнение","план не выполнен"))</f>
        <v/>
      </c>
    </row>
    <row r="146">
      <c r="A146" s="142" t="str">
        <f>IFERROR(VLOOKUP(B146,'Статьи'!$A$2:C168,3,0)," ")</f>
        <v>ДДС отчетного месяца. Без НДС!</v>
      </c>
      <c r="B146" s="125" t="str">
        <f>IFERROR(__xludf.DUMMYFUNCTION("iferror(filter('Статьи'!$A$1:$A177,'Статьи'!$B$1:$B177=B145))"),"Поступления прочие")</f>
        <v>Поступления прочие</v>
      </c>
      <c r="C146" s="170"/>
      <c r="D146" s="149"/>
      <c r="E146" s="149"/>
      <c r="F146" s="149"/>
      <c r="G146" s="149"/>
      <c r="H146" s="149"/>
      <c r="I146" s="211">
        <f t="shared" ref="I146:I172" si="52">sum(C146:H146)</f>
        <v>0</v>
      </c>
      <c r="J146" s="122"/>
      <c r="K146" s="114"/>
      <c r="L146" s="114"/>
      <c r="M146" s="114"/>
      <c r="N146" s="114"/>
      <c r="O146" s="114"/>
      <c r="P146" s="211">
        <f t="shared" ref="P146:P153" si="53">SUM(J146:K146)</f>
        <v>0</v>
      </c>
      <c r="Q146" s="132">
        <f t="shared" si="50"/>
        <v>0</v>
      </c>
      <c r="R146" s="133">
        <f t="shared" si="51"/>
        <v>0</v>
      </c>
      <c r="S146" s="121" t="str">
        <f t="shared" ref="S146:S154" si="54">IF(Q146=0,"",IF(R146=0,"обратить внимание",IF(R146&gt;1,"выполнение","план не выполнен")))</f>
        <v/>
      </c>
    </row>
    <row r="147">
      <c r="A147" s="142" t="str">
        <f>IFERROR(VLOOKUP(B147,'Статьи'!$A$2:C169,3,0)," ")</f>
        <v>ДДС отчетного месяца. Без НДС!</v>
      </c>
      <c r="B147" s="125" t="str">
        <f>IFERROR(__xludf.DUMMYFUNCTION("""COMPUTED_VALUE"""),"Поступления страховые выплаты")</f>
        <v>Поступления страховые выплаты</v>
      </c>
      <c r="C147" s="170"/>
      <c r="D147" s="149"/>
      <c r="E147" s="149"/>
      <c r="F147" s="149"/>
      <c r="G147" s="149"/>
      <c r="H147" s="149"/>
      <c r="I147" s="211">
        <f t="shared" si="52"/>
        <v>0</v>
      </c>
      <c r="J147" s="122"/>
      <c r="K147" s="114"/>
      <c r="L147" s="114"/>
      <c r="M147" s="114"/>
      <c r="N147" s="114"/>
      <c r="O147" s="114"/>
      <c r="P147" s="211">
        <f t="shared" si="53"/>
        <v>0</v>
      </c>
      <c r="Q147" s="132">
        <f t="shared" si="50"/>
        <v>0</v>
      </c>
      <c r="R147" s="133">
        <f t="shared" si="51"/>
        <v>0</v>
      </c>
      <c r="S147" s="121" t="str">
        <f t="shared" si="54"/>
        <v/>
      </c>
    </row>
    <row r="148">
      <c r="A148" s="142" t="str">
        <f>IFERROR(VLOOKUP(B148,'Статьи'!$A$2:C170,3,0)," ")</f>
        <v>отчет Учета ОС Вкладка Свод строка 37</v>
      </c>
      <c r="B148" s="125" t="str">
        <f>IFERROR(__xludf.DUMMYFUNCTION("""COMPUTED_VALUE"""),"Продажа ОС")</f>
        <v>Продажа ОС</v>
      </c>
      <c r="C148" s="170"/>
      <c r="D148" s="149"/>
      <c r="E148" s="149"/>
      <c r="F148" s="149"/>
      <c r="G148" s="149"/>
      <c r="H148" s="149"/>
      <c r="I148" s="211">
        <f t="shared" si="52"/>
        <v>0</v>
      </c>
      <c r="J148" s="122"/>
      <c r="K148" s="114"/>
      <c r="L148" s="114"/>
      <c r="M148" s="114"/>
      <c r="N148" s="114"/>
      <c r="O148" s="114"/>
      <c r="P148" s="211">
        <f t="shared" si="53"/>
        <v>0</v>
      </c>
      <c r="Q148" s="132">
        <f t="shared" si="50"/>
        <v>0</v>
      </c>
      <c r="R148" s="133">
        <f t="shared" si="51"/>
        <v>0</v>
      </c>
      <c r="S148" s="121" t="str">
        <f t="shared" si="54"/>
        <v/>
      </c>
    </row>
    <row r="149">
      <c r="A149" s="142" t="str">
        <f>IFERROR(VLOOKUP(B149,'Статьи'!$A$2:C171,3,0)," ")</f>
        <v>ДДС отчетного месяца. Без НДС!</v>
      </c>
      <c r="B149" s="125" t="str">
        <f>IFERROR(__xludf.DUMMYFUNCTION("""COMPUTED_VALUE"""),"Прочие поступления от фин. операций")</f>
        <v>Прочие поступления от фин. операций</v>
      </c>
      <c r="C149" s="170"/>
      <c r="D149" s="149"/>
      <c r="E149" s="149"/>
      <c r="F149" s="149"/>
      <c r="G149" s="149"/>
      <c r="H149" s="149"/>
      <c r="I149" s="211">
        <f t="shared" si="52"/>
        <v>0</v>
      </c>
      <c r="J149" s="122"/>
      <c r="K149" s="114"/>
      <c r="L149" s="114"/>
      <c r="M149" s="114"/>
      <c r="N149" s="114"/>
      <c r="O149" s="114"/>
      <c r="P149" s="211">
        <f t="shared" si="53"/>
        <v>0</v>
      </c>
      <c r="Q149" s="132">
        <f t="shared" si="50"/>
        <v>0</v>
      </c>
      <c r="R149" s="133">
        <f t="shared" si="51"/>
        <v>0</v>
      </c>
      <c r="S149" s="121" t="str">
        <f t="shared" si="54"/>
        <v/>
      </c>
    </row>
    <row r="150">
      <c r="A150" s="142" t="str">
        <f>IFERROR(VLOOKUP(B150,'Статьи'!$A$2:C172,3,0)," ")</f>
        <v> </v>
      </c>
      <c r="B150" s="125"/>
      <c r="C150" s="170"/>
      <c r="D150" s="149"/>
      <c r="E150" s="149"/>
      <c r="F150" s="149"/>
      <c r="G150" s="149"/>
      <c r="H150" s="149"/>
      <c r="I150" s="211">
        <f t="shared" si="52"/>
        <v>0</v>
      </c>
      <c r="J150" s="122" t="str">
        <f>C150</f>
        <v/>
      </c>
      <c r="K150" s="114"/>
      <c r="L150" s="114"/>
      <c r="M150" s="114"/>
      <c r="N150" s="114"/>
      <c r="O150" s="114"/>
      <c r="P150" s="211">
        <f t="shared" si="53"/>
        <v>0</v>
      </c>
      <c r="Q150" s="132">
        <f t="shared" si="50"/>
        <v>0</v>
      </c>
      <c r="R150" s="133">
        <f t="shared" si="51"/>
        <v>0</v>
      </c>
      <c r="S150" s="121" t="str">
        <f t="shared" si="54"/>
        <v/>
      </c>
    </row>
    <row r="151" collapsed="1">
      <c r="A151" s="142" t="str">
        <f>IFERROR(VLOOKUP(B151,'Статьи'!$A$2:C173,3,0)," ")</f>
        <v> </v>
      </c>
      <c r="B151" s="125"/>
      <c r="C151" s="170"/>
      <c r="D151" s="149"/>
      <c r="E151" s="149"/>
      <c r="F151" s="149"/>
      <c r="G151" s="149"/>
      <c r="H151" s="149"/>
      <c r="I151" s="211">
        <f t="shared" si="52"/>
        <v>0</v>
      </c>
      <c r="J151" s="122"/>
      <c r="K151" s="114"/>
      <c r="L151" s="114"/>
      <c r="M151" s="114"/>
      <c r="N151" s="114"/>
      <c r="O151" s="114"/>
      <c r="P151" s="211">
        <f t="shared" si="53"/>
        <v>0</v>
      </c>
      <c r="Q151" s="132">
        <f t="shared" si="50"/>
        <v>0</v>
      </c>
      <c r="R151" s="133">
        <f t="shared" si="51"/>
        <v>0</v>
      </c>
      <c r="S151" s="121" t="str">
        <f t="shared" si="54"/>
        <v/>
      </c>
    </row>
    <row r="152" hidden="1" outlineLevel="1">
      <c r="A152" s="142" t="str">
        <f>IFERROR(VLOOKUP(B152,'Статьи'!$A$2:C174,3,0)," ")</f>
        <v> </v>
      </c>
      <c r="B152" s="125"/>
      <c r="C152" s="170"/>
      <c r="D152" s="149"/>
      <c r="E152" s="149"/>
      <c r="F152" s="149"/>
      <c r="G152" s="149"/>
      <c r="H152" s="149"/>
      <c r="I152" s="211">
        <f t="shared" si="52"/>
        <v>0</v>
      </c>
      <c r="J152" s="122"/>
      <c r="K152" s="114"/>
      <c r="L152" s="114"/>
      <c r="M152" s="114"/>
      <c r="N152" s="114"/>
      <c r="O152" s="114"/>
      <c r="P152" s="211">
        <f t="shared" si="53"/>
        <v>0</v>
      </c>
      <c r="Q152" s="132">
        <f t="shared" si="50"/>
        <v>0</v>
      </c>
      <c r="R152" s="133">
        <f t="shared" si="51"/>
        <v>0</v>
      </c>
      <c r="S152" s="121" t="str">
        <f t="shared" si="54"/>
        <v/>
      </c>
    </row>
    <row r="153" hidden="1" outlineLevel="1">
      <c r="A153" s="142" t="str">
        <f>IFERROR(VLOOKUP(B153,'Статьи'!$A$2:C175,3,0)," ")</f>
        <v> </v>
      </c>
      <c r="B153" s="125"/>
      <c r="C153" s="170"/>
      <c r="D153" s="149"/>
      <c r="E153" s="149"/>
      <c r="F153" s="149"/>
      <c r="G153" s="149"/>
      <c r="H153" s="149"/>
      <c r="I153" s="211">
        <f t="shared" si="52"/>
        <v>0</v>
      </c>
      <c r="J153" s="122"/>
      <c r="K153" s="114"/>
      <c r="L153" s="114"/>
      <c r="M153" s="114"/>
      <c r="N153" s="114"/>
      <c r="O153" s="114"/>
      <c r="P153" s="211">
        <f t="shared" si="53"/>
        <v>0</v>
      </c>
      <c r="Q153" s="132">
        <f t="shared" si="50"/>
        <v>0</v>
      </c>
      <c r="R153" s="133">
        <f t="shared" si="51"/>
        <v>0</v>
      </c>
      <c r="S153" s="121" t="str">
        <f t="shared" si="54"/>
        <v/>
      </c>
    </row>
    <row r="154">
      <c r="A154" s="142" t="str">
        <f>IFERROR(VLOOKUP(B154,'Статьи'!$A$2:C176,3,0)," ")</f>
        <v> </v>
      </c>
      <c r="B154" s="125"/>
      <c r="C154" s="170"/>
      <c r="D154" s="149"/>
      <c r="E154" s="149"/>
      <c r="F154" s="149"/>
      <c r="G154" s="149"/>
      <c r="H154" s="149"/>
      <c r="I154" s="211">
        <f t="shared" si="52"/>
        <v>0</v>
      </c>
      <c r="J154" s="122"/>
      <c r="K154" s="114"/>
      <c r="L154" s="114"/>
      <c r="M154" s="114"/>
      <c r="N154" s="114"/>
      <c r="O154" s="114"/>
      <c r="P154" s="211">
        <f>sum(F154:J154)</f>
        <v>0</v>
      </c>
      <c r="Q154" s="132">
        <f t="shared" si="50"/>
        <v>0</v>
      </c>
      <c r="R154" s="133">
        <f t="shared" si="51"/>
        <v>0</v>
      </c>
      <c r="S154" s="121" t="str">
        <f t="shared" si="54"/>
        <v/>
      </c>
    </row>
    <row r="155">
      <c r="A155" s="212"/>
      <c r="B155" s="213" t="s">
        <v>101</v>
      </c>
      <c r="C155" s="203">
        <f t="shared" ref="C155:H155" si="55">SUM(C156:C172)</f>
        <v>0</v>
      </c>
      <c r="D155" s="204">
        <f t="shared" si="55"/>
        <v>0</v>
      </c>
      <c r="E155" s="204">
        <f t="shared" si="55"/>
        <v>0</v>
      </c>
      <c r="F155" s="204">
        <f t="shared" si="55"/>
        <v>0</v>
      </c>
      <c r="G155" s="204">
        <f t="shared" si="55"/>
        <v>0</v>
      </c>
      <c r="H155" s="204">
        <f t="shared" si="55"/>
        <v>0</v>
      </c>
      <c r="I155" s="208">
        <f t="shared" si="52"/>
        <v>0</v>
      </c>
      <c r="J155" s="206">
        <f t="shared" ref="J155:K155" si="56">SUM(J156:J172)</f>
        <v>0</v>
      </c>
      <c r="K155" s="207">
        <f t="shared" si="56"/>
        <v>0</v>
      </c>
      <c r="L155" s="207"/>
      <c r="M155" s="207"/>
      <c r="N155" s="207"/>
      <c r="O155" s="207"/>
      <c r="P155" s="208">
        <f>SUM(P156:P172)</f>
        <v>0</v>
      </c>
      <c r="Q155" s="207">
        <f t="shared" si="50"/>
        <v>0</v>
      </c>
      <c r="R155" s="214">
        <f t="shared" si="51"/>
        <v>0</v>
      </c>
      <c r="S155" s="210" t="str">
        <f>IF(Q155=0,"",IF(R155&gt;1,"план не выполнен","выполнение"))</f>
        <v/>
      </c>
    </row>
    <row r="156">
      <c r="A156" s="142" t="str">
        <f>IFERROR(VLOOKUP(B156,'Статьи'!$A$2:C178,3,0)," ")</f>
        <v>ДДС отчетного месяца. Без НДС!</v>
      </c>
      <c r="B156" s="125" t="str">
        <f>IFERROR(__xludf.DUMMYFUNCTION("iferror(filter('Статьи'!$A$1:$A177,'Статьи'!$B$1:$B177=B155))"),"Курсовые разницы")</f>
        <v>Курсовые разницы</v>
      </c>
      <c r="C156" s="171"/>
      <c r="D156" s="149"/>
      <c r="E156" s="149"/>
      <c r="F156" s="149"/>
      <c r="G156" s="149"/>
      <c r="H156" s="149"/>
      <c r="I156" s="211">
        <f t="shared" si="52"/>
        <v>0</v>
      </c>
      <c r="J156" s="122"/>
      <c r="K156" s="114"/>
      <c r="L156" s="114"/>
      <c r="M156" s="114"/>
      <c r="N156" s="114"/>
      <c r="O156" s="114"/>
      <c r="P156" s="211">
        <f t="shared" ref="P156:P171" si="57">SUM(J156:K156)</f>
        <v>0</v>
      </c>
      <c r="Q156" s="132">
        <f t="shared" si="50"/>
        <v>0</v>
      </c>
      <c r="R156" s="133">
        <f t="shared" si="51"/>
        <v>0</v>
      </c>
      <c r="S156" s="121" t="str">
        <f t="shared" ref="S156:S172" si="58">IF(Q156=0,"",IF(R156=0,"обратить внимание",IF(R156&gt;1,"перерасход","экономия")))</f>
        <v/>
      </c>
    </row>
    <row r="157">
      <c r="A157" s="142" t="str">
        <f>IFERROR(VLOOKUP(B157,'Статьи'!$A$2:C179,3,0)," ")</f>
        <v>1С</v>
      </c>
      <c r="B157" s="125" t="str">
        <f>IFERROR(__xludf.DUMMYFUNCTION("""COMPUTED_VALUE"""),"Налог  на прибыль УСН 6%")</f>
        <v>Налог  на прибыль УСН 6%</v>
      </c>
      <c r="C157" s="171"/>
      <c r="D157" s="149"/>
      <c r="E157" s="149"/>
      <c r="F157" s="149"/>
      <c r="G157" s="149"/>
      <c r="H157" s="149"/>
      <c r="I157" s="211">
        <f t="shared" si="52"/>
        <v>0</v>
      </c>
      <c r="J157" s="122"/>
      <c r="K157" s="114"/>
      <c r="L157" s="114"/>
      <c r="M157" s="114"/>
      <c r="N157" s="114"/>
      <c r="O157" s="114"/>
      <c r="P157" s="211">
        <f t="shared" si="57"/>
        <v>0</v>
      </c>
      <c r="Q157" s="132">
        <f t="shared" si="50"/>
        <v>0</v>
      </c>
      <c r="R157" s="133">
        <f t="shared" si="51"/>
        <v>0</v>
      </c>
      <c r="S157" s="121" t="str">
        <f t="shared" si="58"/>
        <v/>
      </c>
    </row>
    <row r="158">
      <c r="A158" s="142" t="str">
        <f>IFERROR(VLOOKUP(B158,'Статьи'!$A$2:C180,3,0)," ")</f>
        <v>1С</v>
      </c>
      <c r="B158" s="125" t="str">
        <f>IFERROR(__xludf.DUMMYFUNCTION("""COMPUTED_VALUE"""),"Налог на прибыль 20%")</f>
        <v>Налог на прибыль 20%</v>
      </c>
      <c r="C158" s="171"/>
      <c r="D158" s="149"/>
      <c r="E158" s="149"/>
      <c r="F158" s="149"/>
      <c r="G158" s="149"/>
      <c r="H158" s="149"/>
      <c r="I158" s="211">
        <f t="shared" si="52"/>
        <v>0</v>
      </c>
      <c r="J158" s="122"/>
      <c r="K158" s="114"/>
      <c r="L158" s="114"/>
      <c r="M158" s="114"/>
      <c r="N158" s="114"/>
      <c r="O158" s="114"/>
      <c r="P158" s="211">
        <f t="shared" si="57"/>
        <v>0</v>
      </c>
      <c r="Q158" s="132">
        <f t="shared" si="50"/>
        <v>0</v>
      </c>
      <c r="R158" s="133">
        <f t="shared" si="51"/>
        <v>0</v>
      </c>
      <c r="S158" s="121" t="str">
        <f t="shared" si="58"/>
        <v/>
      </c>
    </row>
    <row r="159">
      <c r="A159" s="142" t="str">
        <f>IFERROR(VLOOKUP(B159,'Статьи'!$A$2:C181,3,0)," ")</f>
        <v>отчет Учет ОС</v>
      </c>
      <c r="B159" s="125" t="str">
        <f>IFERROR(__xludf.DUMMYFUNCTION("""COMPUTED_VALUE"""),"Амортизация ОС")</f>
        <v>Амортизация ОС</v>
      </c>
      <c r="C159" s="215"/>
      <c r="D159" s="149"/>
      <c r="E159" s="149"/>
      <c r="F159" s="149"/>
      <c r="G159" s="149"/>
      <c r="H159" s="149"/>
      <c r="I159" s="211">
        <f t="shared" si="52"/>
        <v>0</v>
      </c>
      <c r="J159" s="122"/>
      <c r="K159" s="114"/>
      <c r="L159" s="114"/>
      <c r="M159" s="114"/>
      <c r="N159" s="114"/>
      <c r="O159" s="114"/>
      <c r="P159" s="211">
        <f t="shared" si="57"/>
        <v>0</v>
      </c>
      <c r="Q159" s="132">
        <f t="shared" si="50"/>
        <v>0</v>
      </c>
      <c r="R159" s="133">
        <f t="shared" si="51"/>
        <v>0</v>
      </c>
      <c r="S159" s="121" t="str">
        <f t="shared" si="58"/>
        <v/>
      </c>
    </row>
    <row r="160">
      <c r="A160" s="142" t="str">
        <f>IFERROR(VLOOKUP(B160,'Статьи'!$A$2:C182,3,0)," ")</f>
        <v>ДДС отчетного месяца. Без НДС!</v>
      </c>
      <c r="B160" s="125" t="str">
        <f>IFERROR(__xludf.DUMMYFUNCTION("""COMPUTED_VALUE"""),"Прочие расходы")</f>
        <v>Прочие расходы</v>
      </c>
      <c r="C160" s="171"/>
      <c r="D160" s="149"/>
      <c r="E160" s="149"/>
      <c r="F160" s="149"/>
      <c r="G160" s="149"/>
      <c r="H160" s="149"/>
      <c r="I160" s="211">
        <f t="shared" si="52"/>
        <v>0</v>
      </c>
      <c r="J160" s="122"/>
      <c r="K160" s="114"/>
      <c r="L160" s="114"/>
      <c r="M160" s="114"/>
      <c r="N160" s="114"/>
      <c r="O160" s="114"/>
      <c r="P160" s="211">
        <f t="shared" si="57"/>
        <v>0</v>
      </c>
      <c r="Q160" s="132">
        <f t="shared" si="50"/>
        <v>0</v>
      </c>
      <c r="R160" s="133">
        <f t="shared" si="51"/>
        <v>0</v>
      </c>
      <c r="S160" s="121" t="str">
        <f t="shared" si="58"/>
        <v/>
      </c>
    </row>
    <row r="161">
      <c r="A161" s="142" t="str">
        <f>IFERROR(VLOOKUP(B161,'Статьи'!$A$2:C183,3,0)," ")</f>
        <v>ДДС отчетного месяца. Без НДС!</v>
      </c>
      <c r="B161" s="111" t="str">
        <f>IFERROR(__xludf.DUMMYFUNCTION("""COMPUTED_VALUE"""),"Ремонт ОС")</f>
        <v>Ремонт ОС</v>
      </c>
      <c r="C161" s="171"/>
      <c r="D161" s="149"/>
      <c r="E161" s="149"/>
      <c r="F161" s="149"/>
      <c r="G161" s="149"/>
      <c r="H161" s="149"/>
      <c r="I161" s="211">
        <f t="shared" si="52"/>
        <v>0</v>
      </c>
      <c r="J161" s="122"/>
      <c r="K161" s="114"/>
      <c r="L161" s="114"/>
      <c r="M161" s="114"/>
      <c r="N161" s="114"/>
      <c r="O161" s="114"/>
      <c r="P161" s="211">
        <f t="shared" si="57"/>
        <v>0</v>
      </c>
      <c r="Q161" s="132">
        <f t="shared" si="50"/>
        <v>0</v>
      </c>
      <c r="R161" s="133">
        <f t="shared" si="51"/>
        <v>0</v>
      </c>
      <c r="S161" s="121" t="str">
        <f t="shared" si="58"/>
        <v/>
      </c>
    </row>
    <row r="162">
      <c r="A162" s="142" t="str">
        <f>IFERROR(VLOOKUP(B162,'Статьи'!$A$2:C184,3,0)," ")</f>
        <v>отчет Учет ФД</v>
      </c>
      <c r="B162" s="111" t="str">
        <f>IFERROR(__xludf.DUMMYFUNCTION("""COMPUTED_VALUE"""),"Оплаты %  кредиты")</f>
        <v>Оплаты %  кредиты</v>
      </c>
      <c r="C162" s="171"/>
      <c r="D162" s="149"/>
      <c r="E162" s="149"/>
      <c r="F162" s="149"/>
      <c r="G162" s="149"/>
      <c r="H162" s="149"/>
      <c r="I162" s="211">
        <f t="shared" si="52"/>
        <v>0</v>
      </c>
      <c r="J162" s="122"/>
      <c r="K162" s="114"/>
      <c r="L162" s="114"/>
      <c r="M162" s="114"/>
      <c r="N162" s="114"/>
      <c r="O162" s="114"/>
      <c r="P162" s="211">
        <f t="shared" si="57"/>
        <v>0</v>
      </c>
      <c r="Q162" s="132">
        <f t="shared" si="50"/>
        <v>0</v>
      </c>
      <c r="R162" s="133">
        <f t="shared" si="51"/>
        <v>0</v>
      </c>
      <c r="S162" s="121" t="str">
        <f t="shared" si="58"/>
        <v/>
      </c>
    </row>
    <row r="163" collapsed="1">
      <c r="A163" s="110" t="str">
        <f>IFERROR(VLOOKUP(B163,'Статьи'!$A$2:C185,3,0)," ")</f>
        <v> </v>
      </c>
      <c r="B163" s="111"/>
      <c r="C163" s="171"/>
      <c r="D163" s="149"/>
      <c r="E163" s="149"/>
      <c r="F163" s="149"/>
      <c r="G163" s="149"/>
      <c r="H163" s="149"/>
      <c r="I163" s="211">
        <f t="shared" si="52"/>
        <v>0</v>
      </c>
      <c r="J163" s="122"/>
      <c r="K163" s="114"/>
      <c r="L163" s="114"/>
      <c r="M163" s="114"/>
      <c r="N163" s="114"/>
      <c r="O163" s="114"/>
      <c r="P163" s="211">
        <f t="shared" si="57"/>
        <v>0</v>
      </c>
      <c r="Q163" s="132">
        <f t="shared" si="50"/>
        <v>0</v>
      </c>
      <c r="R163" s="133">
        <f t="shared" si="51"/>
        <v>0</v>
      </c>
      <c r="S163" s="121" t="str">
        <f t="shared" si="58"/>
        <v/>
      </c>
    </row>
    <row r="164" hidden="1" outlineLevel="1">
      <c r="A164" s="110" t="str">
        <f>IFERROR(VLOOKUP(B164,'Статьи'!$A$2:C186,3,0)," ")</f>
        <v> </v>
      </c>
      <c r="B164" s="111"/>
      <c r="C164" s="170"/>
      <c r="I164" s="211">
        <f t="shared" si="52"/>
        <v>0</v>
      </c>
      <c r="J164" s="122"/>
      <c r="K164" s="114"/>
      <c r="L164" s="114"/>
      <c r="M164" s="114"/>
      <c r="N164" s="114"/>
      <c r="O164" s="114"/>
      <c r="P164" s="211">
        <f t="shared" si="57"/>
        <v>0</v>
      </c>
      <c r="Q164" s="132">
        <f t="shared" si="50"/>
        <v>0</v>
      </c>
      <c r="R164" s="133">
        <f t="shared" si="51"/>
        <v>0</v>
      </c>
      <c r="S164" s="121" t="str">
        <f t="shared" si="58"/>
        <v/>
      </c>
    </row>
    <row r="165" hidden="1" outlineLevel="1">
      <c r="A165" s="110" t="str">
        <f>IFERROR(VLOOKUP(B165,'Статьи'!$A$2:C187,3,0)," ")</f>
        <v> </v>
      </c>
      <c r="B165" s="111"/>
      <c r="C165" s="170"/>
      <c r="I165" s="211">
        <f t="shared" si="52"/>
        <v>0</v>
      </c>
      <c r="J165" s="122"/>
      <c r="K165" s="114"/>
      <c r="L165" s="114"/>
      <c r="M165" s="114"/>
      <c r="N165" s="114"/>
      <c r="O165" s="114"/>
      <c r="P165" s="211">
        <f t="shared" si="57"/>
        <v>0</v>
      </c>
      <c r="Q165" s="132">
        <f t="shared" si="50"/>
        <v>0</v>
      </c>
      <c r="R165" s="133">
        <f t="shared" si="51"/>
        <v>0</v>
      </c>
      <c r="S165" s="121" t="str">
        <f t="shared" si="58"/>
        <v/>
      </c>
    </row>
    <row r="166" hidden="1" outlineLevel="1">
      <c r="A166" s="110" t="str">
        <f>IFERROR(VLOOKUP(B166,'Статьи'!$A$2:C188,3,0)," ")</f>
        <v> </v>
      </c>
      <c r="B166" s="111"/>
      <c r="C166" s="170"/>
      <c r="I166" s="211">
        <f t="shared" si="52"/>
        <v>0</v>
      </c>
      <c r="J166" s="122"/>
      <c r="K166" s="114"/>
      <c r="L166" s="114"/>
      <c r="M166" s="114"/>
      <c r="N166" s="114"/>
      <c r="O166" s="114"/>
      <c r="P166" s="211">
        <f t="shared" si="57"/>
        <v>0</v>
      </c>
      <c r="Q166" s="132">
        <f t="shared" si="50"/>
        <v>0</v>
      </c>
      <c r="R166" s="133">
        <f t="shared" si="51"/>
        <v>0</v>
      </c>
      <c r="S166" s="121" t="str">
        <f t="shared" si="58"/>
        <v/>
      </c>
    </row>
    <row r="167" hidden="1" outlineLevel="1">
      <c r="A167" s="110" t="str">
        <f>IFERROR(VLOOKUP(B167,'Статьи'!$A$2:C189,3,0)," ")</f>
        <v> </v>
      </c>
      <c r="B167" s="111"/>
      <c r="C167" s="170"/>
      <c r="I167" s="211">
        <f t="shared" si="52"/>
        <v>0</v>
      </c>
      <c r="J167" s="122"/>
      <c r="K167" s="114"/>
      <c r="L167" s="114"/>
      <c r="M167" s="114"/>
      <c r="N167" s="114"/>
      <c r="O167" s="114"/>
      <c r="P167" s="211">
        <f t="shared" si="57"/>
        <v>0</v>
      </c>
      <c r="Q167" s="132">
        <f t="shared" si="50"/>
        <v>0</v>
      </c>
      <c r="R167" s="133">
        <f t="shared" si="51"/>
        <v>0</v>
      </c>
      <c r="S167" s="121" t="str">
        <f t="shared" si="58"/>
        <v/>
      </c>
    </row>
    <row r="168" hidden="1" outlineLevel="1">
      <c r="A168" s="110" t="str">
        <f>IFERROR(VLOOKUP(B168,'Статьи'!$A$2:C190,3,0)," ")</f>
        <v> </v>
      </c>
      <c r="B168" s="111"/>
      <c r="C168" s="170"/>
      <c r="I168" s="211">
        <f t="shared" si="52"/>
        <v>0</v>
      </c>
      <c r="J168" s="122"/>
      <c r="K168" s="114"/>
      <c r="L168" s="114"/>
      <c r="M168" s="114"/>
      <c r="N168" s="114"/>
      <c r="O168" s="114"/>
      <c r="P168" s="211">
        <f t="shared" si="57"/>
        <v>0</v>
      </c>
      <c r="Q168" s="132">
        <f t="shared" si="50"/>
        <v>0</v>
      </c>
      <c r="R168" s="133">
        <f t="shared" si="51"/>
        <v>0</v>
      </c>
      <c r="S168" s="121" t="str">
        <f t="shared" si="58"/>
        <v/>
      </c>
    </row>
    <row r="169" hidden="1" outlineLevel="1">
      <c r="A169" s="110" t="str">
        <f>IFERROR(VLOOKUP(B169,'Статьи'!$A$2:C191,3,0)," ")</f>
        <v> </v>
      </c>
      <c r="B169" s="111"/>
      <c r="C169" s="170"/>
      <c r="I169" s="211">
        <f t="shared" si="52"/>
        <v>0</v>
      </c>
      <c r="J169" s="122"/>
      <c r="K169" s="114"/>
      <c r="L169" s="114"/>
      <c r="M169" s="114"/>
      <c r="N169" s="114"/>
      <c r="O169" s="114"/>
      <c r="P169" s="211">
        <f t="shared" si="57"/>
        <v>0</v>
      </c>
      <c r="Q169" s="132">
        <f t="shared" si="50"/>
        <v>0</v>
      </c>
      <c r="R169" s="133">
        <f t="shared" si="51"/>
        <v>0</v>
      </c>
      <c r="S169" s="121" t="str">
        <f t="shared" si="58"/>
        <v/>
      </c>
    </row>
    <row r="170" hidden="1" outlineLevel="1">
      <c r="A170" s="110" t="str">
        <f>IFERROR(VLOOKUP(B170,'Статьи'!$A$2:C192,3,0)," ")</f>
        <v> </v>
      </c>
      <c r="B170" s="111"/>
      <c r="C170" s="170"/>
      <c r="I170" s="211">
        <f t="shared" si="52"/>
        <v>0</v>
      </c>
      <c r="J170" s="122"/>
      <c r="K170" s="114"/>
      <c r="L170" s="114"/>
      <c r="M170" s="114"/>
      <c r="N170" s="114"/>
      <c r="O170" s="114"/>
      <c r="P170" s="211">
        <f t="shared" si="57"/>
        <v>0</v>
      </c>
      <c r="Q170" s="132">
        <f t="shared" si="50"/>
        <v>0</v>
      </c>
      <c r="R170" s="133">
        <f t="shared" si="51"/>
        <v>0</v>
      </c>
      <c r="S170" s="121" t="str">
        <f t="shared" si="58"/>
        <v/>
      </c>
    </row>
    <row r="171" hidden="1" outlineLevel="1">
      <c r="A171" s="110" t="str">
        <f>IFERROR(VLOOKUP(B171,'Статьи'!$A$2:C193,3,0)," ")</f>
        <v> </v>
      </c>
      <c r="B171" s="111"/>
      <c r="C171" s="170"/>
      <c r="I171" s="211">
        <f t="shared" si="52"/>
        <v>0</v>
      </c>
      <c r="J171" s="122"/>
      <c r="K171" s="114"/>
      <c r="L171" s="114"/>
      <c r="M171" s="114"/>
      <c r="N171" s="114"/>
      <c r="O171" s="114"/>
      <c r="P171" s="211">
        <f t="shared" si="57"/>
        <v>0</v>
      </c>
      <c r="Q171" s="132">
        <f t="shared" si="50"/>
        <v>0</v>
      </c>
      <c r="R171" s="133">
        <f t="shared" si="51"/>
        <v>0</v>
      </c>
      <c r="S171" s="121" t="str">
        <f t="shared" si="58"/>
        <v/>
      </c>
    </row>
    <row r="172">
      <c r="A172" s="110" t="str">
        <f>IFERROR(VLOOKUP(B172,'Статьи'!$A$2:C194,3,0)," ")</f>
        <v> </v>
      </c>
      <c r="B172" s="111"/>
      <c r="C172" s="170"/>
      <c r="D172" s="149"/>
      <c r="E172" s="149"/>
      <c r="F172" s="149"/>
      <c r="G172" s="149"/>
      <c r="H172" s="149"/>
      <c r="I172" s="211">
        <f t="shared" si="52"/>
        <v>0</v>
      </c>
      <c r="J172" s="122"/>
      <c r="K172" s="114"/>
      <c r="L172" s="114"/>
      <c r="M172" s="114"/>
      <c r="N172" s="114"/>
      <c r="O172" s="114"/>
      <c r="P172" s="211">
        <f>sum(F172:J172)</f>
        <v>0</v>
      </c>
      <c r="Q172" s="132">
        <f t="shared" si="50"/>
        <v>0</v>
      </c>
      <c r="R172" s="133">
        <f t="shared" si="51"/>
        <v>0</v>
      </c>
      <c r="S172" s="121" t="str">
        <f t="shared" si="58"/>
        <v/>
      </c>
    </row>
    <row r="173">
      <c r="A173" s="152"/>
      <c r="B173" s="153" t="s">
        <v>144</v>
      </c>
      <c r="C173" s="154">
        <f t="shared" ref="C173:K173" si="59">C142+C155+C145</f>
        <v>9</v>
      </c>
      <c r="D173" s="155">
        <f t="shared" si="59"/>
        <v>0</v>
      </c>
      <c r="E173" s="155">
        <f t="shared" si="59"/>
        <v>0</v>
      </c>
      <c r="F173" s="155">
        <f t="shared" si="59"/>
        <v>0</v>
      </c>
      <c r="G173" s="155">
        <f t="shared" si="59"/>
        <v>0</v>
      </c>
      <c r="H173" s="155">
        <f t="shared" si="59"/>
        <v>0</v>
      </c>
      <c r="I173" s="157">
        <f t="shared" si="59"/>
        <v>9</v>
      </c>
      <c r="J173" s="154">
        <f t="shared" si="59"/>
        <v>0</v>
      </c>
      <c r="K173" s="155">
        <f t="shared" si="59"/>
        <v>0</v>
      </c>
      <c r="L173" s="155"/>
      <c r="M173" s="155"/>
      <c r="N173" s="155"/>
      <c r="O173" s="155"/>
      <c r="P173" s="157">
        <f>P142+P155+P145</f>
        <v>0</v>
      </c>
      <c r="Q173" s="155">
        <f t="shared" si="50"/>
        <v>9</v>
      </c>
      <c r="R173" s="158">
        <f t="shared" si="51"/>
        <v>0</v>
      </c>
      <c r="S173" s="159" t="str">
        <f>IF(Q173=0,"",IF(R173&gt;1,"выполнение","план не выполнен"))</f>
        <v>план не выполнен</v>
      </c>
    </row>
    <row r="174">
      <c r="A174" s="160"/>
      <c r="B174" s="161" t="s">
        <v>145</v>
      </c>
      <c r="C174" s="216">
        <f t="shared" ref="C174:K174" si="60">IFERROR(C173/C$3,0)</f>
        <v>1</v>
      </c>
      <c r="D174" s="217">
        <f t="shared" si="60"/>
        <v>0</v>
      </c>
      <c r="E174" s="217">
        <f t="shared" si="60"/>
        <v>0</v>
      </c>
      <c r="F174" s="217">
        <f t="shared" si="60"/>
        <v>0</v>
      </c>
      <c r="G174" s="217">
        <f t="shared" si="60"/>
        <v>0</v>
      </c>
      <c r="H174" s="217">
        <f t="shared" si="60"/>
        <v>0</v>
      </c>
      <c r="I174" s="218">
        <f t="shared" si="60"/>
        <v>1</v>
      </c>
      <c r="J174" s="216">
        <f t="shared" si="60"/>
        <v>0</v>
      </c>
      <c r="K174" s="217">
        <f t="shared" si="60"/>
        <v>0</v>
      </c>
      <c r="L174" s="217"/>
      <c r="M174" s="217"/>
      <c r="N174" s="217"/>
      <c r="O174" s="217"/>
      <c r="P174" s="218">
        <f>IFERROR(P173/P$3,0)</f>
        <v>0</v>
      </c>
      <c r="Q174" s="219"/>
      <c r="R174" s="219"/>
      <c r="S174" s="219"/>
    </row>
    <row r="175">
      <c r="A175" s="110"/>
      <c r="B175" s="111"/>
      <c r="C175" s="115"/>
      <c r="D175" s="115"/>
      <c r="E175" s="115"/>
      <c r="F175" s="115"/>
      <c r="G175" s="115"/>
      <c r="H175" s="115"/>
      <c r="I175" s="118"/>
      <c r="J175" s="118"/>
      <c r="K175" s="118"/>
      <c r="L175" s="118"/>
      <c r="M175" s="118"/>
      <c r="N175" s="118"/>
      <c r="O175" s="118"/>
      <c r="P175" s="118"/>
      <c r="Q175" s="118"/>
      <c r="R175" s="220"/>
      <c r="S175" s="220"/>
    </row>
    <row r="176">
      <c r="A176" s="142"/>
      <c r="B176" s="125"/>
      <c r="C176" s="115"/>
      <c r="D176" s="115"/>
      <c r="E176" s="115"/>
      <c r="F176" s="114"/>
      <c r="G176" s="115"/>
      <c r="H176" s="115"/>
      <c r="I176" s="118"/>
      <c r="J176" s="118"/>
      <c r="K176" s="118"/>
      <c r="L176" s="118"/>
      <c r="M176" s="118"/>
      <c r="N176" s="118"/>
      <c r="O176" s="118"/>
      <c r="P176" s="118"/>
      <c r="Q176" s="118"/>
      <c r="R176" s="220"/>
      <c r="S176" s="220"/>
    </row>
    <row r="177">
      <c r="A177" s="110"/>
      <c r="B177" s="111"/>
      <c r="C177" s="115"/>
      <c r="D177" s="115"/>
      <c r="E177" s="115"/>
      <c r="F177" s="115"/>
      <c r="G177" s="115"/>
      <c r="H177" s="115"/>
      <c r="I177" s="118"/>
      <c r="J177" s="118"/>
      <c r="K177" s="118"/>
      <c r="L177" s="118"/>
      <c r="M177" s="118"/>
      <c r="N177" s="118"/>
      <c r="O177" s="118"/>
      <c r="P177" s="118"/>
      <c r="Q177" s="118"/>
      <c r="R177" s="220"/>
      <c r="S177" s="220"/>
    </row>
  </sheetData>
  <mergeCells count="11">
    <mergeCell ref="C168:H168"/>
    <mergeCell ref="C169:H169"/>
    <mergeCell ref="C170:H170"/>
    <mergeCell ref="C171:H171"/>
    <mergeCell ref="C1:I1"/>
    <mergeCell ref="J1:P1"/>
    <mergeCell ref="Q1:R1"/>
    <mergeCell ref="C164:H164"/>
    <mergeCell ref="C165:H165"/>
    <mergeCell ref="C166:H166"/>
    <mergeCell ref="C167:H167"/>
  </mergeCells>
  <conditionalFormatting sqref="C13:H54">
    <cfRule type="expression" dxfId="4" priority="1">
      <formula>C$2=""</formula>
    </cfRule>
  </conditionalFormatting>
  <conditionalFormatting sqref="C13:H54">
    <cfRule type="expression" dxfId="2" priority="2">
      <formula>OR(#REF!=C$2,#REF!=C$2,#REF!=C$2,#REF!=C$2,#REF!=C$2,#REF!=C$2,#REF!=C$2,#REF!=C$2,#REF!=C$2)</formula>
    </cfRule>
  </conditionalFormatting>
  <conditionalFormatting sqref="C59:H84 C91:C93">
    <cfRule type="expression" dxfId="4" priority="3">
      <formula>C$2=""</formula>
    </cfRule>
  </conditionalFormatting>
  <conditionalFormatting sqref="C59:H84 C91:C93">
    <cfRule type="expression" dxfId="2" priority="4">
      <formula>OR(#REF!=C$2,#REF!=C$2,#REF!=C$2,#REF!=C$2,#REF!=C$2,#REF!=C$2,#REF!=C$2,#REF!=C$2,#REF!=C$2)</formula>
    </cfRule>
  </conditionalFormatting>
  <conditionalFormatting sqref="A1:A2">
    <cfRule type="notContainsBlanks" dxfId="2" priority="5">
      <formula>LEN(TRIM(A1))&gt;0</formula>
    </cfRule>
  </conditionalFormatting>
  <conditionalFormatting sqref="S1:S177">
    <cfRule type="containsText" dxfId="2" priority="6" operator="containsText" text="выполнение">
      <formula>NOT(ISERROR(SEARCH(("выполнение"),(S1))))</formula>
    </cfRule>
  </conditionalFormatting>
  <conditionalFormatting sqref="S1:S177">
    <cfRule type="containsText" dxfId="3" priority="7" operator="containsText" text="план не выполнен">
      <formula>NOT(ISERROR(SEARCH(("план не выполнен"),(S1))))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7.13"/>
    <col customWidth="1" min="2" max="2" width="38.25"/>
    <col customWidth="1" min="3" max="3" width="10.63"/>
    <col collapsed="1" customWidth="1" min="4" max="4" width="10.63"/>
    <col customWidth="1" hidden="1" min="5" max="8" width="10.63" outlineLevel="1"/>
    <col customWidth="1" min="9" max="10" width="10.63"/>
    <col collapsed="1" customWidth="1" min="11" max="11" width="10.63"/>
    <col customWidth="1" hidden="1" min="12" max="15" width="10.63" outlineLevel="1"/>
    <col customWidth="1" min="16" max="16" width="10.63"/>
    <col customWidth="1" min="17" max="18" width="11.38"/>
    <col customWidth="1" min="19" max="19" width="16.88"/>
  </cols>
  <sheetData>
    <row r="1">
      <c r="A1" s="88">
        <v>10.0</v>
      </c>
      <c r="B1" s="89"/>
      <c r="C1" s="90" t="s">
        <v>127</v>
      </c>
      <c r="D1" s="91"/>
      <c r="E1" s="91"/>
      <c r="F1" s="91"/>
      <c r="G1" s="91"/>
      <c r="H1" s="91"/>
      <c r="I1" s="92"/>
      <c r="J1" s="93" t="s">
        <v>128</v>
      </c>
      <c r="K1" s="91"/>
      <c r="L1" s="91"/>
      <c r="M1" s="91"/>
      <c r="N1" s="91"/>
      <c r="O1" s="91"/>
      <c r="P1" s="92"/>
      <c r="Q1" s="94" t="s">
        <v>129</v>
      </c>
      <c r="S1" s="94"/>
    </row>
    <row r="2">
      <c r="A2" s="88" t="s">
        <v>130</v>
      </c>
      <c r="B2" s="89"/>
      <c r="C2" s="95" t="str">
        <f t="array" ref="C2:H2">TRANSPOSE('Справочник'!D2:D7)</f>
        <v>ООО "Весело живем"</v>
      </c>
      <c r="D2" s="96" t="s">
        <v>84</v>
      </c>
      <c r="E2" s="97">
        <v>3.0</v>
      </c>
      <c r="F2" s="97">
        <v>4.0</v>
      </c>
      <c r="G2" s="97">
        <v>5.0</v>
      </c>
      <c r="H2" s="97">
        <v>6.0</v>
      </c>
      <c r="I2" s="98" t="s">
        <v>131</v>
      </c>
      <c r="J2" s="95" t="str">
        <f t="array" ref="J2:O2">TRANSPOSE('Справочник'!D2:D7)</f>
        <v>ООО "Весело живем"</v>
      </c>
      <c r="K2" s="96" t="s">
        <v>84</v>
      </c>
      <c r="L2" s="97">
        <v>3.0</v>
      </c>
      <c r="M2" s="97">
        <v>4.0</v>
      </c>
      <c r="N2" s="97">
        <v>5.0</v>
      </c>
      <c r="O2" s="97">
        <v>6.0</v>
      </c>
      <c r="P2" s="98" t="s">
        <v>131</v>
      </c>
      <c r="Q2" s="99" t="s">
        <v>154</v>
      </c>
      <c r="R2" s="100" t="s">
        <v>133</v>
      </c>
      <c r="S2" s="101" t="s">
        <v>134</v>
      </c>
    </row>
    <row r="3">
      <c r="A3" s="102"/>
      <c r="B3" s="103" t="s">
        <v>86</v>
      </c>
      <c r="C3" s="104">
        <f t="shared" ref="C3:H3" si="1">SUM(C4:C10)</f>
        <v>10</v>
      </c>
      <c r="D3" s="105">
        <f t="shared" si="1"/>
        <v>0</v>
      </c>
      <c r="E3" s="105">
        <f t="shared" si="1"/>
        <v>0</v>
      </c>
      <c r="F3" s="105">
        <f t="shared" si="1"/>
        <v>0</v>
      </c>
      <c r="G3" s="105">
        <f t="shared" si="1"/>
        <v>0</v>
      </c>
      <c r="H3" s="105">
        <f t="shared" si="1"/>
        <v>0</v>
      </c>
      <c r="I3" s="106">
        <f>sum(C3:H3)</f>
        <v>10</v>
      </c>
      <c r="J3" s="104">
        <f t="shared" ref="J3:K3" si="2">SUM(J4:J10)</f>
        <v>0</v>
      </c>
      <c r="K3" s="105">
        <f t="shared" si="2"/>
        <v>0</v>
      </c>
      <c r="L3" s="105"/>
      <c r="M3" s="105"/>
      <c r="N3" s="105"/>
      <c r="O3" s="105"/>
      <c r="P3" s="107">
        <f>SUM(P4:P10)</f>
        <v>0</v>
      </c>
      <c r="Q3" s="105">
        <f t="shared" ref="Q3:Q55" si="3">I3-P3</f>
        <v>10</v>
      </c>
      <c r="R3" s="108">
        <f t="shared" ref="R3:R55" si="4">IFERROR(I3/P3,0)</f>
        <v>0</v>
      </c>
      <c r="S3" s="109" t="str">
        <f>IF(Q3=0,"",IF(R3&gt;1,"выполнение","план не выполнен"))</f>
        <v>план не выполнен</v>
      </c>
    </row>
    <row r="4">
      <c r="A4" s="110" t="str">
        <f>IFERROR(VLOOKUP(B4,'Статьи'!$A$2:C26,3,0)," ")</f>
        <v>1С сч 90.01 убрать НДС!</v>
      </c>
      <c r="B4" s="111" t="str">
        <f>IFERROR(__xludf.DUMMYFUNCTION("iferror(filter('Статьи'!$A$1:$A177,'Статьи'!$B$1:$B177=$B$3))"),"Выручка от аренды машиноместа")</f>
        <v>Выручка от аренды машиноместа</v>
      </c>
      <c r="C4" s="112">
        <v>10.0</v>
      </c>
      <c r="D4" s="113"/>
      <c r="E4" s="114"/>
      <c r="F4" s="115"/>
      <c r="G4" s="115"/>
      <c r="H4" s="115"/>
      <c r="I4" s="116">
        <f t="shared" ref="I4:I8" si="5">SUM(C4:H4)</f>
        <v>10</v>
      </c>
      <c r="J4" s="117"/>
      <c r="K4" s="118"/>
      <c r="L4" s="118"/>
      <c r="M4" s="118"/>
      <c r="N4" s="118"/>
      <c r="O4" s="118"/>
      <c r="P4" s="116">
        <f t="shared" ref="P4:P5" si="6">SUM(J4:K4)</f>
        <v>0</v>
      </c>
      <c r="Q4" s="119">
        <f t="shared" si="3"/>
        <v>10</v>
      </c>
      <c r="R4" s="120">
        <f t="shared" si="4"/>
        <v>0</v>
      </c>
      <c r="S4" s="121" t="str">
        <f t="shared" ref="S4:S10" si="7">IF(Q4=0,"",IF(R4=0,"обратить внимание",IF(R4&gt;1,"выполнение","план не выполнен")))</f>
        <v>обратить внимание</v>
      </c>
    </row>
    <row r="5" collapsed="1">
      <c r="A5" s="110" t="str">
        <f>IFERROR(VLOOKUP(B5,'Статьи'!$A$2:C27,3,0)," ")</f>
        <v>1С сч 90.01 убрать НДС!</v>
      </c>
      <c r="B5" s="111" t="str">
        <f>IFERROR(__xludf.DUMMYFUNCTION("""COMPUTED_VALUE"""),"Выручка за грузоперевозки")</f>
        <v>Выручка за грузоперевозки</v>
      </c>
      <c r="C5" s="112"/>
      <c r="D5" s="113"/>
      <c r="E5" s="114"/>
      <c r="F5" s="115"/>
      <c r="G5" s="115"/>
      <c r="H5" s="115"/>
      <c r="I5" s="116">
        <f t="shared" si="5"/>
        <v>0</v>
      </c>
      <c r="J5" s="117"/>
      <c r="K5" s="118"/>
      <c r="L5" s="118"/>
      <c r="M5" s="118"/>
      <c r="N5" s="118"/>
      <c r="O5" s="118"/>
      <c r="P5" s="116">
        <f t="shared" si="6"/>
        <v>0</v>
      </c>
      <c r="Q5" s="119">
        <f t="shared" si="3"/>
        <v>0</v>
      </c>
      <c r="R5" s="120">
        <f t="shared" si="4"/>
        <v>0</v>
      </c>
      <c r="S5" s="121" t="str">
        <f t="shared" si="7"/>
        <v/>
      </c>
    </row>
    <row r="6" hidden="1" outlineLevel="1">
      <c r="A6" s="110" t="str">
        <f>IFERROR(VLOOKUP(B6,'Статьи'!$A$2:C28,3,0)," ")</f>
        <v> </v>
      </c>
      <c r="B6" s="111"/>
      <c r="C6" s="122"/>
      <c r="D6" s="115"/>
      <c r="E6" s="115"/>
      <c r="F6" s="114"/>
      <c r="G6" s="114"/>
      <c r="H6" s="114"/>
      <c r="I6" s="116">
        <f t="shared" si="5"/>
        <v>0</v>
      </c>
      <c r="J6" s="123"/>
      <c r="K6" s="118"/>
      <c r="L6" s="118"/>
      <c r="M6" s="118"/>
      <c r="N6" s="118"/>
      <c r="O6" s="118"/>
      <c r="P6" s="116">
        <f t="shared" ref="P6:P8" si="8">SUM(F6:J6)</f>
        <v>0</v>
      </c>
      <c r="Q6" s="119">
        <f t="shared" si="3"/>
        <v>0</v>
      </c>
      <c r="R6" s="120">
        <f t="shared" si="4"/>
        <v>0</v>
      </c>
      <c r="S6" s="121" t="str">
        <f t="shared" si="7"/>
        <v/>
      </c>
    </row>
    <row r="7" hidden="1" outlineLevel="1">
      <c r="A7" s="110" t="str">
        <f>IFERROR(VLOOKUP(B7,'Статьи'!$A$2:C29,3,0)," ")</f>
        <v> </v>
      </c>
      <c r="B7" s="111"/>
      <c r="C7" s="122"/>
      <c r="D7" s="115"/>
      <c r="E7" s="115"/>
      <c r="F7" s="115"/>
      <c r="G7" s="115"/>
      <c r="H7" s="115"/>
      <c r="I7" s="116">
        <f t="shared" si="5"/>
        <v>0</v>
      </c>
      <c r="J7" s="123"/>
      <c r="K7" s="118"/>
      <c r="L7" s="118"/>
      <c r="M7" s="118"/>
      <c r="N7" s="118"/>
      <c r="O7" s="118"/>
      <c r="P7" s="116">
        <f t="shared" si="8"/>
        <v>0</v>
      </c>
      <c r="Q7" s="119">
        <f t="shared" si="3"/>
        <v>0</v>
      </c>
      <c r="R7" s="120">
        <f t="shared" si="4"/>
        <v>0</v>
      </c>
      <c r="S7" s="121" t="str">
        <f t="shared" si="7"/>
        <v/>
      </c>
    </row>
    <row r="8" hidden="1" outlineLevel="1">
      <c r="A8" s="110" t="str">
        <f>IFERROR(VLOOKUP(B8,'Статьи'!$A$2:C30,3,0)," ")</f>
        <v> </v>
      </c>
      <c r="B8" s="111"/>
      <c r="C8" s="122"/>
      <c r="D8" s="115"/>
      <c r="E8" s="115"/>
      <c r="F8" s="115"/>
      <c r="G8" s="115"/>
      <c r="H8" s="115"/>
      <c r="I8" s="116">
        <f t="shared" si="5"/>
        <v>0</v>
      </c>
      <c r="J8" s="123"/>
      <c r="K8" s="118"/>
      <c r="L8" s="118"/>
      <c r="M8" s="118"/>
      <c r="N8" s="118"/>
      <c r="O8" s="118"/>
      <c r="P8" s="116">
        <f t="shared" si="8"/>
        <v>0</v>
      </c>
      <c r="Q8" s="119">
        <f t="shared" si="3"/>
        <v>0</v>
      </c>
      <c r="R8" s="120">
        <f t="shared" si="4"/>
        <v>0</v>
      </c>
      <c r="S8" s="121" t="str">
        <f t="shared" si="7"/>
        <v/>
      </c>
    </row>
    <row r="9" hidden="1" outlineLevel="1">
      <c r="A9" s="110" t="str">
        <f>IFERROR(VLOOKUP(B9,'Статьи'!$A$2:C31,3,0)," ")</f>
        <v> </v>
      </c>
      <c r="B9" s="111"/>
      <c r="C9" s="124"/>
      <c r="D9" s="115"/>
      <c r="E9" s="115"/>
      <c r="F9" s="115"/>
      <c r="G9" s="115"/>
      <c r="H9" s="115"/>
      <c r="I9" s="116"/>
      <c r="J9" s="123"/>
      <c r="K9" s="118"/>
      <c r="L9" s="118"/>
      <c r="M9" s="118"/>
      <c r="N9" s="118"/>
      <c r="O9" s="118"/>
      <c r="P9" s="116"/>
      <c r="Q9" s="119">
        <f t="shared" si="3"/>
        <v>0</v>
      </c>
      <c r="R9" s="120">
        <f t="shared" si="4"/>
        <v>0</v>
      </c>
      <c r="S9" s="121" t="str">
        <f t="shared" si="7"/>
        <v/>
      </c>
    </row>
    <row r="10">
      <c r="A10" s="110" t="str">
        <f>IFERROR(VLOOKUP(B10,'Статьи'!$A$2:C32,3,0)," ")</f>
        <v> </v>
      </c>
      <c r="B10" s="125"/>
      <c r="C10" s="122"/>
      <c r="D10" s="115"/>
      <c r="E10" s="115"/>
      <c r="F10" s="115"/>
      <c r="G10" s="115"/>
      <c r="H10" s="115"/>
      <c r="I10" s="116"/>
      <c r="J10" s="123"/>
      <c r="K10" s="118"/>
      <c r="L10" s="118"/>
      <c r="M10" s="118"/>
      <c r="N10" s="118"/>
      <c r="O10" s="118"/>
      <c r="P10" s="116"/>
      <c r="Q10" s="119">
        <f t="shared" si="3"/>
        <v>0</v>
      </c>
      <c r="R10" s="120">
        <f t="shared" si="4"/>
        <v>0</v>
      </c>
      <c r="S10" s="121" t="str">
        <f t="shared" si="7"/>
        <v/>
      </c>
    </row>
    <row r="11">
      <c r="A11" s="126"/>
      <c r="B11" s="127" t="s">
        <v>135</v>
      </c>
      <c r="C11" s="128">
        <f t="shared" ref="C11:K11" si="9">C12+C58</f>
        <v>0</v>
      </c>
      <c r="D11" s="129">
        <f t="shared" si="9"/>
        <v>0</v>
      </c>
      <c r="E11" s="129">
        <f t="shared" si="9"/>
        <v>0</v>
      </c>
      <c r="F11" s="129">
        <f t="shared" si="9"/>
        <v>0</v>
      </c>
      <c r="G11" s="129">
        <f t="shared" si="9"/>
        <v>0</v>
      </c>
      <c r="H11" s="129">
        <f t="shared" si="9"/>
        <v>0</v>
      </c>
      <c r="I11" s="130">
        <f t="shared" si="9"/>
        <v>0</v>
      </c>
      <c r="J11" s="128">
        <f t="shared" si="9"/>
        <v>0</v>
      </c>
      <c r="K11" s="129">
        <f t="shared" si="9"/>
        <v>0</v>
      </c>
      <c r="L11" s="129"/>
      <c r="M11" s="129"/>
      <c r="N11" s="129"/>
      <c r="O11" s="129"/>
      <c r="P11" s="131">
        <f>P12+P58</f>
        <v>0</v>
      </c>
      <c r="Q11" s="132">
        <f t="shared" si="3"/>
        <v>0</v>
      </c>
      <c r="R11" s="133">
        <f t="shared" si="4"/>
        <v>0</v>
      </c>
      <c r="S11" s="134" t="str">
        <f>IF(Q11=0,"",IF(R11&gt;1,"план не выполнен","выполнение"))</f>
        <v/>
      </c>
    </row>
    <row r="12">
      <c r="A12" s="135"/>
      <c r="B12" s="136" t="s">
        <v>99</v>
      </c>
      <c r="C12" s="137">
        <f t="shared" ref="C12:K12" si="10">sum(C13:C54)</f>
        <v>0</v>
      </c>
      <c r="D12" s="138">
        <f t="shared" si="10"/>
        <v>0</v>
      </c>
      <c r="E12" s="138">
        <f t="shared" si="10"/>
        <v>0</v>
      </c>
      <c r="F12" s="138">
        <f t="shared" si="10"/>
        <v>0</v>
      </c>
      <c r="G12" s="138">
        <f t="shared" si="10"/>
        <v>0</v>
      </c>
      <c r="H12" s="138">
        <f t="shared" si="10"/>
        <v>0</v>
      </c>
      <c r="I12" s="139">
        <f t="shared" si="10"/>
        <v>0</v>
      </c>
      <c r="J12" s="137">
        <f t="shared" si="10"/>
        <v>0</v>
      </c>
      <c r="K12" s="138">
        <f t="shared" si="10"/>
        <v>0</v>
      </c>
      <c r="L12" s="138"/>
      <c r="M12" s="138"/>
      <c r="N12" s="138"/>
      <c r="O12" s="138"/>
      <c r="P12" s="140">
        <f>sum(P13:P54)</f>
        <v>0</v>
      </c>
      <c r="Q12" s="119">
        <f t="shared" si="3"/>
        <v>0</v>
      </c>
      <c r="R12" s="120">
        <f t="shared" si="4"/>
        <v>0</v>
      </c>
      <c r="S12" s="121" t="str">
        <f t="shared" ref="S12:S17" si="11">IF(Q12=0,"",IF(R12=0,"обратить внимание",IF(R12&gt;1,"перерасход","экономия")))</f>
        <v/>
      </c>
    </row>
    <row r="13">
      <c r="A13" s="142" t="str">
        <f>IFERROR(VLOOKUP(B13,'Статьи'!$A$2:C35,3,0)," ")</f>
        <v>ДДС отчетного месяца. Без НДС!</v>
      </c>
      <c r="B13" s="125" t="str">
        <f>IFERROR(__xludf.DUMMYFUNCTION("iferror(filter('Статьи'!$A$1:$A177,'Статьи'!$B$1:$B177=$B$12))"),"Комиссия топливных компаний")</f>
        <v>Комиссия топливных компаний</v>
      </c>
      <c r="C13" s="112"/>
      <c r="D13" s="113"/>
      <c r="E13" s="114"/>
      <c r="F13" s="114"/>
      <c r="G13" s="114"/>
      <c r="H13" s="143"/>
      <c r="I13" s="116">
        <f t="shared" ref="I13:I54" si="12">sum(C13:H13)</f>
        <v>0</v>
      </c>
      <c r="J13" s="117"/>
      <c r="K13" s="118"/>
      <c r="L13" s="118"/>
      <c r="M13" s="118"/>
      <c r="N13" s="118"/>
      <c r="O13" s="118"/>
      <c r="P13" s="116">
        <f t="shared" ref="P13:P16" si="13">SUM(J13:K13)</f>
        <v>0</v>
      </c>
      <c r="Q13" s="119">
        <f t="shared" si="3"/>
        <v>0</v>
      </c>
      <c r="R13" s="120">
        <f t="shared" si="4"/>
        <v>0</v>
      </c>
      <c r="S13" s="121" t="str">
        <f t="shared" si="11"/>
        <v/>
      </c>
    </row>
    <row r="14">
      <c r="A14" s="142" t="str">
        <f>IFERROR(VLOOKUP(B14,'Статьи'!$A$2:C36,3,0)," ")</f>
        <v>1С</v>
      </c>
      <c r="B14" s="125" t="str">
        <f>IFERROR(__xludf.DUMMYFUNCTION("""COMPUTED_VALUE"""),"Топливо для грузовых авто ")</f>
        <v>Топливо для грузовых авто </v>
      </c>
      <c r="C14" s="145"/>
      <c r="D14" s="113"/>
      <c r="E14" s="114"/>
      <c r="F14" s="146"/>
      <c r="G14" s="146"/>
      <c r="H14" s="143"/>
      <c r="I14" s="116">
        <f t="shared" si="12"/>
        <v>0</v>
      </c>
      <c r="J14" s="117"/>
      <c r="K14" s="118"/>
      <c r="L14" s="118"/>
      <c r="M14" s="118"/>
      <c r="N14" s="118"/>
      <c r="O14" s="118"/>
      <c r="P14" s="116">
        <f t="shared" si="13"/>
        <v>0</v>
      </c>
      <c r="Q14" s="119">
        <f t="shared" si="3"/>
        <v>0</v>
      </c>
      <c r="R14" s="120">
        <f t="shared" si="4"/>
        <v>0</v>
      </c>
      <c r="S14" s="121" t="str">
        <f t="shared" si="11"/>
        <v/>
      </c>
    </row>
    <row r="15">
      <c r="A15" s="142" t="str">
        <f>IFERROR(VLOOKUP(B15,'Статьи'!$A$2:C37,3,0)," ")</f>
        <v> </v>
      </c>
      <c r="B15" s="144"/>
      <c r="C15" s="145"/>
      <c r="D15" s="113"/>
      <c r="E15" s="114"/>
      <c r="F15" s="146"/>
      <c r="G15" s="146"/>
      <c r="H15" s="143"/>
      <c r="I15" s="116">
        <f t="shared" si="12"/>
        <v>0</v>
      </c>
      <c r="J15" s="117"/>
      <c r="K15" s="118"/>
      <c r="L15" s="118"/>
      <c r="M15" s="118"/>
      <c r="N15" s="118"/>
      <c r="O15" s="118"/>
      <c r="P15" s="116">
        <f t="shared" si="13"/>
        <v>0</v>
      </c>
      <c r="Q15" s="119">
        <f t="shared" si="3"/>
        <v>0</v>
      </c>
      <c r="R15" s="120">
        <f t="shared" si="4"/>
        <v>0</v>
      </c>
      <c r="S15" s="121" t="str">
        <f t="shared" si="11"/>
        <v/>
      </c>
    </row>
    <row r="16">
      <c r="A16" s="142" t="str">
        <f>IFERROR(VLOOKUP(B16,'Статьи'!$A$2:C38,3,0)," ")</f>
        <v> </v>
      </c>
      <c r="B16" s="144"/>
      <c r="C16" s="145"/>
      <c r="D16" s="113"/>
      <c r="E16" s="114"/>
      <c r="F16" s="146"/>
      <c r="G16" s="146"/>
      <c r="H16" s="143"/>
      <c r="I16" s="116">
        <f t="shared" si="12"/>
        <v>0</v>
      </c>
      <c r="J16" s="117"/>
      <c r="K16" s="118"/>
      <c r="L16" s="118"/>
      <c r="M16" s="118"/>
      <c r="N16" s="118"/>
      <c r="O16" s="118"/>
      <c r="P16" s="116">
        <f t="shared" si="13"/>
        <v>0</v>
      </c>
      <c r="Q16" s="119">
        <f t="shared" si="3"/>
        <v>0</v>
      </c>
      <c r="R16" s="120">
        <f t="shared" si="4"/>
        <v>0</v>
      </c>
      <c r="S16" s="121" t="str">
        <f t="shared" si="11"/>
        <v/>
      </c>
    </row>
    <row r="17" collapsed="1">
      <c r="A17" s="147" t="str">
        <f>IFERROR(VLOOKUP(B17,'Статьи'!$A$2:C39,3,0)," ")</f>
        <v> </v>
      </c>
      <c r="B17" s="144"/>
      <c r="C17" s="145"/>
      <c r="D17" s="114"/>
      <c r="E17" s="114"/>
      <c r="F17" s="146"/>
      <c r="G17" s="146"/>
      <c r="H17" s="143"/>
      <c r="I17" s="116">
        <f t="shared" si="12"/>
        <v>0</v>
      </c>
      <c r="J17" s="123"/>
      <c r="K17" s="118"/>
      <c r="L17" s="118"/>
      <c r="M17" s="118"/>
      <c r="N17" s="118"/>
      <c r="O17" s="118"/>
      <c r="P17" s="116">
        <f t="shared" ref="P17:P54" si="14">sum(F17:J17)</f>
        <v>0</v>
      </c>
      <c r="Q17" s="119">
        <f t="shared" si="3"/>
        <v>0</v>
      </c>
      <c r="R17" s="120">
        <f t="shared" si="4"/>
        <v>0</v>
      </c>
      <c r="S17" s="121" t="str">
        <f t="shared" si="11"/>
        <v/>
      </c>
    </row>
    <row r="18" hidden="1" outlineLevel="1">
      <c r="A18" s="147"/>
      <c r="B18" s="144"/>
      <c r="C18" s="145"/>
      <c r="D18" s="114"/>
      <c r="E18" s="114"/>
      <c r="F18" s="146"/>
      <c r="G18" s="146"/>
      <c r="H18" s="143"/>
      <c r="I18" s="116">
        <f t="shared" si="12"/>
        <v>0</v>
      </c>
      <c r="J18" s="123"/>
      <c r="K18" s="118"/>
      <c r="L18" s="118"/>
      <c r="M18" s="118"/>
      <c r="N18" s="118"/>
      <c r="O18" s="118"/>
      <c r="P18" s="116">
        <f t="shared" si="14"/>
        <v>0</v>
      </c>
      <c r="Q18" s="132">
        <f t="shared" si="3"/>
        <v>0</v>
      </c>
      <c r="R18" s="133">
        <f t="shared" si="4"/>
        <v>0</v>
      </c>
      <c r="S18" s="133">
        <f t="shared" ref="S18:S54" si="15">IF(Q18=0,0,IF(R18&gt;1,"перерасход","экономия"))</f>
        <v>0</v>
      </c>
    </row>
    <row r="19" hidden="1" outlineLevel="1">
      <c r="A19" s="147"/>
      <c r="B19" s="144"/>
      <c r="C19" s="148"/>
      <c r="D19" s="114"/>
      <c r="E19" s="114"/>
      <c r="F19" s="146"/>
      <c r="G19" s="146"/>
      <c r="H19" s="143"/>
      <c r="I19" s="116">
        <f t="shared" si="12"/>
        <v>0</v>
      </c>
      <c r="J19" s="123"/>
      <c r="K19" s="118"/>
      <c r="L19" s="118"/>
      <c r="M19" s="118"/>
      <c r="N19" s="118"/>
      <c r="O19" s="118"/>
      <c r="P19" s="116">
        <f t="shared" si="14"/>
        <v>0</v>
      </c>
      <c r="Q19" s="132">
        <f t="shared" si="3"/>
        <v>0</v>
      </c>
      <c r="R19" s="133">
        <f t="shared" si="4"/>
        <v>0</v>
      </c>
      <c r="S19" s="133">
        <f t="shared" si="15"/>
        <v>0</v>
      </c>
    </row>
    <row r="20" hidden="1" outlineLevel="1">
      <c r="A20" s="147"/>
      <c r="B20" s="144"/>
      <c r="C20" s="148"/>
      <c r="D20" s="114"/>
      <c r="E20" s="114"/>
      <c r="F20" s="146"/>
      <c r="G20" s="146"/>
      <c r="H20" s="143"/>
      <c r="I20" s="116">
        <f t="shared" si="12"/>
        <v>0</v>
      </c>
      <c r="J20" s="123"/>
      <c r="K20" s="118"/>
      <c r="L20" s="118"/>
      <c r="M20" s="118"/>
      <c r="N20" s="118"/>
      <c r="O20" s="118"/>
      <c r="P20" s="116">
        <f t="shared" si="14"/>
        <v>0</v>
      </c>
      <c r="Q20" s="132">
        <f t="shared" si="3"/>
        <v>0</v>
      </c>
      <c r="R20" s="133">
        <f t="shared" si="4"/>
        <v>0</v>
      </c>
      <c r="S20" s="133">
        <f t="shared" si="15"/>
        <v>0</v>
      </c>
    </row>
    <row r="21" hidden="1" outlineLevel="1">
      <c r="A21" s="147"/>
      <c r="B21" s="144"/>
      <c r="C21" s="148"/>
      <c r="D21" s="114"/>
      <c r="E21" s="114"/>
      <c r="F21" s="146"/>
      <c r="G21" s="146"/>
      <c r="H21" s="143"/>
      <c r="I21" s="116">
        <f t="shared" si="12"/>
        <v>0</v>
      </c>
      <c r="J21" s="123"/>
      <c r="K21" s="118"/>
      <c r="L21" s="118"/>
      <c r="M21" s="118"/>
      <c r="N21" s="118"/>
      <c r="O21" s="118"/>
      <c r="P21" s="116">
        <f t="shared" si="14"/>
        <v>0</v>
      </c>
      <c r="Q21" s="132">
        <f t="shared" si="3"/>
        <v>0</v>
      </c>
      <c r="R21" s="133">
        <f t="shared" si="4"/>
        <v>0</v>
      </c>
      <c r="S21" s="133">
        <f t="shared" si="15"/>
        <v>0</v>
      </c>
    </row>
    <row r="22" hidden="1" outlineLevel="1">
      <c r="A22" s="147"/>
      <c r="B22" s="144"/>
      <c r="C22" s="145"/>
      <c r="D22" s="114"/>
      <c r="E22" s="114"/>
      <c r="F22" s="146"/>
      <c r="G22" s="146"/>
      <c r="H22" s="149"/>
      <c r="I22" s="116">
        <f t="shared" si="12"/>
        <v>0</v>
      </c>
      <c r="J22" s="123"/>
      <c r="K22" s="118"/>
      <c r="L22" s="118"/>
      <c r="M22" s="118"/>
      <c r="N22" s="118"/>
      <c r="O22" s="118"/>
      <c r="P22" s="116">
        <f t="shared" si="14"/>
        <v>0</v>
      </c>
      <c r="Q22" s="132">
        <f t="shared" si="3"/>
        <v>0</v>
      </c>
      <c r="R22" s="133">
        <f t="shared" si="4"/>
        <v>0</v>
      </c>
      <c r="S22" s="133">
        <f t="shared" si="15"/>
        <v>0</v>
      </c>
    </row>
    <row r="23" hidden="1" outlineLevel="1">
      <c r="A23" s="150"/>
      <c r="B23" s="151"/>
      <c r="C23" s="148"/>
      <c r="D23" s="114"/>
      <c r="E23" s="114"/>
      <c r="F23" s="146"/>
      <c r="G23" s="146"/>
      <c r="H23" s="143"/>
      <c r="I23" s="116">
        <f t="shared" si="12"/>
        <v>0</v>
      </c>
      <c r="J23" s="123"/>
      <c r="K23" s="118"/>
      <c r="L23" s="118"/>
      <c r="M23" s="118"/>
      <c r="N23" s="118"/>
      <c r="O23" s="118"/>
      <c r="P23" s="116">
        <f t="shared" si="14"/>
        <v>0</v>
      </c>
      <c r="Q23" s="132">
        <f t="shared" si="3"/>
        <v>0</v>
      </c>
      <c r="R23" s="133">
        <f t="shared" si="4"/>
        <v>0</v>
      </c>
      <c r="S23" s="133">
        <f t="shared" si="15"/>
        <v>0</v>
      </c>
    </row>
    <row r="24" hidden="1" outlineLevel="1">
      <c r="A24" s="142"/>
      <c r="B24" s="125"/>
      <c r="C24" s="148"/>
      <c r="D24" s="114"/>
      <c r="E24" s="114"/>
      <c r="F24" s="146"/>
      <c r="G24" s="146"/>
      <c r="H24" s="143"/>
      <c r="I24" s="116">
        <f t="shared" si="12"/>
        <v>0</v>
      </c>
      <c r="J24" s="123"/>
      <c r="K24" s="118"/>
      <c r="L24" s="118"/>
      <c r="M24" s="118"/>
      <c r="N24" s="118"/>
      <c r="O24" s="118"/>
      <c r="P24" s="116">
        <f t="shared" si="14"/>
        <v>0</v>
      </c>
      <c r="Q24" s="132">
        <f t="shared" si="3"/>
        <v>0</v>
      </c>
      <c r="R24" s="133">
        <f t="shared" si="4"/>
        <v>0</v>
      </c>
      <c r="S24" s="133">
        <f t="shared" si="15"/>
        <v>0</v>
      </c>
    </row>
    <row r="25" hidden="1" outlineLevel="1">
      <c r="A25" s="142"/>
      <c r="B25" s="125"/>
      <c r="C25" s="123"/>
      <c r="D25" s="114"/>
      <c r="E25" s="114"/>
      <c r="F25" s="114"/>
      <c r="G25" s="114"/>
      <c r="H25" s="143"/>
      <c r="I25" s="116">
        <f t="shared" si="12"/>
        <v>0</v>
      </c>
      <c r="J25" s="123"/>
      <c r="K25" s="118"/>
      <c r="L25" s="118"/>
      <c r="M25" s="118"/>
      <c r="N25" s="118"/>
      <c r="O25" s="118"/>
      <c r="P25" s="116">
        <f t="shared" si="14"/>
        <v>0</v>
      </c>
      <c r="Q25" s="132">
        <f t="shared" si="3"/>
        <v>0</v>
      </c>
      <c r="R25" s="133">
        <f t="shared" si="4"/>
        <v>0</v>
      </c>
      <c r="S25" s="133">
        <f t="shared" si="15"/>
        <v>0</v>
      </c>
    </row>
    <row r="26" hidden="1" outlineLevel="1">
      <c r="A26" s="142"/>
      <c r="B26" s="125"/>
      <c r="C26" s="123"/>
      <c r="D26" s="114"/>
      <c r="E26" s="114"/>
      <c r="F26" s="114"/>
      <c r="G26" s="114"/>
      <c r="H26" s="143"/>
      <c r="I26" s="116">
        <f t="shared" si="12"/>
        <v>0</v>
      </c>
      <c r="J26" s="123"/>
      <c r="K26" s="118"/>
      <c r="L26" s="118"/>
      <c r="M26" s="118"/>
      <c r="N26" s="118"/>
      <c r="O26" s="118"/>
      <c r="P26" s="116">
        <f t="shared" si="14"/>
        <v>0</v>
      </c>
      <c r="Q26" s="132">
        <f t="shared" si="3"/>
        <v>0</v>
      </c>
      <c r="R26" s="133">
        <f t="shared" si="4"/>
        <v>0</v>
      </c>
      <c r="S26" s="133">
        <f t="shared" si="15"/>
        <v>0</v>
      </c>
    </row>
    <row r="27" hidden="1" outlineLevel="1">
      <c r="A27" s="142"/>
      <c r="B27" s="125"/>
      <c r="C27" s="123"/>
      <c r="D27" s="114"/>
      <c r="E27" s="114"/>
      <c r="F27" s="114"/>
      <c r="G27" s="114"/>
      <c r="H27" s="143"/>
      <c r="I27" s="116">
        <f t="shared" si="12"/>
        <v>0</v>
      </c>
      <c r="J27" s="123"/>
      <c r="K27" s="118"/>
      <c r="L27" s="118"/>
      <c r="M27" s="118"/>
      <c r="N27" s="118"/>
      <c r="O27" s="118"/>
      <c r="P27" s="116">
        <f t="shared" si="14"/>
        <v>0</v>
      </c>
      <c r="Q27" s="132">
        <f t="shared" si="3"/>
        <v>0</v>
      </c>
      <c r="R27" s="133">
        <f t="shared" si="4"/>
        <v>0</v>
      </c>
      <c r="S27" s="133">
        <f t="shared" si="15"/>
        <v>0</v>
      </c>
    </row>
    <row r="28" hidden="1" outlineLevel="1">
      <c r="A28" s="142"/>
      <c r="B28" s="125"/>
      <c r="C28" s="123"/>
      <c r="D28" s="114"/>
      <c r="E28" s="114"/>
      <c r="F28" s="114"/>
      <c r="G28" s="114"/>
      <c r="H28" s="143"/>
      <c r="I28" s="116">
        <f t="shared" si="12"/>
        <v>0</v>
      </c>
      <c r="J28" s="123"/>
      <c r="K28" s="118"/>
      <c r="L28" s="118"/>
      <c r="M28" s="118"/>
      <c r="N28" s="118"/>
      <c r="O28" s="118"/>
      <c r="P28" s="116">
        <f t="shared" si="14"/>
        <v>0</v>
      </c>
      <c r="Q28" s="132">
        <f t="shared" si="3"/>
        <v>0</v>
      </c>
      <c r="R28" s="133">
        <f t="shared" si="4"/>
        <v>0</v>
      </c>
      <c r="S28" s="133">
        <f t="shared" si="15"/>
        <v>0</v>
      </c>
    </row>
    <row r="29" hidden="1" outlineLevel="1">
      <c r="A29" s="142"/>
      <c r="B29" s="125"/>
      <c r="C29" s="123"/>
      <c r="D29" s="114"/>
      <c r="E29" s="114"/>
      <c r="F29" s="114"/>
      <c r="G29" s="114"/>
      <c r="H29" s="143"/>
      <c r="I29" s="116">
        <f t="shared" si="12"/>
        <v>0</v>
      </c>
      <c r="J29" s="123"/>
      <c r="K29" s="118"/>
      <c r="L29" s="118"/>
      <c r="M29" s="118"/>
      <c r="N29" s="118"/>
      <c r="O29" s="118"/>
      <c r="P29" s="116">
        <f t="shared" si="14"/>
        <v>0</v>
      </c>
      <c r="Q29" s="132">
        <f t="shared" si="3"/>
        <v>0</v>
      </c>
      <c r="R29" s="133">
        <f t="shared" si="4"/>
        <v>0</v>
      </c>
      <c r="S29" s="133">
        <f t="shared" si="15"/>
        <v>0</v>
      </c>
    </row>
    <row r="30" hidden="1" outlineLevel="1">
      <c r="A30" s="142"/>
      <c r="B30" s="125"/>
      <c r="C30" s="123"/>
      <c r="D30" s="114"/>
      <c r="E30" s="114"/>
      <c r="F30" s="114"/>
      <c r="G30" s="114"/>
      <c r="H30" s="143"/>
      <c r="I30" s="116">
        <f t="shared" si="12"/>
        <v>0</v>
      </c>
      <c r="J30" s="123"/>
      <c r="K30" s="118"/>
      <c r="L30" s="118"/>
      <c r="M30" s="118"/>
      <c r="N30" s="118"/>
      <c r="O30" s="118"/>
      <c r="P30" s="116">
        <f t="shared" si="14"/>
        <v>0</v>
      </c>
      <c r="Q30" s="132">
        <f t="shared" si="3"/>
        <v>0</v>
      </c>
      <c r="R30" s="133">
        <f t="shared" si="4"/>
        <v>0</v>
      </c>
      <c r="S30" s="133">
        <f t="shared" si="15"/>
        <v>0</v>
      </c>
    </row>
    <row r="31" hidden="1" outlineLevel="1">
      <c r="A31" s="142"/>
      <c r="B31" s="125"/>
      <c r="C31" s="123"/>
      <c r="D31" s="114"/>
      <c r="E31" s="114"/>
      <c r="F31" s="114"/>
      <c r="G31" s="114"/>
      <c r="H31" s="143"/>
      <c r="I31" s="116">
        <f t="shared" si="12"/>
        <v>0</v>
      </c>
      <c r="J31" s="123"/>
      <c r="K31" s="118"/>
      <c r="L31" s="118"/>
      <c r="M31" s="118"/>
      <c r="N31" s="118"/>
      <c r="O31" s="118"/>
      <c r="P31" s="116">
        <f t="shared" si="14"/>
        <v>0</v>
      </c>
      <c r="Q31" s="132">
        <f t="shared" si="3"/>
        <v>0</v>
      </c>
      <c r="R31" s="133">
        <f t="shared" si="4"/>
        <v>0</v>
      </c>
      <c r="S31" s="133">
        <f t="shared" si="15"/>
        <v>0</v>
      </c>
    </row>
    <row r="32" hidden="1" outlineLevel="1">
      <c r="A32" s="142"/>
      <c r="B32" s="125"/>
      <c r="C32" s="123"/>
      <c r="D32" s="114"/>
      <c r="E32" s="114"/>
      <c r="F32" s="114"/>
      <c r="G32" s="114"/>
      <c r="H32" s="143"/>
      <c r="I32" s="116">
        <f t="shared" si="12"/>
        <v>0</v>
      </c>
      <c r="J32" s="123"/>
      <c r="K32" s="118"/>
      <c r="L32" s="118"/>
      <c r="M32" s="118"/>
      <c r="N32" s="118"/>
      <c r="O32" s="118"/>
      <c r="P32" s="116">
        <f t="shared" si="14"/>
        <v>0</v>
      </c>
      <c r="Q32" s="132">
        <f t="shared" si="3"/>
        <v>0</v>
      </c>
      <c r="R32" s="133">
        <f t="shared" si="4"/>
        <v>0</v>
      </c>
      <c r="S32" s="133">
        <f t="shared" si="15"/>
        <v>0</v>
      </c>
    </row>
    <row r="33" hidden="1" outlineLevel="1">
      <c r="A33" s="142"/>
      <c r="B33" s="125"/>
      <c r="C33" s="123"/>
      <c r="D33" s="114"/>
      <c r="E33" s="114"/>
      <c r="F33" s="114"/>
      <c r="G33" s="114"/>
      <c r="H33" s="143"/>
      <c r="I33" s="116">
        <f t="shared" si="12"/>
        <v>0</v>
      </c>
      <c r="J33" s="123"/>
      <c r="K33" s="118"/>
      <c r="L33" s="118"/>
      <c r="M33" s="118"/>
      <c r="N33" s="118"/>
      <c r="O33" s="118"/>
      <c r="P33" s="116">
        <f t="shared" si="14"/>
        <v>0</v>
      </c>
      <c r="Q33" s="132">
        <f t="shared" si="3"/>
        <v>0</v>
      </c>
      <c r="R33" s="133">
        <f t="shared" si="4"/>
        <v>0</v>
      </c>
      <c r="S33" s="133">
        <f t="shared" si="15"/>
        <v>0</v>
      </c>
    </row>
    <row r="34" hidden="1" outlineLevel="1">
      <c r="A34" s="142"/>
      <c r="B34" s="125"/>
      <c r="C34" s="123"/>
      <c r="D34" s="114"/>
      <c r="E34" s="114"/>
      <c r="F34" s="114"/>
      <c r="G34" s="114"/>
      <c r="H34" s="143"/>
      <c r="I34" s="116">
        <f t="shared" si="12"/>
        <v>0</v>
      </c>
      <c r="J34" s="123"/>
      <c r="K34" s="118"/>
      <c r="L34" s="118"/>
      <c r="M34" s="118"/>
      <c r="N34" s="118"/>
      <c r="O34" s="118"/>
      <c r="P34" s="116">
        <f t="shared" si="14"/>
        <v>0</v>
      </c>
      <c r="Q34" s="132">
        <f t="shared" si="3"/>
        <v>0</v>
      </c>
      <c r="R34" s="133">
        <f t="shared" si="4"/>
        <v>0</v>
      </c>
      <c r="S34" s="133">
        <f t="shared" si="15"/>
        <v>0</v>
      </c>
    </row>
    <row r="35" hidden="1" outlineLevel="1">
      <c r="A35" s="142"/>
      <c r="B35" s="125"/>
      <c r="C35" s="123"/>
      <c r="D35" s="114"/>
      <c r="E35" s="114"/>
      <c r="F35" s="114"/>
      <c r="G35" s="114"/>
      <c r="H35" s="143"/>
      <c r="I35" s="116">
        <f t="shared" si="12"/>
        <v>0</v>
      </c>
      <c r="J35" s="123"/>
      <c r="K35" s="118"/>
      <c r="L35" s="118"/>
      <c r="M35" s="118"/>
      <c r="N35" s="118"/>
      <c r="O35" s="118"/>
      <c r="P35" s="116">
        <f t="shared" si="14"/>
        <v>0</v>
      </c>
      <c r="Q35" s="132">
        <f t="shared" si="3"/>
        <v>0</v>
      </c>
      <c r="R35" s="133">
        <f t="shared" si="4"/>
        <v>0</v>
      </c>
      <c r="S35" s="133">
        <f t="shared" si="15"/>
        <v>0</v>
      </c>
    </row>
    <row r="36" hidden="1" outlineLevel="1">
      <c r="A36" s="142"/>
      <c r="B36" s="125"/>
      <c r="C36" s="123"/>
      <c r="D36" s="114"/>
      <c r="E36" s="114"/>
      <c r="F36" s="114"/>
      <c r="G36" s="114"/>
      <c r="H36" s="143"/>
      <c r="I36" s="116">
        <f t="shared" si="12"/>
        <v>0</v>
      </c>
      <c r="J36" s="123"/>
      <c r="K36" s="118"/>
      <c r="L36" s="118"/>
      <c r="M36" s="118"/>
      <c r="N36" s="118"/>
      <c r="O36" s="118"/>
      <c r="P36" s="116">
        <f t="shared" si="14"/>
        <v>0</v>
      </c>
      <c r="Q36" s="132">
        <f t="shared" si="3"/>
        <v>0</v>
      </c>
      <c r="R36" s="133">
        <f t="shared" si="4"/>
        <v>0</v>
      </c>
      <c r="S36" s="133">
        <f t="shared" si="15"/>
        <v>0</v>
      </c>
    </row>
    <row r="37" hidden="1" outlineLevel="1">
      <c r="A37" s="142"/>
      <c r="B37" s="125"/>
      <c r="C37" s="123"/>
      <c r="D37" s="114"/>
      <c r="E37" s="114"/>
      <c r="F37" s="114"/>
      <c r="G37" s="114"/>
      <c r="H37" s="143"/>
      <c r="I37" s="116">
        <f t="shared" si="12"/>
        <v>0</v>
      </c>
      <c r="J37" s="123"/>
      <c r="K37" s="118"/>
      <c r="L37" s="118"/>
      <c r="M37" s="118"/>
      <c r="N37" s="118"/>
      <c r="O37" s="118"/>
      <c r="P37" s="116">
        <f t="shared" si="14"/>
        <v>0</v>
      </c>
      <c r="Q37" s="132">
        <f t="shared" si="3"/>
        <v>0</v>
      </c>
      <c r="R37" s="133">
        <f t="shared" si="4"/>
        <v>0</v>
      </c>
      <c r="S37" s="133">
        <f t="shared" si="15"/>
        <v>0</v>
      </c>
    </row>
    <row r="38" hidden="1" outlineLevel="1">
      <c r="A38" s="142"/>
      <c r="B38" s="125"/>
      <c r="C38" s="123"/>
      <c r="D38" s="114"/>
      <c r="E38" s="114"/>
      <c r="F38" s="114"/>
      <c r="G38" s="114"/>
      <c r="H38" s="143"/>
      <c r="I38" s="116">
        <f t="shared" si="12"/>
        <v>0</v>
      </c>
      <c r="J38" s="123"/>
      <c r="K38" s="118"/>
      <c r="L38" s="118"/>
      <c r="M38" s="118"/>
      <c r="N38" s="118"/>
      <c r="O38" s="118"/>
      <c r="P38" s="116">
        <f t="shared" si="14"/>
        <v>0</v>
      </c>
      <c r="Q38" s="132">
        <f t="shared" si="3"/>
        <v>0</v>
      </c>
      <c r="R38" s="133">
        <f t="shared" si="4"/>
        <v>0</v>
      </c>
      <c r="S38" s="133">
        <f t="shared" si="15"/>
        <v>0</v>
      </c>
    </row>
    <row r="39" hidden="1" outlineLevel="1">
      <c r="A39" s="142"/>
      <c r="B39" s="125"/>
      <c r="C39" s="123"/>
      <c r="D39" s="114"/>
      <c r="E39" s="114"/>
      <c r="F39" s="114"/>
      <c r="G39" s="114"/>
      <c r="H39" s="143"/>
      <c r="I39" s="116">
        <f t="shared" si="12"/>
        <v>0</v>
      </c>
      <c r="J39" s="123"/>
      <c r="K39" s="118"/>
      <c r="L39" s="118"/>
      <c r="M39" s="118"/>
      <c r="N39" s="118"/>
      <c r="O39" s="118"/>
      <c r="P39" s="116">
        <f t="shared" si="14"/>
        <v>0</v>
      </c>
      <c r="Q39" s="132">
        <f t="shared" si="3"/>
        <v>0</v>
      </c>
      <c r="R39" s="133">
        <f t="shared" si="4"/>
        <v>0</v>
      </c>
      <c r="S39" s="133">
        <f t="shared" si="15"/>
        <v>0</v>
      </c>
    </row>
    <row r="40" hidden="1" outlineLevel="1">
      <c r="A40" s="142"/>
      <c r="B40" s="125"/>
      <c r="C40" s="123"/>
      <c r="D40" s="114"/>
      <c r="E40" s="114"/>
      <c r="F40" s="114"/>
      <c r="G40" s="114"/>
      <c r="H40" s="143"/>
      <c r="I40" s="116">
        <f t="shared" si="12"/>
        <v>0</v>
      </c>
      <c r="J40" s="123"/>
      <c r="K40" s="118"/>
      <c r="L40" s="118"/>
      <c r="M40" s="118"/>
      <c r="N40" s="118"/>
      <c r="O40" s="118"/>
      <c r="P40" s="116">
        <f t="shared" si="14"/>
        <v>0</v>
      </c>
      <c r="Q40" s="132">
        <f t="shared" si="3"/>
        <v>0</v>
      </c>
      <c r="R40" s="133">
        <f t="shared" si="4"/>
        <v>0</v>
      </c>
      <c r="S40" s="133">
        <f t="shared" si="15"/>
        <v>0</v>
      </c>
    </row>
    <row r="41" hidden="1" outlineLevel="1">
      <c r="A41" s="142"/>
      <c r="B41" s="125"/>
      <c r="C41" s="123"/>
      <c r="D41" s="114"/>
      <c r="E41" s="114"/>
      <c r="F41" s="114"/>
      <c r="G41" s="114"/>
      <c r="H41" s="143"/>
      <c r="I41" s="116">
        <f t="shared" si="12"/>
        <v>0</v>
      </c>
      <c r="J41" s="123"/>
      <c r="K41" s="118"/>
      <c r="L41" s="118"/>
      <c r="M41" s="118"/>
      <c r="N41" s="118"/>
      <c r="O41" s="118"/>
      <c r="P41" s="116">
        <f t="shared" si="14"/>
        <v>0</v>
      </c>
      <c r="Q41" s="132">
        <f t="shared" si="3"/>
        <v>0</v>
      </c>
      <c r="R41" s="133">
        <f t="shared" si="4"/>
        <v>0</v>
      </c>
      <c r="S41" s="133">
        <f t="shared" si="15"/>
        <v>0</v>
      </c>
    </row>
    <row r="42" hidden="1" outlineLevel="1">
      <c r="A42" s="142"/>
      <c r="B42" s="125"/>
      <c r="C42" s="123"/>
      <c r="D42" s="114"/>
      <c r="E42" s="114"/>
      <c r="F42" s="114"/>
      <c r="G42" s="114"/>
      <c r="H42" s="143"/>
      <c r="I42" s="116">
        <f t="shared" si="12"/>
        <v>0</v>
      </c>
      <c r="J42" s="123"/>
      <c r="K42" s="118"/>
      <c r="L42" s="118"/>
      <c r="M42" s="118"/>
      <c r="N42" s="118"/>
      <c r="O42" s="118"/>
      <c r="P42" s="116">
        <f t="shared" si="14"/>
        <v>0</v>
      </c>
      <c r="Q42" s="132">
        <f t="shared" si="3"/>
        <v>0</v>
      </c>
      <c r="R42" s="133">
        <f t="shared" si="4"/>
        <v>0</v>
      </c>
      <c r="S42" s="133">
        <f t="shared" si="15"/>
        <v>0</v>
      </c>
    </row>
    <row r="43" hidden="1" outlineLevel="1">
      <c r="A43" s="142"/>
      <c r="B43" s="125"/>
      <c r="C43" s="123"/>
      <c r="D43" s="114"/>
      <c r="E43" s="114"/>
      <c r="F43" s="114"/>
      <c r="G43" s="114"/>
      <c r="H43" s="143"/>
      <c r="I43" s="116">
        <f t="shared" si="12"/>
        <v>0</v>
      </c>
      <c r="J43" s="123"/>
      <c r="K43" s="118"/>
      <c r="L43" s="118"/>
      <c r="M43" s="118"/>
      <c r="N43" s="118"/>
      <c r="O43" s="118"/>
      <c r="P43" s="116">
        <f t="shared" si="14"/>
        <v>0</v>
      </c>
      <c r="Q43" s="132">
        <f t="shared" si="3"/>
        <v>0</v>
      </c>
      <c r="R43" s="133">
        <f t="shared" si="4"/>
        <v>0</v>
      </c>
      <c r="S43" s="133">
        <f t="shared" si="15"/>
        <v>0</v>
      </c>
    </row>
    <row r="44" hidden="1" outlineLevel="1">
      <c r="A44" s="142"/>
      <c r="B44" s="125"/>
      <c r="C44" s="123"/>
      <c r="D44" s="114"/>
      <c r="E44" s="114"/>
      <c r="F44" s="114"/>
      <c r="G44" s="114"/>
      <c r="H44" s="143"/>
      <c r="I44" s="116">
        <f t="shared" si="12"/>
        <v>0</v>
      </c>
      <c r="J44" s="123"/>
      <c r="K44" s="118"/>
      <c r="L44" s="118"/>
      <c r="M44" s="118"/>
      <c r="N44" s="118"/>
      <c r="O44" s="118"/>
      <c r="P44" s="116">
        <f t="shared" si="14"/>
        <v>0</v>
      </c>
      <c r="Q44" s="132">
        <f t="shared" si="3"/>
        <v>0</v>
      </c>
      <c r="R44" s="133">
        <f t="shared" si="4"/>
        <v>0</v>
      </c>
      <c r="S44" s="133">
        <f t="shared" si="15"/>
        <v>0</v>
      </c>
    </row>
    <row r="45" hidden="1" outlineLevel="1">
      <c r="A45" s="142"/>
      <c r="B45" s="125"/>
      <c r="C45" s="123"/>
      <c r="D45" s="114"/>
      <c r="E45" s="114"/>
      <c r="F45" s="114"/>
      <c r="G45" s="114"/>
      <c r="H45" s="143"/>
      <c r="I45" s="116">
        <f t="shared" si="12"/>
        <v>0</v>
      </c>
      <c r="J45" s="123"/>
      <c r="K45" s="118"/>
      <c r="L45" s="118"/>
      <c r="M45" s="118"/>
      <c r="N45" s="118"/>
      <c r="O45" s="118"/>
      <c r="P45" s="116">
        <f t="shared" si="14"/>
        <v>0</v>
      </c>
      <c r="Q45" s="132">
        <f t="shared" si="3"/>
        <v>0</v>
      </c>
      <c r="R45" s="133">
        <f t="shared" si="4"/>
        <v>0</v>
      </c>
      <c r="S45" s="133">
        <f t="shared" si="15"/>
        <v>0</v>
      </c>
    </row>
    <row r="46" hidden="1" outlineLevel="1">
      <c r="A46" s="142"/>
      <c r="B46" s="125"/>
      <c r="C46" s="123"/>
      <c r="D46" s="114"/>
      <c r="E46" s="114"/>
      <c r="F46" s="114"/>
      <c r="G46" s="114"/>
      <c r="H46" s="143"/>
      <c r="I46" s="116">
        <f t="shared" si="12"/>
        <v>0</v>
      </c>
      <c r="J46" s="123"/>
      <c r="K46" s="118"/>
      <c r="L46" s="118"/>
      <c r="M46" s="118"/>
      <c r="N46" s="118"/>
      <c r="O46" s="118"/>
      <c r="P46" s="116">
        <f t="shared" si="14"/>
        <v>0</v>
      </c>
      <c r="Q46" s="132">
        <f t="shared" si="3"/>
        <v>0</v>
      </c>
      <c r="R46" s="133">
        <f t="shared" si="4"/>
        <v>0</v>
      </c>
      <c r="S46" s="133">
        <f t="shared" si="15"/>
        <v>0</v>
      </c>
    </row>
    <row r="47" hidden="1" outlineLevel="1">
      <c r="A47" s="142"/>
      <c r="B47" s="125"/>
      <c r="C47" s="123"/>
      <c r="D47" s="114"/>
      <c r="E47" s="114"/>
      <c r="F47" s="114"/>
      <c r="G47" s="114"/>
      <c r="H47" s="143"/>
      <c r="I47" s="116">
        <f t="shared" si="12"/>
        <v>0</v>
      </c>
      <c r="J47" s="123"/>
      <c r="K47" s="118"/>
      <c r="L47" s="118"/>
      <c r="M47" s="118"/>
      <c r="N47" s="118"/>
      <c r="O47" s="118"/>
      <c r="P47" s="116">
        <f t="shared" si="14"/>
        <v>0</v>
      </c>
      <c r="Q47" s="132">
        <f t="shared" si="3"/>
        <v>0</v>
      </c>
      <c r="R47" s="133">
        <f t="shared" si="4"/>
        <v>0</v>
      </c>
      <c r="S47" s="133">
        <f t="shared" si="15"/>
        <v>0</v>
      </c>
    </row>
    <row r="48" hidden="1" outlineLevel="1">
      <c r="A48" s="142"/>
      <c r="B48" s="125"/>
      <c r="C48" s="123"/>
      <c r="D48" s="114"/>
      <c r="E48" s="114"/>
      <c r="F48" s="114"/>
      <c r="G48" s="114"/>
      <c r="H48" s="143"/>
      <c r="I48" s="116">
        <f t="shared" si="12"/>
        <v>0</v>
      </c>
      <c r="J48" s="123"/>
      <c r="K48" s="118"/>
      <c r="L48" s="118"/>
      <c r="M48" s="118"/>
      <c r="N48" s="118"/>
      <c r="O48" s="118"/>
      <c r="P48" s="116">
        <f t="shared" si="14"/>
        <v>0</v>
      </c>
      <c r="Q48" s="132">
        <f t="shared" si="3"/>
        <v>0</v>
      </c>
      <c r="R48" s="133">
        <f t="shared" si="4"/>
        <v>0</v>
      </c>
      <c r="S48" s="133">
        <f t="shared" si="15"/>
        <v>0</v>
      </c>
    </row>
    <row r="49" hidden="1" outlineLevel="1">
      <c r="A49" s="142"/>
      <c r="B49" s="125"/>
      <c r="C49" s="123"/>
      <c r="D49" s="143"/>
      <c r="E49" s="114"/>
      <c r="F49" s="114"/>
      <c r="G49" s="114"/>
      <c r="H49" s="143"/>
      <c r="I49" s="116">
        <f t="shared" si="12"/>
        <v>0</v>
      </c>
      <c r="J49" s="123"/>
      <c r="K49" s="118"/>
      <c r="L49" s="118"/>
      <c r="M49" s="118"/>
      <c r="N49" s="118"/>
      <c r="O49" s="118"/>
      <c r="P49" s="116">
        <f t="shared" si="14"/>
        <v>0</v>
      </c>
      <c r="Q49" s="132">
        <f t="shared" si="3"/>
        <v>0</v>
      </c>
      <c r="R49" s="133">
        <f t="shared" si="4"/>
        <v>0</v>
      </c>
      <c r="S49" s="133">
        <f t="shared" si="15"/>
        <v>0</v>
      </c>
    </row>
    <row r="50" hidden="1" outlineLevel="1">
      <c r="A50" s="142"/>
      <c r="B50" s="125"/>
      <c r="C50" s="123"/>
      <c r="D50" s="114"/>
      <c r="E50" s="114"/>
      <c r="F50" s="114"/>
      <c r="G50" s="114"/>
      <c r="H50" s="143"/>
      <c r="I50" s="116">
        <f t="shared" si="12"/>
        <v>0</v>
      </c>
      <c r="J50" s="123"/>
      <c r="K50" s="118"/>
      <c r="L50" s="118"/>
      <c r="M50" s="118"/>
      <c r="N50" s="118"/>
      <c r="O50" s="118"/>
      <c r="P50" s="116">
        <f t="shared" si="14"/>
        <v>0</v>
      </c>
      <c r="Q50" s="132">
        <f t="shared" si="3"/>
        <v>0</v>
      </c>
      <c r="R50" s="133">
        <f t="shared" si="4"/>
        <v>0</v>
      </c>
      <c r="S50" s="133">
        <f t="shared" si="15"/>
        <v>0</v>
      </c>
    </row>
    <row r="51" hidden="1" outlineLevel="1">
      <c r="A51" s="142"/>
      <c r="B51" s="125"/>
      <c r="C51" s="123"/>
      <c r="D51" s="114"/>
      <c r="E51" s="114"/>
      <c r="F51" s="114"/>
      <c r="G51" s="114"/>
      <c r="H51" s="143"/>
      <c r="I51" s="116">
        <f t="shared" si="12"/>
        <v>0</v>
      </c>
      <c r="J51" s="123"/>
      <c r="K51" s="118"/>
      <c r="L51" s="118"/>
      <c r="M51" s="118"/>
      <c r="N51" s="118"/>
      <c r="O51" s="118"/>
      <c r="P51" s="116">
        <f t="shared" si="14"/>
        <v>0</v>
      </c>
      <c r="Q51" s="132">
        <f t="shared" si="3"/>
        <v>0</v>
      </c>
      <c r="R51" s="133">
        <f t="shared" si="4"/>
        <v>0</v>
      </c>
      <c r="S51" s="133">
        <f t="shared" si="15"/>
        <v>0</v>
      </c>
    </row>
    <row r="52" hidden="1" outlineLevel="1">
      <c r="A52" s="142"/>
      <c r="B52" s="125"/>
      <c r="C52" s="123"/>
      <c r="D52" s="114"/>
      <c r="E52" s="114"/>
      <c r="F52" s="114"/>
      <c r="G52" s="114"/>
      <c r="H52" s="149"/>
      <c r="I52" s="116">
        <f t="shared" si="12"/>
        <v>0</v>
      </c>
      <c r="J52" s="123"/>
      <c r="K52" s="118"/>
      <c r="L52" s="118"/>
      <c r="M52" s="118"/>
      <c r="N52" s="118"/>
      <c r="O52" s="118"/>
      <c r="P52" s="116">
        <f t="shared" si="14"/>
        <v>0</v>
      </c>
      <c r="Q52" s="132">
        <f t="shared" si="3"/>
        <v>0</v>
      </c>
      <c r="R52" s="133">
        <f t="shared" si="4"/>
        <v>0</v>
      </c>
      <c r="S52" s="133">
        <f t="shared" si="15"/>
        <v>0</v>
      </c>
    </row>
    <row r="53" hidden="1" outlineLevel="1">
      <c r="A53" s="142"/>
      <c r="B53" s="125"/>
      <c r="C53" s="123"/>
      <c r="D53" s="114"/>
      <c r="E53" s="114"/>
      <c r="F53" s="114"/>
      <c r="G53" s="114"/>
      <c r="H53" s="143"/>
      <c r="I53" s="116">
        <f t="shared" si="12"/>
        <v>0</v>
      </c>
      <c r="J53" s="123"/>
      <c r="K53" s="118"/>
      <c r="L53" s="118"/>
      <c r="M53" s="118"/>
      <c r="N53" s="118"/>
      <c r="O53" s="118"/>
      <c r="P53" s="116">
        <f t="shared" si="14"/>
        <v>0</v>
      </c>
      <c r="Q53" s="132">
        <f t="shared" si="3"/>
        <v>0</v>
      </c>
      <c r="R53" s="133">
        <f t="shared" si="4"/>
        <v>0</v>
      </c>
      <c r="S53" s="133">
        <f t="shared" si="15"/>
        <v>0</v>
      </c>
    </row>
    <row r="54" hidden="1" outlineLevel="1">
      <c r="A54" s="142"/>
      <c r="B54" s="125"/>
      <c r="C54" s="122"/>
      <c r="D54" s="114"/>
      <c r="E54" s="114"/>
      <c r="F54" s="114"/>
      <c r="G54" s="114"/>
      <c r="H54" s="143"/>
      <c r="I54" s="116">
        <f t="shared" si="12"/>
        <v>0</v>
      </c>
      <c r="J54" s="123"/>
      <c r="K54" s="118"/>
      <c r="L54" s="118"/>
      <c r="M54" s="118"/>
      <c r="N54" s="118"/>
      <c r="O54" s="118"/>
      <c r="P54" s="116">
        <f t="shared" si="14"/>
        <v>0</v>
      </c>
      <c r="Q54" s="132">
        <f t="shared" si="3"/>
        <v>0</v>
      </c>
      <c r="R54" s="133">
        <f t="shared" si="4"/>
        <v>0</v>
      </c>
      <c r="S54" s="133">
        <f t="shared" si="15"/>
        <v>0</v>
      </c>
    </row>
    <row r="55">
      <c r="A55" s="152"/>
      <c r="B55" s="153" t="s">
        <v>136</v>
      </c>
      <c r="C55" s="154">
        <f t="shared" ref="C55:K55" si="16">C3+C12</f>
        <v>10</v>
      </c>
      <c r="D55" s="155">
        <f t="shared" si="16"/>
        <v>0</v>
      </c>
      <c r="E55" s="155">
        <f t="shared" si="16"/>
        <v>0</v>
      </c>
      <c r="F55" s="155">
        <f t="shared" si="16"/>
        <v>0</v>
      </c>
      <c r="G55" s="155">
        <f t="shared" si="16"/>
        <v>0</v>
      </c>
      <c r="H55" s="156">
        <f t="shared" si="16"/>
        <v>0</v>
      </c>
      <c r="I55" s="157">
        <f t="shared" si="16"/>
        <v>10</v>
      </c>
      <c r="J55" s="154">
        <f t="shared" si="16"/>
        <v>0</v>
      </c>
      <c r="K55" s="155">
        <f t="shared" si="16"/>
        <v>0</v>
      </c>
      <c r="L55" s="155"/>
      <c r="M55" s="155"/>
      <c r="N55" s="155"/>
      <c r="O55" s="155"/>
      <c r="P55" s="157">
        <f>P3+P12</f>
        <v>0</v>
      </c>
      <c r="Q55" s="155">
        <f t="shared" si="3"/>
        <v>10</v>
      </c>
      <c r="R55" s="158">
        <f t="shared" si="4"/>
        <v>0</v>
      </c>
      <c r="S55" s="159" t="str">
        <f>IF(Q55=0,"",IF(R55&gt;1,"выполнение","план не выполнен"))</f>
        <v>план не выполнен</v>
      </c>
    </row>
    <row r="56">
      <c r="A56" s="160"/>
      <c r="B56" s="161" t="s">
        <v>137</v>
      </c>
      <c r="C56" s="162">
        <f t="shared" ref="C56:K56" si="17">IFERROR(C55/C$3,"")</f>
        <v>1</v>
      </c>
      <c r="D56" s="163" t="str">
        <f t="shared" si="17"/>
        <v/>
      </c>
      <c r="E56" s="163" t="str">
        <f t="shared" si="17"/>
        <v/>
      </c>
      <c r="F56" s="163" t="str">
        <f t="shared" si="17"/>
        <v/>
      </c>
      <c r="G56" s="163" t="str">
        <f t="shared" si="17"/>
        <v/>
      </c>
      <c r="H56" s="163" t="str">
        <f t="shared" si="17"/>
        <v/>
      </c>
      <c r="I56" s="164">
        <f t="shared" si="17"/>
        <v>1</v>
      </c>
      <c r="J56" s="163" t="str">
        <f t="shared" si="17"/>
        <v/>
      </c>
      <c r="K56" s="163" t="str">
        <f t="shared" si="17"/>
        <v/>
      </c>
      <c r="L56" s="163"/>
      <c r="M56" s="163"/>
      <c r="N56" s="163"/>
      <c r="O56" s="163"/>
      <c r="P56" s="164" t="str">
        <f>IFERROR(P55/P$3,"")</f>
        <v/>
      </c>
      <c r="Q56" s="121"/>
      <c r="R56" s="121"/>
      <c r="S56" s="121"/>
    </row>
    <row r="57">
      <c r="A57" s="142"/>
      <c r="B57" s="125"/>
      <c r="C57" s="122"/>
      <c r="D57" s="114"/>
      <c r="E57" s="114"/>
      <c r="F57" s="114"/>
      <c r="G57" s="114"/>
      <c r="H57" s="114"/>
      <c r="I57" s="116"/>
      <c r="J57" s="123"/>
      <c r="K57" s="118"/>
      <c r="L57" s="118"/>
      <c r="M57" s="118"/>
      <c r="N57" s="118"/>
      <c r="O57" s="118"/>
      <c r="P57" s="116"/>
      <c r="Q57" s="121"/>
      <c r="R57" s="121"/>
      <c r="S57" s="121"/>
    </row>
    <row r="58">
      <c r="A58" s="135"/>
      <c r="B58" s="136" t="s">
        <v>94</v>
      </c>
      <c r="C58" s="165">
        <f t="shared" ref="C58:H58" si="18">sum(C59:C79)</f>
        <v>0</v>
      </c>
      <c r="D58" s="166">
        <f t="shared" si="18"/>
        <v>0</v>
      </c>
      <c r="E58" s="166">
        <f t="shared" si="18"/>
        <v>0</v>
      </c>
      <c r="F58" s="166">
        <f t="shared" si="18"/>
        <v>0</v>
      </c>
      <c r="G58" s="166">
        <f t="shared" si="18"/>
        <v>0</v>
      </c>
      <c r="H58" s="166">
        <f t="shared" si="18"/>
        <v>0</v>
      </c>
      <c r="I58" s="167">
        <f t="shared" ref="I58:K58" si="19">SUM(I59:I84)</f>
        <v>0</v>
      </c>
      <c r="J58" s="165">
        <f t="shared" si="19"/>
        <v>0</v>
      </c>
      <c r="K58" s="166">
        <f t="shared" si="19"/>
        <v>0</v>
      </c>
      <c r="L58" s="166"/>
      <c r="M58" s="166"/>
      <c r="N58" s="166"/>
      <c r="O58" s="166"/>
      <c r="P58" s="168">
        <f>SUM(P59:P84)</f>
        <v>0</v>
      </c>
      <c r="Q58" s="166">
        <f t="shared" ref="Q58:Q85" si="20">I58-P58</f>
        <v>0</v>
      </c>
      <c r="R58" s="169">
        <f t="shared" ref="R58:R85" si="21">IFERROR(I58/P58,0)</f>
        <v>0</v>
      </c>
      <c r="S58" s="141" t="str">
        <f>IF(Q58=0,"",IF(R58&gt;1,"план не выполнен","выполнение"))</f>
        <v/>
      </c>
    </row>
    <row r="59">
      <c r="A59" s="142" t="str">
        <f>IFERROR(VLOOKUP(B59,'Статьи'!$A$2:C81,3,0)," ")</f>
        <v>1С</v>
      </c>
      <c r="B59" s="125" t="str">
        <f>IFERROR(__xludf.DUMMYFUNCTION("iferror(filter('Статьи'!$A$1:$A177,'Статьи'!$B$1:$B177=$B$58))"),"Зарплата производственного персонала")</f>
        <v>Зарплата производственного персонала</v>
      </c>
      <c r="C59" s="170"/>
      <c r="D59" s="149"/>
      <c r="E59" s="143"/>
      <c r="F59" s="143"/>
      <c r="G59" s="143"/>
      <c r="H59" s="143"/>
      <c r="I59" s="116">
        <f t="shared" ref="I59:I84" si="22">SUM(C59:H59)</f>
        <v>0</v>
      </c>
      <c r="J59" s="117"/>
      <c r="K59" s="118"/>
      <c r="L59" s="118"/>
      <c r="M59" s="118"/>
      <c r="N59" s="118"/>
      <c r="O59" s="118"/>
      <c r="P59" s="116">
        <f t="shared" ref="P59:P84" si="23">SUM(J59:K59)</f>
        <v>0</v>
      </c>
      <c r="Q59" s="119">
        <f t="shared" si="20"/>
        <v>0</v>
      </c>
      <c r="R59" s="120">
        <f t="shared" si="21"/>
        <v>0</v>
      </c>
      <c r="S59" s="121" t="str">
        <f t="shared" ref="S59:S84" si="24">IF(Q59=0,"",IF(R59=0,"обратить внимание",IF(R59&gt;1,"перерасход","экономия")))</f>
        <v/>
      </c>
    </row>
    <row r="60">
      <c r="A60" s="142" t="str">
        <f>IFERROR(VLOOKUP(B60,'Статьи'!$A$2:C82,3,0)," ")</f>
        <v>ДДС отчетного месяца. Без НДС!</v>
      </c>
      <c r="B60" s="125" t="str">
        <f>IFERROR(__xludf.DUMMYFUNCTION("""COMPUTED_VALUE"""),"Таможенные расходы")</f>
        <v>Таможенные расходы</v>
      </c>
      <c r="C60" s="171"/>
      <c r="D60" s="149"/>
      <c r="E60" s="143"/>
      <c r="F60" s="143"/>
      <c r="G60" s="143"/>
      <c r="H60" s="149"/>
      <c r="I60" s="116">
        <f t="shared" si="22"/>
        <v>0</v>
      </c>
      <c r="J60" s="117"/>
      <c r="K60" s="118"/>
      <c r="L60" s="118"/>
      <c r="M60" s="118"/>
      <c r="N60" s="118"/>
      <c r="O60" s="118"/>
      <c r="P60" s="116">
        <f t="shared" si="23"/>
        <v>0</v>
      </c>
      <c r="Q60" s="119">
        <f t="shared" si="20"/>
        <v>0</v>
      </c>
      <c r="R60" s="120">
        <f t="shared" si="21"/>
        <v>0</v>
      </c>
      <c r="S60" s="121" t="str">
        <f t="shared" si="24"/>
        <v/>
      </c>
    </row>
    <row r="61">
      <c r="A61" s="142" t="str">
        <f>IFERROR(VLOOKUP(B61,'Статьи'!$A$2:C83,3,0)," ")</f>
        <v> </v>
      </c>
      <c r="B61" s="125"/>
      <c r="C61" s="171"/>
      <c r="D61" s="172"/>
      <c r="E61" s="143"/>
      <c r="F61" s="143"/>
      <c r="G61" s="143"/>
      <c r="H61" s="149"/>
      <c r="I61" s="116">
        <f t="shared" si="22"/>
        <v>0</v>
      </c>
      <c r="J61" s="117"/>
      <c r="K61" s="118"/>
      <c r="L61" s="118"/>
      <c r="M61" s="118"/>
      <c r="N61" s="118"/>
      <c r="O61" s="118"/>
      <c r="P61" s="116">
        <f t="shared" si="23"/>
        <v>0</v>
      </c>
      <c r="Q61" s="119">
        <f t="shared" si="20"/>
        <v>0</v>
      </c>
      <c r="R61" s="120">
        <f t="shared" si="21"/>
        <v>0</v>
      </c>
      <c r="S61" s="121" t="str">
        <f t="shared" si="24"/>
        <v/>
      </c>
    </row>
    <row r="62">
      <c r="A62" s="142" t="str">
        <f>IFERROR(VLOOKUP(B62,'Статьи'!$A$2:C84,3,0)," ")</f>
        <v> </v>
      </c>
      <c r="B62" s="125"/>
      <c r="C62" s="171"/>
      <c r="D62" s="172"/>
      <c r="E62" s="143"/>
      <c r="F62" s="143"/>
      <c r="G62" s="143"/>
      <c r="H62" s="149"/>
      <c r="I62" s="116">
        <f t="shared" si="22"/>
        <v>0</v>
      </c>
      <c r="J62" s="123"/>
      <c r="K62" s="118"/>
      <c r="L62" s="118"/>
      <c r="M62" s="118"/>
      <c r="N62" s="118"/>
      <c r="O62" s="118"/>
      <c r="P62" s="116">
        <f t="shared" si="23"/>
        <v>0</v>
      </c>
      <c r="Q62" s="119">
        <f t="shared" si="20"/>
        <v>0</v>
      </c>
      <c r="R62" s="120">
        <f t="shared" si="21"/>
        <v>0</v>
      </c>
      <c r="S62" s="121" t="str">
        <f t="shared" si="24"/>
        <v/>
      </c>
    </row>
    <row r="63">
      <c r="A63" s="142" t="str">
        <f>IFERROR(VLOOKUP(B63,'Статьи'!$A$2:C85,3,0)," ")</f>
        <v> </v>
      </c>
      <c r="B63" s="125"/>
      <c r="C63" s="171"/>
      <c r="D63" s="172"/>
      <c r="E63" s="143"/>
      <c r="F63" s="143"/>
      <c r="G63" s="143"/>
      <c r="H63" s="149"/>
      <c r="I63" s="116">
        <f t="shared" si="22"/>
        <v>0</v>
      </c>
      <c r="J63" s="117"/>
      <c r="K63" s="118"/>
      <c r="L63" s="118"/>
      <c r="M63" s="118"/>
      <c r="N63" s="118"/>
      <c r="O63" s="118"/>
      <c r="P63" s="116">
        <f t="shared" si="23"/>
        <v>0</v>
      </c>
      <c r="Q63" s="119">
        <f t="shared" si="20"/>
        <v>0</v>
      </c>
      <c r="R63" s="120">
        <f t="shared" si="21"/>
        <v>0</v>
      </c>
      <c r="S63" s="121" t="str">
        <f t="shared" si="24"/>
        <v/>
      </c>
    </row>
    <row r="64">
      <c r="A64" s="142" t="str">
        <f>IFERROR(VLOOKUP(B64,'Статьи'!$A$2:C86,3,0)," ")</f>
        <v> </v>
      </c>
      <c r="B64" s="125"/>
      <c r="C64" s="171"/>
      <c r="D64" s="172"/>
      <c r="E64" s="143"/>
      <c r="F64" s="143"/>
      <c r="G64" s="143"/>
      <c r="H64" s="149"/>
      <c r="I64" s="116">
        <f t="shared" si="22"/>
        <v>0</v>
      </c>
      <c r="J64" s="117"/>
      <c r="K64" s="118"/>
      <c r="L64" s="118"/>
      <c r="M64" s="118"/>
      <c r="N64" s="118"/>
      <c r="O64" s="118"/>
      <c r="P64" s="116">
        <f t="shared" si="23"/>
        <v>0</v>
      </c>
      <c r="Q64" s="119">
        <f t="shared" si="20"/>
        <v>0</v>
      </c>
      <c r="R64" s="120">
        <f t="shared" si="21"/>
        <v>0</v>
      </c>
      <c r="S64" s="121" t="str">
        <f t="shared" si="24"/>
        <v/>
      </c>
    </row>
    <row r="65">
      <c r="A65" s="142" t="str">
        <f>IFERROR(VLOOKUP(B65,'Статьи'!$A$2:C87,3,0)," ")</f>
        <v> </v>
      </c>
      <c r="B65" s="125"/>
      <c r="C65" s="171"/>
      <c r="D65" s="172"/>
      <c r="E65" s="143"/>
      <c r="F65" s="143"/>
      <c r="G65" s="143"/>
      <c r="H65" s="149"/>
      <c r="I65" s="116">
        <f t="shared" si="22"/>
        <v>0</v>
      </c>
      <c r="J65" s="117"/>
      <c r="K65" s="118"/>
      <c r="L65" s="118"/>
      <c r="M65" s="118"/>
      <c r="N65" s="118"/>
      <c r="O65" s="118"/>
      <c r="P65" s="116">
        <f t="shared" si="23"/>
        <v>0</v>
      </c>
      <c r="Q65" s="119">
        <f t="shared" si="20"/>
        <v>0</v>
      </c>
      <c r="R65" s="120">
        <f t="shared" si="21"/>
        <v>0</v>
      </c>
      <c r="S65" s="121" t="str">
        <f t="shared" si="24"/>
        <v/>
      </c>
    </row>
    <row r="66">
      <c r="A66" s="142" t="str">
        <f>IFERROR(VLOOKUP(B66,'Статьи'!$A$2:C88,3,0)," ")</f>
        <v> </v>
      </c>
      <c r="B66" s="125"/>
      <c r="C66" s="171"/>
      <c r="D66" s="172"/>
      <c r="E66" s="143"/>
      <c r="F66" s="143"/>
      <c r="G66" s="143"/>
      <c r="H66" s="149"/>
      <c r="I66" s="116">
        <f t="shared" si="22"/>
        <v>0</v>
      </c>
      <c r="J66" s="117"/>
      <c r="K66" s="118"/>
      <c r="L66" s="118"/>
      <c r="M66" s="118"/>
      <c r="N66" s="118"/>
      <c r="O66" s="118"/>
      <c r="P66" s="116">
        <f t="shared" si="23"/>
        <v>0</v>
      </c>
      <c r="Q66" s="119">
        <f t="shared" si="20"/>
        <v>0</v>
      </c>
      <c r="R66" s="120">
        <f t="shared" si="21"/>
        <v>0</v>
      </c>
      <c r="S66" s="121" t="str">
        <f t="shared" si="24"/>
        <v/>
      </c>
    </row>
    <row r="67">
      <c r="A67" s="142" t="str">
        <f>IFERROR(VLOOKUP(B67,'Статьи'!$A$2:C89,3,0)," ")</f>
        <v> </v>
      </c>
      <c r="B67" s="125"/>
      <c r="C67" s="171"/>
      <c r="D67" s="172"/>
      <c r="E67" s="143"/>
      <c r="F67" s="143"/>
      <c r="G67" s="143"/>
      <c r="H67" s="149"/>
      <c r="I67" s="116">
        <f t="shared" si="22"/>
        <v>0</v>
      </c>
      <c r="J67" s="117"/>
      <c r="K67" s="118"/>
      <c r="L67" s="118"/>
      <c r="M67" s="118"/>
      <c r="N67" s="118"/>
      <c r="O67" s="118"/>
      <c r="P67" s="116">
        <f t="shared" si="23"/>
        <v>0</v>
      </c>
      <c r="Q67" s="119">
        <f t="shared" si="20"/>
        <v>0</v>
      </c>
      <c r="R67" s="120">
        <f t="shared" si="21"/>
        <v>0</v>
      </c>
      <c r="S67" s="121" t="str">
        <f t="shared" si="24"/>
        <v/>
      </c>
    </row>
    <row r="68">
      <c r="A68" s="142" t="str">
        <f>IFERROR(VLOOKUP(B68,'Статьи'!$A$2:C90,3,0)," ")</f>
        <v> </v>
      </c>
      <c r="B68" s="125"/>
      <c r="C68" s="171"/>
      <c r="D68" s="172"/>
      <c r="E68" s="143"/>
      <c r="F68" s="143"/>
      <c r="G68" s="143"/>
      <c r="H68" s="149"/>
      <c r="I68" s="116">
        <f t="shared" si="22"/>
        <v>0</v>
      </c>
      <c r="J68" s="123"/>
      <c r="K68" s="118"/>
      <c r="L68" s="118"/>
      <c r="M68" s="118"/>
      <c r="N68" s="118"/>
      <c r="O68" s="118"/>
      <c r="P68" s="116">
        <f t="shared" si="23"/>
        <v>0</v>
      </c>
      <c r="Q68" s="119">
        <f t="shared" si="20"/>
        <v>0</v>
      </c>
      <c r="R68" s="120">
        <f t="shared" si="21"/>
        <v>0</v>
      </c>
      <c r="S68" s="121" t="str">
        <f t="shared" si="24"/>
        <v/>
      </c>
    </row>
    <row r="69">
      <c r="A69" s="142" t="str">
        <f>IFERROR(VLOOKUP(B69,'Статьи'!$A$2:C91,3,0)," ")</f>
        <v> </v>
      </c>
      <c r="B69" s="125"/>
      <c r="C69" s="171"/>
      <c r="D69" s="172"/>
      <c r="E69" s="143"/>
      <c r="F69" s="143"/>
      <c r="G69" s="143"/>
      <c r="H69" s="149"/>
      <c r="I69" s="116">
        <f t="shared" si="22"/>
        <v>0</v>
      </c>
      <c r="J69" s="117"/>
      <c r="K69" s="118"/>
      <c r="L69" s="118"/>
      <c r="M69" s="118"/>
      <c r="N69" s="118"/>
      <c r="O69" s="118"/>
      <c r="P69" s="116">
        <f t="shared" si="23"/>
        <v>0</v>
      </c>
      <c r="Q69" s="119">
        <f t="shared" si="20"/>
        <v>0</v>
      </c>
      <c r="R69" s="120">
        <f t="shared" si="21"/>
        <v>0</v>
      </c>
      <c r="S69" s="121" t="str">
        <f t="shared" si="24"/>
        <v/>
      </c>
    </row>
    <row r="70">
      <c r="A70" s="142" t="str">
        <f>IFERROR(VLOOKUP(B70,'Статьи'!$A$2:C92,3,0)," ")</f>
        <v> </v>
      </c>
      <c r="B70" s="125"/>
      <c r="C70" s="171"/>
      <c r="D70" s="172"/>
      <c r="E70" s="143"/>
      <c r="F70" s="143"/>
      <c r="G70" s="143"/>
      <c r="H70" s="149"/>
      <c r="I70" s="116">
        <f t="shared" si="22"/>
        <v>0</v>
      </c>
      <c r="J70" s="117"/>
      <c r="K70" s="118"/>
      <c r="L70" s="118"/>
      <c r="M70" s="118"/>
      <c r="N70" s="118"/>
      <c r="O70" s="118"/>
      <c r="P70" s="116">
        <f t="shared" si="23"/>
        <v>0</v>
      </c>
      <c r="Q70" s="119">
        <f t="shared" si="20"/>
        <v>0</v>
      </c>
      <c r="R70" s="120">
        <f t="shared" si="21"/>
        <v>0</v>
      </c>
      <c r="S70" s="121" t="str">
        <f t="shared" si="24"/>
        <v/>
      </c>
    </row>
    <row r="71" collapsed="1">
      <c r="A71" s="142" t="str">
        <f>IFERROR(VLOOKUP(B71,'Статьи'!$A$2:C93,3,0)," ")</f>
        <v> </v>
      </c>
      <c r="B71" s="125"/>
      <c r="C71" s="171"/>
      <c r="D71" s="172"/>
      <c r="E71" s="143"/>
      <c r="F71" s="143"/>
      <c r="G71" s="143"/>
      <c r="H71" s="149"/>
      <c r="I71" s="116">
        <f t="shared" si="22"/>
        <v>0</v>
      </c>
      <c r="J71" s="117"/>
      <c r="K71" s="118"/>
      <c r="L71" s="118"/>
      <c r="M71" s="118"/>
      <c r="N71" s="118"/>
      <c r="O71" s="118"/>
      <c r="P71" s="116">
        <f t="shared" si="23"/>
        <v>0</v>
      </c>
      <c r="Q71" s="119">
        <f t="shared" si="20"/>
        <v>0</v>
      </c>
      <c r="R71" s="120">
        <f t="shared" si="21"/>
        <v>0</v>
      </c>
      <c r="S71" s="121" t="str">
        <f t="shared" si="24"/>
        <v/>
      </c>
    </row>
    <row r="72" hidden="1" outlineLevel="1">
      <c r="A72" s="142" t="str">
        <f>IFERROR(VLOOKUP(B72,'Статьи'!$A$2:C94,3,0)," ")</f>
        <v> </v>
      </c>
      <c r="B72" s="125"/>
      <c r="C72" s="170"/>
      <c r="D72" s="149"/>
      <c r="E72" s="143"/>
      <c r="F72" s="143"/>
      <c r="G72" s="143"/>
      <c r="H72" s="149"/>
      <c r="I72" s="116">
        <f t="shared" si="22"/>
        <v>0</v>
      </c>
      <c r="J72" s="123"/>
      <c r="K72" s="118"/>
      <c r="L72" s="118"/>
      <c r="M72" s="118"/>
      <c r="N72" s="118"/>
      <c r="O72" s="118"/>
      <c r="P72" s="116">
        <f t="shared" si="23"/>
        <v>0</v>
      </c>
      <c r="Q72" s="119">
        <f t="shared" si="20"/>
        <v>0</v>
      </c>
      <c r="R72" s="120">
        <f t="shared" si="21"/>
        <v>0</v>
      </c>
      <c r="S72" s="121" t="str">
        <f t="shared" si="24"/>
        <v/>
      </c>
    </row>
    <row r="73" hidden="1" outlineLevel="1">
      <c r="A73" s="142" t="str">
        <f>IFERROR(VLOOKUP(B73,'Статьи'!$A$2:C95,3,0)," ")</f>
        <v> </v>
      </c>
      <c r="B73" s="125"/>
      <c r="C73" s="170"/>
      <c r="D73" s="149"/>
      <c r="E73" s="143"/>
      <c r="F73" s="143"/>
      <c r="G73" s="143"/>
      <c r="H73" s="149"/>
      <c r="I73" s="116">
        <f t="shared" si="22"/>
        <v>0</v>
      </c>
      <c r="J73" s="123"/>
      <c r="K73" s="118"/>
      <c r="L73" s="118"/>
      <c r="M73" s="118"/>
      <c r="N73" s="118"/>
      <c r="O73" s="118"/>
      <c r="P73" s="116">
        <f t="shared" si="23"/>
        <v>0</v>
      </c>
      <c r="Q73" s="119">
        <f t="shared" si="20"/>
        <v>0</v>
      </c>
      <c r="R73" s="120">
        <f t="shared" si="21"/>
        <v>0</v>
      </c>
      <c r="S73" s="121" t="str">
        <f t="shared" si="24"/>
        <v/>
      </c>
    </row>
    <row r="74" hidden="1" outlineLevel="1">
      <c r="A74" s="142" t="str">
        <f>IFERROR(VLOOKUP(B74,'Статьи'!$A$2:C96,3,0)," ")</f>
        <v> </v>
      </c>
      <c r="B74" s="125"/>
      <c r="C74" s="170"/>
      <c r="D74" s="149"/>
      <c r="E74" s="143"/>
      <c r="F74" s="143"/>
      <c r="G74" s="143"/>
      <c r="H74" s="149"/>
      <c r="I74" s="116">
        <f t="shared" si="22"/>
        <v>0</v>
      </c>
      <c r="J74" s="123"/>
      <c r="K74" s="118"/>
      <c r="L74" s="118"/>
      <c r="M74" s="118"/>
      <c r="N74" s="118"/>
      <c r="O74" s="118"/>
      <c r="P74" s="116">
        <f t="shared" si="23"/>
        <v>0</v>
      </c>
      <c r="Q74" s="119">
        <f t="shared" si="20"/>
        <v>0</v>
      </c>
      <c r="R74" s="120">
        <f t="shared" si="21"/>
        <v>0</v>
      </c>
      <c r="S74" s="121" t="str">
        <f t="shared" si="24"/>
        <v/>
      </c>
    </row>
    <row r="75" hidden="1" outlineLevel="1">
      <c r="A75" s="142" t="str">
        <f>IFERROR(VLOOKUP(B75,'Статьи'!$A$2:C97,3,0)," ")</f>
        <v> </v>
      </c>
      <c r="B75" s="125"/>
      <c r="C75" s="170"/>
      <c r="D75" s="149"/>
      <c r="E75" s="143"/>
      <c r="F75" s="143"/>
      <c r="G75" s="143"/>
      <c r="H75" s="149"/>
      <c r="I75" s="116">
        <f t="shared" si="22"/>
        <v>0</v>
      </c>
      <c r="J75" s="123"/>
      <c r="K75" s="118"/>
      <c r="L75" s="118"/>
      <c r="M75" s="118"/>
      <c r="N75" s="118"/>
      <c r="O75" s="118"/>
      <c r="P75" s="116">
        <f t="shared" si="23"/>
        <v>0</v>
      </c>
      <c r="Q75" s="119">
        <f t="shared" si="20"/>
        <v>0</v>
      </c>
      <c r="R75" s="120">
        <f t="shared" si="21"/>
        <v>0</v>
      </c>
      <c r="S75" s="121" t="str">
        <f t="shared" si="24"/>
        <v/>
      </c>
    </row>
    <row r="76" hidden="1" outlineLevel="1">
      <c r="A76" s="142" t="str">
        <f>IFERROR(VLOOKUP(B76,'Статьи'!$A$2:C98,3,0)," ")</f>
        <v> </v>
      </c>
      <c r="B76" s="125"/>
      <c r="C76" s="173"/>
      <c r="D76" s="143"/>
      <c r="E76" s="149"/>
      <c r="F76" s="143"/>
      <c r="G76" s="143"/>
      <c r="H76" s="143"/>
      <c r="I76" s="116">
        <f t="shared" si="22"/>
        <v>0</v>
      </c>
      <c r="J76" s="123"/>
      <c r="K76" s="118"/>
      <c r="L76" s="118"/>
      <c r="M76" s="118"/>
      <c r="N76" s="118"/>
      <c r="O76" s="118"/>
      <c r="P76" s="116">
        <f t="shared" si="23"/>
        <v>0</v>
      </c>
      <c r="Q76" s="119">
        <f t="shared" si="20"/>
        <v>0</v>
      </c>
      <c r="R76" s="120">
        <f t="shared" si="21"/>
        <v>0</v>
      </c>
      <c r="S76" s="121" t="str">
        <f t="shared" si="24"/>
        <v/>
      </c>
    </row>
    <row r="77" hidden="1" outlineLevel="1">
      <c r="A77" s="142" t="str">
        <f>IFERROR(VLOOKUP(B77,'Статьи'!$A$2:C99,3,0)," ")</f>
        <v> </v>
      </c>
      <c r="B77" s="125"/>
      <c r="C77" s="170"/>
      <c r="D77" s="174"/>
      <c r="E77" s="174"/>
      <c r="F77" s="174"/>
      <c r="G77" s="174"/>
      <c r="H77" s="174"/>
      <c r="I77" s="116">
        <f t="shared" si="22"/>
        <v>0</v>
      </c>
      <c r="J77" s="123"/>
      <c r="K77" s="118"/>
      <c r="L77" s="118"/>
      <c r="M77" s="118"/>
      <c r="N77" s="118"/>
      <c r="O77" s="118"/>
      <c r="P77" s="116">
        <f t="shared" si="23"/>
        <v>0</v>
      </c>
      <c r="Q77" s="119">
        <f t="shared" si="20"/>
        <v>0</v>
      </c>
      <c r="R77" s="120">
        <f t="shared" si="21"/>
        <v>0</v>
      </c>
      <c r="S77" s="121" t="str">
        <f t="shared" si="24"/>
        <v/>
      </c>
    </row>
    <row r="78" hidden="1" outlineLevel="1">
      <c r="A78" s="175" t="str">
        <f>IFERROR(VLOOKUP(B78,'Статьи'!$A$2:C100,3,0)," ")</f>
        <v> </v>
      </c>
      <c r="B78" s="176"/>
      <c r="C78" s="122"/>
      <c r="D78" s="114"/>
      <c r="E78" s="114"/>
      <c r="F78" s="114"/>
      <c r="G78" s="114"/>
      <c r="H78" s="149"/>
      <c r="I78" s="116">
        <f t="shared" si="22"/>
        <v>0</v>
      </c>
      <c r="J78" s="123"/>
      <c r="K78" s="118"/>
      <c r="L78" s="118"/>
      <c r="M78" s="118"/>
      <c r="N78" s="118"/>
      <c r="O78" s="118"/>
      <c r="P78" s="116">
        <f t="shared" si="23"/>
        <v>0</v>
      </c>
      <c r="Q78" s="119">
        <f t="shared" si="20"/>
        <v>0</v>
      </c>
      <c r="R78" s="120">
        <f t="shared" si="21"/>
        <v>0</v>
      </c>
      <c r="S78" s="121" t="str">
        <f t="shared" si="24"/>
        <v/>
      </c>
    </row>
    <row r="79" hidden="1" outlineLevel="1">
      <c r="A79" s="110" t="str">
        <f>IFERROR(VLOOKUP(B79,'Статьи'!$A$2:C101,3,0)," ")</f>
        <v> </v>
      </c>
      <c r="B79" s="111"/>
      <c r="C79" s="122"/>
      <c r="D79" s="115"/>
      <c r="E79" s="115"/>
      <c r="F79" s="115"/>
      <c r="G79" s="115"/>
      <c r="H79" s="115"/>
      <c r="I79" s="116">
        <f t="shared" si="22"/>
        <v>0</v>
      </c>
      <c r="J79" s="123"/>
      <c r="K79" s="118"/>
      <c r="L79" s="118"/>
      <c r="M79" s="118"/>
      <c r="N79" s="118"/>
      <c r="O79" s="118"/>
      <c r="P79" s="116">
        <f t="shared" si="23"/>
        <v>0</v>
      </c>
      <c r="Q79" s="119">
        <f t="shared" si="20"/>
        <v>0</v>
      </c>
      <c r="R79" s="120">
        <f t="shared" si="21"/>
        <v>0</v>
      </c>
      <c r="S79" s="121" t="str">
        <f t="shared" si="24"/>
        <v/>
      </c>
    </row>
    <row r="80" hidden="1" outlineLevel="1">
      <c r="A80" s="110" t="str">
        <f>IFERROR(VLOOKUP(B80,'Статьи'!$A$2:C102,3,0)," ")</f>
        <v> </v>
      </c>
      <c r="B80" s="111"/>
      <c r="C80" s="122"/>
      <c r="D80" s="115"/>
      <c r="E80" s="115"/>
      <c r="F80" s="115"/>
      <c r="G80" s="115"/>
      <c r="H80" s="115"/>
      <c r="I80" s="116">
        <f t="shared" si="22"/>
        <v>0</v>
      </c>
      <c r="J80" s="123"/>
      <c r="K80" s="118"/>
      <c r="L80" s="118"/>
      <c r="M80" s="118"/>
      <c r="N80" s="118"/>
      <c r="O80" s="118"/>
      <c r="P80" s="116">
        <f t="shared" si="23"/>
        <v>0</v>
      </c>
      <c r="Q80" s="119">
        <f t="shared" si="20"/>
        <v>0</v>
      </c>
      <c r="R80" s="120">
        <f t="shared" si="21"/>
        <v>0</v>
      </c>
      <c r="S80" s="121" t="str">
        <f t="shared" si="24"/>
        <v/>
      </c>
    </row>
    <row r="81" hidden="1" outlineLevel="1">
      <c r="A81" s="110" t="str">
        <f>IFERROR(VLOOKUP(B81,'Статьи'!$A$2:C103,3,0)," ")</f>
        <v> </v>
      </c>
      <c r="B81" s="111"/>
      <c r="C81" s="122"/>
      <c r="D81" s="115"/>
      <c r="E81" s="115"/>
      <c r="F81" s="115"/>
      <c r="G81" s="115"/>
      <c r="H81" s="115"/>
      <c r="I81" s="116">
        <f t="shared" si="22"/>
        <v>0</v>
      </c>
      <c r="J81" s="123"/>
      <c r="K81" s="118"/>
      <c r="L81" s="118"/>
      <c r="M81" s="118"/>
      <c r="N81" s="118"/>
      <c r="O81" s="118"/>
      <c r="P81" s="116">
        <f t="shared" si="23"/>
        <v>0</v>
      </c>
      <c r="Q81" s="119">
        <f t="shared" si="20"/>
        <v>0</v>
      </c>
      <c r="R81" s="120">
        <f t="shared" si="21"/>
        <v>0</v>
      </c>
      <c r="S81" s="121" t="str">
        <f t="shared" si="24"/>
        <v/>
      </c>
    </row>
    <row r="82" hidden="1" outlineLevel="1">
      <c r="A82" s="110" t="str">
        <f>IFERROR(VLOOKUP(B82,'Статьи'!$A$2:C104,3,0)," ")</f>
        <v> </v>
      </c>
      <c r="B82" s="111"/>
      <c r="C82" s="122"/>
      <c r="D82" s="115"/>
      <c r="E82" s="115"/>
      <c r="F82" s="115"/>
      <c r="G82" s="115"/>
      <c r="H82" s="115"/>
      <c r="I82" s="116">
        <f t="shared" si="22"/>
        <v>0</v>
      </c>
      <c r="J82" s="123"/>
      <c r="K82" s="118"/>
      <c r="L82" s="118"/>
      <c r="M82" s="118"/>
      <c r="N82" s="118"/>
      <c r="O82" s="118"/>
      <c r="P82" s="116">
        <f t="shared" si="23"/>
        <v>0</v>
      </c>
      <c r="Q82" s="119">
        <f t="shared" si="20"/>
        <v>0</v>
      </c>
      <c r="R82" s="120">
        <f t="shared" si="21"/>
        <v>0</v>
      </c>
      <c r="S82" s="121" t="str">
        <f t="shared" si="24"/>
        <v/>
      </c>
    </row>
    <row r="83" hidden="1" outlineLevel="1">
      <c r="A83" s="110" t="str">
        <f>IFERROR(VLOOKUP(B83,'Статьи'!$A$2:C105,3,0)," ")</f>
        <v> </v>
      </c>
      <c r="B83" s="111"/>
      <c r="C83" s="122"/>
      <c r="D83" s="115"/>
      <c r="E83" s="115"/>
      <c r="F83" s="115"/>
      <c r="G83" s="115"/>
      <c r="H83" s="115"/>
      <c r="I83" s="116">
        <f t="shared" si="22"/>
        <v>0</v>
      </c>
      <c r="J83" s="123"/>
      <c r="K83" s="118"/>
      <c r="L83" s="118"/>
      <c r="M83" s="118"/>
      <c r="N83" s="118"/>
      <c r="O83" s="118"/>
      <c r="P83" s="116">
        <f t="shared" si="23"/>
        <v>0</v>
      </c>
      <c r="Q83" s="119">
        <f t="shared" si="20"/>
        <v>0</v>
      </c>
      <c r="R83" s="120">
        <f t="shared" si="21"/>
        <v>0</v>
      </c>
      <c r="S83" s="121" t="str">
        <f t="shared" si="24"/>
        <v/>
      </c>
    </row>
    <row r="84">
      <c r="A84" s="110" t="str">
        <f>IFERROR(VLOOKUP(B84,'Статьи'!$A$2:C106,3,0)," ")</f>
        <v> </v>
      </c>
      <c r="B84" s="111"/>
      <c r="C84" s="122"/>
      <c r="D84" s="115"/>
      <c r="E84" s="115"/>
      <c r="F84" s="115"/>
      <c r="G84" s="115"/>
      <c r="H84" s="115"/>
      <c r="I84" s="116">
        <f t="shared" si="22"/>
        <v>0</v>
      </c>
      <c r="J84" s="123"/>
      <c r="K84" s="118"/>
      <c r="L84" s="118"/>
      <c r="M84" s="118"/>
      <c r="N84" s="118"/>
      <c r="O84" s="118"/>
      <c r="P84" s="116">
        <f t="shared" si="23"/>
        <v>0</v>
      </c>
      <c r="Q84" s="119">
        <f t="shared" si="20"/>
        <v>0</v>
      </c>
      <c r="R84" s="120">
        <f t="shared" si="21"/>
        <v>0</v>
      </c>
      <c r="S84" s="121" t="str">
        <f t="shared" si="24"/>
        <v/>
      </c>
    </row>
    <row r="85">
      <c r="A85" s="152"/>
      <c r="B85" s="153" t="s">
        <v>138</v>
      </c>
      <c r="C85" s="154">
        <f t="shared" ref="C85:K85" si="25">C55+C58</f>
        <v>10</v>
      </c>
      <c r="D85" s="155">
        <f t="shared" si="25"/>
        <v>0</v>
      </c>
      <c r="E85" s="155">
        <f t="shared" si="25"/>
        <v>0</v>
      </c>
      <c r="F85" s="155">
        <f t="shared" si="25"/>
        <v>0</v>
      </c>
      <c r="G85" s="155">
        <f t="shared" si="25"/>
        <v>0</v>
      </c>
      <c r="H85" s="155">
        <f t="shared" si="25"/>
        <v>0</v>
      </c>
      <c r="I85" s="157">
        <f t="shared" si="25"/>
        <v>10</v>
      </c>
      <c r="J85" s="154">
        <f t="shared" si="25"/>
        <v>0</v>
      </c>
      <c r="K85" s="155">
        <f t="shared" si="25"/>
        <v>0</v>
      </c>
      <c r="L85" s="155"/>
      <c r="M85" s="155"/>
      <c r="N85" s="155"/>
      <c r="O85" s="155"/>
      <c r="P85" s="157">
        <f>P55+P58</f>
        <v>0</v>
      </c>
      <c r="Q85" s="155">
        <f t="shared" si="20"/>
        <v>10</v>
      </c>
      <c r="R85" s="158">
        <f t="shared" si="21"/>
        <v>0</v>
      </c>
      <c r="S85" s="177" t="str">
        <f>IF(Q85=0,"",IF(R85&gt;1,"выполнение","план не выполнен"))</f>
        <v>план не выполнен</v>
      </c>
    </row>
    <row r="86">
      <c r="A86" s="160"/>
      <c r="B86" s="161" t="s">
        <v>139</v>
      </c>
      <c r="C86" s="162">
        <f t="shared" ref="C86:K86" si="26">IFERROR(C85/C$3,"")</f>
        <v>1</v>
      </c>
      <c r="D86" s="163" t="str">
        <f t="shared" si="26"/>
        <v/>
      </c>
      <c r="E86" s="163" t="str">
        <f t="shared" si="26"/>
        <v/>
      </c>
      <c r="F86" s="163" t="str">
        <f t="shared" si="26"/>
        <v/>
      </c>
      <c r="G86" s="163" t="str">
        <f t="shared" si="26"/>
        <v/>
      </c>
      <c r="H86" s="163" t="str">
        <f t="shared" si="26"/>
        <v/>
      </c>
      <c r="I86" s="164">
        <f t="shared" si="26"/>
        <v>1</v>
      </c>
      <c r="J86" s="162" t="str">
        <f t="shared" si="26"/>
        <v/>
      </c>
      <c r="K86" s="163" t="str">
        <f t="shared" si="26"/>
        <v/>
      </c>
      <c r="L86" s="163"/>
      <c r="M86" s="163"/>
      <c r="N86" s="163"/>
      <c r="O86" s="163"/>
      <c r="P86" s="164" t="str">
        <f>IFERROR(P85/P$3,"")</f>
        <v/>
      </c>
      <c r="Q86" s="121"/>
      <c r="R86" s="121"/>
      <c r="S86" s="121" t="str">
        <f t="shared" ref="S86:S87" si="27">IF(Q86=0,"",IF(Q86=0,0,IF(R86&gt;1,"перерасход","экономия")))</f>
        <v/>
      </c>
    </row>
    <row r="87">
      <c r="A87" s="178"/>
      <c r="B87" s="179"/>
      <c r="C87" s="124"/>
      <c r="D87" s="115"/>
      <c r="E87" s="115"/>
      <c r="F87" s="115"/>
      <c r="G87" s="115"/>
      <c r="H87" s="115"/>
      <c r="I87" s="116"/>
      <c r="J87" s="123"/>
      <c r="K87" s="118"/>
      <c r="L87" s="118"/>
      <c r="M87" s="118"/>
      <c r="N87" s="118"/>
      <c r="O87" s="118"/>
      <c r="P87" s="116"/>
      <c r="Q87" s="180"/>
      <c r="R87" s="121"/>
      <c r="S87" s="121" t="str">
        <f t="shared" si="27"/>
        <v/>
      </c>
    </row>
    <row r="88">
      <c r="A88" s="181"/>
      <c r="B88" s="127" t="s">
        <v>140</v>
      </c>
      <c r="C88" s="182">
        <f t="shared" ref="C88:K88" si="28">C101+C132+C89</f>
        <v>0</v>
      </c>
      <c r="D88" s="183">
        <f t="shared" si="28"/>
        <v>0</v>
      </c>
      <c r="E88" s="183">
        <f t="shared" si="28"/>
        <v>0</v>
      </c>
      <c r="F88" s="183">
        <f t="shared" si="28"/>
        <v>0</v>
      </c>
      <c r="G88" s="183">
        <f t="shared" si="28"/>
        <v>0</v>
      </c>
      <c r="H88" s="183">
        <f t="shared" si="28"/>
        <v>0</v>
      </c>
      <c r="I88" s="184">
        <f t="shared" si="28"/>
        <v>0</v>
      </c>
      <c r="J88" s="182">
        <f t="shared" si="28"/>
        <v>0</v>
      </c>
      <c r="K88" s="183">
        <f t="shared" si="28"/>
        <v>0</v>
      </c>
      <c r="L88" s="183"/>
      <c r="M88" s="183"/>
      <c r="N88" s="183"/>
      <c r="O88" s="183"/>
      <c r="P88" s="185">
        <f>P101+P132+P89</f>
        <v>0</v>
      </c>
      <c r="Q88" s="183">
        <f t="shared" ref="Q88:Q142" si="30">I88-P88</f>
        <v>0</v>
      </c>
      <c r="R88" s="186">
        <f t="shared" ref="R88:R142" si="31">IFERROR(I88/P88,0)</f>
        <v>0</v>
      </c>
      <c r="S88" s="134" t="str">
        <f>IF(Q88=0,"",IF(R88&gt;1,"план не выполнен","выполнение"))</f>
        <v/>
      </c>
    </row>
    <row r="89">
      <c r="A89" s="135"/>
      <c r="B89" s="136" t="s">
        <v>141</v>
      </c>
      <c r="C89" s="137">
        <f t="shared" ref="C89:K89" si="29">SUM(C90:C100)</f>
        <v>0</v>
      </c>
      <c r="D89" s="138">
        <f t="shared" si="29"/>
        <v>0</v>
      </c>
      <c r="E89" s="138">
        <f t="shared" si="29"/>
        <v>0</v>
      </c>
      <c r="F89" s="138">
        <f t="shared" si="29"/>
        <v>0</v>
      </c>
      <c r="G89" s="138">
        <f t="shared" si="29"/>
        <v>0</v>
      </c>
      <c r="H89" s="138">
        <f t="shared" si="29"/>
        <v>0</v>
      </c>
      <c r="I89" s="139">
        <f t="shared" si="29"/>
        <v>0</v>
      </c>
      <c r="J89" s="137">
        <f t="shared" si="29"/>
        <v>0</v>
      </c>
      <c r="K89" s="138">
        <f t="shared" si="29"/>
        <v>0</v>
      </c>
      <c r="L89" s="138"/>
      <c r="M89" s="138"/>
      <c r="N89" s="138"/>
      <c r="O89" s="138"/>
      <c r="P89" s="140">
        <f>SUM(P90:P100)</f>
        <v>0</v>
      </c>
      <c r="Q89" s="138">
        <f t="shared" si="30"/>
        <v>0</v>
      </c>
      <c r="R89" s="187">
        <f t="shared" si="31"/>
        <v>0</v>
      </c>
      <c r="S89" s="141" t="str">
        <f>IF(Q89=0,"",IF(Q89=0,0,IF(R89&gt;1,"перерасход","экономия")))</f>
        <v/>
      </c>
    </row>
    <row r="90">
      <c r="A90" s="142" t="str">
        <f>IFERROR(VLOOKUP(B90,'Статьи'!$A$2:C112,3,0)," ")</f>
        <v> </v>
      </c>
      <c r="B90" s="125" t="str">
        <f>IFERROR(__xludf.DUMMYFUNCTION("iferror(filter('Статьи'!$A$1:$A177,'Статьи'!$B$1:$B177=$B$89))"),"")</f>
        <v/>
      </c>
      <c r="C90" s="171"/>
      <c r="D90" s="172"/>
      <c r="E90" s="149"/>
      <c r="F90" s="149"/>
      <c r="G90" s="149"/>
      <c r="H90" s="149"/>
      <c r="I90" s="188">
        <f t="shared" ref="I90:I100" si="32">sum(C90:H90)</f>
        <v>0</v>
      </c>
      <c r="J90" s="170"/>
      <c r="K90" s="149"/>
      <c r="L90" s="149"/>
      <c r="M90" s="149"/>
      <c r="N90" s="149"/>
      <c r="O90" s="149"/>
      <c r="P90" s="188">
        <f t="shared" ref="P90:P94" si="33">SUM(J90:K90)</f>
        <v>0</v>
      </c>
      <c r="Q90" s="132">
        <f t="shared" si="30"/>
        <v>0</v>
      </c>
      <c r="R90" s="133">
        <f t="shared" si="31"/>
        <v>0</v>
      </c>
      <c r="S90" s="121" t="str">
        <f t="shared" ref="S90:S94" si="34">IF(Q90=0,"",IF(R90=0,"обратить внимание",IF(R90&gt;1,"перерасход","экономия")))</f>
        <v/>
      </c>
    </row>
    <row r="91">
      <c r="A91" s="142" t="str">
        <f>IFERROR(VLOOKUP(B91,'Статьи'!$A$2:C113,3,0)," ")</f>
        <v> </v>
      </c>
      <c r="B91" s="125"/>
      <c r="C91" s="171"/>
      <c r="D91" s="172"/>
      <c r="E91" s="149"/>
      <c r="F91" s="149"/>
      <c r="G91" s="149"/>
      <c r="H91" s="149"/>
      <c r="I91" s="188">
        <f t="shared" si="32"/>
        <v>0</v>
      </c>
      <c r="J91" s="189"/>
      <c r="K91" s="149"/>
      <c r="L91" s="149"/>
      <c r="M91" s="149"/>
      <c r="N91" s="149"/>
      <c r="O91" s="149"/>
      <c r="P91" s="188">
        <f t="shared" si="33"/>
        <v>0</v>
      </c>
      <c r="Q91" s="132">
        <f t="shared" si="30"/>
        <v>0</v>
      </c>
      <c r="R91" s="133">
        <f t="shared" si="31"/>
        <v>0</v>
      </c>
      <c r="S91" s="121" t="str">
        <f t="shared" si="34"/>
        <v/>
      </c>
    </row>
    <row r="92">
      <c r="A92" s="142" t="str">
        <f>IFERROR(VLOOKUP(B92,'Статьи'!$A$2:C114,3,0)," ")</f>
        <v> </v>
      </c>
      <c r="B92" s="125"/>
      <c r="C92" s="171"/>
      <c r="D92" s="172"/>
      <c r="E92" s="149"/>
      <c r="F92" s="149"/>
      <c r="G92" s="149"/>
      <c r="H92" s="149"/>
      <c r="I92" s="188">
        <f t="shared" si="32"/>
        <v>0</v>
      </c>
      <c r="J92" s="189"/>
      <c r="K92" s="149"/>
      <c r="L92" s="149"/>
      <c r="M92" s="149"/>
      <c r="N92" s="149"/>
      <c r="O92" s="149"/>
      <c r="P92" s="188">
        <f t="shared" si="33"/>
        <v>0</v>
      </c>
      <c r="Q92" s="132">
        <f t="shared" si="30"/>
        <v>0</v>
      </c>
      <c r="R92" s="133">
        <f t="shared" si="31"/>
        <v>0</v>
      </c>
      <c r="S92" s="121" t="str">
        <f t="shared" si="34"/>
        <v/>
      </c>
    </row>
    <row r="93">
      <c r="A93" s="142" t="str">
        <f>IFERROR(VLOOKUP(B93,'Статьи'!$A$2:C115,3,0)," ")</f>
        <v> </v>
      </c>
      <c r="B93" s="125"/>
      <c r="C93" s="171"/>
      <c r="D93" s="172"/>
      <c r="E93" s="149"/>
      <c r="F93" s="149"/>
      <c r="G93" s="149"/>
      <c r="H93" s="149"/>
      <c r="I93" s="188">
        <f t="shared" si="32"/>
        <v>0</v>
      </c>
      <c r="J93" s="170"/>
      <c r="K93" s="149"/>
      <c r="L93" s="149"/>
      <c r="M93" s="149"/>
      <c r="N93" s="149"/>
      <c r="O93" s="149"/>
      <c r="P93" s="188">
        <f t="shared" si="33"/>
        <v>0</v>
      </c>
      <c r="Q93" s="132">
        <f t="shared" si="30"/>
        <v>0</v>
      </c>
      <c r="R93" s="133">
        <f t="shared" si="31"/>
        <v>0</v>
      </c>
      <c r="S93" s="121" t="str">
        <f t="shared" si="34"/>
        <v/>
      </c>
    </row>
    <row r="94" collapsed="1">
      <c r="A94" s="190" t="str">
        <f>IFERROR(VLOOKUP(B94,'Статьи'!$A$2:C116,3,0)," ")</f>
        <v> </v>
      </c>
      <c r="B94" s="125"/>
      <c r="C94" s="170"/>
      <c r="D94" s="149"/>
      <c r="E94" s="149"/>
      <c r="F94" s="149"/>
      <c r="G94" s="149"/>
      <c r="H94" s="149"/>
      <c r="I94" s="188">
        <f t="shared" si="32"/>
        <v>0</v>
      </c>
      <c r="J94" s="170"/>
      <c r="K94" s="149"/>
      <c r="L94" s="149"/>
      <c r="M94" s="149"/>
      <c r="N94" s="149"/>
      <c r="O94" s="149"/>
      <c r="P94" s="188">
        <f t="shared" si="33"/>
        <v>0</v>
      </c>
      <c r="Q94" s="132">
        <f t="shared" si="30"/>
        <v>0</v>
      </c>
      <c r="R94" s="133">
        <f t="shared" si="31"/>
        <v>0</v>
      </c>
      <c r="S94" s="121" t="str">
        <f t="shared" si="34"/>
        <v/>
      </c>
    </row>
    <row r="95" hidden="1" outlineLevel="1">
      <c r="A95" s="190"/>
      <c r="B95" s="125"/>
      <c r="C95" s="170"/>
      <c r="D95" s="149"/>
      <c r="E95" s="149"/>
      <c r="F95" s="149"/>
      <c r="G95" s="149"/>
      <c r="H95" s="149"/>
      <c r="I95" s="188">
        <f t="shared" si="32"/>
        <v>0</v>
      </c>
      <c r="J95" s="170"/>
      <c r="K95" s="149"/>
      <c r="L95" s="149"/>
      <c r="M95" s="149"/>
      <c r="N95" s="149"/>
      <c r="O95" s="149"/>
      <c r="P95" s="188">
        <f t="shared" ref="P95:P100" si="35">sum(F95:J95)</f>
        <v>0</v>
      </c>
      <c r="Q95" s="132">
        <f t="shared" si="30"/>
        <v>0</v>
      </c>
      <c r="R95" s="133">
        <f t="shared" si="31"/>
        <v>0</v>
      </c>
      <c r="S95" s="121" t="str">
        <f t="shared" ref="S95:S100" si="36">IF(Q95=0,"",IF(Q95=0,0,IF(R95&gt;1,"перерасход","экономия")))</f>
        <v/>
      </c>
    </row>
    <row r="96" hidden="1" outlineLevel="1">
      <c r="A96" s="190"/>
      <c r="B96" s="125"/>
      <c r="C96" s="170"/>
      <c r="D96" s="149"/>
      <c r="E96" s="149"/>
      <c r="F96" s="149"/>
      <c r="G96" s="149"/>
      <c r="H96" s="149"/>
      <c r="I96" s="188">
        <f t="shared" si="32"/>
        <v>0</v>
      </c>
      <c r="J96" s="170"/>
      <c r="K96" s="149"/>
      <c r="L96" s="149"/>
      <c r="M96" s="149"/>
      <c r="N96" s="149"/>
      <c r="O96" s="149"/>
      <c r="P96" s="188">
        <f t="shared" si="35"/>
        <v>0</v>
      </c>
      <c r="Q96" s="132">
        <f t="shared" si="30"/>
        <v>0</v>
      </c>
      <c r="R96" s="133">
        <f t="shared" si="31"/>
        <v>0</v>
      </c>
      <c r="S96" s="121" t="str">
        <f t="shared" si="36"/>
        <v/>
      </c>
    </row>
    <row r="97" hidden="1" outlineLevel="1">
      <c r="A97" s="190"/>
      <c r="B97" s="125"/>
      <c r="C97" s="170"/>
      <c r="D97" s="149"/>
      <c r="E97" s="149"/>
      <c r="F97" s="149"/>
      <c r="G97" s="149"/>
      <c r="H97" s="149"/>
      <c r="I97" s="188">
        <f t="shared" si="32"/>
        <v>0</v>
      </c>
      <c r="J97" s="170"/>
      <c r="K97" s="149"/>
      <c r="L97" s="149"/>
      <c r="M97" s="149"/>
      <c r="N97" s="149"/>
      <c r="O97" s="149"/>
      <c r="P97" s="188">
        <f t="shared" si="35"/>
        <v>0</v>
      </c>
      <c r="Q97" s="132">
        <f t="shared" si="30"/>
        <v>0</v>
      </c>
      <c r="R97" s="133">
        <f t="shared" si="31"/>
        <v>0</v>
      </c>
      <c r="S97" s="121" t="str">
        <f t="shared" si="36"/>
        <v/>
      </c>
    </row>
    <row r="98" hidden="1" outlineLevel="1">
      <c r="A98" s="190"/>
      <c r="B98" s="125"/>
      <c r="C98" s="170"/>
      <c r="D98" s="149"/>
      <c r="E98" s="149"/>
      <c r="F98" s="149"/>
      <c r="G98" s="149"/>
      <c r="H98" s="149"/>
      <c r="I98" s="188">
        <f t="shared" si="32"/>
        <v>0</v>
      </c>
      <c r="J98" s="170"/>
      <c r="K98" s="149"/>
      <c r="L98" s="149"/>
      <c r="M98" s="149"/>
      <c r="N98" s="149"/>
      <c r="O98" s="149"/>
      <c r="P98" s="188">
        <f t="shared" si="35"/>
        <v>0</v>
      </c>
      <c r="Q98" s="132">
        <f t="shared" si="30"/>
        <v>0</v>
      </c>
      <c r="R98" s="133">
        <f t="shared" si="31"/>
        <v>0</v>
      </c>
      <c r="S98" s="121" t="str">
        <f t="shared" si="36"/>
        <v/>
      </c>
    </row>
    <row r="99" hidden="1" outlineLevel="1">
      <c r="A99" s="190"/>
      <c r="B99" s="125"/>
      <c r="C99" s="170"/>
      <c r="D99" s="149"/>
      <c r="E99" s="149"/>
      <c r="F99" s="149"/>
      <c r="G99" s="149"/>
      <c r="H99" s="149"/>
      <c r="I99" s="188">
        <f t="shared" si="32"/>
        <v>0</v>
      </c>
      <c r="J99" s="170"/>
      <c r="K99" s="149"/>
      <c r="L99" s="149"/>
      <c r="M99" s="149"/>
      <c r="N99" s="149"/>
      <c r="O99" s="149"/>
      <c r="P99" s="188">
        <f t="shared" si="35"/>
        <v>0</v>
      </c>
      <c r="Q99" s="132">
        <f t="shared" si="30"/>
        <v>0</v>
      </c>
      <c r="R99" s="133">
        <f t="shared" si="31"/>
        <v>0</v>
      </c>
      <c r="S99" s="121" t="str">
        <f t="shared" si="36"/>
        <v/>
      </c>
    </row>
    <row r="100" hidden="1" outlineLevel="1">
      <c r="A100" s="190"/>
      <c r="B100" s="125"/>
      <c r="C100" s="170"/>
      <c r="D100" s="149"/>
      <c r="E100" s="149"/>
      <c r="F100" s="149"/>
      <c r="G100" s="149"/>
      <c r="H100" s="149"/>
      <c r="I100" s="188">
        <f t="shared" si="32"/>
        <v>0</v>
      </c>
      <c r="J100" s="170"/>
      <c r="K100" s="149"/>
      <c r="L100" s="149"/>
      <c r="M100" s="149"/>
      <c r="N100" s="149"/>
      <c r="O100" s="149"/>
      <c r="P100" s="188">
        <f t="shared" si="35"/>
        <v>0</v>
      </c>
      <c r="Q100" s="132">
        <f t="shared" si="30"/>
        <v>0</v>
      </c>
      <c r="R100" s="133">
        <f t="shared" si="31"/>
        <v>0</v>
      </c>
      <c r="S100" s="121" t="str">
        <f t="shared" si="36"/>
        <v/>
      </c>
    </row>
    <row r="101">
      <c r="A101" s="135"/>
      <c r="B101" s="136" t="s">
        <v>90</v>
      </c>
      <c r="C101" s="137">
        <f t="shared" ref="C101:K101" si="37">SUM(C102:C131)</f>
        <v>0</v>
      </c>
      <c r="D101" s="138">
        <f t="shared" si="37"/>
        <v>0</v>
      </c>
      <c r="E101" s="138">
        <f t="shared" si="37"/>
        <v>0</v>
      </c>
      <c r="F101" s="138">
        <f t="shared" si="37"/>
        <v>0</v>
      </c>
      <c r="G101" s="138">
        <f t="shared" si="37"/>
        <v>0</v>
      </c>
      <c r="H101" s="138">
        <f t="shared" si="37"/>
        <v>0</v>
      </c>
      <c r="I101" s="139">
        <f t="shared" si="37"/>
        <v>0</v>
      </c>
      <c r="J101" s="137">
        <f t="shared" si="37"/>
        <v>0</v>
      </c>
      <c r="K101" s="138">
        <f t="shared" si="37"/>
        <v>0</v>
      </c>
      <c r="L101" s="138"/>
      <c r="M101" s="138"/>
      <c r="N101" s="138"/>
      <c r="O101" s="138"/>
      <c r="P101" s="140">
        <f>SUM(P102:P131)</f>
        <v>0</v>
      </c>
      <c r="Q101" s="138">
        <f t="shared" si="30"/>
        <v>0</v>
      </c>
      <c r="R101" s="187">
        <f t="shared" si="31"/>
        <v>0</v>
      </c>
      <c r="S101" s="141" t="str">
        <f>IF(Q101=0,"",IF(R101&gt;1,"план не выполнен","выполнение"))</f>
        <v/>
      </c>
    </row>
    <row r="102">
      <c r="A102" s="142" t="str">
        <f>IFERROR(VLOOKUP(B102,'Статьи'!$A$2:C124,3,0)," ")</f>
        <v>1С</v>
      </c>
      <c r="B102" s="125" t="str">
        <f>IFERROR(__xludf.DUMMYFUNCTION("iferror(filter('Статьи'!$A$1:$A177,'Статьи'!$B$1:$B177=$B$101))"),"Аренда, коммунальные услуги")</f>
        <v>Аренда, коммунальные услуги</v>
      </c>
      <c r="C102" s="171"/>
      <c r="D102" s="172"/>
      <c r="E102" s="149"/>
      <c r="F102" s="149"/>
      <c r="G102" s="149"/>
      <c r="H102" s="149"/>
      <c r="I102" s="188">
        <f t="shared" ref="I102:I141" si="38">sum(C102:H102)</f>
        <v>0</v>
      </c>
      <c r="J102" s="170"/>
      <c r="K102" s="149"/>
      <c r="L102" s="149"/>
      <c r="M102" s="149"/>
      <c r="N102" s="149"/>
      <c r="O102" s="149"/>
      <c r="P102" s="188">
        <f t="shared" ref="P102:P131" si="39">SUM(J102:K102)</f>
        <v>0</v>
      </c>
      <c r="Q102" s="132">
        <f t="shared" si="30"/>
        <v>0</v>
      </c>
      <c r="R102" s="133">
        <f t="shared" si="31"/>
        <v>0</v>
      </c>
      <c r="S102" s="121" t="str">
        <f t="shared" ref="S102:S131" si="40">IF(Q102=0,"",IF(R102=0,"обратить внимание",IF(R102&gt;1,"перерасход","экономия")))</f>
        <v/>
      </c>
    </row>
    <row r="103">
      <c r="A103" s="191" t="str">
        <f>IFERROR(VLOOKUP(B103,'Статьи'!$A$2:C125,3,0)," ")</f>
        <v>1С</v>
      </c>
      <c r="B103" s="192" t="str">
        <f>IFERROR(__xludf.DUMMYFUNCTION("""COMPUTED_VALUE"""),"Аутсорсинг и прочие услуги")</f>
        <v>Аутсорсинг и прочие услуги</v>
      </c>
      <c r="C103" s="171"/>
      <c r="D103" s="172"/>
      <c r="E103" s="149"/>
      <c r="F103" s="149"/>
      <c r="G103" s="149"/>
      <c r="H103" s="149"/>
      <c r="I103" s="188">
        <f t="shared" si="38"/>
        <v>0</v>
      </c>
      <c r="J103" s="170"/>
      <c r="K103" s="149"/>
      <c r="L103" s="149"/>
      <c r="M103" s="149"/>
      <c r="N103" s="149"/>
      <c r="O103" s="149"/>
      <c r="P103" s="188">
        <f t="shared" si="39"/>
        <v>0</v>
      </c>
      <c r="Q103" s="132">
        <f t="shared" si="30"/>
        <v>0</v>
      </c>
      <c r="R103" s="133">
        <f t="shared" si="31"/>
        <v>0</v>
      </c>
      <c r="S103" s="121" t="str">
        <f t="shared" si="40"/>
        <v/>
      </c>
    </row>
    <row r="104">
      <c r="A104" s="193" t="str">
        <f>IFERROR(VLOOKUP(B104,'Статьи'!$A$2:C126,3,0)," ")</f>
        <v>1С</v>
      </c>
      <c r="B104" s="194" t="str">
        <f>IFERROR(__xludf.DUMMYFUNCTION("""COMPUTED_VALUE"""),"Командировочные расходы")</f>
        <v>Командировочные расходы</v>
      </c>
      <c r="C104" s="171"/>
      <c r="D104" s="172"/>
      <c r="E104" s="149"/>
      <c r="F104" s="149"/>
      <c r="G104" s="149"/>
      <c r="H104" s="149"/>
      <c r="I104" s="188">
        <f t="shared" si="38"/>
        <v>0</v>
      </c>
      <c r="J104" s="170"/>
      <c r="K104" s="149"/>
      <c r="L104" s="149"/>
      <c r="M104" s="149"/>
      <c r="N104" s="149"/>
      <c r="O104" s="149"/>
      <c r="P104" s="188">
        <f t="shared" si="39"/>
        <v>0</v>
      </c>
      <c r="Q104" s="132">
        <f t="shared" si="30"/>
        <v>0</v>
      </c>
      <c r="R104" s="133">
        <f t="shared" si="31"/>
        <v>0</v>
      </c>
      <c r="S104" s="121" t="str">
        <f t="shared" si="40"/>
        <v/>
      </c>
    </row>
    <row r="105">
      <c r="A105" s="195" t="str">
        <f>IFERROR(VLOOKUP(B105,'Статьи'!$A$2:C127,3,0)," ")</f>
        <v>ДДС отчетного месяца. Без НДС!</v>
      </c>
      <c r="B105" s="196" t="str">
        <f>IFERROR(__xludf.DUMMYFUNCTION("""COMPUTED_VALUE"""),"Комиссии банка")</f>
        <v>Комиссии банка</v>
      </c>
      <c r="C105" s="171"/>
      <c r="D105" s="172"/>
      <c r="E105" s="149"/>
      <c r="F105" s="149"/>
      <c r="G105" s="149"/>
      <c r="H105" s="149"/>
      <c r="I105" s="188">
        <f t="shared" si="38"/>
        <v>0</v>
      </c>
      <c r="J105" s="170"/>
      <c r="K105" s="149"/>
      <c r="L105" s="149"/>
      <c r="M105" s="149"/>
      <c r="N105" s="149"/>
      <c r="O105" s="149"/>
      <c r="P105" s="188">
        <f t="shared" si="39"/>
        <v>0</v>
      </c>
      <c r="Q105" s="132">
        <f t="shared" si="30"/>
        <v>0</v>
      </c>
      <c r="R105" s="133">
        <f t="shared" si="31"/>
        <v>0</v>
      </c>
      <c r="S105" s="121" t="str">
        <f t="shared" si="40"/>
        <v/>
      </c>
    </row>
    <row r="106">
      <c r="A106" s="191" t="str">
        <f>IFERROR(VLOOKUP(B106,'Статьи'!$A$2:C128,3,0)," ")</f>
        <v>ДДС отчетного месяца. Без НДС!</v>
      </c>
      <c r="B106" s="192" t="str">
        <f>IFERROR(__xludf.DUMMYFUNCTION("""COMPUTED_VALUE"""),"Обучение сотрудников")</f>
        <v>Обучение сотрудников</v>
      </c>
      <c r="C106" s="171"/>
      <c r="D106" s="172"/>
      <c r="E106" s="149"/>
      <c r="F106" s="149"/>
      <c r="G106" s="149"/>
      <c r="H106" s="149"/>
      <c r="I106" s="188">
        <f t="shared" si="38"/>
        <v>0</v>
      </c>
      <c r="J106" s="170"/>
      <c r="K106" s="149"/>
      <c r="L106" s="149"/>
      <c r="M106" s="149"/>
      <c r="N106" s="149"/>
      <c r="O106" s="149"/>
      <c r="P106" s="188">
        <f t="shared" si="39"/>
        <v>0</v>
      </c>
      <c r="Q106" s="132">
        <f t="shared" si="30"/>
        <v>0</v>
      </c>
      <c r="R106" s="133">
        <f t="shared" si="31"/>
        <v>0</v>
      </c>
      <c r="S106" s="121" t="str">
        <f t="shared" si="40"/>
        <v/>
      </c>
    </row>
    <row r="107">
      <c r="A107" s="142" t="str">
        <f>IFERROR(VLOOKUP(B107,'Статьи'!$A$2:C129,3,0)," ")</f>
        <v>ДДС отчетного месяца. Без НДС!</v>
      </c>
      <c r="B107" s="125" t="str">
        <f>IFERROR(__xludf.DUMMYFUNCTION("""COMPUTED_VALUE"""),"Подбор персонала")</f>
        <v>Подбор персонала</v>
      </c>
      <c r="C107" s="171"/>
      <c r="D107" s="172"/>
      <c r="E107" s="149"/>
      <c r="F107" s="149"/>
      <c r="G107" s="149"/>
      <c r="H107" s="149"/>
      <c r="I107" s="188">
        <f t="shared" si="38"/>
        <v>0</v>
      </c>
      <c r="J107" s="189"/>
      <c r="K107" s="149"/>
      <c r="L107" s="149"/>
      <c r="M107" s="149"/>
      <c r="N107" s="149"/>
      <c r="O107" s="149"/>
      <c r="P107" s="188">
        <f t="shared" si="39"/>
        <v>0</v>
      </c>
      <c r="Q107" s="132">
        <f t="shared" si="30"/>
        <v>0</v>
      </c>
      <c r="R107" s="133">
        <f t="shared" si="31"/>
        <v>0</v>
      </c>
      <c r="S107" s="121" t="str">
        <f t="shared" si="40"/>
        <v/>
      </c>
    </row>
    <row r="108">
      <c r="A108" s="142" t="str">
        <f>IFERROR(VLOOKUP(B108,'Статьи'!$A$2:C130,3,0)," ")</f>
        <v>ДДС отчетного месяца. Без НДС!</v>
      </c>
      <c r="B108" s="125" t="str">
        <f>IFERROR(__xludf.DUMMYFUNCTION("""COMPUTED_VALUE"""),"Почтовые расходы")</f>
        <v>Почтовые расходы</v>
      </c>
      <c r="C108" s="171"/>
      <c r="D108" s="172"/>
      <c r="E108" s="149"/>
      <c r="F108" s="149"/>
      <c r="G108" s="149"/>
      <c r="H108" s="149"/>
      <c r="I108" s="188">
        <f t="shared" si="38"/>
        <v>0</v>
      </c>
      <c r="J108" s="170"/>
      <c r="K108" s="149"/>
      <c r="L108" s="149"/>
      <c r="M108" s="149"/>
      <c r="N108" s="149"/>
      <c r="O108" s="149"/>
      <c r="P108" s="188">
        <f t="shared" si="39"/>
        <v>0</v>
      </c>
      <c r="Q108" s="132">
        <f t="shared" si="30"/>
        <v>0</v>
      </c>
      <c r="R108" s="133">
        <f t="shared" si="31"/>
        <v>0</v>
      </c>
      <c r="S108" s="121" t="str">
        <f t="shared" si="40"/>
        <v/>
      </c>
    </row>
    <row r="109">
      <c r="A109" s="142" t="str">
        <f>IFERROR(VLOOKUP(B109,'Статьи'!$A$2:C131,3,0)," ")</f>
        <v>ДДС отчетного месяца. Без НДС!</v>
      </c>
      <c r="B109" s="125" t="str">
        <f>IFERROR(__xludf.DUMMYFUNCTION("""COMPUTED_VALUE"""),"Представительские расходы")</f>
        <v>Представительские расходы</v>
      </c>
      <c r="C109" s="171"/>
      <c r="D109" s="172"/>
      <c r="E109" s="149"/>
      <c r="F109" s="149"/>
      <c r="G109" s="149"/>
      <c r="H109" s="149"/>
      <c r="I109" s="188">
        <f t="shared" si="38"/>
        <v>0</v>
      </c>
      <c r="J109" s="170"/>
      <c r="K109" s="149"/>
      <c r="L109" s="149"/>
      <c r="M109" s="149"/>
      <c r="N109" s="149"/>
      <c r="O109" s="149"/>
      <c r="P109" s="188">
        <f t="shared" si="39"/>
        <v>0</v>
      </c>
      <c r="Q109" s="132">
        <f t="shared" si="30"/>
        <v>0</v>
      </c>
      <c r="R109" s="133">
        <f t="shared" si="31"/>
        <v>0</v>
      </c>
      <c r="S109" s="121" t="str">
        <f t="shared" si="40"/>
        <v/>
      </c>
    </row>
    <row r="110">
      <c r="A110" s="142" t="str">
        <f>IFERROR(VLOOKUP(B110,'Статьи'!$A$2:C132,3,0)," ")</f>
        <v>ДДС отчетного месяца. Без НДС!</v>
      </c>
      <c r="B110" s="125" t="str">
        <f>IFERROR(__xludf.DUMMYFUNCTION("""COMPUTED_VALUE"""),"Содержание офиса")</f>
        <v>Содержание офиса</v>
      </c>
      <c r="C110" s="171"/>
      <c r="D110" s="172"/>
      <c r="E110" s="149"/>
      <c r="F110" s="149"/>
      <c r="G110" s="149"/>
      <c r="H110" s="149"/>
      <c r="I110" s="188">
        <f t="shared" si="38"/>
        <v>0</v>
      </c>
      <c r="J110" s="189"/>
      <c r="K110" s="149"/>
      <c r="L110" s="149"/>
      <c r="M110" s="149"/>
      <c r="N110" s="149"/>
      <c r="O110" s="149"/>
      <c r="P110" s="188">
        <f t="shared" si="39"/>
        <v>0</v>
      </c>
      <c r="Q110" s="132">
        <f t="shared" si="30"/>
        <v>0</v>
      </c>
      <c r="R110" s="133">
        <f t="shared" si="31"/>
        <v>0</v>
      </c>
      <c r="S110" s="121" t="str">
        <f t="shared" si="40"/>
        <v/>
      </c>
    </row>
    <row r="111">
      <c r="A111" s="142" t="str">
        <f>IFERROR(VLOOKUP(B111,'Статьи'!$A$2:C133,3,0)," ")</f>
        <v>ДДС отчетного месяца. Без НДС!</v>
      </c>
      <c r="B111" s="125" t="str">
        <f>IFERROR(__xludf.DUMMYFUNCTION("""COMPUTED_VALUE"""),"Услуги связи + Интернет")</f>
        <v>Услуги связи + Интернет</v>
      </c>
      <c r="C111" s="171"/>
      <c r="D111" s="172"/>
      <c r="E111" s="149"/>
      <c r="F111" s="149"/>
      <c r="G111" s="149"/>
      <c r="H111" s="149"/>
      <c r="I111" s="188">
        <f t="shared" si="38"/>
        <v>0</v>
      </c>
      <c r="J111" s="189"/>
      <c r="K111" s="149"/>
      <c r="L111" s="149"/>
      <c r="M111" s="149"/>
      <c r="N111" s="149"/>
      <c r="O111" s="149"/>
      <c r="P111" s="188">
        <f t="shared" si="39"/>
        <v>0</v>
      </c>
      <c r="Q111" s="132">
        <f t="shared" si="30"/>
        <v>0</v>
      </c>
      <c r="R111" s="133">
        <f t="shared" si="31"/>
        <v>0</v>
      </c>
      <c r="S111" s="121" t="str">
        <f t="shared" si="40"/>
        <v/>
      </c>
    </row>
    <row r="112">
      <c r="A112" s="142" t="str">
        <f>IFERROR(VLOOKUP(B112,'Статьи'!$A$2:C134,3,0)," ")</f>
        <v>ДДС отчетного месяца. Без НДС!</v>
      </c>
      <c r="B112" s="125" t="str">
        <f>IFERROR(__xludf.DUMMYFUNCTION("""COMPUTED_VALUE"""),"Штрафы")</f>
        <v>Штрафы</v>
      </c>
      <c r="C112" s="171"/>
      <c r="D112" s="172"/>
      <c r="E112" s="149"/>
      <c r="F112" s="149"/>
      <c r="G112" s="149"/>
      <c r="H112" s="149"/>
      <c r="I112" s="188">
        <f t="shared" si="38"/>
        <v>0</v>
      </c>
      <c r="J112" s="189"/>
      <c r="K112" s="149"/>
      <c r="L112" s="149"/>
      <c r="M112" s="149"/>
      <c r="N112" s="149"/>
      <c r="O112" s="149"/>
      <c r="P112" s="188">
        <f t="shared" si="39"/>
        <v>0</v>
      </c>
      <c r="Q112" s="132">
        <f t="shared" si="30"/>
        <v>0</v>
      </c>
      <c r="R112" s="133">
        <f t="shared" si="31"/>
        <v>0</v>
      </c>
      <c r="S112" s="121" t="str">
        <f t="shared" si="40"/>
        <v/>
      </c>
    </row>
    <row r="113" collapsed="1">
      <c r="A113" s="142" t="str">
        <f>IFERROR(VLOOKUP(B113,'Статьи'!$A$2:C135,3,0)," ")</f>
        <v> </v>
      </c>
      <c r="B113" s="125"/>
      <c r="C113" s="197"/>
      <c r="D113" s="149"/>
      <c r="E113" s="149"/>
      <c r="F113" s="149"/>
      <c r="G113" s="149"/>
      <c r="H113" s="149"/>
      <c r="I113" s="188">
        <f t="shared" si="38"/>
        <v>0</v>
      </c>
      <c r="J113" s="189"/>
      <c r="K113" s="149"/>
      <c r="L113" s="149"/>
      <c r="M113" s="149"/>
      <c r="N113" s="149"/>
      <c r="O113" s="149"/>
      <c r="P113" s="188">
        <f t="shared" si="39"/>
        <v>0</v>
      </c>
      <c r="Q113" s="132">
        <f t="shared" si="30"/>
        <v>0</v>
      </c>
      <c r="R113" s="133">
        <f t="shared" si="31"/>
        <v>0</v>
      </c>
      <c r="S113" s="121" t="str">
        <f t="shared" si="40"/>
        <v/>
      </c>
    </row>
    <row r="114" hidden="1" outlineLevel="1">
      <c r="A114" s="142" t="str">
        <f>IFERROR(VLOOKUP(B114,'Статьи'!$A$2:C136,3,0)," ")</f>
        <v> </v>
      </c>
      <c r="B114" s="125"/>
      <c r="C114" s="197"/>
      <c r="D114" s="149"/>
      <c r="E114" s="149"/>
      <c r="F114" s="149"/>
      <c r="G114" s="149"/>
      <c r="H114" s="149"/>
      <c r="I114" s="188">
        <f t="shared" si="38"/>
        <v>0</v>
      </c>
      <c r="J114" s="170"/>
      <c r="K114" s="149"/>
      <c r="L114" s="149"/>
      <c r="M114" s="149"/>
      <c r="N114" s="149"/>
      <c r="O114" s="149"/>
      <c r="P114" s="188">
        <f t="shared" si="39"/>
        <v>0</v>
      </c>
      <c r="Q114" s="132">
        <f t="shared" si="30"/>
        <v>0</v>
      </c>
      <c r="R114" s="133">
        <f t="shared" si="31"/>
        <v>0</v>
      </c>
      <c r="S114" s="121" t="str">
        <f t="shared" si="40"/>
        <v/>
      </c>
    </row>
    <row r="115" hidden="1" outlineLevel="1">
      <c r="A115" s="142" t="str">
        <f>IFERROR(VLOOKUP(B115,'Статьи'!$A$2:C137,3,0)," ")</f>
        <v> </v>
      </c>
      <c r="B115" s="125"/>
      <c r="C115" s="197"/>
      <c r="D115" s="149"/>
      <c r="E115" s="198"/>
      <c r="F115" s="198"/>
      <c r="G115" s="198"/>
      <c r="H115" s="198"/>
      <c r="I115" s="188">
        <f t="shared" si="38"/>
        <v>0</v>
      </c>
      <c r="J115" s="189"/>
      <c r="K115" s="149"/>
      <c r="L115" s="149"/>
      <c r="M115" s="149"/>
      <c r="N115" s="149"/>
      <c r="O115" s="149"/>
      <c r="P115" s="188">
        <f t="shared" si="39"/>
        <v>0</v>
      </c>
      <c r="Q115" s="132">
        <f t="shared" si="30"/>
        <v>0</v>
      </c>
      <c r="R115" s="133">
        <f t="shared" si="31"/>
        <v>0</v>
      </c>
      <c r="S115" s="121" t="str">
        <f t="shared" si="40"/>
        <v/>
      </c>
    </row>
    <row r="116" hidden="1" outlineLevel="1">
      <c r="A116" s="142" t="str">
        <f>IFERROR(VLOOKUP(B116,'Статьи'!$A$2:C138,3,0)," ")</f>
        <v> </v>
      </c>
      <c r="B116" s="125"/>
      <c r="C116" s="197"/>
      <c r="D116" s="149"/>
      <c r="E116" s="149"/>
      <c r="F116" s="149"/>
      <c r="G116" s="149"/>
      <c r="H116" s="149"/>
      <c r="I116" s="188">
        <f t="shared" si="38"/>
        <v>0</v>
      </c>
      <c r="J116" s="189"/>
      <c r="K116" s="149"/>
      <c r="L116" s="149"/>
      <c r="M116" s="149"/>
      <c r="N116" s="149"/>
      <c r="O116" s="149"/>
      <c r="P116" s="188">
        <f t="shared" si="39"/>
        <v>0</v>
      </c>
      <c r="Q116" s="132">
        <f t="shared" si="30"/>
        <v>0</v>
      </c>
      <c r="R116" s="133">
        <f t="shared" si="31"/>
        <v>0</v>
      </c>
      <c r="S116" s="121" t="str">
        <f t="shared" si="40"/>
        <v/>
      </c>
    </row>
    <row r="117" hidden="1" outlineLevel="1">
      <c r="A117" s="142" t="str">
        <f>IFERROR(VLOOKUP(B117,'Статьи'!$A$2:C139,3,0)," ")</f>
        <v> </v>
      </c>
      <c r="B117" s="125"/>
      <c r="C117" s="197"/>
      <c r="D117" s="149"/>
      <c r="E117" s="149"/>
      <c r="F117" s="149"/>
      <c r="G117" s="149"/>
      <c r="H117" s="149"/>
      <c r="I117" s="188">
        <f t="shared" si="38"/>
        <v>0</v>
      </c>
      <c r="J117" s="189"/>
      <c r="K117" s="149"/>
      <c r="L117" s="149"/>
      <c r="M117" s="149"/>
      <c r="N117" s="149"/>
      <c r="O117" s="149"/>
      <c r="P117" s="188">
        <f t="shared" si="39"/>
        <v>0</v>
      </c>
      <c r="Q117" s="132">
        <f t="shared" si="30"/>
        <v>0</v>
      </c>
      <c r="R117" s="133">
        <f t="shared" si="31"/>
        <v>0</v>
      </c>
      <c r="S117" s="121" t="str">
        <f t="shared" si="40"/>
        <v/>
      </c>
    </row>
    <row r="118" hidden="1" outlineLevel="1">
      <c r="A118" s="142" t="str">
        <f>IFERROR(VLOOKUP(B118,'Статьи'!$A$2:C140,3,0)," ")</f>
        <v> </v>
      </c>
      <c r="B118" s="125"/>
      <c r="C118" s="197"/>
      <c r="D118" s="149"/>
      <c r="E118" s="149"/>
      <c r="F118" s="149"/>
      <c r="G118" s="149"/>
      <c r="H118" s="149"/>
      <c r="I118" s="188">
        <f t="shared" si="38"/>
        <v>0</v>
      </c>
      <c r="J118" s="170"/>
      <c r="K118" s="149"/>
      <c r="L118" s="149"/>
      <c r="M118" s="149"/>
      <c r="N118" s="149"/>
      <c r="O118" s="149"/>
      <c r="P118" s="188">
        <f t="shared" si="39"/>
        <v>0</v>
      </c>
      <c r="Q118" s="132">
        <f t="shared" si="30"/>
        <v>0</v>
      </c>
      <c r="R118" s="133">
        <f t="shared" si="31"/>
        <v>0</v>
      </c>
      <c r="S118" s="121" t="str">
        <f t="shared" si="40"/>
        <v/>
      </c>
    </row>
    <row r="119" hidden="1" outlineLevel="1">
      <c r="A119" s="142" t="str">
        <f>IFERROR(VLOOKUP(B119,'Статьи'!$A$2:C141,3,0)," ")</f>
        <v> </v>
      </c>
      <c r="B119" s="125"/>
      <c r="C119" s="197"/>
      <c r="D119" s="149"/>
      <c r="E119" s="149"/>
      <c r="F119" s="149"/>
      <c r="G119" s="149"/>
      <c r="H119" s="149"/>
      <c r="I119" s="188">
        <f t="shared" si="38"/>
        <v>0</v>
      </c>
      <c r="J119" s="189"/>
      <c r="K119" s="149"/>
      <c r="L119" s="149"/>
      <c r="M119" s="149"/>
      <c r="N119" s="149"/>
      <c r="O119" s="149"/>
      <c r="P119" s="188">
        <f t="shared" si="39"/>
        <v>0</v>
      </c>
      <c r="Q119" s="132">
        <f t="shared" si="30"/>
        <v>0</v>
      </c>
      <c r="R119" s="133">
        <f t="shared" si="31"/>
        <v>0</v>
      </c>
      <c r="S119" s="121" t="str">
        <f t="shared" si="40"/>
        <v/>
      </c>
    </row>
    <row r="120" hidden="1" outlineLevel="1">
      <c r="A120" s="142" t="str">
        <f>IFERROR(VLOOKUP(B120,'Статьи'!$A$2:C142,3,0)," ")</f>
        <v> </v>
      </c>
      <c r="B120" s="125"/>
      <c r="C120" s="197"/>
      <c r="D120" s="149"/>
      <c r="E120" s="149"/>
      <c r="F120" s="149"/>
      <c r="G120" s="149"/>
      <c r="H120" s="149"/>
      <c r="I120" s="188">
        <f t="shared" si="38"/>
        <v>0</v>
      </c>
      <c r="J120" s="189"/>
      <c r="K120" s="149"/>
      <c r="L120" s="149"/>
      <c r="M120" s="149"/>
      <c r="N120" s="149"/>
      <c r="O120" s="149"/>
      <c r="P120" s="188">
        <f t="shared" si="39"/>
        <v>0</v>
      </c>
      <c r="Q120" s="132">
        <f t="shared" si="30"/>
        <v>0</v>
      </c>
      <c r="R120" s="133">
        <f t="shared" si="31"/>
        <v>0</v>
      </c>
      <c r="S120" s="121" t="str">
        <f t="shared" si="40"/>
        <v/>
      </c>
    </row>
    <row r="121" hidden="1" outlineLevel="1">
      <c r="A121" s="142" t="str">
        <f>IFERROR(VLOOKUP(B121,'Статьи'!$A$2:C143,3,0)," ")</f>
        <v> </v>
      </c>
      <c r="B121" s="125"/>
      <c r="C121" s="197"/>
      <c r="D121" s="149"/>
      <c r="E121" s="149"/>
      <c r="F121" s="149"/>
      <c r="G121" s="149"/>
      <c r="H121" s="149"/>
      <c r="I121" s="188">
        <f t="shared" si="38"/>
        <v>0</v>
      </c>
      <c r="J121" s="170"/>
      <c r="K121" s="149"/>
      <c r="L121" s="149"/>
      <c r="M121" s="149"/>
      <c r="N121" s="149"/>
      <c r="O121" s="149"/>
      <c r="P121" s="188">
        <f t="shared" si="39"/>
        <v>0</v>
      </c>
      <c r="Q121" s="132">
        <f t="shared" si="30"/>
        <v>0</v>
      </c>
      <c r="R121" s="133">
        <f t="shared" si="31"/>
        <v>0</v>
      </c>
      <c r="S121" s="121" t="str">
        <f t="shared" si="40"/>
        <v/>
      </c>
    </row>
    <row r="122" hidden="1" outlineLevel="1">
      <c r="A122" s="142" t="str">
        <f>IFERROR(VLOOKUP(B122,'Статьи'!$A$2:C144,3,0)," ")</f>
        <v> </v>
      </c>
      <c r="B122" s="125"/>
      <c r="C122" s="197"/>
      <c r="D122" s="149"/>
      <c r="E122" s="149"/>
      <c r="F122" s="149"/>
      <c r="G122" s="149"/>
      <c r="H122" s="149"/>
      <c r="I122" s="188">
        <f t="shared" si="38"/>
        <v>0</v>
      </c>
      <c r="J122" s="189"/>
      <c r="K122" s="149"/>
      <c r="L122" s="149"/>
      <c r="M122" s="149"/>
      <c r="N122" s="149"/>
      <c r="O122" s="149"/>
      <c r="P122" s="188">
        <f t="shared" si="39"/>
        <v>0</v>
      </c>
      <c r="Q122" s="132">
        <f t="shared" si="30"/>
        <v>0</v>
      </c>
      <c r="R122" s="133">
        <f t="shared" si="31"/>
        <v>0</v>
      </c>
      <c r="S122" s="121" t="str">
        <f t="shared" si="40"/>
        <v/>
      </c>
    </row>
    <row r="123" hidden="1" outlineLevel="1">
      <c r="A123" s="142" t="str">
        <f>IFERROR(VLOOKUP(B123,'Статьи'!$A$2:C145,3,0)," ")</f>
        <v> </v>
      </c>
      <c r="B123" s="125"/>
      <c r="C123" s="197"/>
      <c r="D123" s="149"/>
      <c r="E123" s="149"/>
      <c r="F123" s="149"/>
      <c r="G123" s="149"/>
      <c r="H123" s="149"/>
      <c r="I123" s="188">
        <f t="shared" si="38"/>
        <v>0</v>
      </c>
      <c r="J123" s="170"/>
      <c r="K123" s="149"/>
      <c r="L123" s="149"/>
      <c r="M123" s="149"/>
      <c r="N123" s="149"/>
      <c r="O123" s="149"/>
      <c r="P123" s="188">
        <f t="shared" si="39"/>
        <v>0</v>
      </c>
      <c r="Q123" s="132">
        <f t="shared" si="30"/>
        <v>0</v>
      </c>
      <c r="R123" s="133">
        <f t="shared" si="31"/>
        <v>0</v>
      </c>
      <c r="S123" s="121" t="str">
        <f t="shared" si="40"/>
        <v/>
      </c>
    </row>
    <row r="124" hidden="1" outlineLevel="1">
      <c r="A124" s="142" t="str">
        <f>IFERROR(VLOOKUP(B124,'Статьи'!$A$2:C146,3,0)," ")</f>
        <v> </v>
      </c>
      <c r="B124" s="125"/>
      <c r="C124" s="170"/>
      <c r="D124" s="149"/>
      <c r="E124" s="149"/>
      <c r="F124" s="149"/>
      <c r="G124" s="149"/>
      <c r="H124" s="149"/>
      <c r="I124" s="188">
        <f t="shared" si="38"/>
        <v>0</v>
      </c>
      <c r="J124" s="170"/>
      <c r="K124" s="149"/>
      <c r="L124" s="149"/>
      <c r="M124" s="149"/>
      <c r="N124" s="149"/>
      <c r="O124" s="149"/>
      <c r="P124" s="188">
        <f t="shared" si="39"/>
        <v>0</v>
      </c>
      <c r="Q124" s="132">
        <f t="shared" si="30"/>
        <v>0</v>
      </c>
      <c r="R124" s="133">
        <f t="shared" si="31"/>
        <v>0</v>
      </c>
      <c r="S124" s="121" t="str">
        <f t="shared" si="40"/>
        <v/>
      </c>
    </row>
    <row r="125" hidden="1" outlineLevel="1">
      <c r="A125" s="142" t="str">
        <f>IFERROR(VLOOKUP(B125,'Статьи'!$A$2:C147,3,0)," ")</f>
        <v> </v>
      </c>
      <c r="B125" s="125"/>
      <c r="C125" s="170"/>
      <c r="D125" s="149"/>
      <c r="E125" s="149"/>
      <c r="F125" s="149"/>
      <c r="G125" s="149"/>
      <c r="H125" s="149"/>
      <c r="I125" s="188">
        <f t="shared" si="38"/>
        <v>0</v>
      </c>
      <c r="J125" s="170"/>
      <c r="K125" s="149"/>
      <c r="L125" s="149"/>
      <c r="M125" s="149"/>
      <c r="N125" s="149"/>
      <c r="O125" s="149"/>
      <c r="P125" s="188">
        <f t="shared" si="39"/>
        <v>0</v>
      </c>
      <c r="Q125" s="132">
        <f t="shared" si="30"/>
        <v>0</v>
      </c>
      <c r="R125" s="133">
        <f t="shared" si="31"/>
        <v>0</v>
      </c>
      <c r="S125" s="121" t="str">
        <f t="shared" si="40"/>
        <v/>
      </c>
    </row>
    <row r="126" hidden="1" outlineLevel="1">
      <c r="A126" s="142" t="str">
        <f>IFERROR(VLOOKUP(B126,'Статьи'!$A$2:C148,3,0)," ")</f>
        <v> </v>
      </c>
      <c r="B126" s="125"/>
      <c r="C126" s="170"/>
      <c r="D126" s="149"/>
      <c r="E126" s="149"/>
      <c r="F126" s="149"/>
      <c r="G126" s="149"/>
      <c r="H126" s="149"/>
      <c r="I126" s="188">
        <f t="shared" si="38"/>
        <v>0</v>
      </c>
      <c r="J126" s="170"/>
      <c r="K126" s="149"/>
      <c r="L126" s="149"/>
      <c r="M126" s="149"/>
      <c r="N126" s="149"/>
      <c r="O126" s="149"/>
      <c r="P126" s="188">
        <f t="shared" si="39"/>
        <v>0</v>
      </c>
      <c r="Q126" s="132">
        <f t="shared" si="30"/>
        <v>0</v>
      </c>
      <c r="R126" s="133">
        <f t="shared" si="31"/>
        <v>0</v>
      </c>
      <c r="S126" s="121" t="str">
        <f t="shared" si="40"/>
        <v/>
      </c>
    </row>
    <row r="127" hidden="1" outlineLevel="1">
      <c r="A127" s="142" t="str">
        <f>IFERROR(VLOOKUP(B127,'Статьи'!$A$2:C149,3,0)," ")</f>
        <v> </v>
      </c>
      <c r="B127" s="125"/>
      <c r="C127" s="170"/>
      <c r="D127" s="149"/>
      <c r="E127" s="149"/>
      <c r="F127" s="149"/>
      <c r="G127" s="149"/>
      <c r="H127" s="149"/>
      <c r="I127" s="188">
        <f t="shared" si="38"/>
        <v>0</v>
      </c>
      <c r="J127" s="170"/>
      <c r="K127" s="149"/>
      <c r="L127" s="149"/>
      <c r="M127" s="149"/>
      <c r="N127" s="149"/>
      <c r="O127" s="149"/>
      <c r="P127" s="188">
        <f t="shared" si="39"/>
        <v>0</v>
      </c>
      <c r="Q127" s="132">
        <f t="shared" si="30"/>
        <v>0</v>
      </c>
      <c r="R127" s="133">
        <f t="shared" si="31"/>
        <v>0</v>
      </c>
      <c r="S127" s="121" t="str">
        <f t="shared" si="40"/>
        <v/>
      </c>
    </row>
    <row r="128" hidden="1" outlineLevel="1">
      <c r="A128" s="142" t="str">
        <f>IFERROR(VLOOKUP(B128,'Статьи'!$A$2:C150,3,0)," ")</f>
        <v> </v>
      </c>
      <c r="B128" s="125"/>
      <c r="C128" s="170"/>
      <c r="D128" s="149"/>
      <c r="E128" s="149"/>
      <c r="F128" s="149"/>
      <c r="G128" s="149"/>
      <c r="H128" s="149"/>
      <c r="I128" s="188">
        <f t="shared" si="38"/>
        <v>0</v>
      </c>
      <c r="J128" s="170"/>
      <c r="K128" s="149"/>
      <c r="L128" s="149"/>
      <c r="M128" s="149"/>
      <c r="N128" s="149"/>
      <c r="O128" s="149"/>
      <c r="P128" s="188">
        <f t="shared" si="39"/>
        <v>0</v>
      </c>
      <c r="Q128" s="132">
        <f t="shared" si="30"/>
        <v>0</v>
      </c>
      <c r="R128" s="133">
        <f t="shared" si="31"/>
        <v>0</v>
      </c>
      <c r="S128" s="121" t="str">
        <f t="shared" si="40"/>
        <v/>
      </c>
    </row>
    <row r="129" hidden="1" outlineLevel="1">
      <c r="A129" s="142" t="str">
        <f>IFERROR(VLOOKUP(B129,'Статьи'!$A$2:C151,3,0)," ")</f>
        <v> </v>
      </c>
      <c r="B129" s="125"/>
      <c r="C129" s="170"/>
      <c r="D129" s="149"/>
      <c r="E129" s="149"/>
      <c r="F129" s="149"/>
      <c r="G129" s="149"/>
      <c r="H129" s="149"/>
      <c r="I129" s="188">
        <f t="shared" si="38"/>
        <v>0</v>
      </c>
      <c r="J129" s="170"/>
      <c r="K129" s="149"/>
      <c r="L129" s="149"/>
      <c r="M129" s="149"/>
      <c r="N129" s="149"/>
      <c r="O129" s="149"/>
      <c r="P129" s="188">
        <f t="shared" si="39"/>
        <v>0</v>
      </c>
      <c r="Q129" s="132">
        <f t="shared" si="30"/>
        <v>0</v>
      </c>
      <c r="R129" s="133">
        <f t="shared" si="31"/>
        <v>0</v>
      </c>
      <c r="S129" s="121" t="str">
        <f t="shared" si="40"/>
        <v/>
      </c>
    </row>
    <row r="130" hidden="1" outlineLevel="1">
      <c r="A130" s="142" t="str">
        <f>IFERROR(VLOOKUP(B130,'Статьи'!$A$2:C152,3,0)," ")</f>
        <v> </v>
      </c>
      <c r="B130" s="125"/>
      <c r="C130" s="170"/>
      <c r="D130" s="149"/>
      <c r="E130" s="149"/>
      <c r="F130" s="149"/>
      <c r="G130" s="149"/>
      <c r="H130" s="149"/>
      <c r="I130" s="188">
        <f t="shared" si="38"/>
        <v>0</v>
      </c>
      <c r="J130" s="170"/>
      <c r="K130" s="149"/>
      <c r="L130" s="149"/>
      <c r="M130" s="149"/>
      <c r="N130" s="149"/>
      <c r="O130" s="149"/>
      <c r="P130" s="188">
        <f t="shared" si="39"/>
        <v>0</v>
      </c>
      <c r="Q130" s="132">
        <f t="shared" si="30"/>
        <v>0</v>
      </c>
      <c r="R130" s="133">
        <f t="shared" si="31"/>
        <v>0</v>
      </c>
      <c r="S130" s="121" t="str">
        <f t="shared" si="40"/>
        <v/>
      </c>
    </row>
    <row r="131">
      <c r="A131" s="142" t="str">
        <f>IFERROR(VLOOKUP(B131,'Статьи'!$A$2:C153,3,0)," ")</f>
        <v> </v>
      </c>
      <c r="B131" s="125"/>
      <c r="C131" s="170"/>
      <c r="D131" s="149"/>
      <c r="E131" s="149"/>
      <c r="F131" s="149"/>
      <c r="G131" s="149"/>
      <c r="H131" s="149"/>
      <c r="I131" s="188">
        <f t="shared" si="38"/>
        <v>0</v>
      </c>
      <c r="J131" s="170"/>
      <c r="K131" s="149"/>
      <c r="L131" s="149"/>
      <c r="M131" s="149"/>
      <c r="N131" s="149"/>
      <c r="O131" s="149"/>
      <c r="P131" s="188">
        <f t="shared" si="39"/>
        <v>0</v>
      </c>
      <c r="Q131" s="132">
        <f t="shared" si="30"/>
        <v>0</v>
      </c>
      <c r="R131" s="133">
        <f t="shared" si="31"/>
        <v>0</v>
      </c>
      <c r="S131" s="121" t="str">
        <f t="shared" si="40"/>
        <v/>
      </c>
    </row>
    <row r="132">
      <c r="A132" s="135"/>
      <c r="B132" s="136" t="s">
        <v>107</v>
      </c>
      <c r="C132" s="137">
        <f t="shared" ref="C132:H132" si="41">SUM(C133:C141)</f>
        <v>0</v>
      </c>
      <c r="D132" s="138">
        <f t="shared" si="41"/>
        <v>0</v>
      </c>
      <c r="E132" s="138">
        <f t="shared" si="41"/>
        <v>0</v>
      </c>
      <c r="F132" s="138">
        <f t="shared" si="41"/>
        <v>0</v>
      </c>
      <c r="G132" s="138">
        <f t="shared" si="41"/>
        <v>0</v>
      </c>
      <c r="H132" s="138">
        <f t="shared" si="41"/>
        <v>0</v>
      </c>
      <c r="I132" s="139">
        <f t="shared" si="38"/>
        <v>0</v>
      </c>
      <c r="J132" s="137">
        <f t="shared" ref="J132:P132" si="42">SUM(J133:J141)</f>
        <v>0</v>
      </c>
      <c r="K132" s="138">
        <f t="shared" si="42"/>
        <v>0</v>
      </c>
      <c r="L132" s="138">
        <f t="shared" si="42"/>
        <v>0</v>
      </c>
      <c r="M132" s="138">
        <f t="shared" si="42"/>
        <v>0</v>
      </c>
      <c r="N132" s="138">
        <f t="shared" si="42"/>
        <v>0</v>
      </c>
      <c r="O132" s="138">
        <f t="shared" si="42"/>
        <v>0</v>
      </c>
      <c r="P132" s="140">
        <f t="shared" si="42"/>
        <v>0</v>
      </c>
      <c r="Q132" s="138">
        <f t="shared" si="30"/>
        <v>0</v>
      </c>
      <c r="R132" s="187">
        <f t="shared" si="31"/>
        <v>0</v>
      </c>
      <c r="S132" s="229" t="str">
        <f>IF(Q132=0,"",IF(R132&gt;1,"план не выполнен","выполнение"))</f>
        <v/>
      </c>
    </row>
    <row r="133" collapsed="1">
      <c r="A133" s="142" t="str">
        <f>IFERROR(VLOOKUP(B133,'Статьи'!$A$2:C155,3,0)," ")</f>
        <v>ДДС отчетного месяца. Без НДС!</v>
      </c>
      <c r="B133" s="125" t="str">
        <f>IFERROR(__xludf.DUMMYFUNCTION("iferror(filter('Статьи'!$A$1:$A177,'Статьи'!$B$1:$B177=$B$132))"),"Подписка на сайты по поиску клиентов")</f>
        <v>Подписка на сайты по поиску клиентов</v>
      </c>
      <c r="C133" s="170"/>
      <c r="D133" s="149"/>
      <c r="E133" s="149"/>
      <c r="F133" s="149"/>
      <c r="G133" s="149"/>
      <c r="H133" s="149"/>
      <c r="I133" s="188">
        <f t="shared" si="38"/>
        <v>0</v>
      </c>
      <c r="J133" s="170"/>
      <c r="K133" s="149"/>
      <c r="L133" s="149"/>
      <c r="M133" s="149"/>
      <c r="N133" s="149"/>
      <c r="O133" s="149"/>
      <c r="P133" s="188">
        <f t="shared" ref="P133:P140" si="43">SUM(J133:K133)</f>
        <v>0</v>
      </c>
      <c r="Q133" s="132">
        <f t="shared" si="30"/>
        <v>0</v>
      </c>
      <c r="R133" s="133">
        <f t="shared" si="31"/>
        <v>0</v>
      </c>
      <c r="S133" s="121" t="str">
        <f t="shared" ref="S133:S141" si="44">IF(Q133=0,"",IF(R133=0,"обратить внимание",IF(R133&gt;1,"перерасход","экономия")))</f>
        <v/>
      </c>
    </row>
    <row r="134" hidden="1" outlineLevel="1">
      <c r="A134" s="142" t="str">
        <f>IFERROR(VLOOKUP(B134,'Статьи'!$A$2:C156,3,0)," ")</f>
        <v> </v>
      </c>
      <c r="B134" s="125"/>
      <c r="C134" s="170"/>
      <c r="D134" s="149"/>
      <c r="E134" s="149"/>
      <c r="F134" s="149"/>
      <c r="G134" s="149"/>
      <c r="H134" s="149"/>
      <c r="I134" s="188">
        <f t="shared" si="38"/>
        <v>0</v>
      </c>
      <c r="J134" s="170"/>
      <c r="K134" s="149"/>
      <c r="L134" s="149"/>
      <c r="M134" s="149"/>
      <c r="N134" s="149"/>
      <c r="O134" s="149"/>
      <c r="P134" s="188">
        <f t="shared" si="43"/>
        <v>0</v>
      </c>
      <c r="Q134" s="132">
        <f t="shared" si="30"/>
        <v>0</v>
      </c>
      <c r="R134" s="133">
        <f t="shared" si="31"/>
        <v>0</v>
      </c>
      <c r="S134" s="121" t="str">
        <f t="shared" si="44"/>
        <v/>
      </c>
    </row>
    <row r="135" hidden="1" outlineLevel="1">
      <c r="A135" s="175" t="str">
        <f>IFERROR(VLOOKUP(B135,'Статьи'!$A$2:C157,3,0)," ")</f>
        <v> </v>
      </c>
      <c r="B135" s="175"/>
      <c r="C135" s="170"/>
      <c r="D135" s="149"/>
      <c r="E135" s="149"/>
      <c r="F135" s="149"/>
      <c r="G135" s="149"/>
      <c r="H135" s="149"/>
      <c r="I135" s="188">
        <f t="shared" si="38"/>
        <v>0</v>
      </c>
      <c r="J135" s="170"/>
      <c r="K135" s="149"/>
      <c r="L135" s="149"/>
      <c r="M135" s="149"/>
      <c r="N135" s="149"/>
      <c r="O135" s="149"/>
      <c r="P135" s="188">
        <f t="shared" si="43"/>
        <v>0</v>
      </c>
      <c r="Q135" s="132">
        <f t="shared" si="30"/>
        <v>0</v>
      </c>
      <c r="R135" s="133">
        <f t="shared" si="31"/>
        <v>0</v>
      </c>
      <c r="S135" s="121" t="str">
        <f t="shared" si="44"/>
        <v/>
      </c>
    </row>
    <row r="136" hidden="1" outlineLevel="1">
      <c r="A136" s="175" t="str">
        <f>IFERROR(VLOOKUP(B136,'Статьи'!$A$2:C158,3,0)," ")</f>
        <v> </v>
      </c>
      <c r="B136" s="175"/>
      <c r="C136" s="170"/>
      <c r="D136" s="149"/>
      <c r="E136" s="149"/>
      <c r="F136" s="149"/>
      <c r="G136" s="149"/>
      <c r="H136" s="149"/>
      <c r="I136" s="188">
        <f t="shared" si="38"/>
        <v>0</v>
      </c>
      <c r="J136" s="170"/>
      <c r="K136" s="149"/>
      <c r="L136" s="149"/>
      <c r="M136" s="149"/>
      <c r="N136" s="149"/>
      <c r="O136" s="149"/>
      <c r="P136" s="188">
        <f t="shared" si="43"/>
        <v>0</v>
      </c>
      <c r="Q136" s="132">
        <f t="shared" si="30"/>
        <v>0</v>
      </c>
      <c r="R136" s="133">
        <f t="shared" si="31"/>
        <v>0</v>
      </c>
      <c r="S136" s="121" t="str">
        <f t="shared" si="44"/>
        <v/>
      </c>
    </row>
    <row r="137" hidden="1" outlineLevel="1">
      <c r="A137" s="175" t="str">
        <f>IFERROR(VLOOKUP(B137,'Статьи'!$A$2:C159,3,0)," ")</f>
        <v> </v>
      </c>
      <c r="B137" s="175"/>
      <c r="C137" s="170"/>
      <c r="D137" s="149"/>
      <c r="E137" s="149"/>
      <c r="F137" s="149"/>
      <c r="G137" s="149"/>
      <c r="H137" s="149"/>
      <c r="I137" s="188">
        <f t="shared" si="38"/>
        <v>0</v>
      </c>
      <c r="J137" s="170"/>
      <c r="K137" s="149"/>
      <c r="L137" s="149"/>
      <c r="M137" s="149"/>
      <c r="N137" s="149"/>
      <c r="O137" s="149"/>
      <c r="P137" s="188">
        <f t="shared" si="43"/>
        <v>0</v>
      </c>
      <c r="Q137" s="132">
        <f t="shared" si="30"/>
        <v>0</v>
      </c>
      <c r="R137" s="133">
        <f t="shared" si="31"/>
        <v>0</v>
      </c>
      <c r="S137" s="121" t="str">
        <f t="shared" si="44"/>
        <v/>
      </c>
    </row>
    <row r="138" hidden="1" outlineLevel="1">
      <c r="A138" s="175" t="str">
        <f>IFERROR(VLOOKUP(B138,'Статьи'!$A$2:C160,3,0)," ")</f>
        <v> </v>
      </c>
      <c r="B138" s="175"/>
      <c r="C138" s="170"/>
      <c r="D138" s="149"/>
      <c r="E138" s="149"/>
      <c r="F138" s="149"/>
      <c r="G138" s="149"/>
      <c r="H138" s="149"/>
      <c r="I138" s="188">
        <f t="shared" si="38"/>
        <v>0</v>
      </c>
      <c r="J138" s="170"/>
      <c r="K138" s="149"/>
      <c r="L138" s="149"/>
      <c r="M138" s="149"/>
      <c r="N138" s="149"/>
      <c r="O138" s="149"/>
      <c r="P138" s="188">
        <f t="shared" si="43"/>
        <v>0</v>
      </c>
      <c r="Q138" s="132">
        <f t="shared" si="30"/>
        <v>0</v>
      </c>
      <c r="R138" s="133">
        <f t="shared" si="31"/>
        <v>0</v>
      </c>
      <c r="S138" s="121" t="str">
        <f t="shared" si="44"/>
        <v/>
      </c>
    </row>
    <row r="139" hidden="1" outlineLevel="1">
      <c r="A139" s="175" t="str">
        <f>IFERROR(VLOOKUP(B139,'Статьи'!$A$2:C161,3,0)," ")</f>
        <v> </v>
      </c>
      <c r="B139" s="175"/>
      <c r="C139" s="170"/>
      <c r="D139" s="149"/>
      <c r="E139" s="149"/>
      <c r="F139" s="149"/>
      <c r="G139" s="149"/>
      <c r="H139" s="149"/>
      <c r="I139" s="188">
        <f t="shared" si="38"/>
        <v>0</v>
      </c>
      <c r="J139" s="170"/>
      <c r="K139" s="149"/>
      <c r="L139" s="149"/>
      <c r="M139" s="149"/>
      <c r="N139" s="149"/>
      <c r="O139" s="149"/>
      <c r="P139" s="188">
        <f t="shared" si="43"/>
        <v>0</v>
      </c>
      <c r="Q139" s="132">
        <f t="shared" si="30"/>
        <v>0</v>
      </c>
      <c r="R139" s="133">
        <f t="shared" si="31"/>
        <v>0</v>
      </c>
      <c r="S139" s="121" t="str">
        <f t="shared" si="44"/>
        <v/>
      </c>
    </row>
    <row r="140" hidden="1" outlineLevel="1">
      <c r="A140" s="175" t="str">
        <f>IFERROR(VLOOKUP(B140,'Статьи'!$A$2:C162,3,0)," ")</f>
        <v> </v>
      </c>
      <c r="B140" s="175"/>
      <c r="C140" s="170"/>
      <c r="D140" s="149"/>
      <c r="E140" s="149"/>
      <c r="F140" s="149"/>
      <c r="G140" s="149"/>
      <c r="H140" s="149"/>
      <c r="I140" s="188">
        <f t="shared" si="38"/>
        <v>0</v>
      </c>
      <c r="J140" s="170"/>
      <c r="K140" s="149"/>
      <c r="L140" s="149"/>
      <c r="M140" s="149"/>
      <c r="N140" s="149"/>
      <c r="O140" s="149"/>
      <c r="P140" s="188">
        <f t="shared" si="43"/>
        <v>0</v>
      </c>
      <c r="Q140" s="132">
        <f t="shared" si="30"/>
        <v>0</v>
      </c>
      <c r="R140" s="133">
        <f t="shared" si="31"/>
        <v>0</v>
      </c>
      <c r="S140" s="121" t="str">
        <f t="shared" si="44"/>
        <v/>
      </c>
    </row>
    <row r="141">
      <c r="A141" s="175" t="str">
        <f>IFERROR(VLOOKUP(B141,'Статьи'!$A$2:C163,3,0)," ")</f>
        <v> </v>
      </c>
      <c r="B141" s="175"/>
      <c r="C141" s="170"/>
      <c r="D141" s="149"/>
      <c r="E141" s="149"/>
      <c r="F141" s="149"/>
      <c r="G141" s="149"/>
      <c r="H141" s="149"/>
      <c r="I141" s="188">
        <f t="shared" si="38"/>
        <v>0</v>
      </c>
      <c r="J141" s="170"/>
      <c r="K141" s="149"/>
      <c r="L141" s="149"/>
      <c r="M141" s="149"/>
      <c r="N141" s="149"/>
      <c r="O141" s="149"/>
      <c r="P141" s="188">
        <f>sum(F141:J141)</f>
        <v>0</v>
      </c>
      <c r="Q141" s="132">
        <f t="shared" si="30"/>
        <v>0</v>
      </c>
      <c r="R141" s="133">
        <f t="shared" si="31"/>
        <v>0</v>
      </c>
      <c r="S141" s="121" t="str">
        <f t="shared" si="44"/>
        <v/>
      </c>
    </row>
    <row r="142">
      <c r="A142" s="152"/>
      <c r="B142" s="153" t="s">
        <v>142</v>
      </c>
      <c r="C142" s="154">
        <f t="shared" ref="C142:K142" si="45">C85+C88</f>
        <v>10</v>
      </c>
      <c r="D142" s="155">
        <f t="shared" si="45"/>
        <v>0</v>
      </c>
      <c r="E142" s="155">
        <f t="shared" si="45"/>
        <v>0</v>
      </c>
      <c r="F142" s="155">
        <f t="shared" si="45"/>
        <v>0</v>
      </c>
      <c r="G142" s="155">
        <f t="shared" si="45"/>
        <v>0</v>
      </c>
      <c r="H142" s="155">
        <f t="shared" si="45"/>
        <v>0</v>
      </c>
      <c r="I142" s="157">
        <f t="shared" si="45"/>
        <v>10</v>
      </c>
      <c r="J142" s="154">
        <f t="shared" si="45"/>
        <v>0</v>
      </c>
      <c r="K142" s="155">
        <f t="shared" si="45"/>
        <v>0</v>
      </c>
      <c r="L142" s="155"/>
      <c r="M142" s="155"/>
      <c r="N142" s="155"/>
      <c r="O142" s="155"/>
      <c r="P142" s="157">
        <f>P85+P88</f>
        <v>0</v>
      </c>
      <c r="Q142" s="155">
        <f t="shared" si="30"/>
        <v>10</v>
      </c>
      <c r="R142" s="158">
        <f t="shared" si="31"/>
        <v>0</v>
      </c>
      <c r="S142" s="159" t="str">
        <f>IF(Q142=0,"",IF(R142&gt;1,"выполнение","план не выполнен"))</f>
        <v>план не выполнен</v>
      </c>
    </row>
    <row r="143">
      <c r="A143" s="160"/>
      <c r="B143" s="161" t="s">
        <v>143</v>
      </c>
      <c r="C143" s="162">
        <f t="shared" ref="C143:K143" si="46">IFERROR(C142/C$3,"")</f>
        <v>1</v>
      </c>
      <c r="D143" s="163" t="str">
        <f t="shared" si="46"/>
        <v/>
      </c>
      <c r="E143" s="163" t="str">
        <f t="shared" si="46"/>
        <v/>
      </c>
      <c r="F143" s="163" t="str">
        <f t="shared" si="46"/>
        <v/>
      </c>
      <c r="G143" s="163" t="str">
        <f t="shared" si="46"/>
        <v/>
      </c>
      <c r="H143" s="163" t="str">
        <f t="shared" si="46"/>
        <v/>
      </c>
      <c r="I143" s="164">
        <f t="shared" si="46"/>
        <v>1</v>
      </c>
      <c r="J143" s="162" t="str">
        <f t="shared" si="46"/>
        <v/>
      </c>
      <c r="K143" s="163" t="str">
        <f t="shared" si="46"/>
        <v/>
      </c>
      <c r="L143" s="163"/>
      <c r="M143" s="163"/>
      <c r="N143" s="163"/>
      <c r="O143" s="163"/>
      <c r="P143" s="164" t="str">
        <f>IFERROR(P142/P$3,"")</f>
        <v/>
      </c>
      <c r="Q143" s="133"/>
      <c r="R143" s="133"/>
      <c r="S143" s="121" t="str">
        <f t="shared" ref="S143:S144" si="47">IF(Q143=0,"",IF(Q143=0,0,IF(R143&gt;1,"перерасход","экономия")))</f>
        <v/>
      </c>
    </row>
    <row r="144">
      <c r="A144" s="142"/>
      <c r="B144" s="125"/>
      <c r="C144" s="199"/>
      <c r="D144" s="200"/>
      <c r="E144" s="200"/>
      <c r="F144" s="200"/>
      <c r="G144" s="200"/>
      <c r="H144" s="200"/>
      <c r="I144" s="116"/>
      <c r="J144" s="123"/>
      <c r="K144" s="118"/>
      <c r="L144" s="118"/>
      <c r="M144" s="118"/>
      <c r="N144" s="118"/>
      <c r="O144" s="118"/>
      <c r="P144" s="116"/>
      <c r="Q144" s="132"/>
      <c r="R144" s="133"/>
      <c r="S144" s="121" t="str">
        <f t="shared" si="47"/>
        <v/>
      </c>
    </row>
    <row r="145">
      <c r="A145" s="201"/>
      <c r="B145" s="202" t="s">
        <v>111</v>
      </c>
      <c r="C145" s="203">
        <f t="shared" ref="C145:H145" si="48">SUM(C146:C154)</f>
        <v>0</v>
      </c>
      <c r="D145" s="204">
        <f t="shared" si="48"/>
        <v>0</v>
      </c>
      <c r="E145" s="204">
        <f t="shared" si="48"/>
        <v>0</v>
      </c>
      <c r="F145" s="204">
        <f t="shared" si="48"/>
        <v>0</v>
      </c>
      <c r="G145" s="204">
        <f t="shared" si="48"/>
        <v>0</v>
      </c>
      <c r="H145" s="204">
        <f t="shared" si="48"/>
        <v>0</v>
      </c>
      <c r="I145" s="205">
        <f>SUM(C145:H145)</f>
        <v>0</v>
      </c>
      <c r="J145" s="206">
        <f t="shared" ref="J145:P145" si="49">SUM(J146:J154)</f>
        <v>0</v>
      </c>
      <c r="K145" s="207">
        <f t="shared" si="49"/>
        <v>0</v>
      </c>
      <c r="L145" s="207">
        <f t="shared" si="49"/>
        <v>0</v>
      </c>
      <c r="M145" s="207">
        <f t="shared" si="49"/>
        <v>0</v>
      </c>
      <c r="N145" s="207">
        <f t="shared" si="49"/>
        <v>0</v>
      </c>
      <c r="O145" s="207">
        <f t="shared" si="49"/>
        <v>0</v>
      </c>
      <c r="P145" s="208">
        <f t="shared" si="49"/>
        <v>0</v>
      </c>
      <c r="Q145" s="204">
        <f t="shared" ref="Q145:Q173" si="50">I145-P145</f>
        <v>0</v>
      </c>
      <c r="R145" s="209">
        <f t="shared" ref="R145:R173" si="51">IFERROR(I145/P145,0)</f>
        <v>0</v>
      </c>
      <c r="S145" s="210" t="str">
        <f>IF(Q145=0,"",IF(R145&gt;1,"выполнение","план не выполнен"))</f>
        <v/>
      </c>
    </row>
    <row r="146">
      <c r="A146" s="142" t="str">
        <f>IFERROR(VLOOKUP(B146,'Статьи'!$A$2:C168,3,0)," ")</f>
        <v>ДДС отчетного месяца. Без НДС!</v>
      </c>
      <c r="B146" s="125" t="str">
        <f>IFERROR(__xludf.DUMMYFUNCTION("iferror(filter('Статьи'!$A$1:$A177,'Статьи'!$B$1:$B177=B145))"),"Поступления прочие")</f>
        <v>Поступления прочие</v>
      </c>
      <c r="C146" s="170"/>
      <c r="D146" s="149"/>
      <c r="E146" s="149"/>
      <c r="F146" s="149"/>
      <c r="G146" s="149"/>
      <c r="H146" s="149"/>
      <c r="I146" s="211">
        <f t="shared" ref="I146:I172" si="52">sum(C146:H146)</f>
        <v>0</v>
      </c>
      <c r="J146" s="122"/>
      <c r="K146" s="114"/>
      <c r="L146" s="114"/>
      <c r="M146" s="114"/>
      <c r="N146" s="114"/>
      <c r="O146" s="114"/>
      <c r="P146" s="211">
        <f t="shared" ref="P146:P153" si="53">SUM(J146:K146)</f>
        <v>0</v>
      </c>
      <c r="Q146" s="132">
        <f t="shared" si="50"/>
        <v>0</v>
      </c>
      <c r="R146" s="133">
        <f t="shared" si="51"/>
        <v>0</v>
      </c>
      <c r="S146" s="121" t="str">
        <f t="shared" ref="S146:S154" si="54">IF(Q146=0,"",IF(R146=0,"обратить внимание",IF(R146&gt;1,"выполнение","план не выполнен")))</f>
        <v/>
      </c>
    </row>
    <row r="147">
      <c r="A147" s="142" t="str">
        <f>IFERROR(VLOOKUP(B147,'Статьи'!$A$2:C169,3,0)," ")</f>
        <v>ДДС отчетного месяца. Без НДС!</v>
      </c>
      <c r="B147" s="125" t="str">
        <f>IFERROR(__xludf.DUMMYFUNCTION("""COMPUTED_VALUE"""),"Поступления страховые выплаты")</f>
        <v>Поступления страховые выплаты</v>
      </c>
      <c r="C147" s="170"/>
      <c r="D147" s="149"/>
      <c r="E147" s="149"/>
      <c r="F147" s="149"/>
      <c r="G147" s="149"/>
      <c r="H147" s="149"/>
      <c r="I147" s="211">
        <f t="shared" si="52"/>
        <v>0</v>
      </c>
      <c r="J147" s="122"/>
      <c r="K147" s="114"/>
      <c r="L147" s="114"/>
      <c r="M147" s="114"/>
      <c r="N147" s="114"/>
      <c r="O147" s="114"/>
      <c r="P147" s="211">
        <f t="shared" si="53"/>
        <v>0</v>
      </c>
      <c r="Q147" s="132">
        <f t="shared" si="50"/>
        <v>0</v>
      </c>
      <c r="R147" s="133">
        <f t="shared" si="51"/>
        <v>0</v>
      </c>
      <c r="S147" s="121" t="str">
        <f t="shared" si="54"/>
        <v/>
      </c>
    </row>
    <row r="148">
      <c r="A148" s="142" t="str">
        <f>IFERROR(VLOOKUP(B148,'Статьи'!$A$2:C170,3,0)," ")</f>
        <v>отчет Учета ОС Вкладка Свод строка 37</v>
      </c>
      <c r="B148" s="125" t="str">
        <f>IFERROR(__xludf.DUMMYFUNCTION("""COMPUTED_VALUE"""),"Продажа ОС")</f>
        <v>Продажа ОС</v>
      </c>
      <c r="C148" s="170"/>
      <c r="D148" s="149"/>
      <c r="E148" s="149"/>
      <c r="F148" s="149"/>
      <c r="G148" s="149"/>
      <c r="H148" s="149"/>
      <c r="I148" s="211">
        <f t="shared" si="52"/>
        <v>0</v>
      </c>
      <c r="J148" s="122"/>
      <c r="K148" s="114"/>
      <c r="L148" s="114"/>
      <c r="M148" s="114"/>
      <c r="N148" s="114"/>
      <c r="O148" s="114"/>
      <c r="P148" s="211">
        <f t="shared" si="53"/>
        <v>0</v>
      </c>
      <c r="Q148" s="132">
        <f t="shared" si="50"/>
        <v>0</v>
      </c>
      <c r="R148" s="133">
        <f t="shared" si="51"/>
        <v>0</v>
      </c>
      <c r="S148" s="121" t="str">
        <f t="shared" si="54"/>
        <v/>
      </c>
    </row>
    <row r="149">
      <c r="A149" s="142" t="str">
        <f>IFERROR(VLOOKUP(B149,'Статьи'!$A$2:C171,3,0)," ")</f>
        <v>ДДС отчетного месяца. Без НДС!</v>
      </c>
      <c r="B149" s="125" t="str">
        <f>IFERROR(__xludf.DUMMYFUNCTION("""COMPUTED_VALUE"""),"Прочие поступления от фин. операций")</f>
        <v>Прочие поступления от фин. операций</v>
      </c>
      <c r="C149" s="170"/>
      <c r="D149" s="149"/>
      <c r="E149" s="149"/>
      <c r="F149" s="149"/>
      <c r="G149" s="149"/>
      <c r="H149" s="149"/>
      <c r="I149" s="211">
        <f t="shared" si="52"/>
        <v>0</v>
      </c>
      <c r="J149" s="122"/>
      <c r="K149" s="114"/>
      <c r="L149" s="114"/>
      <c r="M149" s="114"/>
      <c r="N149" s="114"/>
      <c r="O149" s="114"/>
      <c r="P149" s="211">
        <f t="shared" si="53"/>
        <v>0</v>
      </c>
      <c r="Q149" s="132">
        <f t="shared" si="50"/>
        <v>0</v>
      </c>
      <c r="R149" s="133">
        <f t="shared" si="51"/>
        <v>0</v>
      </c>
      <c r="S149" s="121" t="str">
        <f t="shared" si="54"/>
        <v/>
      </c>
    </row>
    <row r="150">
      <c r="A150" s="142" t="str">
        <f>IFERROR(VLOOKUP(B150,'Статьи'!$A$2:C172,3,0)," ")</f>
        <v> </v>
      </c>
      <c r="B150" s="125"/>
      <c r="C150" s="170"/>
      <c r="D150" s="149"/>
      <c r="E150" s="149"/>
      <c r="F150" s="149"/>
      <c r="G150" s="149"/>
      <c r="H150" s="149"/>
      <c r="I150" s="211">
        <f t="shared" si="52"/>
        <v>0</v>
      </c>
      <c r="J150" s="122" t="str">
        <f>C150</f>
        <v/>
      </c>
      <c r="K150" s="114"/>
      <c r="L150" s="114"/>
      <c r="M150" s="114"/>
      <c r="N150" s="114"/>
      <c r="O150" s="114"/>
      <c r="P150" s="211">
        <f t="shared" si="53"/>
        <v>0</v>
      </c>
      <c r="Q150" s="132">
        <f t="shared" si="50"/>
        <v>0</v>
      </c>
      <c r="R150" s="133">
        <f t="shared" si="51"/>
        <v>0</v>
      </c>
      <c r="S150" s="121" t="str">
        <f t="shared" si="54"/>
        <v/>
      </c>
    </row>
    <row r="151" collapsed="1">
      <c r="A151" s="142" t="str">
        <f>IFERROR(VLOOKUP(B151,'Статьи'!$A$2:C173,3,0)," ")</f>
        <v> </v>
      </c>
      <c r="B151" s="125"/>
      <c r="C151" s="170"/>
      <c r="D151" s="149"/>
      <c r="E151" s="149"/>
      <c r="F151" s="149"/>
      <c r="G151" s="149"/>
      <c r="H151" s="149"/>
      <c r="I151" s="211">
        <f t="shared" si="52"/>
        <v>0</v>
      </c>
      <c r="J151" s="122"/>
      <c r="K151" s="114"/>
      <c r="L151" s="114"/>
      <c r="M151" s="114"/>
      <c r="N151" s="114"/>
      <c r="O151" s="114"/>
      <c r="P151" s="211">
        <f t="shared" si="53"/>
        <v>0</v>
      </c>
      <c r="Q151" s="132">
        <f t="shared" si="50"/>
        <v>0</v>
      </c>
      <c r="R151" s="133">
        <f t="shared" si="51"/>
        <v>0</v>
      </c>
      <c r="S151" s="121" t="str">
        <f t="shared" si="54"/>
        <v/>
      </c>
    </row>
    <row r="152" hidden="1" outlineLevel="1">
      <c r="A152" s="142" t="str">
        <f>IFERROR(VLOOKUP(B152,'Статьи'!$A$2:C174,3,0)," ")</f>
        <v> </v>
      </c>
      <c r="B152" s="125"/>
      <c r="C152" s="170"/>
      <c r="D152" s="149"/>
      <c r="E152" s="149"/>
      <c r="F152" s="149"/>
      <c r="G152" s="149"/>
      <c r="H152" s="149"/>
      <c r="I152" s="211">
        <f t="shared" si="52"/>
        <v>0</v>
      </c>
      <c r="J152" s="122"/>
      <c r="K152" s="114"/>
      <c r="L152" s="114"/>
      <c r="M152" s="114"/>
      <c r="N152" s="114"/>
      <c r="O152" s="114"/>
      <c r="P152" s="211">
        <f t="shared" si="53"/>
        <v>0</v>
      </c>
      <c r="Q152" s="132">
        <f t="shared" si="50"/>
        <v>0</v>
      </c>
      <c r="R152" s="133">
        <f t="shared" si="51"/>
        <v>0</v>
      </c>
      <c r="S152" s="121" t="str">
        <f t="shared" si="54"/>
        <v/>
      </c>
    </row>
    <row r="153" hidden="1" outlineLevel="1">
      <c r="A153" s="142" t="str">
        <f>IFERROR(VLOOKUP(B153,'Статьи'!$A$2:C175,3,0)," ")</f>
        <v> </v>
      </c>
      <c r="B153" s="125"/>
      <c r="C153" s="170"/>
      <c r="D153" s="149"/>
      <c r="E153" s="149"/>
      <c r="F153" s="149"/>
      <c r="G153" s="149"/>
      <c r="H153" s="149"/>
      <c r="I153" s="211">
        <f t="shared" si="52"/>
        <v>0</v>
      </c>
      <c r="J153" s="122"/>
      <c r="K153" s="114"/>
      <c r="L153" s="114"/>
      <c r="M153" s="114"/>
      <c r="N153" s="114"/>
      <c r="O153" s="114"/>
      <c r="P153" s="211">
        <f t="shared" si="53"/>
        <v>0</v>
      </c>
      <c r="Q153" s="132">
        <f t="shared" si="50"/>
        <v>0</v>
      </c>
      <c r="R153" s="133">
        <f t="shared" si="51"/>
        <v>0</v>
      </c>
      <c r="S153" s="121" t="str">
        <f t="shared" si="54"/>
        <v/>
      </c>
    </row>
    <row r="154">
      <c r="A154" s="142" t="str">
        <f>IFERROR(VLOOKUP(B154,'Статьи'!$A$2:C176,3,0)," ")</f>
        <v> </v>
      </c>
      <c r="B154" s="125"/>
      <c r="C154" s="170"/>
      <c r="D154" s="149"/>
      <c r="E154" s="149"/>
      <c r="F154" s="149"/>
      <c r="G154" s="149"/>
      <c r="H154" s="149"/>
      <c r="I154" s="211">
        <f t="shared" si="52"/>
        <v>0</v>
      </c>
      <c r="J154" s="122"/>
      <c r="K154" s="114"/>
      <c r="L154" s="114"/>
      <c r="M154" s="114"/>
      <c r="N154" s="114"/>
      <c r="O154" s="114"/>
      <c r="P154" s="211">
        <f>sum(F154:J154)</f>
        <v>0</v>
      </c>
      <c r="Q154" s="132">
        <f t="shared" si="50"/>
        <v>0</v>
      </c>
      <c r="R154" s="133">
        <f t="shared" si="51"/>
        <v>0</v>
      </c>
      <c r="S154" s="121" t="str">
        <f t="shared" si="54"/>
        <v/>
      </c>
    </row>
    <row r="155">
      <c r="A155" s="212"/>
      <c r="B155" s="213" t="s">
        <v>101</v>
      </c>
      <c r="C155" s="203">
        <f t="shared" ref="C155:H155" si="55">SUM(C156:C172)</f>
        <v>0</v>
      </c>
      <c r="D155" s="204">
        <f t="shared" si="55"/>
        <v>0</v>
      </c>
      <c r="E155" s="204">
        <f t="shared" si="55"/>
        <v>0</v>
      </c>
      <c r="F155" s="204">
        <f t="shared" si="55"/>
        <v>0</v>
      </c>
      <c r="G155" s="204">
        <f t="shared" si="55"/>
        <v>0</v>
      </c>
      <c r="H155" s="204">
        <f t="shared" si="55"/>
        <v>0</v>
      </c>
      <c r="I155" s="208">
        <f t="shared" si="52"/>
        <v>0</v>
      </c>
      <c r="J155" s="206">
        <f t="shared" ref="J155:K155" si="56">SUM(J156:J172)</f>
        <v>0</v>
      </c>
      <c r="K155" s="207">
        <f t="shared" si="56"/>
        <v>0</v>
      </c>
      <c r="L155" s="207"/>
      <c r="M155" s="207"/>
      <c r="N155" s="207"/>
      <c r="O155" s="207"/>
      <c r="P155" s="208">
        <f>SUM(P156:P172)</f>
        <v>0</v>
      </c>
      <c r="Q155" s="207">
        <f t="shared" si="50"/>
        <v>0</v>
      </c>
      <c r="R155" s="214">
        <f t="shared" si="51"/>
        <v>0</v>
      </c>
      <c r="S155" s="210" t="str">
        <f>IF(Q155=0,"",IF(R155&gt;1,"план не выполнен","выполнение"))</f>
        <v/>
      </c>
    </row>
    <row r="156">
      <c r="A156" s="142" t="str">
        <f>IFERROR(VLOOKUP(B156,'Статьи'!$A$2:C178,3,0)," ")</f>
        <v>ДДС отчетного месяца. Без НДС!</v>
      </c>
      <c r="B156" s="125" t="str">
        <f>IFERROR(__xludf.DUMMYFUNCTION("iferror(filter('Статьи'!$A$1:$A177,'Статьи'!$B$1:$B177=B155))"),"Курсовые разницы")</f>
        <v>Курсовые разницы</v>
      </c>
      <c r="C156" s="171"/>
      <c r="D156" s="149"/>
      <c r="E156" s="149"/>
      <c r="F156" s="149"/>
      <c r="G156" s="149"/>
      <c r="H156" s="149"/>
      <c r="I156" s="211">
        <f t="shared" si="52"/>
        <v>0</v>
      </c>
      <c r="J156" s="122"/>
      <c r="K156" s="114"/>
      <c r="L156" s="114"/>
      <c r="M156" s="114"/>
      <c r="N156" s="114"/>
      <c r="O156" s="114"/>
      <c r="P156" s="211">
        <f t="shared" ref="P156:P171" si="57">SUM(J156:K156)</f>
        <v>0</v>
      </c>
      <c r="Q156" s="132">
        <f t="shared" si="50"/>
        <v>0</v>
      </c>
      <c r="R156" s="133">
        <f t="shared" si="51"/>
        <v>0</v>
      </c>
      <c r="S156" s="121" t="str">
        <f t="shared" ref="S156:S172" si="58">IF(Q156=0,"",IF(R156=0,"обратить внимание",IF(R156&gt;1,"перерасход","экономия")))</f>
        <v/>
      </c>
    </row>
    <row r="157">
      <c r="A157" s="142" t="str">
        <f>IFERROR(VLOOKUP(B157,'Статьи'!$A$2:C179,3,0)," ")</f>
        <v>1С</v>
      </c>
      <c r="B157" s="125" t="str">
        <f>IFERROR(__xludf.DUMMYFUNCTION("""COMPUTED_VALUE"""),"Налог  на прибыль УСН 6%")</f>
        <v>Налог  на прибыль УСН 6%</v>
      </c>
      <c r="C157" s="171"/>
      <c r="D157" s="149"/>
      <c r="E157" s="149"/>
      <c r="F157" s="149"/>
      <c r="G157" s="149"/>
      <c r="H157" s="149"/>
      <c r="I157" s="211">
        <f t="shared" si="52"/>
        <v>0</v>
      </c>
      <c r="J157" s="122"/>
      <c r="K157" s="114"/>
      <c r="L157" s="114"/>
      <c r="M157" s="114"/>
      <c r="N157" s="114"/>
      <c r="O157" s="114"/>
      <c r="P157" s="211">
        <f t="shared" si="57"/>
        <v>0</v>
      </c>
      <c r="Q157" s="132">
        <f t="shared" si="50"/>
        <v>0</v>
      </c>
      <c r="R157" s="133">
        <f t="shared" si="51"/>
        <v>0</v>
      </c>
      <c r="S157" s="121" t="str">
        <f t="shared" si="58"/>
        <v/>
      </c>
    </row>
    <row r="158">
      <c r="A158" s="142" t="str">
        <f>IFERROR(VLOOKUP(B158,'Статьи'!$A$2:C180,3,0)," ")</f>
        <v>1С</v>
      </c>
      <c r="B158" s="125" t="str">
        <f>IFERROR(__xludf.DUMMYFUNCTION("""COMPUTED_VALUE"""),"Налог на прибыль 20%")</f>
        <v>Налог на прибыль 20%</v>
      </c>
      <c r="C158" s="171"/>
      <c r="D158" s="149"/>
      <c r="E158" s="149"/>
      <c r="F158" s="149"/>
      <c r="G158" s="149"/>
      <c r="H158" s="149"/>
      <c r="I158" s="211">
        <f t="shared" si="52"/>
        <v>0</v>
      </c>
      <c r="J158" s="122"/>
      <c r="K158" s="114"/>
      <c r="L158" s="114"/>
      <c r="M158" s="114"/>
      <c r="N158" s="114"/>
      <c r="O158" s="114"/>
      <c r="P158" s="211">
        <f t="shared" si="57"/>
        <v>0</v>
      </c>
      <c r="Q158" s="132">
        <f t="shared" si="50"/>
        <v>0</v>
      </c>
      <c r="R158" s="133">
        <f t="shared" si="51"/>
        <v>0</v>
      </c>
      <c r="S158" s="121" t="str">
        <f t="shared" si="58"/>
        <v/>
      </c>
    </row>
    <row r="159">
      <c r="A159" s="142" t="str">
        <f>IFERROR(VLOOKUP(B159,'Статьи'!$A$2:C181,3,0)," ")</f>
        <v>отчет Учет ОС</v>
      </c>
      <c r="B159" s="125" t="str">
        <f>IFERROR(__xludf.DUMMYFUNCTION("""COMPUTED_VALUE"""),"Амортизация ОС")</f>
        <v>Амортизация ОС</v>
      </c>
      <c r="C159" s="215"/>
      <c r="D159" s="149"/>
      <c r="E159" s="149"/>
      <c r="F159" s="149"/>
      <c r="G159" s="149"/>
      <c r="H159" s="149"/>
      <c r="I159" s="211">
        <f t="shared" si="52"/>
        <v>0</v>
      </c>
      <c r="J159" s="122"/>
      <c r="K159" s="114"/>
      <c r="L159" s="114"/>
      <c r="M159" s="114"/>
      <c r="N159" s="114"/>
      <c r="O159" s="114"/>
      <c r="P159" s="211">
        <f t="shared" si="57"/>
        <v>0</v>
      </c>
      <c r="Q159" s="132">
        <f t="shared" si="50"/>
        <v>0</v>
      </c>
      <c r="R159" s="133">
        <f t="shared" si="51"/>
        <v>0</v>
      </c>
      <c r="S159" s="121" t="str">
        <f t="shared" si="58"/>
        <v/>
      </c>
    </row>
    <row r="160">
      <c r="A160" s="142" t="str">
        <f>IFERROR(VLOOKUP(B160,'Статьи'!$A$2:C182,3,0)," ")</f>
        <v>ДДС отчетного месяца. Без НДС!</v>
      </c>
      <c r="B160" s="125" t="str">
        <f>IFERROR(__xludf.DUMMYFUNCTION("""COMPUTED_VALUE"""),"Прочие расходы")</f>
        <v>Прочие расходы</v>
      </c>
      <c r="C160" s="171"/>
      <c r="D160" s="149"/>
      <c r="E160" s="149"/>
      <c r="F160" s="149"/>
      <c r="G160" s="149"/>
      <c r="H160" s="149"/>
      <c r="I160" s="211">
        <f t="shared" si="52"/>
        <v>0</v>
      </c>
      <c r="J160" s="122"/>
      <c r="K160" s="114"/>
      <c r="L160" s="114"/>
      <c r="M160" s="114"/>
      <c r="N160" s="114"/>
      <c r="O160" s="114"/>
      <c r="P160" s="211">
        <f t="shared" si="57"/>
        <v>0</v>
      </c>
      <c r="Q160" s="132">
        <f t="shared" si="50"/>
        <v>0</v>
      </c>
      <c r="R160" s="133">
        <f t="shared" si="51"/>
        <v>0</v>
      </c>
      <c r="S160" s="121" t="str">
        <f t="shared" si="58"/>
        <v/>
      </c>
    </row>
    <row r="161">
      <c r="A161" s="142" t="str">
        <f>IFERROR(VLOOKUP(B161,'Статьи'!$A$2:C183,3,0)," ")</f>
        <v>ДДС отчетного месяца. Без НДС!</v>
      </c>
      <c r="B161" s="111" t="str">
        <f>IFERROR(__xludf.DUMMYFUNCTION("""COMPUTED_VALUE"""),"Ремонт ОС")</f>
        <v>Ремонт ОС</v>
      </c>
      <c r="C161" s="171"/>
      <c r="D161" s="149"/>
      <c r="E161" s="149"/>
      <c r="F161" s="149"/>
      <c r="G161" s="149"/>
      <c r="H161" s="149"/>
      <c r="I161" s="211">
        <f t="shared" si="52"/>
        <v>0</v>
      </c>
      <c r="J161" s="122"/>
      <c r="K161" s="114"/>
      <c r="L161" s="114"/>
      <c r="M161" s="114"/>
      <c r="N161" s="114"/>
      <c r="O161" s="114"/>
      <c r="P161" s="211">
        <f t="shared" si="57"/>
        <v>0</v>
      </c>
      <c r="Q161" s="132">
        <f t="shared" si="50"/>
        <v>0</v>
      </c>
      <c r="R161" s="133">
        <f t="shared" si="51"/>
        <v>0</v>
      </c>
      <c r="S161" s="121" t="str">
        <f t="shared" si="58"/>
        <v/>
      </c>
    </row>
    <row r="162">
      <c r="A162" s="142" t="str">
        <f>IFERROR(VLOOKUP(B162,'Статьи'!$A$2:C184,3,0)," ")</f>
        <v>отчет Учет ФД</v>
      </c>
      <c r="B162" s="111" t="str">
        <f>IFERROR(__xludf.DUMMYFUNCTION("""COMPUTED_VALUE"""),"Оплаты %  кредиты")</f>
        <v>Оплаты %  кредиты</v>
      </c>
      <c r="C162" s="171"/>
      <c r="D162" s="149"/>
      <c r="E162" s="149"/>
      <c r="F162" s="149"/>
      <c r="G162" s="149"/>
      <c r="H162" s="149"/>
      <c r="I162" s="211">
        <f t="shared" si="52"/>
        <v>0</v>
      </c>
      <c r="J162" s="122"/>
      <c r="K162" s="114"/>
      <c r="L162" s="114"/>
      <c r="M162" s="114"/>
      <c r="N162" s="114"/>
      <c r="O162" s="114"/>
      <c r="P162" s="211">
        <f t="shared" si="57"/>
        <v>0</v>
      </c>
      <c r="Q162" s="132">
        <f t="shared" si="50"/>
        <v>0</v>
      </c>
      <c r="R162" s="133">
        <f t="shared" si="51"/>
        <v>0</v>
      </c>
      <c r="S162" s="121" t="str">
        <f t="shared" si="58"/>
        <v/>
      </c>
    </row>
    <row r="163" collapsed="1">
      <c r="A163" s="110" t="str">
        <f>IFERROR(VLOOKUP(B163,'Статьи'!$A$2:C185,3,0)," ")</f>
        <v> </v>
      </c>
      <c r="B163" s="111"/>
      <c r="C163" s="171"/>
      <c r="D163" s="149"/>
      <c r="E163" s="149"/>
      <c r="F163" s="149"/>
      <c r="G163" s="149"/>
      <c r="H163" s="149"/>
      <c r="I163" s="211">
        <f t="shared" si="52"/>
        <v>0</v>
      </c>
      <c r="J163" s="122"/>
      <c r="K163" s="114"/>
      <c r="L163" s="114"/>
      <c r="M163" s="114"/>
      <c r="N163" s="114"/>
      <c r="O163" s="114"/>
      <c r="P163" s="211">
        <f t="shared" si="57"/>
        <v>0</v>
      </c>
      <c r="Q163" s="132">
        <f t="shared" si="50"/>
        <v>0</v>
      </c>
      <c r="R163" s="133">
        <f t="shared" si="51"/>
        <v>0</v>
      </c>
      <c r="S163" s="121" t="str">
        <f t="shared" si="58"/>
        <v/>
      </c>
    </row>
    <row r="164" hidden="1" outlineLevel="1">
      <c r="A164" s="110" t="str">
        <f>IFERROR(VLOOKUP(B164,'Статьи'!$A$2:C186,3,0)," ")</f>
        <v> </v>
      </c>
      <c r="B164" s="111"/>
      <c r="C164" s="170"/>
      <c r="I164" s="211">
        <f t="shared" si="52"/>
        <v>0</v>
      </c>
      <c r="J164" s="122"/>
      <c r="K164" s="114"/>
      <c r="L164" s="114"/>
      <c r="M164" s="114"/>
      <c r="N164" s="114"/>
      <c r="O164" s="114"/>
      <c r="P164" s="211">
        <f t="shared" si="57"/>
        <v>0</v>
      </c>
      <c r="Q164" s="132">
        <f t="shared" si="50"/>
        <v>0</v>
      </c>
      <c r="R164" s="133">
        <f t="shared" si="51"/>
        <v>0</v>
      </c>
      <c r="S164" s="121" t="str">
        <f t="shared" si="58"/>
        <v/>
      </c>
    </row>
    <row r="165" hidden="1" outlineLevel="1">
      <c r="A165" s="110" t="str">
        <f>IFERROR(VLOOKUP(B165,'Статьи'!$A$2:C187,3,0)," ")</f>
        <v> </v>
      </c>
      <c r="B165" s="111"/>
      <c r="C165" s="170"/>
      <c r="I165" s="211">
        <f t="shared" si="52"/>
        <v>0</v>
      </c>
      <c r="J165" s="122"/>
      <c r="K165" s="114"/>
      <c r="L165" s="114"/>
      <c r="M165" s="114"/>
      <c r="N165" s="114"/>
      <c r="O165" s="114"/>
      <c r="P165" s="211">
        <f t="shared" si="57"/>
        <v>0</v>
      </c>
      <c r="Q165" s="132">
        <f t="shared" si="50"/>
        <v>0</v>
      </c>
      <c r="R165" s="133">
        <f t="shared" si="51"/>
        <v>0</v>
      </c>
      <c r="S165" s="121" t="str">
        <f t="shared" si="58"/>
        <v/>
      </c>
    </row>
    <row r="166" hidden="1" outlineLevel="1">
      <c r="A166" s="110" t="str">
        <f>IFERROR(VLOOKUP(B166,'Статьи'!$A$2:C188,3,0)," ")</f>
        <v> </v>
      </c>
      <c r="B166" s="111"/>
      <c r="C166" s="170"/>
      <c r="I166" s="211">
        <f t="shared" si="52"/>
        <v>0</v>
      </c>
      <c r="J166" s="122"/>
      <c r="K166" s="114"/>
      <c r="L166" s="114"/>
      <c r="M166" s="114"/>
      <c r="N166" s="114"/>
      <c r="O166" s="114"/>
      <c r="P166" s="211">
        <f t="shared" si="57"/>
        <v>0</v>
      </c>
      <c r="Q166" s="132">
        <f t="shared" si="50"/>
        <v>0</v>
      </c>
      <c r="R166" s="133">
        <f t="shared" si="51"/>
        <v>0</v>
      </c>
      <c r="S166" s="121" t="str">
        <f t="shared" si="58"/>
        <v/>
      </c>
    </row>
    <row r="167" hidden="1" outlineLevel="1">
      <c r="A167" s="110" t="str">
        <f>IFERROR(VLOOKUP(B167,'Статьи'!$A$2:C189,3,0)," ")</f>
        <v> </v>
      </c>
      <c r="B167" s="111"/>
      <c r="C167" s="170"/>
      <c r="I167" s="211">
        <f t="shared" si="52"/>
        <v>0</v>
      </c>
      <c r="J167" s="122"/>
      <c r="K167" s="114"/>
      <c r="L167" s="114"/>
      <c r="M167" s="114"/>
      <c r="N167" s="114"/>
      <c r="O167" s="114"/>
      <c r="P167" s="211">
        <f t="shared" si="57"/>
        <v>0</v>
      </c>
      <c r="Q167" s="132">
        <f t="shared" si="50"/>
        <v>0</v>
      </c>
      <c r="R167" s="133">
        <f t="shared" si="51"/>
        <v>0</v>
      </c>
      <c r="S167" s="121" t="str">
        <f t="shared" si="58"/>
        <v/>
      </c>
    </row>
    <row r="168" hidden="1" outlineLevel="1">
      <c r="A168" s="110" t="str">
        <f>IFERROR(VLOOKUP(B168,'Статьи'!$A$2:C190,3,0)," ")</f>
        <v> </v>
      </c>
      <c r="B168" s="111"/>
      <c r="C168" s="170"/>
      <c r="I168" s="211">
        <f t="shared" si="52"/>
        <v>0</v>
      </c>
      <c r="J168" s="122"/>
      <c r="K168" s="114"/>
      <c r="L168" s="114"/>
      <c r="M168" s="114"/>
      <c r="N168" s="114"/>
      <c r="O168" s="114"/>
      <c r="P168" s="211">
        <f t="shared" si="57"/>
        <v>0</v>
      </c>
      <c r="Q168" s="132">
        <f t="shared" si="50"/>
        <v>0</v>
      </c>
      <c r="R168" s="133">
        <f t="shared" si="51"/>
        <v>0</v>
      </c>
      <c r="S168" s="121" t="str">
        <f t="shared" si="58"/>
        <v/>
      </c>
    </row>
    <row r="169" hidden="1" outlineLevel="1">
      <c r="A169" s="110" t="str">
        <f>IFERROR(VLOOKUP(B169,'Статьи'!$A$2:C191,3,0)," ")</f>
        <v> </v>
      </c>
      <c r="B169" s="111"/>
      <c r="C169" s="170"/>
      <c r="I169" s="211">
        <f t="shared" si="52"/>
        <v>0</v>
      </c>
      <c r="J169" s="122"/>
      <c r="K169" s="114"/>
      <c r="L169" s="114"/>
      <c r="M169" s="114"/>
      <c r="N169" s="114"/>
      <c r="O169" s="114"/>
      <c r="P169" s="211">
        <f t="shared" si="57"/>
        <v>0</v>
      </c>
      <c r="Q169" s="132">
        <f t="shared" si="50"/>
        <v>0</v>
      </c>
      <c r="R169" s="133">
        <f t="shared" si="51"/>
        <v>0</v>
      </c>
      <c r="S169" s="121" t="str">
        <f t="shared" si="58"/>
        <v/>
      </c>
    </row>
    <row r="170" hidden="1" outlineLevel="1">
      <c r="A170" s="110" t="str">
        <f>IFERROR(VLOOKUP(B170,'Статьи'!$A$2:C192,3,0)," ")</f>
        <v> </v>
      </c>
      <c r="B170" s="111"/>
      <c r="C170" s="170"/>
      <c r="I170" s="211">
        <f t="shared" si="52"/>
        <v>0</v>
      </c>
      <c r="J170" s="122"/>
      <c r="K170" s="114"/>
      <c r="L170" s="114"/>
      <c r="M170" s="114"/>
      <c r="N170" s="114"/>
      <c r="O170" s="114"/>
      <c r="P170" s="211">
        <f t="shared" si="57"/>
        <v>0</v>
      </c>
      <c r="Q170" s="132">
        <f t="shared" si="50"/>
        <v>0</v>
      </c>
      <c r="R170" s="133">
        <f t="shared" si="51"/>
        <v>0</v>
      </c>
      <c r="S170" s="121" t="str">
        <f t="shared" si="58"/>
        <v/>
      </c>
    </row>
    <row r="171" hidden="1" outlineLevel="1">
      <c r="A171" s="110" t="str">
        <f>IFERROR(VLOOKUP(B171,'Статьи'!$A$2:C193,3,0)," ")</f>
        <v> </v>
      </c>
      <c r="B171" s="111"/>
      <c r="C171" s="170"/>
      <c r="I171" s="211">
        <f t="shared" si="52"/>
        <v>0</v>
      </c>
      <c r="J171" s="122"/>
      <c r="K171" s="114"/>
      <c r="L171" s="114"/>
      <c r="M171" s="114"/>
      <c r="N171" s="114"/>
      <c r="O171" s="114"/>
      <c r="P171" s="211">
        <f t="shared" si="57"/>
        <v>0</v>
      </c>
      <c r="Q171" s="132">
        <f t="shared" si="50"/>
        <v>0</v>
      </c>
      <c r="R171" s="133">
        <f t="shared" si="51"/>
        <v>0</v>
      </c>
      <c r="S171" s="121" t="str">
        <f t="shared" si="58"/>
        <v/>
      </c>
    </row>
    <row r="172">
      <c r="A172" s="110" t="str">
        <f>IFERROR(VLOOKUP(B172,'Статьи'!$A$2:C194,3,0)," ")</f>
        <v> </v>
      </c>
      <c r="B172" s="111"/>
      <c r="C172" s="170"/>
      <c r="D172" s="149"/>
      <c r="E172" s="149"/>
      <c r="F172" s="149"/>
      <c r="G172" s="149"/>
      <c r="H172" s="149"/>
      <c r="I172" s="211">
        <f t="shared" si="52"/>
        <v>0</v>
      </c>
      <c r="J172" s="122"/>
      <c r="K172" s="114"/>
      <c r="L172" s="114"/>
      <c r="M172" s="114"/>
      <c r="N172" s="114"/>
      <c r="O172" s="114"/>
      <c r="P172" s="211">
        <f>sum(F172:J172)</f>
        <v>0</v>
      </c>
      <c r="Q172" s="132">
        <f t="shared" si="50"/>
        <v>0</v>
      </c>
      <c r="R172" s="133">
        <f t="shared" si="51"/>
        <v>0</v>
      </c>
      <c r="S172" s="121" t="str">
        <f t="shared" si="58"/>
        <v/>
      </c>
    </row>
    <row r="173">
      <c r="A173" s="152"/>
      <c r="B173" s="153" t="s">
        <v>144</v>
      </c>
      <c r="C173" s="154">
        <f t="shared" ref="C173:K173" si="59">C142+C155+C145</f>
        <v>10</v>
      </c>
      <c r="D173" s="155">
        <f t="shared" si="59"/>
        <v>0</v>
      </c>
      <c r="E173" s="155">
        <f t="shared" si="59"/>
        <v>0</v>
      </c>
      <c r="F173" s="155">
        <f t="shared" si="59"/>
        <v>0</v>
      </c>
      <c r="G173" s="155">
        <f t="shared" si="59"/>
        <v>0</v>
      </c>
      <c r="H173" s="155">
        <f t="shared" si="59"/>
        <v>0</v>
      </c>
      <c r="I173" s="157">
        <f t="shared" si="59"/>
        <v>10</v>
      </c>
      <c r="J173" s="154">
        <f t="shared" si="59"/>
        <v>0</v>
      </c>
      <c r="K173" s="155">
        <f t="shared" si="59"/>
        <v>0</v>
      </c>
      <c r="L173" s="155"/>
      <c r="M173" s="155"/>
      <c r="N173" s="155"/>
      <c r="O173" s="155"/>
      <c r="P173" s="157">
        <f>P142+P155+P145</f>
        <v>0</v>
      </c>
      <c r="Q173" s="155">
        <f t="shared" si="50"/>
        <v>10</v>
      </c>
      <c r="R173" s="158">
        <f t="shared" si="51"/>
        <v>0</v>
      </c>
      <c r="S173" s="159" t="str">
        <f>IF(Q173=0,"",IF(R173&gt;1,"выполнение","план не выполнен"))</f>
        <v>план не выполнен</v>
      </c>
    </row>
    <row r="174">
      <c r="A174" s="160"/>
      <c r="B174" s="161" t="s">
        <v>145</v>
      </c>
      <c r="C174" s="216">
        <f t="shared" ref="C174:K174" si="60">IFERROR(C173/C$3,0)</f>
        <v>1</v>
      </c>
      <c r="D174" s="217">
        <f t="shared" si="60"/>
        <v>0</v>
      </c>
      <c r="E174" s="217">
        <f t="shared" si="60"/>
        <v>0</v>
      </c>
      <c r="F174" s="217">
        <f t="shared" si="60"/>
        <v>0</v>
      </c>
      <c r="G174" s="217">
        <f t="shared" si="60"/>
        <v>0</v>
      </c>
      <c r="H174" s="217">
        <f t="shared" si="60"/>
        <v>0</v>
      </c>
      <c r="I174" s="218">
        <f t="shared" si="60"/>
        <v>1</v>
      </c>
      <c r="J174" s="216">
        <f t="shared" si="60"/>
        <v>0</v>
      </c>
      <c r="K174" s="217">
        <f t="shared" si="60"/>
        <v>0</v>
      </c>
      <c r="L174" s="217"/>
      <c r="M174" s="217"/>
      <c r="N174" s="217"/>
      <c r="O174" s="217"/>
      <c r="P174" s="218">
        <f>IFERROR(P173/P$3,0)</f>
        <v>0</v>
      </c>
      <c r="Q174" s="219"/>
      <c r="R174" s="219"/>
      <c r="S174" s="219"/>
    </row>
    <row r="175">
      <c r="A175" s="110"/>
      <c r="B175" s="111"/>
      <c r="C175" s="115"/>
      <c r="D175" s="115"/>
      <c r="E175" s="115"/>
      <c r="F175" s="115"/>
      <c r="G175" s="115"/>
      <c r="H175" s="115"/>
      <c r="I175" s="118"/>
      <c r="J175" s="118"/>
      <c r="K175" s="118"/>
      <c r="L175" s="118"/>
      <c r="M175" s="118"/>
      <c r="N175" s="118"/>
      <c r="O175" s="118"/>
      <c r="P175" s="118"/>
      <c r="Q175" s="118"/>
      <c r="R175" s="220"/>
      <c r="S175" s="220"/>
    </row>
    <row r="176">
      <c r="A176" s="142"/>
      <c r="B176" s="125"/>
      <c r="C176" s="115"/>
      <c r="D176" s="115"/>
      <c r="E176" s="115"/>
      <c r="F176" s="114"/>
      <c r="G176" s="115"/>
      <c r="H176" s="115"/>
      <c r="I176" s="118"/>
      <c r="J176" s="118"/>
      <c r="K176" s="118"/>
      <c r="L176" s="118"/>
      <c r="M176" s="118"/>
      <c r="N176" s="118"/>
      <c r="O176" s="118"/>
      <c r="P176" s="118"/>
      <c r="Q176" s="118"/>
      <c r="R176" s="220"/>
      <c r="S176" s="220"/>
    </row>
    <row r="177">
      <c r="A177" s="110"/>
      <c r="B177" s="111"/>
      <c r="C177" s="115"/>
      <c r="D177" s="115"/>
      <c r="E177" s="115"/>
      <c r="F177" s="115"/>
      <c r="G177" s="115"/>
      <c r="H177" s="115"/>
      <c r="I177" s="118"/>
      <c r="J177" s="118"/>
      <c r="K177" s="118"/>
      <c r="L177" s="118"/>
      <c r="M177" s="118"/>
      <c r="N177" s="118"/>
      <c r="O177" s="118"/>
      <c r="P177" s="118"/>
      <c r="Q177" s="118"/>
      <c r="R177" s="220"/>
      <c r="S177" s="220"/>
    </row>
  </sheetData>
  <mergeCells count="11">
    <mergeCell ref="C168:H168"/>
    <mergeCell ref="C169:H169"/>
    <mergeCell ref="C170:H170"/>
    <mergeCell ref="C171:H171"/>
    <mergeCell ref="C1:I1"/>
    <mergeCell ref="J1:P1"/>
    <mergeCell ref="Q1:R1"/>
    <mergeCell ref="C164:H164"/>
    <mergeCell ref="C165:H165"/>
    <mergeCell ref="C166:H166"/>
    <mergeCell ref="C167:H167"/>
  </mergeCells>
  <conditionalFormatting sqref="C13:H54">
    <cfRule type="expression" dxfId="4" priority="1">
      <formula>C$2=""</formula>
    </cfRule>
  </conditionalFormatting>
  <conditionalFormatting sqref="C13:H54">
    <cfRule type="expression" dxfId="2" priority="2">
      <formula>OR(#REF!=C$2,#REF!=C$2,#REF!=C$2,#REF!=C$2,#REF!=C$2,#REF!=C$2,#REF!=C$2,#REF!=C$2,#REF!=C$2)</formula>
    </cfRule>
  </conditionalFormatting>
  <conditionalFormatting sqref="C59:H84 C91:C93">
    <cfRule type="expression" dxfId="4" priority="3">
      <formula>C$2=""</formula>
    </cfRule>
  </conditionalFormatting>
  <conditionalFormatting sqref="C59:H84 C91:C93">
    <cfRule type="expression" dxfId="2" priority="4">
      <formula>OR(#REF!=C$2,#REF!=C$2,#REF!=C$2,#REF!=C$2,#REF!=C$2,#REF!=C$2,#REF!=C$2,#REF!=C$2,#REF!=C$2)</formula>
    </cfRule>
  </conditionalFormatting>
  <conditionalFormatting sqref="A1:A2">
    <cfRule type="notContainsBlanks" dxfId="2" priority="5">
      <formula>LEN(TRIM(A1))&gt;0</formula>
    </cfRule>
  </conditionalFormatting>
  <conditionalFormatting sqref="S1:S177">
    <cfRule type="containsText" dxfId="2" priority="6" operator="containsText" text="выполнение">
      <formula>NOT(ISERROR(SEARCH(("выполнение"),(S1))))</formula>
    </cfRule>
  </conditionalFormatting>
  <conditionalFormatting sqref="S1:S177">
    <cfRule type="containsText" dxfId="3" priority="7" operator="containsText" text="план не выполнен">
      <formula>NOT(ISERROR(SEARCH(("план не выполнен"),(S1))))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7.13"/>
    <col customWidth="1" min="2" max="2" width="38.25"/>
    <col customWidth="1" min="3" max="3" width="10.63"/>
    <col collapsed="1" customWidth="1" min="4" max="4" width="10.63"/>
    <col customWidth="1" hidden="1" min="5" max="8" width="10.63" outlineLevel="1"/>
    <col customWidth="1" min="9" max="10" width="10.63"/>
    <col collapsed="1" customWidth="1" min="11" max="11" width="10.63"/>
    <col customWidth="1" hidden="1" min="12" max="15" width="10.63" outlineLevel="1"/>
    <col customWidth="1" min="16" max="16" width="10.63"/>
    <col customWidth="1" min="17" max="18" width="11.38"/>
    <col customWidth="1" min="19" max="19" width="16.88"/>
  </cols>
  <sheetData>
    <row r="1">
      <c r="A1" s="88">
        <v>10.0</v>
      </c>
      <c r="B1" s="89"/>
      <c r="C1" s="90" t="s">
        <v>127</v>
      </c>
      <c r="D1" s="91"/>
      <c r="E1" s="91"/>
      <c r="F1" s="91"/>
      <c r="G1" s="91"/>
      <c r="H1" s="91"/>
      <c r="I1" s="92"/>
      <c r="J1" s="93" t="s">
        <v>128</v>
      </c>
      <c r="K1" s="91"/>
      <c r="L1" s="91"/>
      <c r="M1" s="91"/>
      <c r="N1" s="91"/>
      <c r="O1" s="91"/>
      <c r="P1" s="92"/>
      <c r="Q1" s="94" t="s">
        <v>129</v>
      </c>
      <c r="S1" s="94"/>
    </row>
    <row r="2">
      <c r="A2" s="88" t="s">
        <v>130</v>
      </c>
      <c r="B2" s="89"/>
      <c r="C2" s="95" t="str">
        <f t="array" ref="C2:H2">TRANSPOSE('Справочник'!D2:D7)</f>
        <v>ООО "Весело живем"</v>
      </c>
      <c r="D2" s="96" t="s">
        <v>84</v>
      </c>
      <c r="E2" s="97">
        <v>3.0</v>
      </c>
      <c r="F2" s="97">
        <v>4.0</v>
      </c>
      <c r="G2" s="97">
        <v>5.0</v>
      </c>
      <c r="H2" s="97">
        <v>6.0</v>
      </c>
      <c r="I2" s="98" t="s">
        <v>131</v>
      </c>
      <c r="J2" s="95" t="str">
        <f t="array" ref="J2:O2">TRANSPOSE('Справочник'!D2:D7)</f>
        <v>ООО "Весело живем"</v>
      </c>
      <c r="K2" s="96" t="s">
        <v>84</v>
      </c>
      <c r="L2" s="97">
        <v>3.0</v>
      </c>
      <c r="M2" s="97">
        <v>4.0</v>
      </c>
      <c r="N2" s="97">
        <v>5.0</v>
      </c>
      <c r="O2" s="97">
        <v>6.0</v>
      </c>
      <c r="P2" s="98" t="s">
        <v>131</v>
      </c>
      <c r="Q2" s="99" t="s">
        <v>154</v>
      </c>
      <c r="R2" s="100" t="s">
        <v>133</v>
      </c>
      <c r="S2" s="101" t="s">
        <v>134</v>
      </c>
    </row>
    <row r="3">
      <c r="A3" s="102"/>
      <c r="B3" s="103" t="s">
        <v>86</v>
      </c>
      <c r="C3" s="104">
        <f t="shared" ref="C3:H3" si="1">SUM(C4:C10)</f>
        <v>11</v>
      </c>
      <c r="D3" s="105">
        <f t="shared" si="1"/>
        <v>0</v>
      </c>
      <c r="E3" s="105">
        <f t="shared" si="1"/>
        <v>0</v>
      </c>
      <c r="F3" s="105">
        <f t="shared" si="1"/>
        <v>0</v>
      </c>
      <c r="G3" s="105">
        <f t="shared" si="1"/>
        <v>0</v>
      </c>
      <c r="H3" s="105">
        <f t="shared" si="1"/>
        <v>0</v>
      </c>
      <c r="I3" s="106">
        <f>sum(C3:H3)</f>
        <v>11</v>
      </c>
      <c r="J3" s="104">
        <f t="shared" ref="J3:K3" si="2">SUM(J4:J10)</f>
        <v>0</v>
      </c>
      <c r="K3" s="105">
        <f t="shared" si="2"/>
        <v>0</v>
      </c>
      <c r="L3" s="105"/>
      <c r="M3" s="105"/>
      <c r="N3" s="105"/>
      <c r="O3" s="105"/>
      <c r="P3" s="107">
        <f>SUM(P4:P10)</f>
        <v>0</v>
      </c>
      <c r="Q3" s="105">
        <f t="shared" ref="Q3:Q55" si="3">I3-P3</f>
        <v>11</v>
      </c>
      <c r="R3" s="108">
        <f t="shared" ref="R3:R55" si="4">IFERROR(I3/P3,0)</f>
        <v>0</v>
      </c>
      <c r="S3" s="109" t="str">
        <f>IF(Q3=0,"",IF(R3&gt;1,"выполнение","план не выполнен"))</f>
        <v>план не выполнен</v>
      </c>
    </row>
    <row r="4">
      <c r="A4" s="110" t="str">
        <f>IFERROR(VLOOKUP(B4,'Статьи'!$A$2:C26,3,0)," ")</f>
        <v>1С сч 90.01 убрать НДС!</v>
      </c>
      <c r="B4" s="111" t="str">
        <f>IFERROR(__xludf.DUMMYFUNCTION("iferror(filter('Статьи'!$A$1:$A177,'Статьи'!$B$1:$B177=$B$3))"),"Выручка от аренды машиноместа")</f>
        <v>Выручка от аренды машиноместа</v>
      </c>
      <c r="C4" s="112">
        <v>11.0</v>
      </c>
      <c r="D4" s="113"/>
      <c r="E4" s="114"/>
      <c r="F4" s="115"/>
      <c r="G4" s="115"/>
      <c r="H4" s="115"/>
      <c r="I4" s="116">
        <f t="shared" ref="I4:I8" si="5">SUM(C4:H4)</f>
        <v>11</v>
      </c>
      <c r="J4" s="117"/>
      <c r="K4" s="118"/>
      <c r="L4" s="118"/>
      <c r="M4" s="118"/>
      <c r="N4" s="118"/>
      <c r="O4" s="118"/>
      <c r="P4" s="116">
        <f t="shared" ref="P4:P5" si="6">SUM(J4:K4)</f>
        <v>0</v>
      </c>
      <c r="Q4" s="119">
        <f t="shared" si="3"/>
        <v>11</v>
      </c>
      <c r="R4" s="120">
        <f t="shared" si="4"/>
        <v>0</v>
      </c>
      <c r="S4" s="121" t="str">
        <f t="shared" ref="S4:S10" si="7">IF(Q4=0,"",IF(R4=0,"обратить внимание",IF(R4&gt;1,"выполнение","план не выполнен")))</f>
        <v>обратить внимание</v>
      </c>
    </row>
    <row r="5" collapsed="1">
      <c r="A5" s="110" t="str">
        <f>IFERROR(VLOOKUP(B5,'Статьи'!$A$2:C27,3,0)," ")</f>
        <v>1С сч 90.01 убрать НДС!</v>
      </c>
      <c r="B5" s="111" t="str">
        <f>IFERROR(__xludf.DUMMYFUNCTION("""COMPUTED_VALUE"""),"Выручка за грузоперевозки")</f>
        <v>Выручка за грузоперевозки</v>
      </c>
      <c r="C5" s="112"/>
      <c r="D5" s="113"/>
      <c r="E5" s="114"/>
      <c r="F5" s="115"/>
      <c r="G5" s="115"/>
      <c r="H5" s="115"/>
      <c r="I5" s="116">
        <f t="shared" si="5"/>
        <v>0</v>
      </c>
      <c r="J5" s="117"/>
      <c r="K5" s="118"/>
      <c r="L5" s="118"/>
      <c r="M5" s="118"/>
      <c r="N5" s="118"/>
      <c r="O5" s="118"/>
      <c r="P5" s="116">
        <f t="shared" si="6"/>
        <v>0</v>
      </c>
      <c r="Q5" s="119">
        <f t="shared" si="3"/>
        <v>0</v>
      </c>
      <c r="R5" s="120">
        <f t="shared" si="4"/>
        <v>0</v>
      </c>
      <c r="S5" s="121" t="str">
        <f t="shared" si="7"/>
        <v/>
      </c>
    </row>
    <row r="6" hidden="1" outlineLevel="1">
      <c r="A6" s="110" t="str">
        <f>IFERROR(VLOOKUP(B6,'Статьи'!$A$2:C28,3,0)," ")</f>
        <v> </v>
      </c>
      <c r="B6" s="111"/>
      <c r="C6" s="122"/>
      <c r="D6" s="115"/>
      <c r="E6" s="115"/>
      <c r="F6" s="114"/>
      <c r="G6" s="114"/>
      <c r="H6" s="114"/>
      <c r="I6" s="116">
        <f t="shared" si="5"/>
        <v>0</v>
      </c>
      <c r="J6" s="123"/>
      <c r="K6" s="118"/>
      <c r="L6" s="118"/>
      <c r="M6" s="118"/>
      <c r="N6" s="118"/>
      <c r="O6" s="118"/>
      <c r="P6" s="116">
        <f t="shared" ref="P6:P8" si="8">SUM(F6:J6)</f>
        <v>0</v>
      </c>
      <c r="Q6" s="119">
        <f t="shared" si="3"/>
        <v>0</v>
      </c>
      <c r="R6" s="120">
        <f t="shared" si="4"/>
        <v>0</v>
      </c>
      <c r="S6" s="121" t="str">
        <f t="shared" si="7"/>
        <v/>
      </c>
    </row>
    <row r="7" hidden="1" outlineLevel="1">
      <c r="A7" s="110" t="str">
        <f>IFERROR(VLOOKUP(B7,'Статьи'!$A$2:C29,3,0)," ")</f>
        <v> </v>
      </c>
      <c r="B7" s="111"/>
      <c r="C7" s="122"/>
      <c r="D7" s="115"/>
      <c r="E7" s="115"/>
      <c r="F7" s="115"/>
      <c r="G7" s="115"/>
      <c r="H7" s="115"/>
      <c r="I7" s="116">
        <f t="shared" si="5"/>
        <v>0</v>
      </c>
      <c r="J7" s="123"/>
      <c r="K7" s="118"/>
      <c r="L7" s="118"/>
      <c r="M7" s="118"/>
      <c r="N7" s="118"/>
      <c r="O7" s="118"/>
      <c r="P7" s="116">
        <f t="shared" si="8"/>
        <v>0</v>
      </c>
      <c r="Q7" s="119">
        <f t="shared" si="3"/>
        <v>0</v>
      </c>
      <c r="R7" s="120">
        <f t="shared" si="4"/>
        <v>0</v>
      </c>
      <c r="S7" s="121" t="str">
        <f t="shared" si="7"/>
        <v/>
      </c>
    </row>
    <row r="8" hidden="1" outlineLevel="1">
      <c r="A8" s="110" t="str">
        <f>IFERROR(VLOOKUP(B8,'Статьи'!$A$2:C30,3,0)," ")</f>
        <v> </v>
      </c>
      <c r="B8" s="111"/>
      <c r="C8" s="122"/>
      <c r="D8" s="115"/>
      <c r="E8" s="115"/>
      <c r="F8" s="115"/>
      <c r="G8" s="115"/>
      <c r="H8" s="115"/>
      <c r="I8" s="116">
        <f t="shared" si="5"/>
        <v>0</v>
      </c>
      <c r="J8" s="123"/>
      <c r="K8" s="118"/>
      <c r="L8" s="118"/>
      <c r="M8" s="118"/>
      <c r="N8" s="118"/>
      <c r="O8" s="118"/>
      <c r="P8" s="116">
        <f t="shared" si="8"/>
        <v>0</v>
      </c>
      <c r="Q8" s="119">
        <f t="shared" si="3"/>
        <v>0</v>
      </c>
      <c r="R8" s="120">
        <f t="shared" si="4"/>
        <v>0</v>
      </c>
      <c r="S8" s="121" t="str">
        <f t="shared" si="7"/>
        <v/>
      </c>
    </row>
    <row r="9" hidden="1" outlineLevel="1">
      <c r="A9" s="110" t="str">
        <f>IFERROR(VLOOKUP(B9,'Статьи'!$A$2:C31,3,0)," ")</f>
        <v> </v>
      </c>
      <c r="B9" s="111"/>
      <c r="C9" s="124"/>
      <c r="D9" s="115"/>
      <c r="E9" s="115"/>
      <c r="F9" s="115"/>
      <c r="G9" s="115"/>
      <c r="H9" s="115"/>
      <c r="I9" s="116"/>
      <c r="J9" s="123"/>
      <c r="K9" s="118"/>
      <c r="L9" s="118"/>
      <c r="M9" s="118"/>
      <c r="N9" s="118"/>
      <c r="O9" s="118"/>
      <c r="P9" s="116"/>
      <c r="Q9" s="119">
        <f t="shared" si="3"/>
        <v>0</v>
      </c>
      <c r="R9" s="120">
        <f t="shared" si="4"/>
        <v>0</v>
      </c>
      <c r="S9" s="121" t="str">
        <f t="shared" si="7"/>
        <v/>
      </c>
    </row>
    <row r="10">
      <c r="A10" s="110" t="str">
        <f>IFERROR(VLOOKUP(B10,'Статьи'!$A$2:C32,3,0)," ")</f>
        <v> </v>
      </c>
      <c r="B10" s="125"/>
      <c r="C10" s="122"/>
      <c r="D10" s="115"/>
      <c r="E10" s="115"/>
      <c r="F10" s="115"/>
      <c r="G10" s="115"/>
      <c r="H10" s="115"/>
      <c r="I10" s="116"/>
      <c r="J10" s="123"/>
      <c r="K10" s="118"/>
      <c r="L10" s="118"/>
      <c r="M10" s="118"/>
      <c r="N10" s="118"/>
      <c r="O10" s="118"/>
      <c r="P10" s="116"/>
      <c r="Q10" s="119">
        <f t="shared" si="3"/>
        <v>0</v>
      </c>
      <c r="R10" s="120">
        <f t="shared" si="4"/>
        <v>0</v>
      </c>
      <c r="S10" s="121" t="str">
        <f t="shared" si="7"/>
        <v/>
      </c>
    </row>
    <row r="11">
      <c r="A11" s="126"/>
      <c r="B11" s="127" t="s">
        <v>135</v>
      </c>
      <c r="C11" s="128">
        <f t="shared" ref="C11:K11" si="9">C12+C58</f>
        <v>0</v>
      </c>
      <c r="D11" s="129">
        <f t="shared" si="9"/>
        <v>0</v>
      </c>
      <c r="E11" s="129">
        <f t="shared" si="9"/>
        <v>0</v>
      </c>
      <c r="F11" s="129">
        <f t="shared" si="9"/>
        <v>0</v>
      </c>
      <c r="G11" s="129">
        <f t="shared" si="9"/>
        <v>0</v>
      </c>
      <c r="H11" s="129">
        <f t="shared" si="9"/>
        <v>0</v>
      </c>
      <c r="I11" s="130">
        <f t="shared" si="9"/>
        <v>0</v>
      </c>
      <c r="J11" s="128">
        <f t="shared" si="9"/>
        <v>0</v>
      </c>
      <c r="K11" s="129">
        <f t="shared" si="9"/>
        <v>0</v>
      </c>
      <c r="L11" s="129"/>
      <c r="M11" s="129"/>
      <c r="N11" s="129"/>
      <c r="O11" s="129"/>
      <c r="P11" s="131">
        <f>P12+P58</f>
        <v>0</v>
      </c>
      <c r="Q11" s="132">
        <f t="shared" si="3"/>
        <v>0</v>
      </c>
      <c r="R11" s="133">
        <f t="shared" si="4"/>
        <v>0</v>
      </c>
      <c r="S11" s="134" t="str">
        <f>IF(Q11=0,"",IF(R11&gt;1,"план не выполнен","выполнение"))</f>
        <v/>
      </c>
    </row>
    <row r="12">
      <c r="A12" s="135"/>
      <c r="B12" s="136" t="s">
        <v>99</v>
      </c>
      <c r="C12" s="137">
        <f t="shared" ref="C12:K12" si="10">sum(C13:C54)</f>
        <v>0</v>
      </c>
      <c r="D12" s="138">
        <f t="shared" si="10"/>
        <v>0</v>
      </c>
      <c r="E12" s="138">
        <f t="shared" si="10"/>
        <v>0</v>
      </c>
      <c r="F12" s="138">
        <f t="shared" si="10"/>
        <v>0</v>
      </c>
      <c r="G12" s="138">
        <f t="shared" si="10"/>
        <v>0</v>
      </c>
      <c r="H12" s="138">
        <f t="shared" si="10"/>
        <v>0</v>
      </c>
      <c r="I12" s="139">
        <f t="shared" si="10"/>
        <v>0</v>
      </c>
      <c r="J12" s="137">
        <f t="shared" si="10"/>
        <v>0</v>
      </c>
      <c r="K12" s="138">
        <f t="shared" si="10"/>
        <v>0</v>
      </c>
      <c r="L12" s="138"/>
      <c r="M12" s="138"/>
      <c r="N12" s="138"/>
      <c r="O12" s="138"/>
      <c r="P12" s="140">
        <f>sum(P13:P54)</f>
        <v>0</v>
      </c>
      <c r="Q12" s="119">
        <f t="shared" si="3"/>
        <v>0</v>
      </c>
      <c r="R12" s="120">
        <f t="shared" si="4"/>
        <v>0</v>
      </c>
      <c r="S12" s="121" t="str">
        <f t="shared" ref="S12:S17" si="11">IF(Q12=0,"",IF(R12=0,"обратить внимание",IF(R12&gt;1,"перерасход","экономия")))</f>
        <v/>
      </c>
    </row>
    <row r="13">
      <c r="A13" s="142" t="str">
        <f>IFERROR(VLOOKUP(B13,'Статьи'!$A$2:C35,3,0)," ")</f>
        <v>ДДС отчетного месяца. Без НДС!</v>
      </c>
      <c r="B13" s="125" t="str">
        <f>IFERROR(__xludf.DUMMYFUNCTION("iferror(filter('Статьи'!$A$1:$A177,'Статьи'!$B$1:$B177=$B$12))"),"Комиссия топливных компаний")</f>
        <v>Комиссия топливных компаний</v>
      </c>
      <c r="C13" s="112"/>
      <c r="D13" s="113"/>
      <c r="E13" s="114"/>
      <c r="F13" s="114"/>
      <c r="G13" s="114"/>
      <c r="H13" s="143"/>
      <c r="I13" s="116">
        <f t="shared" ref="I13:I54" si="12">sum(C13:H13)</f>
        <v>0</v>
      </c>
      <c r="J13" s="117"/>
      <c r="K13" s="118"/>
      <c r="L13" s="118"/>
      <c r="M13" s="118"/>
      <c r="N13" s="118"/>
      <c r="O13" s="118"/>
      <c r="P13" s="116">
        <f t="shared" ref="P13:P16" si="13">SUM(J13:K13)</f>
        <v>0</v>
      </c>
      <c r="Q13" s="119">
        <f t="shared" si="3"/>
        <v>0</v>
      </c>
      <c r="R13" s="120">
        <f t="shared" si="4"/>
        <v>0</v>
      </c>
      <c r="S13" s="121" t="str">
        <f t="shared" si="11"/>
        <v/>
      </c>
    </row>
    <row r="14">
      <c r="A14" s="142" t="str">
        <f>IFERROR(VLOOKUP(B14,'Статьи'!$A$2:C36,3,0)," ")</f>
        <v>1С</v>
      </c>
      <c r="B14" s="125" t="str">
        <f>IFERROR(__xludf.DUMMYFUNCTION("""COMPUTED_VALUE"""),"Топливо для грузовых авто ")</f>
        <v>Топливо для грузовых авто </v>
      </c>
      <c r="C14" s="145"/>
      <c r="D14" s="113"/>
      <c r="E14" s="114"/>
      <c r="F14" s="146"/>
      <c r="G14" s="146"/>
      <c r="H14" s="143"/>
      <c r="I14" s="116">
        <f t="shared" si="12"/>
        <v>0</v>
      </c>
      <c r="J14" s="117"/>
      <c r="K14" s="118"/>
      <c r="L14" s="118"/>
      <c r="M14" s="118"/>
      <c r="N14" s="118"/>
      <c r="O14" s="118"/>
      <c r="P14" s="116">
        <f t="shared" si="13"/>
        <v>0</v>
      </c>
      <c r="Q14" s="119">
        <f t="shared" si="3"/>
        <v>0</v>
      </c>
      <c r="R14" s="120">
        <f t="shared" si="4"/>
        <v>0</v>
      </c>
      <c r="S14" s="121" t="str">
        <f t="shared" si="11"/>
        <v/>
      </c>
    </row>
    <row r="15">
      <c r="A15" s="142" t="str">
        <f>IFERROR(VLOOKUP(B15,'Статьи'!$A$2:C37,3,0)," ")</f>
        <v> </v>
      </c>
      <c r="B15" s="144"/>
      <c r="C15" s="145"/>
      <c r="D15" s="113"/>
      <c r="E15" s="114"/>
      <c r="F15" s="146"/>
      <c r="G15" s="146"/>
      <c r="H15" s="143"/>
      <c r="I15" s="116">
        <f t="shared" si="12"/>
        <v>0</v>
      </c>
      <c r="J15" s="117"/>
      <c r="K15" s="118"/>
      <c r="L15" s="118"/>
      <c r="M15" s="118"/>
      <c r="N15" s="118"/>
      <c r="O15" s="118"/>
      <c r="P15" s="116">
        <f t="shared" si="13"/>
        <v>0</v>
      </c>
      <c r="Q15" s="119">
        <f t="shared" si="3"/>
        <v>0</v>
      </c>
      <c r="R15" s="120">
        <f t="shared" si="4"/>
        <v>0</v>
      </c>
      <c r="S15" s="121" t="str">
        <f t="shared" si="11"/>
        <v/>
      </c>
    </row>
    <row r="16">
      <c r="A16" s="142" t="str">
        <f>IFERROR(VLOOKUP(B16,'Статьи'!$A$2:C38,3,0)," ")</f>
        <v> </v>
      </c>
      <c r="B16" s="144"/>
      <c r="C16" s="145"/>
      <c r="D16" s="113"/>
      <c r="E16" s="114"/>
      <c r="F16" s="146"/>
      <c r="G16" s="146"/>
      <c r="H16" s="143"/>
      <c r="I16" s="116">
        <f t="shared" si="12"/>
        <v>0</v>
      </c>
      <c r="J16" s="117"/>
      <c r="K16" s="118"/>
      <c r="L16" s="118"/>
      <c r="M16" s="118"/>
      <c r="N16" s="118"/>
      <c r="O16" s="118"/>
      <c r="P16" s="116">
        <f t="shared" si="13"/>
        <v>0</v>
      </c>
      <c r="Q16" s="119">
        <f t="shared" si="3"/>
        <v>0</v>
      </c>
      <c r="R16" s="120">
        <f t="shared" si="4"/>
        <v>0</v>
      </c>
      <c r="S16" s="121" t="str">
        <f t="shared" si="11"/>
        <v/>
      </c>
    </row>
    <row r="17" collapsed="1">
      <c r="A17" s="147" t="str">
        <f>IFERROR(VLOOKUP(B17,'Статьи'!$A$2:C39,3,0)," ")</f>
        <v> </v>
      </c>
      <c r="B17" s="144"/>
      <c r="C17" s="145"/>
      <c r="D17" s="114"/>
      <c r="E17" s="114"/>
      <c r="F17" s="146"/>
      <c r="G17" s="146"/>
      <c r="H17" s="143"/>
      <c r="I17" s="116">
        <f t="shared" si="12"/>
        <v>0</v>
      </c>
      <c r="J17" s="123"/>
      <c r="K17" s="118"/>
      <c r="L17" s="118"/>
      <c r="M17" s="118"/>
      <c r="N17" s="118"/>
      <c r="O17" s="118"/>
      <c r="P17" s="116">
        <f t="shared" ref="P17:P54" si="14">sum(F17:J17)</f>
        <v>0</v>
      </c>
      <c r="Q17" s="119">
        <f t="shared" si="3"/>
        <v>0</v>
      </c>
      <c r="R17" s="120">
        <f t="shared" si="4"/>
        <v>0</v>
      </c>
      <c r="S17" s="121" t="str">
        <f t="shared" si="11"/>
        <v/>
      </c>
    </row>
    <row r="18" hidden="1" outlineLevel="1">
      <c r="A18" s="147"/>
      <c r="B18" s="144"/>
      <c r="C18" s="145"/>
      <c r="D18" s="114"/>
      <c r="E18" s="114"/>
      <c r="F18" s="146"/>
      <c r="G18" s="146"/>
      <c r="H18" s="143"/>
      <c r="I18" s="116">
        <f t="shared" si="12"/>
        <v>0</v>
      </c>
      <c r="J18" s="123"/>
      <c r="K18" s="118"/>
      <c r="L18" s="118"/>
      <c r="M18" s="118"/>
      <c r="N18" s="118"/>
      <c r="O18" s="118"/>
      <c r="P18" s="116">
        <f t="shared" si="14"/>
        <v>0</v>
      </c>
      <c r="Q18" s="132">
        <f t="shared" si="3"/>
        <v>0</v>
      </c>
      <c r="R18" s="133">
        <f t="shared" si="4"/>
        <v>0</v>
      </c>
      <c r="S18" s="133">
        <f t="shared" ref="S18:S54" si="15">IF(Q18=0,0,IF(R18&gt;1,"перерасход","экономия"))</f>
        <v>0</v>
      </c>
    </row>
    <row r="19" hidden="1" outlineLevel="1">
      <c r="A19" s="147"/>
      <c r="B19" s="144"/>
      <c r="C19" s="148"/>
      <c r="D19" s="114"/>
      <c r="E19" s="114"/>
      <c r="F19" s="146"/>
      <c r="G19" s="146"/>
      <c r="H19" s="143"/>
      <c r="I19" s="116">
        <f t="shared" si="12"/>
        <v>0</v>
      </c>
      <c r="J19" s="123"/>
      <c r="K19" s="118"/>
      <c r="L19" s="118"/>
      <c r="M19" s="118"/>
      <c r="N19" s="118"/>
      <c r="O19" s="118"/>
      <c r="P19" s="116">
        <f t="shared" si="14"/>
        <v>0</v>
      </c>
      <c r="Q19" s="132">
        <f t="shared" si="3"/>
        <v>0</v>
      </c>
      <c r="R19" s="133">
        <f t="shared" si="4"/>
        <v>0</v>
      </c>
      <c r="S19" s="133">
        <f t="shared" si="15"/>
        <v>0</v>
      </c>
    </row>
    <row r="20" hidden="1" outlineLevel="1">
      <c r="A20" s="147"/>
      <c r="B20" s="144"/>
      <c r="C20" s="148"/>
      <c r="D20" s="114"/>
      <c r="E20" s="114"/>
      <c r="F20" s="146"/>
      <c r="G20" s="146"/>
      <c r="H20" s="143"/>
      <c r="I20" s="116">
        <f t="shared" si="12"/>
        <v>0</v>
      </c>
      <c r="J20" s="123"/>
      <c r="K20" s="118"/>
      <c r="L20" s="118"/>
      <c r="M20" s="118"/>
      <c r="N20" s="118"/>
      <c r="O20" s="118"/>
      <c r="P20" s="116">
        <f t="shared" si="14"/>
        <v>0</v>
      </c>
      <c r="Q20" s="132">
        <f t="shared" si="3"/>
        <v>0</v>
      </c>
      <c r="R20" s="133">
        <f t="shared" si="4"/>
        <v>0</v>
      </c>
      <c r="S20" s="133">
        <f t="shared" si="15"/>
        <v>0</v>
      </c>
    </row>
    <row r="21" hidden="1" outlineLevel="1">
      <c r="A21" s="147"/>
      <c r="B21" s="144"/>
      <c r="C21" s="148"/>
      <c r="D21" s="114"/>
      <c r="E21" s="114"/>
      <c r="F21" s="146"/>
      <c r="G21" s="146"/>
      <c r="H21" s="143"/>
      <c r="I21" s="116">
        <f t="shared" si="12"/>
        <v>0</v>
      </c>
      <c r="J21" s="123"/>
      <c r="K21" s="118"/>
      <c r="L21" s="118"/>
      <c r="M21" s="118"/>
      <c r="N21" s="118"/>
      <c r="O21" s="118"/>
      <c r="P21" s="116">
        <f t="shared" si="14"/>
        <v>0</v>
      </c>
      <c r="Q21" s="132">
        <f t="shared" si="3"/>
        <v>0</v>
      </c>
      <c r="R21" s="133">
        <f t="shared" si="4"/>
        <v>0</v>
      </c>
      <c r="S21" s="133">
        <f t="shared" si="15"/>
        <v>0</v>
      </c>
    </row>
    <row r="22" hidden="1" outlineLevel="1">
      <c r="A22" s="147"/>
      <c r="B22" s="144"/>
      <c r="C22" s="145"/>
      <c r="D22" s="114"/>
      <c r="E22" s="114"/>
      <c r="F22" s="146"/>
      <c r="G22" s="146"/>
      <c r="H22" s="149"/>
      <c r="I22" s="116">
        <f t="shared" si="12"/>
        <v>0</v>
      </c>
      <c r="J22" s="123"/>
      <c r="K22" s="118"/>
      <c r="L22" s="118"/>
      <c r="M22" s="118"/>
      <c r="N22" s="118"/>
      <c r="O22" s="118"/>
      <c r="P22" s="116">
        <f t="shared" si="14"/>
        <v>0</v>
      </c>
      <c r="Q22" s="132">
        <f t="shared" si="3"/>
        <v>0</v>
      </c>
      <c r="R22" s="133">
        <f t="shared" si="4"/>
        <v>0</v>
      </c>
      <c r="S22" s="133">
        <f t="shared" si="15"/>
        <v>0</v>
      </c>
    </row>
    <row r="23" hidden="1" outlineLevel="1">
      <c r="A23" s="150"/>
      <c r="B23" s="151"/>
      <c r="C23" s="148"/>
      <c r="D23" s="114"/>
      <c r="E23" s="114"/>
      <c r="F23" s="146"/>
      <c r="G23" s="146"/>
      <c r="H23" s="143"/>
      <c r="I23" s="116">
        <f t="shared" si="12"/>
        <v>0</v>
      </c>
      <c r="J23" s="123"/>
      <c r="K23" s="118"/>
      <c r="L23" s="118"/>
      <c r="M23" s="118"/>
      <c r="N23" s="118"/>
      <c r="O23" s="118"/>
      <c r="P23" s="116">
        <f t="shared" si="14"/>
        <v>0</v>
      </c>
      <c r="Q23" s="132">
        <f t="shared" si="3"/>
        <v>0</v>
      </c>
      <c r="R23" s="133">
        <f t="shared" si="4"/>
        <v>0</v>
      </c>
      <c r="S23" s="133">
        <f t="shared" si="15"/>
        <v>0</v>
      </c>
    </row>
    <row r="24" hidden="1" outlineLevel="1">
      <c r="A24" s="142"/>
      <c r="B24" s="125"/>
      <c r="C24" s="148"/>
      <c r="D24" s="114"/>
      <c r="E24" s="114"/>
      <c r="F24" s="146"/>
      <c r="G24" s="146"/>
      <c r="H24" s="143"/>
      <c r="I24" s="116">
        <f t="shared" si="12"/>
        <v>0</v>
      </c>
      <c r="J24" s="123"/>
      <c r="K24" s="118"/>
      <c r="L24" s="118"/>
      <c r="M24" s="118"/>
      <c r="N24" s="118"/>
      <c r="O24" s="118"/>
      <c r="P24" s="116">
        <f t="shared" si="14"/>
        <v>0</v>
      </c>
      <c r="Q24" s="132">
        <f t="shared" si="3"/>
        <v>0</v>
      </c>
      <c r="R24" s="133">
        <f t="shared" si="4"/>
        <v>0</v>
      </c>
      <c r="S24" s="133">
        <f t="shared" si="15"/>
        <v>0</v>
      </c>
    </row>
    <row r="25" hidden="1" outlineLevel="1">
      <c r="A25" s="142"/>
      <c r="B25" s="125"/>
      <c r="C25" s="123"/>
      <c r="D25" s="114"/>
      <c r="E25" s="114"/>
      <c r="F25" s="114"/>
      <c r="G25" s="114"/>
      <c r="H25" s="143"/>
      <c r="I25" s="116">
        <f t="shared" si="12"/>
        <v>0</v>
      </c>
      <c r="J25" s="123"/>
      <c r="K25" s="118"/>
      <c r="L25" s="118"/>
      <c r="M25" s="118"/>
      <c r="N25" s="118"/>
      <c r="O25" s="118"/>
      <c r="P25" s="116">
        <f t="shared" si="14"/>
        <v>0</v>
      </c>
      <c r="Q25" s="132">
        <f t="shared" si="3"/>
        <v>0</v>
      </c>
      <c r="R25" s="133">
        <f t="shared" si="4"/>
        <v>0</v>
      </c>
      <c r="S25" s="133">
        <f t="shared" si="15"/>
        <v>0</v>
      </c>
    </row>
    <row r="26" hidden="1" outlineLevel="1">
      <c r="A26" s="142"/>
      <c r="B26" s="125"/>
      <c r="C26" s="123"/>
      <c r="D26" s="114"/>
      <c r="E26" s="114"/>
      <c r="F26" s="114"/>
      <c r="G26" s="114"/>
      <c r="H26" s="143"/>
      <c r="I26" s="116">
        <f t="shared" si="12"/>
        <v>0</v>
      </c>
      <c r="J26" s="123"/>
      <c r="K26" s="118"/>
      <c r="L26" s="118"/>
      <c r="M26" s="118"/>
      <c r="N26" s="118"/>
      <c r="O26" s="118"/>
      <c r="P26" s="116">
        <f t="shared" si="14"/>
        <v>0</v>
      </c>
      <c r="Q26" s="132">
        <f t="shared" si="3"/>
        <v>0</v>
      </c>
      <c r="R26" s="133">
        <f t="shared" si="4"/>
        <v>0</v>
      </c>
      <c r="S26" s="133">
        <f t="shared" si="15"/>
        <v>0</v>
      </c>
    </row>
    <row r="27" hidden="1" outlineLevel="1">
      <c r="A27" s="142"/>
      <c r="B27" s="125"/>
      <c r="C27" s="123"/>
      <c r="D27" s="114"/>
      <c r="E27" s="114"/>
      <c r="F27" s="114"/>
      <c r="G27" s="114"/>
      <c r="H27" s="143"/>
      <c r="I27" s="116">
        <f t="shared" si="12"/>
        <v>0</v>
      </c>
      <c r="J27" s="123"/>
      <c r="K27" s="118"/>
      <c r="L27" s="118"/>
      <c r="M27" s="118"/>
      <c r="N27" s="118"/>
      <c r="O27" s="118"/>
      <c r="P27" s="116">
        <f t="shared" si="14"/>
        <v>0</v>
      </c>
      <c r="Q27" s="132">
        <f t="shared" si="3"/>
        <v>0</v>
      </c>
      <c r="R27" s="133">
        <f t="shared" si="4"/>
        <v>0</v>
      </c>
      <c r="S27" s="133">
        <f t="shared" si="15"/>
        <v>0</v>
      </c>
    </row>
    <row r="28" hidden="1" outlineLevel="1">
      <c r="A28" s="142"/>
      <c r="B28" s="125"/>
      <c r="C28" s="123"/>
      <c r="D28" s="114"/>
      <c r="E28" s="114"/>
      <c r="F28" s="114"/>
      <c r="G28" s="114"/>
      <c r="H28" s="143"/>
      <c r="I28" s="116">
        <f t="shared" si="12"/>
        <v>0</v>
      </c>
      <c r="J28" s="123"/>
      <c r="K28" s="118"/>
      <c r="L28" s="118"/>
      <c r="M28" s="118"/>
      <c r="N28" s="118"/>
      <c r="O28" s="118"/>
      <c r="P28" s="116">
        <f t="shared" si="14"/>
        <v>0</v>
      </c>
      <c r="Q28" s="132">
        <f t="shared" si="3"/>
        <v>0</v>
      </c>
      <c r="R28" s="133">
        <f t="shared" si="4"/>
        <v>0</v>
      </c>
      <c r="S28" s="133">
        <f t="shared" si="15"/>
        <v>0</v>
      </c>
    </row>
    <row r="29" hidden="1" outlineLevel="1">
      <c r="A29" s="142"/>
      <c r="B29" s="125"/>
      <c r="C29" s="123"/>
      <c r="D29" s="114"/>
      <c r="E29" s="114"/>
      <c r="F29" s="114"/>
      <c r="G29" s="114"/>
      <c r="H29" s="143"/>
      <c r="I29" s="116">
        <f t="shared" si="12"/>
        <v>0</v>
      </c>
      <c r="J29" s="123"/>
      <c r="K29" s="118"/>
      <c r="L29" s="118"/>
      <c r="M29" s="118"/>
      <c r="N29" s="118"/>
      <c r="O29" s="118"/>
      <c r="P29" s="116">
        <f t="shared" si="14"/>
        <v>0</v>
      </c>
      <c r="Q29" s="132">
        <f t="shared" si="3"/>
        <v>0</v>
      </c>
      <c r="R29" s="133">
        <f t="shared" si="4"/>
        <v>0</v>
      </c>
      <c r="S29" s="133">
        <f t="shared" si="15"/>
        <v>0</v>
      </c>
    </row>
    <row r="30" hidden="1" outlineLevel="1">
      <c r="A30" s="142"/>
      <c r="B30" s="125"/>
      <c r="C30" s="123"/>
      <c r="D30" s="114"/>
      <c r="E30" s="114"/>
      <c r="F30" s="114"/>
      <c r="G30" s="114"/>
      <c r="H30" s="143"/>
      <c r="I30" s="116">
        <f t="shared" si="12"/>
        <v>0</v>
      </c>
      <c r="J30" s="123"/>
      <c r="K30" s="118"/>
      <c r="L30" s="118"/>
      <c r="M30" s="118"/>
      <c r="N30" s="118"/>
      <c r="O30" s="118"/>
      <c r="P30" s="116">
        <f t="shared" si="14"/>
        <v>0</v>
      </c>
      <c r="Q30" s="132">
        <f t="shared" si="3"/>
        <v>0</v>
      </c>
      <c r="R30" s="133">
        <f t="shared" si="4"/>
        <v>0</v>
      </c>
      <c r="S30" s="133">
        <f t="shared" si="15"/>
        <v>0</v>
      </c>
    </row>
    <row r="31" hidden="1" outlineLevel="1">
      <c r="A31" s="142"/>
      <c r="B31" s="125"/>
      <c r="C31" s="123"/>
      <c r="D31" s="114"/>
      <c r="E31" s="114"/>
      <c r="F31" s="114"/>
      <c r="G31" s="114"/>
      <c r="H31" s="143"/>
      <c r="I31" s="116">
        <f t="shared" si="12"/>
        <v>0</v>
      </c>
      <c r="J31" s="123"/>
      <c r="K31" s="118"/>
      <c r="L31" s="118"/>
      <c r="M31" s="118"/>
      <c r="N31" s="118"/>
      <c r="O31" s="118"/>
      <c r="P31" s="116">
        <f t="shared" si="14"/>
        <v>0</v>
      </c>
      <c r="Q31" s="132">
        <f t="shared" si="3"/>
        <v>0</v>
      </c>
      <c r="R31" s="133">
        <f t="shared" si="4"/>
        <v>0</v>
      </c>
      <c r="S31" s="133">
        <f t="shared" si="15"/>
        <v>0</v>
      </c>
    </row>
    <row r="32" hidden="1" outlineLevel="1">
      <c r="A32" s="142"/>
      <c r="B32" s="125"/>
      <c r="C32" s="123"/>
      <c r="D32" s="114"/>
      <c r="E32" s="114"/>
      <c r="F32" s="114"/>
      <c r="G32" s="114"/>
      <c r="H32" s="143"/>
      <c r="I32" s="116">
        <f t="shared" si="12"/>
        <v>0</v>
      </c>
      <c r="J32" s="123"/>
      <c r="K32" s="118"/>
      <c r="L32" s="118"/>
      <c r="M32" s="118"/>
      <c r="N32" s="118"/>
      <c r="O32" s="118"/>
      <c r="P32" s="116">
        <f t="shared" si="14"/>
        <v>0</v>
      </c>
      <c r="Q32" s="132">
        <f t="shared" si="3"/>
        <v>0</v>
      </c>
      <c r="R32" s="133">
        <f t="shared" si="4"/>
        <v>0</v>
      </c>
      <c r="S32" s="133">
        <f t="shared" si="15"/>
        <v>0</v>
      </c>
    </row>
    <row r="33" hidden="1" outlineLevel="1">
      <c r="A33" s="142"/>
      <c r="B33" s="125"/>
      <c r="C33" s="123"/>
      <c r="D33" s="114"/>
      <c r="E33" s="114"/>
      <c r="F33" s="114"/>
      <c r="G33" s="114"/>
      <c r="H33" s="143"/>
      <c r="I33" s="116">
        <f t="shared" si="12"/>
        <v>0</v>
      </c>
      <c r="J33" s="123"/>
      <c r="K33" s="118"/>
      <c r="L33" s="118"/>
      <c r="M33" s="118"/>
      <c r="N33" s="118"/>
      <c r="O33" s="118"/>
      <c r="P33" s="116">
        <f t="shared" si="14"/>
        <v>0</v>
      </c>
      <c r="Q33" s="132">
        <f t="shared" si="3"/>
        <v>0</v>
      </c>
      <c r="R33" s="133">
        <f t="shared" si="4"/>
        <v>0</v>
      </c>
      <c r="S33" s="133">
        <f t="shared" si="15"/>
        <v>0</v>
      </c>
    </row>
    <row r="34" hidden="1" outlineLevel="1">
      <c r="A34" s="142"/>
      <c r="B34" s="125"/>
      <c r="C34" s="123"/>
      <c r="D34" s="114"/>
      <c r="E34" s="114"/>
      <c r="F34" s="114"/>
      <c r="G34" s="114"/>
      <c r="H34" s="143"/>
      <c r="I34" s="116">
        <f t="shared" si="12"/>
        <v>0</v>
      </c>
      <c r="J34" s="123"/>
      <c r="K34" s="118"/>
      <c r="L34" s="118"/>
      <c r="M34" s="118"/>
      <c r="N34" s="118"/>
      <c r="O34" s="118"/>
      <c r="P34" s="116">
        <f t="shared" si="14"/>
        <v>0</v>
      </c>
      <c r="Q34" s="132">
        <f t="shared" si="3"/>
        <v>0</v>
      </c>
      <c r="R34" s="133">
        <f t="shared" si="4"/>
        <v>0</v>
      </c>
      <c r="S34" s="133">
        <f t="shared" si="15"/>
        <v>0</v>
      </c>
    </row>
    <row r="35" hidden="1" outlineLevel="1">
      <c r="A35" s="142"/>
      <c r="B35" s="125"/>
      <c r="C35" s="123"/>
      <c r="D35" s="114"/>
      <c r="E35" s="114"/>
      <c r="F35" s="114"/>
      <c r="G35" s="114"/>
      <c r="H35" s="143"/>
      <c r="I35" s="116">
        <f t="shared" si="12"/>
        <v>0</v>
      </c>
      <c r="J35" s="123"/>
      <c r="K35" s="118"/>
      <c r="L35" s="118"/>
      <c r="M35" s="118"/>
      <c r="N35" s="118"/>
      <c r="O35" s="118"/>
      <c r="P35" s="116">
        <f t="shared" si="14"/>
        <v>0</v>
      </c>
      <c r="Q35" s="132">
        <f t="shared" si="3"/>
        <v>0</v>
      </c>
      <c r="R35" s="133">
        <f t="shared" si="4"/>
        <v>0</v>
      </c>
      <c r="S35" s="133">
        <f t="shared" si="15"/>
        <v>0</v>
      </c>
    </row>
    <row r="36" hidden="1" outlineLevel="1">
      <c r="A36" s="142"/>
      <c r="B36" s="125"/>
      <c r="C36" s="123"/>
      <c r="D36" s="114"/>
      <c r="E36" s="114"/>
      <c r="F36" s="114"/>
      <c r="G36" s="114"/>
      <c r="H36" s="143"/>
      <c r="I36" s="116">
        <f t="shared" si="12"/>
        <v>0</v>
      </c>
      <c r="J36" s="123"/>
      <c r="K36" s="118"/>
      <c r="L36" s="118"/>
      <c r="M36" s="118"/>
      <c r="N36" s="118"/>
      <c r="O36" s="118"/>
      <c r="P36" s="116">
        <f t="shared" si="14"/>
        <v>0</v>
      </c>
      <c r="Q36" s="132">
        <f t="shared" si="3"/>
        <v>0</v>
      </c>
      <c r="R36" s="133">
        <f t="shared" si="4"/>
        <v>0</v>
      </c>
      <c r="S36" s="133">
        <f t="shared" si="15"/>
        <v>0</v>
      </c>
    </row>
    <row r="37" hidden="1" outlineLevel="1">
      <c r="A37" s="142"/>
      <c r="B37" s="125"/>
      <c r="C37" s="123"/>
      <c r="D37" s="114"/>
      <c r="E37" s="114"/>
      <c r="F37" s="114"/>
      <c r="G37" s="114"/>
      <c r="H37" s="143"/>
      <c r="I37" s="116">
        <f t="shared" si="12"/>
        <v>0</v>
      </c>
      <c r="J37" s="123"/>
      <c r="K37" s="118"/>
      <c r="L37" s="118"/>
      <c r="M37" s="118"/>
      <c r="N37" s="118"/>
      <c r="O37" s="118"/>
      <c r="P37" s="116">
        <f t="shared" si="14"/>
        <v>0</v>
      </c>
      <c r="Q37" s="132">
        <f t="shared" si="3"/>
        <v>0</v>
      </c>
      <c r="R37" s="133">
        <f t="shared" si="4"/>
        <v>0</v>
      </c>
      <c r="S37" s="133">
        <f t="shared" si="15"/>
        <v>0</v>
      </c>
    </row>
    <row r="38" hidden="1" outlineLevel="1">
      <c r="A38" s="142"/>
      <c r="B38" s="125"/>
      <c r="C38" s="123"/>
      <c r="D38" s="114"/>
      <c r="E38" s="114"/>
      <c r="F38" s="114"/>
      <c r="G38" s="114"/>
      <c r="H38" s="143"/>
      <c r="I38" s="116">
        <f t="shared" si="12"/>
        <v>0</v>
      </c>
      <c r="J38" s="123"/>
      <c r="K38" s="118"/>
      <c r="L38" s="118"/>
      <c r="M38" s="118"/>
      <c r="N38" s="118"/>
      <c r="O38" s="118"/>
      <c r="P38" s="116">
        <f t="shared" si="14"/>
        <v>0</v>
      </c>
      <c r="Q38" s="132">
        <f t="shared" si="3"/>
        <v>0</v>
      </c>
      <c r="R38" s="133">
        <f t="shared" si="4"/>
        <v>0</v>
      </c>
      <c r="S38" s="133">
        <f t="shared" si="15"/>
        <v>0</v>
      </c>
    </row>
    <row r="39" hidden="1" outlineLevel="1">
      <c r="A39" s="142"/>
      <c r="B39" s="125"/>
      <c r="C39" s="123"/>
      <c r="D39" s="114"/>
      <c r="E39" s="114"/>
      <c r="F39" s="114"/>
      <c r="G39" s="114"/>
      <c r="H39" s="143"/>
      <c r="I39" s="116">
        <f t="shared" si="12"/>
        <v>0</v>
      </c>
      <c r="J39" s="123"/>
      <c r="K39" s="118"/>
      <c r="L39" s="118"/>
      <c r="M39" s="118"/>
      <c r="N39" s="118"/>
      <c r="O39" s="118"/>
      <c r="P39" s="116">
        <f t="shared" si="14"/>
        <v>0</v>
      </c>
      <c r="Q39" s="132">
        <f t="shared" si="3"/>
        <v>0</v>
      </c>
      <c r="R39" s="133">
        <f t="shared" si="4"/>
        <v>0</v>
      </c>
      <c r="S39" s="133">
        <f t="shared" si="15"/>
        <v>0</v>
      </c>
    </row>
    <row r="40" hidden="1" outlineLevel="1">
      <c r="A40" s="142"/>
      <c r="B40" s="125"/>
      <c r="C40" s="123"/>
      <c r="D40" s="114"/>
      <c r="E40" s="114"/>
      <c r="F40" s="114"/>
      <c r="G40" s="114"/>
      <c r="H40" s="143"/>
      <c r="I40" s="116">
        <f t="shared" si="12"/>
        <v>0</v>
      </c>
      <c r="J40" s="123"/>
      <c r="K40" s="118"/>
      <c r="L40" s="118"/>
      <c r="M40" s="118"/>
      <c r="N40" s="118"/>
      <c r="O40" s="118"/>
      <c r="P40" s="116">
        <f t="shared" si="14"/>
        <v>0</v>
      </c>
      <c r="Q40" s="132">
        <f t="shared" si="3"/>
        <v>0</v>
      </c>
      <c r="R40" s="133">
        <f t="shared" si="4"/>
        <v>0</v>
      </c>
      <c r="S40" s="133">
        <f t="shared" si="15"/>
        <v>0</v>
      </c>
    </row>
    <row r="41" hidden="1" outlineLevel="1">
      <c r="A41" s="142"/>
      <c r="B41" s="125"/>
      <c r="C41" s="123"/>
      <c r="D41" s="114"/>
      <c r="E41" s="114"/>
      <c r="F41" s="114"/>
      <c r="G41" s="114"/>
      <c r="H41" s="143"/>
      <c r="I41" s="116">
        <f t="shared" si="12"/>
        <v>0</v>
      </c>
      <c r="J41" s="123"/>
      <c r="K41" s="118"/>
      <c r="L41" s="118"/>
      <c r="M41" s="118"/>
      <c r="N41" s="118"/>
      <c r="O41" s="118"/>
      <c r="P41" s="116">
        <f t="shared" si="14"/>
        <v>0</v>
      </c>
      <c r="Q41" s="132">
        <f t="shared" si="3"/>
        <v>0</v>
      </c>
      <c r="R41" s="133">
        <f t="shared" si="4"/>
        <v>0</v>
      </c>
      <c r="S41" s="133">
        <f t="shared" si="15"/>
        <v>0</v>
      </c>
    </row>
    <row r="42" hidden="1" outlineLevel="1">
      <c r="A42" s="142"/>
      <c r="B42" s="125"/>
      <c r="C42" s="123"/>
      <c r="D42" s="114"/>
      <c r="E42" s="114"/>
      <c r="F42" s="114"/>
      <c r="G42" s="114"/>
      <c r="H42" s="143"/>
      <c r="I42" s="116">
        <f t="shared" si="12"/>
        <v>0</v>
      </c>
      <c r="J42" s="123"/>
      <c r="K42" s="118"/>
      <c r="L42" s="118"/>
      <c r="M42" s="118"/>
      <c r="N42" s="118"/>
      <c r="O42" s="118"/>
      <c r="P42" s="116">
        <f t="shared" si="14"/>
        <v>0</v>
      </c>
      <c r="Q42" s="132">
        <f t="shared" si="3"/>
        <v>0</v>
      </c>
      <c r="R42" s="133">
        <f t="shared" si="4"/>
        <v>0</v>
      </c>
      <c r="S42" s="133">
        <f t="shared" si="15"/>
        <v>0</v>
      </c>
    </row>
    <row r="43" hidden="1" outlineLevel="1">
      <c r="A43" s="142"/>
      <c r="B43" s="125"/>
      <c r="C43" s="123"/>
      <c r="D43" s="114"/>
      <c r="E43" s="114"/>
      <c r="F43" s="114"/>
      <c r="G43" s="114"/>
      <c r="H43" s="143"/>
      <c r="I43" s="116">
        <f t="shared" si="12"/>
        <v>0</v>
      </c>
      <c r="J43" s="123"/>
      <c r="K43" s="118"/>
      <c r="L43" s="118"/>
      <c r="M43" s="118"/>
      <c r="N43" s="118"/>
      <c r="O43" s="118"/>
      <c r="P43" s="116">
        <f t="shared" si="14"/>
        <v>0</v>
      </c>
      <c r="Q43" s="132">
        <f t="shared" si="3"/>
        <v>0</v>
      </c>
      <c r="R43" s="133">
        <f t="shared" si="4"/>
        <v>0</v>
      </c>
      <c r="S43" s="133">
        <f t="shared" si="15"/>
        <v>0</v>
      </c>
    </row>
    <row r="44" hidden="1" outlineLevel="1">
      <c r="A44" s="142"/>
      <c r="B44" s="125"/>
      <c r="C44" s="123"/>
      <c r="D44" s="114"/>
      <c r="E44" s="114"/>
      <c r="F44" s="114"/>
      <c r="G44" s="114"/>
      <c r="H44" s="143"/>
      <c r="I44" s="116">
        <f t="shared" si="12"/>
        <v>0</v>
      </c>
      <c r="J44" s="123"/>
      <c r="K44" s="118"/>
      <c r="L44" s="118"/>
      <c r="M44" s="118"/>
      <c r="N44" s="118"/>
      <c r="O44" s="118"/>
      <c r="P44" s="116">
        <f t="shared" si="14"/>
        <v>0</v>
      </c>
      <c r="Q44" s="132">
        <f t="shared" si="3"/>
        <v>0</v>
      </c>
      <c r="R44" s="133">
        <f t="shared" si="4"/>
        <v>0</v>
      </c>
      <c r="S44" s="133">
        <f t="shared" si="15"/>
        <v>0</v>
      </c>
    </row>
    <row r="45" hidden="1" outlineLevel="1">
      <c r="A45" s="142"/>
      <c r="B45" s="125"/>
      <c r="C45" s="123"/>
      <c r="D45" s="114"/>
      <c r="E45" s="114"/>
      <c r="F45" s="114"/>
      <c r="G45" s="114"/>
      <c r="H45" s="143"/>
      <c r="I45" s="116">
        <f t="shared" si="12"/>
        <v>0</v>
      </c>
      <c r="J45" s="123"/>
      <c r="K45" s="118"/>
      <c r="L45" s="118"/>
      <c r="M45" s="118"/>
      <c r="N45" s="118"/>
      <c r="O45" s="118"/>
      <c r="P45" s="116">
        <f t="shared" si="14"/>
        <v>0</v>
      </c>
      <c r="Q45" s="132">
        <f t="shared" si="3"/>
        <v>0</v>
      </c>
      <c r="R45" s="133">
        <f t="shared" si="4"/>
        <v>0</v>
      </c>
      <c r="S45" s="133">
        <f t="shared" si="15"/>
        <v>0</v>
      </c>
    </row>
    <row r="46" hidden="1" outlineLevel="1">
      <c r="A46" s="142"/>
      <c r="B46" s="125"/>
      <c r="C46" s="123"/>
      <c r="D46" s="114"/>
      <c r="E46" s="114"/>
      <c r="F46" s="114"/>
      <c r="G46" s="114"/>
      <c r="H46" s="143"/>
      <c r="I46" s="116">
        <f t="shared" si="12"/>
        <v>0</v>
      </c>
      <c r="J46" s="123"/>
      <c r="K46" s="118"/>
      <c r="L46" s="118"/>
      <c r="M46" s="118"/>
      <c r="N46" s="118"/>
      <c r="O46" s="118"/>
      <c r="P46" s="116">
        <f t="shared" si="14"/>
        <v>0</v>
      </c>
      <c r="Q46" s="132">
        <f t="shared" si="3"/>
        <v>0</v>
      </c>
      <c r="R46" s="133">
        <f t="shared" si="4"/>
        <v>0</v>
      </c>
      <c r="S46" s="133">
        <f t="shared" si="15"/>
        <v>0</v>
      </c>
    </row>
    <row r="47" hidden="1" outlineLevel="1">
      <c r="A47" s="142"/>
      <c r="B47" s="125"/>
      <c r="C47" s="123"/>
      <c r="D47" s="114"/>
      <c r="E47" s="114"/>
      <c r="F47" s="114"/>
      <c r="G47" s="114"/>
      <c r="H47" s="143"/>
      <c r="I47" s="116">
        <f t="shared" si="12"/>
        <v>0</v>
      </c>
      <c r="J47" s="123"/>
      <c r="K47" s="118"/>
      <c r="L47" s="118"/>
      <c r="M47" s="118"/>
      <c r="N47" s="118"/>
      <c r="O47" s="118"/>
      <c r="P47" s="116">
        <f t="shared" si="14"/>
        <v>0</v>
      </c>
      <c r="Q47" s="132">
        <f t="shared" si="3"/>
        <v>0</v>
      </c>
      <c r="R47" s="133">
        <f t="shared" si="4"/>
        <v>0</v>
      </c>
      <c r="S47" s="133">
        <f t="shared" si="15"/>
        <v>0</v>
      </c>
    </row>
    <row r="48" hidden="1" outlineLevel="1">
      <c r="A48" s="142"/>
      <c r="B48" s="125"/>
      <c r="C48" s="123"/>
      <c r="D48" s="114"/>
      <c r="E48" s="114"/>
      <c r="F48" s="114"/>
      <c r="G48" s="114"/>
      <c r="H48" s="143"/>
      <c r="I48" s="116">
        <f t="shared" si="12"/>
        <v>0</v>
      </c>
      <c r="J48" s="123"/>
      <c r="K48" s="118"/>
      <c r="L48" s="118"/>
      <c r="M48" s="118"/>
      <c r="N48" s="118"/>
      <c r="O48" s="118"/>
      <c r="P48" s="116">
        <f t="shared" si="14"/>
        <v>0</v>
      </c>
      <c r="Q48" s="132">
        <f t="shared" si="3"/>
        <v>0</v>
      </c>
      <c r="R48" s="133">
        <f t="shared" si="4"/>
        <v>0</v>
      </c>
      <c r="S48" s="133">
        <f t="shared" si="15"/>
        <v>0</v>
      </c>
    </row>
    <row r="49" hidden="1" outlineLevel="1">
      <c r="A49" s="142"/>
      <c r="B49" s="125"/>
      <c r="C49" s="123"/>
      <c r="D49" s="143"/>
      <c r="E49" s="114"/>
      <c r="F49" s="114"/>
      <c r="G49" s="114"/>
      <c r="H49" s="143"/>
      <c r="I49" s="116">
        <f t="shared" si="12"/>
        <v>0</v>
      </c>
      <c r="J49" s="123"/>
      <c r="K49" s="118"/>
      <c r="L49" s="118"/>
      <c r="M49" s="118"/>
      <c r="N49" s="118"/>
      <c r="O49" s="118"/>
      <c r="P49" s="116">
        <f t="shared" si="14"/>
        <v>0</v>
      </c>
      <c r="Q49" s="132">
        <f t="shared" si="3"/>
        <v>0</v>
      </c>
      <c r="R49" s="133">
        <f t="shared" si="4"/>
        <v>0</v>
      </c>
      <c r="S49" s="133">
        <f t="shared" si="15"/>
        <v>0</v>
      </c>
    </row>
    <row r="50" hidden="1" outlineLevel="1">
      <c r="A50" s="142"/>
      <c r="B50" s="125"/>
      <c r="C50" s="123"/>
      <c r="D50" s="114"/>
      <c r="E50" s="114"/>
      <c r="F50" s="114"/>
      <c r="G50" s="114"/>
      <c r="H50" s="143"/>
      <c r="I50" s="116">
        <f t="shared" si="12"/>
        <v>0</v>
      </c>
      <c r="J50" s="123"/>
      <c r="K50" s="118"/>
      <c r="L50" s="118"/>
      <c r="M50" s="118"/>
      <c r="N50" s="118"/>
      <c r="O50" s="118"/>
      <c r="P50" s="116">
        <f t="shared" si="14"/>
        <v>0</v>
      </c>
      <c r="Q50" s="132">
        <f t="shared" si="3"/>
        <v>0</v>
      </c>
      <c r="R50" s="133">
        <f t="shared" si="4"/>
        <v>0</v>
      </c>
      <c r="S50" s="133">
        <f t="shared" si="15"/>
        <v>0</v>
      </c>
    </row>
    <row r="51" hidden="1" outlineLevel="1">
      <c r="A51" s="142"/>
      <c r="B51" s="125"/>
      <c r="C51" s="123"/>
      <c r="D51" s="114"/>
      <c r="E51" s="114"/>
      <c r="F51" s="114"/>
      <c r="G51" s="114"/>
      <c r="H51" s="143"/>
      <c r="I51" s="116">
        <f t="shared" si="12"/>
        <v>0</v>
      </c>
      <c r="J51" s="123"/>
      <c r="K51" s="118"/>
      <c r="L51" s="118"/>
      <c r="M51" s="118"/>
      <c r="N51" s="118"/>
      <c r="O51" s="118"/>
      <c r="P51" s="116">
        <f t="shared" si="14"/>
        <v>0</v>
      </c>
      <c r="Q51" s="132">
        <f t="shared" si="3"/>
        <v>0</v>
      </c>
      <c r="R51" s="133">
        <f t="shared" si="4"/>
        <v>0</v>
      </c>
      <c r="S51" s="133">
        <f t="shared" si="15"/>
        <v>0</v>
      </c>
    </row>
    <row r="52" hidden="1" outlineLevel="1">
      <c r="A52" s="142"/>
      <c r="B52" s="125"/>
      <c r="C52" s="123"/>
      <c r="D52" s="114"/>
      <c r="E52" s="114"/>
      <c r="F52" s="114"/>
      <c r="G52" s="114"/>
      <c r="H52" s="149"/>
      <c r="I52" s="116">
        <f t="shared" si="12"/>
        <v>0</v>
      </c>
      <c r="J52" s="123"/>
      <c r="K52" s="118"/>
      <c r="L52" s="118"/>
      <c r="M52" s="118"/>
      <c r="N52" s="118"/>
      <c r="O52" s="118"/>
      <c r="P52" s="116">
        <f t="shared" si="14"/>
        <v>0</v>
      </c>
      <c r="Q52" s="132">
        <f t="shared" si="3"/>
        <v>0</v>
      </c>
      <c r="R52" s="133">
        <f t="shared" si="4"/>
        <v>0</v>
      </c>
      <c r="S52" s="133">
        <f t="shared" si="15"/>
        <v>0</v>
      </c>
    </row>
    <row r="53" hidden="1" outlineLevel="1">
      <c r="A53" s="142"/>
      <c r="B53" s="125"/>
      <c r="C53" s="123"/>
      <c r="D53" s="114"/>
      <c r="E53" s="114"/>
      <c r="F53" s="114"/>
      <c r="G53" s="114"/>
      <c r="H53" s="143"/>
      <c r="I53" s="116">
        <f t="shared" si="12"/>
        <v>0</v>
      </c>
      <c r="J53" s="123"/>
      <c r="K53" s="118"/>
      <c r="L53" s="118"/>
      <c r="M53" s="118"/>
      <c r="N53" s="118"/>
      <c r="O53" s="118"/>
      <c r="P53" s="116">
        <f t="shared" si="14"/>
        <v>0</v>
      </c>
      <c r="Q53" s="132">
        <f t="shared" si="3"/>
        <v>0</v>
      </c>
      <c r="R53" s="133">
        <f t="shared" si="4"/>
        <v>0</v>
      </c>
      <c r="S53" s="133">
        <f t="shared" si="15"/>
        <v>0</v>
      </c>
    </row>
    <row r="54" hidden="1" outlineLevel="1">
      <c r="A54" s="142"/>
      <c r="B54" s="125"/>
      <c r="C54" s="122"/>
      <c r="D54" s="114"/>
      <c r="E54" s="114"/>
      <c r="F54" s="114"/>
      <c r="G54" s="114"/>
      <c r="H54" s="143"/>
      <c r="I54" s="116">
        <f t="shared" si="12"/>
        <v>0</v>
      </c>
      <c r="J54" s="123"/>
      <c r="K54" s="118"/>
      <c r="L54" s="118"/>
      <c r="M54" s="118"/>
      <c r="N54" s="118"/>
      <c r="O54" s="118"/>
      <c r="P54" s="116">
        <f t="shared" si="14"/>
        <v>0</v>
      </c>
      <c r="Q54" s="132">
        <f t="shared" si="3"/>
        <v>0</v>
      </c>
      <c r="R54" s="133">
        <f t="shared" si="4"/>
        <v>0</v>
      </c>
      <c r="S54" s="133">
        <f t="shared" si="15"/>
        <v>0</v>
      </c>
    </row>
    <row r="55">
      <c r="A55" s="152"/>
      <c r="B55" s="153" t="s">
        <v>136</v>
      </c>
      <c r="C55" s="154">
        <f t="shared" ref="C55:K55" si="16">C3+C12</f>
        <v>11</v>
      </c>
      <c r="D55" s="155">
        <f t="shared" si="16"/>
        <v>0</v>
      </c>
      <c r="E55" s="155">
        <f t="shared" si="16"/>
        <v>0</v>
      </c>
      <c r="F55" s="155">
        <f t="shared" si="16"/>
        <v>0</v>
      </c>
      <c r="G55" s="155">
        <f t="shared" si="16"/>
        <v>0</v>
      </c>
      <c r="H55" s="156">
        <f t="shared" si="16"/>
        <v>0</v>
      </c>
      <c r="I55" s="157">
        <f t="shared" si="16"/>
        <v>11</v>
      </c>
      <c r="J55" s="154">
        <f t="shared" si="16"/>
        <v>0</v>
      </c>
      <c r="K55" s="155">
        <f t="shared" si="16"/>
        <v>0</v>
      </c>
      <c r="L55" s="155"/>
      <c r="M55" s="155"/>
      <c r="N55" s="155"/>
      <c r="O55" s="155"/>
      <c r="P55" s="157">
        <f>P3+P12</f>
        <v>0</v>
      </c>
      <c r="Q55" s="155">
        <f t="shared" si="3"/>
        <v>11</v>
      </c>
      <c r="R55" s="158">
        <f t="shared" si="4"/>
        <v>0</v>
      </c>
      <c r="S55" s="159" t="str">
        <f>IF(Q55=0,"",IF(R55&gt;1,"выполнение","план не выполнен"))</f>
        <v>план не выполнен</v>
      </c>
    </row>
    <row r="56">
      <c r="A56" s="160"/>
      <c r="B56" s="161" t="s">
        <v>137</v>
      </c>
      <c r="C56" s="162">
        <f t="shared" ref="C56:K56" si="17">IFERROR(C55/C$3,"")</f>
        <v>1</v>
      </c>
      <c r="D56" s="163" t="str">
        <f t="shared" si="17"/>
        <v/>
      </c>
      <c r="E56" s="163" t="str">
        <f t="shared" si="17"/>
        <v/>
      </c>
      <c r="F56" s="163" t="str">
        <f t="shared" si="17"/>
        <v/>
      </c>
      <c r="G56" s="163" t="str">
        <f t="shared" si="17"/>
        <v/>
      </c>
      <c r="H56" s="163" t="str">
        <f t="shared" si="17"/>
        <v/>
      </c>
      <c r="I56" s="164">
        <f t="shared" si="17"/>
        <v>1</v>
      </c>
      <c r="J56" s="163" t="str">
        <f t="shared" si="17"/>
        <v/>
      </c>
      <c r="K56" s="163" t="str">
        <f t="shared" si="17"/>
        <v/>
      </c>
      <c r="L56" s="163"/>
      <c r="M56" s="163"/>
      <c r="N56" s="163"/>
      <c r="O56" s="163"/>
      <c r="P56" s="164" t="str">
        <f>IFERROR(P55/P$3,"")</f>
        <v/>
      </c>
      <c r="Q56" s="121"/>
      <c r="R56" s="121"/>
      <c r="S56" s="121"/>
    </row>
    <row r="57">
      <c r="A57" s="142"/>
      <c r="B57" s="125"/>
      <c r="C57" s="122"/>
      <c r="D57" s="114"/>
      <c r="E57" s="114"/>
      <c r="F57" s="114"/>
      <c r="G57" s="114"/>
      <c r="H57" s="114"/>
      <c r="I57" s="116"/>
      <c r="J57" s="123"/>
      <c r="K57" s="118"/>
      <c r="L57" s="118"/>
      <c r="M57" s="118"/>
      <c r="N57" s="118"/>
      <c r="O57" s="118"/>
      <c r="P57" s="116"/>
      <c r="Q57" s="121"/>
      <c r="R57" s="121"/>
      <c r="S57" s="121"/>
    </row>
    <row r="58">
      <c r="A58" s="135"/>
      <c r="B58" s="136" t="s">
        <v>94</v>
      </c>
      <c r="C58" s="165">
        <f t="shared" ref="C58:H58" si="18">sum(C59:C79)</f>
        <v>0</v>
      </c>
      <c r="D58" s="166">
        <f t="shared" si="18"/>
        <v>0</v>
      </c>
      <c r="E58" s="166">
        <f t="shared" si="18"/>
        <v>0</v>
      </c>
      <c r="F58" s="166">
        <f t="shared" si="18"/>
        <v>0</v>
      </c>
      <c r="G58" s="166">
        <f t="shared" si="18"/>
        <v>0</v>
      </c>
      <c r="H58" s="166">
        <f t="shared" si="18"/>
        <v>0</v>
      </c>
      <c r="I58" s="167">
        <f t="shared" ref="I58:K58" si="19">SUM(I59:I84)</f>
        <v>0</v>
      </c>
      <c r="J58" s="165">
        <f t="shared" si="19"/>
        <v>0</v>
      </c>
      <c r="K58" s="166">
        <f t="shared" si="19"/>
        <v>0</v>
      </c>
      <c r="L58" s="166"/>
      <c r="M58" s="166"/>
      <c r="N58" s="166"/>
      <c r="O58" s="166"/>
      <c r="P58" s="168">
        <f>SUM(P59:P84)</f>
        <v>0</v>
      </c>
      <c r="Q58" s="166">
        <f t="shared" ref="Q58:Q85" si="20">I58-P58</f>
        <v>0</v>
      </c>
      <c r="R58" s="169">
        <f t="shared" ref="R58:R85" si="21">IFERROR(I58/P58,0)</f>
        <v>0</v>
      </c>
      <c r="S58" s="141" t="str">
        <f>IF(Q58=0,"",IF(R58&gt;1,"план не выполнен","выполнение"))</f>
        <v/>
      </c>
    </row>
    <row r="59">
      <c r="A59" s="142" t="str">
        <f>IFERROR(VLOOKUP(B59,'Статьи'!$A$2:C81,3,0)," ")</f>
        <v>1С</v>
      </c>
      <c r="B59" s="125" t="str">
        <f>IFERROR(__xludf.DUMMYFUNCTION("iferror(filter('Статьи'!$A$1:$A177,'Статьи'!$B$1:$B177=$B$58))"),"Зарплата производственного персонала")</f>
        <v>Зарплата производственного персонала</v>
      </c>
      <c r="C59" s="170"/>
      <c r="D59" s="149"/>
      <c r="E59" s="143"/>
      <c r="F59" s="143"/>
      <c r="G59" s="143"/>
      <c r="H59" s="143"/>
      <c r="I59" s="116">
        <f t="shared" ref="I59:I84" si="22">SUM(C59:H59)</f>
        <v>0</v>
      </c>
      <c r="J59" s="117"/>
      <c r="K59" s="118"/>
      <c r="L59" s="118"/>
      <c r="M59" s="118"/>
      <c r="N59" s="118"/>
      <c r="O59" s="118"/>
      <c r="P59" s="116">
        <f t="shared" ref="P59:P84" si="23">SUM(J59:K59)</f>
        <v>0</v>
      </c>
      <c r="Q59" s="119">
        <f t="shared" si="20"/>
        <v>0</v>
      </c>
      <c r="R59" s="120">
        <f t="shared" si="21"/>
        <v>0</v>
      </c>
      <c r="S59" s="121" t="str">
        <f t="shared" ref="S59:S84" si="24">IF(Q59=0,"",IF(R59=0,"обратить внимание",IF(R59&gt;1,"перерасход","экономия")))</f>
        <v/>
      </c>
    </row>
    <row r="60">
      <c r="A60" s="142" t="str">
        <f>IFERROR(VLOOKUP(B60,'Статьи'!$A$2:C82,3,0)," ")</f>
        <v>ДДС отчетного месяца. Без НДС!</v>
      </c>
      <c r="B60" s="125" t="str">
        <f>IFERROR(__xludf.DUMMYFUNCTION("""COMPUTED_VALUE"""),"Таможенные расходы")</f>
        <v>Таможенные расходы</v>
      </c>
      <c r="C60" s="171"/>
      <c r="D60" s="149"/>
      <c r="E60" s="143"/>
      <c r="F60" s="143"/>
      <c r="G60" s="143"/>
      <c r="H60" s="149"/>
      <c r="I60" s="116">
        <f t="shared" si="22"/>
        <v>0</v>
      </c>
      <c r="J60" s="117"/>
      <c r="K60" s="118"/>
      <c r="L60" s="118"/>
      <c r="M60" s="118"/>
      <c r="N60" s="118"/>
      <c r="O60" s="118"/>
      <c r="P60" s="116">
        <f t="shared" si="23"/>
        <v>0</v>
      </c>
      <c r="Q60" s="119">
        <f t="shared" si="20"/>
        <v>0</v>
      </c>
      <c r="R60" s="120">
        <f t="shared" si="21"/>
        <v>0</v>
      </c>
      <c r="S60" s="121" t="str">
        <f t="shared" si="24"/>
        <v/>
      </c>
    </row>
    <row r="61">
      <c r="A61" s="142" t="str">
        <f>IFERROR(VLOOKUP(B61,'Статьи'!$A$2:C83,3,0)," ")</f>
        <v> </v>
      </c>
      <c r="B61" s="125"/>
      <c r="C61" s="171"/>
      <c r="D61" s="172"/>
      <c r="E61" s="143"/>
      <c r="F61" s="143"/>
      <c r="G61" s="143"/>
      <c r="H61" s="149"/>
      <c r="I61" s="116">
        <f t="shared" si="22"/>
        <v>0</v>
      </c>
      <c r="J61" s="117"/>
      <c r="K61" s="118"/>
      <c r="L61" s="118"/>
      <c r="M61" s="118"/>
      <c r="N61" s="118"/>
      <c r="O61" s="118"/>
      <c r="P61" s="116">
        <f t="shared" si="23"/>
        <v>0</v>
      </c>
      <c r="Q61" s="119">
        <f t="shared" si="20"/>
        <v>0</v>
      </c>
      <c r="R61" s="120">
        <f t="shared" si="21"/>
        <v>0</v>
      </c>
      <c r="S61" s="121" t="str">
        <f t="shared" si="24"/>
        <v/>
      </c>
    </row>
    <row r="62">
      <c r="A62" s="142" t="str">
        <f>IFERROR(VLOOKUP(B62,'Статьи'!$A$2:C84,3,0)," ")</f>
        <v> </v>
      </c>
      <c r="B62" s="125"/>
      <c r="C62" s="171"/>
      <c r="D62" s="172"/>
      <c r="E62" s="143"/>
      <c r="F62" s="143"/>
      <c r="G62" s="143"/>
      <c r="H62" s="149"/>
      <c r="I62" s="116">
        <f t="shared" si="22"/>
        <v>0</v>
      </c>
      <c r="J62" s="123"/>
      <c r="K62" s="118"/>
      <c r="L62" s="118"/>
      <c r="M62" s="118"/>
      <c r="N62" s="118"/>
      <c r="O62" s="118"/>
      <c r="P62" s="116">
        <f t="shared" si="23"/>
        <v>0</v>
      </c>
      <c r="Q62" s="119">
        <f t="shared" si="20"/>
        <v>0</v>
      </c>
      <c r="R62" s="120">
        <f t="shared" si="21"/>
        <v>0</v>
      </c>
      <c r="S62" s="121" t="str">
        <f t="shared" si="24"/>
        <v/>
      </c>
    </row>
    <row r="63">
      <c r="A63" s="142" t="str">
        <f>IFERROR(VLOOKUP(B63,'Статьи'!$A$2:C85,3,0)," ")</f>
        <v> </v>
      </c>
      <c r="B63" s="125"/>
      <c r="C63" s="171"/>
      <c r="D63" s="172"/>
      <c r="E63" s="143"/>
      <c r="F63" s="143"/>
      <c r="G63" s="143"/>
      <c r="H63" s="149"/>
      <c r="I63" s="116">
        <f t="shared" si="22"/>
        <v>0</v>
      </c>
      <c r="J63" s="117"/>
      <c r="K63" s="118"/>
      <c r="L63" s="118"/>
      <c r="M63" s="118"/>
      <c r="N63" s="118"/>
      <c r="O63" s="118"/>
      <c r="P63" s="116">
        <f t="shared" si="23"/>
        <v>0</v>
      </c>
      <c r="Q63" s="119">
        <f t="shared" si="20"/>
        <v>0</v>
      </c>
      <c r="R63" s="120">
        <f t="shared" si="21"/>
        <v>0</v>
      </c>
      <c r="S63" s="121" t="str">
        <f t="shared" si="24"/>
        <v/>
      </c>
    </row>
    <row r="64">
      <c r="A64" s="142" t="str">
        <f>IFERROR(VLOOKUP(B64,'Статьи'!$A$2:C86,3,0)," ")</f>
        <v> </v>
      </c>
      <c r="B64" s="125"/>
      <c r="C64" s="171"/>
      <c r="D64" s="172"/>
      <c r="E64" s="143"/>
      <c r="F64" s="143"/>
      <c r="G64" s="143"/>
      <c r="H64" s="149"/>
      <c r="I64" s="116">
        <f t="shared" si="22"/>
        <v>0</v>
      </c>
      <c r="J64" s="117"/>
      <c r="K64" s="118"/>
      <c r="L64" s="118"/>
      <c r="M64" s="118"/>
      <c r="N64" s="118"/>
      <c r="O64" s="118"/>
      <c r="P64" s="116">
        <f t="shared" si="23"/>
        <v>0</v>
      </c>
      <c r="Q64" s="119">
        <f t="shared" si="20"/>
        <v>0</v>
      </c>
      <c r="R64" s="120">
        <f t="shared" si="21"/>
        <v>0</v>
      </c>
      <c r="S64" s="121" t="str">
        <f t="shared" si="24"/>
        <v/>
      </c>
    </row>
    <row r="65">
      <c r="A65" s="142" t="str">
        <f>IFERROR(VLOOKUP(B65,'Статьи'!$A$2:C87,3,0)," ")</f>
        <v> </v>
      </c>
      <c r="B65" s="125"/>
      <c r="C65" s="171"/>
      <c r="D65" s="172"/>
      <c r="E65" s="143"/>
      <c r="F65" s="143"/>
      <c r="G65" s="143"/>
      <c r="H65" s="149"/>
      <c r="I65" s="116">
        <f t="shared" si="22"/>
        <v>0</v>
      </c>
      <c r="J65" s="117"/>
      <c r="K65" s="118"/>
      <c r="L65" s="118"/>
      <c r="M65" s="118"/>
      <c r="N65" s="118"/>
      <c r="O65" s="118"/>
      <c r="P65" s="116">
        <f t="shared" si="23"/>
        <v>0</v>
      </c>
      <c r="Q65" s="119">
        <f t="shared" si="20"/>
        <v>0</v>
      </c>
      <c r="R65" s="120">
        <f t="shared" si="21"/>
        <v>0</v>
      </c>
      <c r="S65" s="121" t="str">
        <f t="shared" si="24"/>
        <v/>
      </c>
    </row>
    <row r="66">
      <c r="A66" s="142" t="str">
        <f>IFERROR(VLOOKUP(B66,'Статьи'!$A$2:C88,3,0)," ")</f>
        <v> </v>
      </c>
      <c r="B66" s="125"/>
      <c r="C66" s="171"/>
      <c r="D66" s="172"/>
      <c r="E66" s="143"/>
      <c r="F66" s="143"/>
      <c r="G66" s="143"/>
      <c r="H66" s="149"/>
      <c r="I66" s="116">
        <f t="shared" si="22"/>
        <v>0</v>
      </c>
      <c r="J66" s="117"/>
      <c r="K66" s="118"/>
      <c r="L66" s="118"/>
      <c r="M66" s="118"/>
      <c r="N66" s="118"/>
      <c r="O66" s="118"/>
      <c r="P66" s="116">
        <f t="shared" si="23"/>
        <v>0</v>
      </c>
      <c r="Q66" s="119">
        <f t="shared" si="20"/>
        <v>0</v>
      </c>
      <c r="R66" s="120">
        <f t="shared" si="21"/>
        <v>0</v>
      </c>
      <c r="S66" s="121" t="str">
        <f t="shared" si="24"/>
        <v/>
      </c>
    </row>
    <row r="67">
      <c r="A67" s="142" t="str">
        <f>IFERROR(VLOOKUP(B67,'Статьи'!$A$2:C89,3,0)," ")</f>
        <v> </v>
      </c>
      <c r="B67" s="125"/>
      <c r="C67" s="171"/>
      <c r="D67" s="172"/>
      <c r="E67" s="143"/>
      <c r="F67" s="143"/>
      <c r="G67" s="143"/>
      <c r="H67" s="149"/>
      <c r="I67" s="116">
        <f t="shared" si="22"/>
        <v>0</v>
      </c>
      <c r="J67" s="117"/>
      <c r="K67" s="118"/>
      <c r="L67" s="118"/>
      <c r="M67" s="118"/>
      <c r="N67" s="118"/>
      <c r="O67" s="118"/>
      <c r="P67" s="116">
        <f t="shared" si="23"/>
        <v>0</v>
      </c>
      <c r="Q67" s="119">
        <f t="shared" si="20"/>
        <v>0</v>
      </c>
      <c r="R67" s="120">
        <f t="shared" si="21"/>
        <v>0</v>
      </c>
      <c r="S67" s="121" t="str">
        <f t="shared" si="24"/>
        <v/>
      </c>
    </row>
    <row r="68">
      <c r="A68" s="142" t="str">
        <f>IFERROR(VLOOKUP(B68,'Статьи'!$A$2:C90,3,0)," ")</f>
        <v> </v>
      </c>
      <c r="B68" s="125"/>
      <c r="C68" s="171"/>
      <c r="D68" s="172"/>
      <c r="E68" s="143"/>
      <c r="F68" s="143"/>
      <c r="G68" s="143"/>
      <c r="H68" s="149"/>
      <c r="I68" s="116">
        <f t="shared" si="22"/>
        <v>0</v>
      </c>
      <c r="J68" s="123"/>
      <c r="K68" s="118"/>
      <c r="L68" s="118"/>
      <c r="M68" s="118"/>
      <c r="N68" s="118"/>
      <c r="O68" s="118"/>
      <c r="P68" s="116">
        <f t="shared" si="23"/>
        <v>0</v>
      </c>
      <c r="Q68" s="119">
        <f t="shared" si="20"/>
        <v>0</v>
      </c>
      <c r="R68" s="120">
        <f t="shared" si="21"/>
        <v>0</v>
      </c>
      <c r="S68" s="121" t="str">
        <f t="shared" si="24"/>
        <v/>
      </c>
    </row>
    <row r="69">
      <c r="A69" s="142" t="str">
        <f>IFERROR(VLOOKUP(B69,'Статьи'!$A$2:C91,3,0)," ")</f>
        <v> </v>
      </c>
      <c r="B69" s="125"/>
      <c r="C69" s="171"/>
      <c r="D69" s="172"/>
      <c r="E69" s="143"/>
      <c r="F69" s="143"/>
      <c r="G69" s="143"/>
      <c r="H69" s="149"/>
      <c r="I69" s="116">
        <f t="shared" si="22"/>
        <v>0</v>
      </c>
      <c r="J69" s="117"/>
      <c r="K69" s="118"/>
      <c r="L69" s="118"/>
      <c r="M69" s="118"/>
      <c r="N69" s="118"/>
      <c r="O69" s="118"/>
      <c r="P69" s="116">
        <f t="shared" si="23"/>
        <v>0</v>
      </c>
      <c r="Q69" s="119">
        <f t="shared" si="20"/>
        <v>0</v>
      </c>
      <c r="R69" s="120">
        <f t="shared" si="21"/>
        <v>0</v>
      </c>
      <c r="S69" s="121" t="str">
        <f t="shared" si="24"/>
        <v/>
      </c>
    </row>
    <row r="70">
      <c r="A70" s="142" t="str">
        <f>IFERROR(VLOOKUP(B70,'Статьи'!$A$2:C92,3,0)," ")</f>
        <v> </v>
      </c>
      <c r="B70" s="125"/>
      <c r="C70" s="171"/>
      <c r="D70" s="172"/>
      <c r="E70" s="143"/>
      <c r="F70" s="143"/>
      <c r="G70" s="143"/>
      <c r="H70" s="149"/>
      <c r="I70" s="116">
        <f t="shared" si="22"/>
        <v>0</v>
      </c>
      <c r="J70" s="117"/>
      <c r="K70" s="118"/>
      <c r="L70" s="118"/>
      <c r="M70" s="118"/>
      <c r="N70" s="118"/>
      <c r="O70" s="118"/>
      <c r="P70" s="116">
        <f t="shared" si="23"/>
        <v>0</v>
      </c>
      <c r="Q70" s="119">
        <f t="shared" si="20"/>
        <v>0</v>
      </c>
      <c r="R70" s="120">
        <f t="shared" si="21"/>
        <v>0</v>
      </c>
      <c r="S70" s="121" t="str">
        <f t="shared" si="24"/>
        <v/>
      </c>
    </row>
    <row r="71" collapsed="1">
      <c r="A71" s="142" t="str">
        <f>IFERROR(VLOOKUP(B71,'Статьи'!$A$2:C93,3,0)," ")</f>
        <v> </v>
      </c>
      <c r="B71" s="125"/>
      <c r="C71" s="171"/>
      <c r="D71" s="172"/>
      <c r="E71" s="143"/>
      <c r="F71" s="143"/>
      <c r="G71" s="143"/>
      <c r="H71" s="149"/>
      <c r="I71" s="116">
        <f t="shared" si="22"/>
        <v>0</v>
      </c>
      <c r="J71" s="117"/>
      <c r="K71" s="118"/>
      <c r="L71" s="118"/>
      <c r="M71" s="118"/>
      <c r="N71" s="118"/>
      <c r="O71" s="118"/>
      <c r="P71" s="116">
        <f t="shared" si="23"/>
        <v>0</v>
      </c>
      <c r="Q71" s="119">
        <f t="shared" si="20"/>
        <v>0</v>
      </c>
      <c r="R71" s="120">
        <f t="shared" si="21"/>
        <v>0</v>
      </c>
      <c r="S71" s="121" t="str">
        <f t="shared" si="24"/>
        <v/>
      </c>
    </row>
    <row r="72" hidden="1" outlineLevel="1">
      <c r="A72" s="142" t="str">
        <f>IFERROR(VLOOKUP(B72,'Статьи'!$A$2:C94,3,0)," ")</f>
        <v> </v>
      </c>
      <c r="B72" s="125"/>
      <c r="C72" s="170"/>
      <c r="D72" s="149"/>
      <c r="E72" s="143"/>
      <c r="F72" s="143"/>
      <c r="G72" s="143"/>
      <c r="H72" s="149"/>
      <c r="I72" s="116">
        <f t="shared" si="22"/>
        <v>0</v>
      </c>
      <c r="J72" s="123"/>
      <c r="K72" s="118"/>
      <c r="L72" s="118"/>
      <c r="M72" s="118"/>
      <c r="N72" s="118"/>
      <c r="O72" s="118"/>
      <c r="P72" s="116">
        <f t="shared" si="23"/>
        <v>0</v>
      </c>
      <c r="Q72" s="119">
        <f t="shared" si="20"/>
        <v>0</v>
      </c>
      <c r="R72" s="120">
        <f t="shared" si="21"/>
        <v>0</v>
      </c>
      <c r="S72" s="121" t="str">
        <f t="shared" si="24"/>
        <v/>
      </c>
    </row>
    <row r="73" hidden="1" outlineLevel="1">
      <c r="A73" s="142" t="str">
        <f>IFERROR(VLOOKUP(B73,'Статьи'!$A$2:C95,3,0)," ")</f>
        <v> </v>
      </c>
      <c r="B73" s="125"/>
      <c r="C73" s="170"/>
      <c r="D73" s="149"/>
      <c r="E73" s="143"/>
      <c r="F73" s="143"/>
      <c r="G73" s="143"/>
      <c r="H73" s="149"/>
      <c r="I73" s="116">
        <f t="shared" si="22"/>
        <v>0</v>
      </c>
      <c r="J73" s="123"/>
      <c r="K73" s="118"/>
      <c r="L73" s="118"/>
      <c r="M73" s="118"/>
      <c r="N73" s="118"/>
      <c r="O73" s="118"/>
      <c r="P73" s="116">
        <f t="shared" si="23"/>
        <v>0</v>
      </c>
      <c r="Q73" s="119">
        <f t="shared" si="20"/>
        <v>0</v>
      </c>
      <c r="R73" s="120">
        <f t="shared" si="21"/>
        <v>0</v>
      </c>
      <c r="S73" s="121" t="str">
        <f t="shared" si="24"/>
        <v/>
      </c>
    </row>
    <row r="74" hidden="1" outlineLevel="1">
      <c r="A74" s="142" t="str">
        <f>IFERROR(VLOOKUP(B74,'Статьи'!$A$2:C96,3,0)," ")</f>
        <v> </v>
      </c>
      <c r="B74" s="125"/>
      <c r="C74" s="170"/>
      <c r="D74" s="149"/>
      <c r="E74" s="143"/>
      <c r="F74" s="143"/>
      <c r="G74" s="143"/>
      <c r="H74" s="149"/>
      <c r="I74" s="116">
        <f t="shared" si="22"/>
        <v>0</v>
      </c>
      <c r="J74" s="123"/>
      <c r="K74" s="118"/>
      <c r="L74" s="118"/>
      <c r="M74" s="118"/>
      <c r="N74" s="118"/>
      <c r="O74" s="118"/>
      <c r="P74" s="116">
        <f t="shared" si="23"/>
        <v>0</v>
      </c>
      <c r="Q74" s="119">
        <f t="shared" si="20"/>
        <v>0</v>
      </c>
      <c r="R74" s="120">
        <f t="shared" si="21"/>
        <v>0</v>
      </c>
      <c r="S74" s="121" t="str">
        <f t="shared" si="24"/>
        <v/>
      </c>
    </row>
    <row r="75" hidden="1" outlineLevel="1">
      <c r="A75" s="142" t="str">
        <f>IFERROR(VLOOKUP(B75,'Статьи'!$A$2:C97,3,0)," ")</f>
        <v> </v>
      </c>
      <c r="B75" s="125"/>
      <c r="C75" s="170"/>
      <c r="D75" s="149"/>
      <c r="E75" s="143"/>
      <c r="F75" s="143"/>
      <c r="G75" s="143"/>
      <c r="H75" s="149"/>
      <c r="I75" s="116">
        <f t="shared" si="22"/>
        <v>0</v>
      </c>
      <c r="J75" s="123"/>
      <c r="K75" s="118"/>
      <c r="L75" s="118"/>
      <c r="M75" s="118"/>
      <c r="N75" s="118"/>
      <c r="O75" s="118"/>
      <c r="P75" s="116">
        <f t="shared" si="23"/>
        <v>0</v>
      </c>
      <c r="Q75" s="119">
        <f t="shared" si="20"/>
        <v>0</v>
      </c>
      <c r="R75" s="120">
        <f t="shared" si="21"/>
        <v>0</v>
      </c>
      <c r="S75" s="121" t="str">
        <f t="shared" si="24"/>
        <v/>
      </c>
    </row>
    <row r="76" hidden="1" outlineLevel="1">
      <c r="A76" s="142" t="str">
        <f>IFERROR(VLOOKUP(B76,'Статьи'!$A$2:C98,3,0)," ")</f>
        <v> </v>
      </c>
      <c r="B76" s="125"/>
      <c r="C76" s="173"/>
      <c r="D76" s="143"/>
      <c r="E76" s="149"/>
      <c r="F76" s="143"/>
      <c r="G76" s="143"/>
      <c r="H76" s="143"/>
      <c r="I76" s="116">
        <f t="shared" si="22"/>
        <v>0</v>
      </c>
      <c r="J76" s="123"/>
      <c r="K76" s="118"/>
      <c r="L76" s="118"/>
      <c r="M76" s="118"/>
      <c r="N76" s="118"/>
      <c r="O76" s="118"/>
      <c r="P76" s="116">
        <f t="shared" si="23"/>
        <v>0</v>
      </c>
      <c r="Q76" s="119">
        <f t="shared" si="20"/>
        <v>0</v>
      </c>
      <c r="R76" s="120">
        <f t="shared" si="21"/>
        <v>0</v>
      </c>
      <c r="S76" s="121" t="str">
        <f t="shared" si="24"/>
        <v/>
      </c>
    </row>
    <row r="77" hidden="1" outlineLevel="1">
      <c r="A77" s="142" t="str">
        <f>IFERROR(VLOOKUP(B77,'Статьи'!$A$2:C99,3,0)," ")</f>
        <v> </v>
      </c>
      <c r="B77" s="125"/>
      <c r="C77" s="170"/>
      <c r="D77" s="174"/>
      <c r="E77" s="174"/>
      <c r="F77" s="174"/>
      <c r="G77" s="174"/>
      <c r="H77" s="174"/>
      <c r="I77" s="116">
        <f t="shared" si="22"/>
        <v>0</v>
      </c>
      <c r="J77" s="123"/>
      <c r="K77" s="118"/>
      <c r="L77" s="118"/>
      <c r="M77" s="118"/>
      <c r="N77" s="118"/>
      <c r="O77" s="118"/>
      <c r="P77" s="116">
        <f t="shared" si="23"/>
        <v>0</v>
      </c>
      <c r="Q77" s="119">
        <f t="shared" si="20"/>
        <v>0</v>
      </c>
      <c r="R77" s="120">
        <f t="shared" si="21"/>
        <v>0</v>
      </c>
      <c r="S77" s="121" t="str">
        <f t="shared" si="24"/>
        <v/>
      </c>
    </row>
    <row r="78" hidden="1" outlineLevel="1">
      <c r="A78" s="175" t="str">
        <f>IFERROR(VLOOKUP(B78,'Статьи'!$A$2:C100,3,0)," ")</f>
        <v> </v>
      </c>
      <c r="B78" s="176"/>
      <c r="C78" s="122"/>
      <c r="D78" s="114"/>
      <c r="E78" s="114"/>
      <c r="F78" s="114"/>
      <c r="G78" s="114"/>
      <c r="H78" s="149"/>
      <c r="I78" s="116">
        <f t="shared" si="22"/>
        <v>0</v>
      </c>
      <c r="J78" s="123"/>
      <c r="K78" s="118"/>
      <c r="L78" s="118"/>
      <c r="M78" s="118"/>
      <c r="N78" s="118"/>
      <c r="O78" s="118"/>
      <c r="P78" s="116">
        <f t="shared" si="23"/>
        <v>0</v>
      </c>
      <c r="Q78" s="119">
        <f t="shared" si="20"/>
        <v>0</v>
      </c>
      <c r="R78" s="120">
        <f t="shared" si="21"/>
        <v>0</v>
      </c>
      <c r="S78" s="121" t="str">
        <f t="shared" si="24"/>
        <v/>
      </c>
    </row>
    <row r="79" hidden="1" outlineLevel="1">
      <c r="A79" s="110" t="str">
        <f>IFERROR(VLOOKUP(B79,'Статьи'!$A$2:C101,3,0)," ")</f>
        <v> </v>
      </c>
      <c r="B79" s="111"/>
      <c r="C79" s="122"/>
      <c r="D79" s="115"/>
      <c r="E79" s="115"/>
      <c r="F79" s="115"/>
      <c r="G79" s="115"/>
      <c r="H79" s="115"/>
      <c r="I79" s="116">
        <f t="shared" si="22"/>
        <v>0</v>
      </c>
      <c r="J79" s="123"/>
      <c r="K79" s="118"/>
      <c r="L79" s="118"/>
      <c r="M79" s="118"/>
      <c r="N79" s="118"/>
      <c r="O79" s="118"/>
      <c r="P79" s="116">
        <f t="shared" si="23"/>
        <v>0</v>
      </c>
      <c r="Q79" s="119">
        <f t="shared" si="20"/>
        <v>0</v>
      </c>
      <c r="R79" s="120">
        <f t="shared" si="21"/>
        <v>0</v>
      </c>
      <c r="S79" s="121" t="str">
        <f t="shared" si="24"/>
        <v/>
      </c>
    </row>
    <row r="80" hidden="1" outlineLevel="1">
      <c r="A80" s="110" t="str">
        <f>IFERROR(VLOOKUP(B80,'Статьи'!$A$2:C102,3,0)," ")</f>
        <v> </v>
      </c>
      <c r="B80" s="111"/>
      <c r="C80" s="122"/>
      <c r="D80" s="115"/>
      <c r="E80" s="115"/>
      <c r="F80" s="115"/>
      <c r="G80" s="115"/>
      <c r="H80" s="115"/>
      <c r="I80" s="116">
        <f t="shared" si="22"/>
        <v>0</v>
      </c>
      <c r="J80" s="123"/>
      <c r="K80" s="118"/>
      <c r="L80" s="118"/>
      <c r="M80" s="118"/>
      <c r="N80" s="118"/>
      <c r="O80" s="118"/>
      <c r="P80" s="116">
        <f t="shared" si="23"/>
        <v>0</v>
      </c>
      <c r="Q80" s="119">
        <f t="shared" si="20"/>
        <v>0</v>
      </c>
      <c r="R80" s="120">
        <f t="shared" si="21"/>
        <v>0</v>
      </c>
      <c r="S80" s="121" t="str">
        <f t="shared" si="24"/>
        <v/>
      </c>
    </row>
    <row r="81" hidden="1" outlineLevel="1">
      <c r="A81" s="110" t="str">
        <f>IFERROR(VLOOKUP(B81,'Статьи'!$A$2:C103,3,0)," ")</f>
        <v> </v>
      </c>
      <c r="B81" s="111"/>
      <c r="C81" s="122"/>
      <c r="D81" s="115"/>
      <c r="E81" s="115"/>
      <c r="F81" s="115"/>
      <c r="G81" s="115"/>
      <c r="H81" s="115"/>
      <c r="I81" s="116">
        <f t="shared" si="22"/>
        <v>0</v>
      </c>
      <c r="J81" s="123"/>
      <c r="K81" s="118"/>
      <c r="L81" s="118"/>
      <c r="M81" s="118"/>
      <c r="N81" s="118"/>
      <c r="O81" s="118"/>
      <c r="P81" s="116">
        <f t="shared" si="23"/>
        <v>0</v>
      </c>
      <c r="Q81" s="119">
        <f t="shared" si="20"/>
        <v>0</v>
      </c>
      <c r="R81" s="120">
        <f t="shared" si="21"/>
        <v>0</v>
      </c>
      <c r="S81" s="121" t="str">
        <f t="shared" si="24"/>
        <v/>
      </c>
    </row>
    <row r="82" hidden="1" outlineLevel="1">
      <c r="A82" s="110" t="str">
        <f>IFERROR(VLOOKUP(B82,'Статьи'!$A$2:C104,3,0)," ")</f>
        <v> </v>
      </c>
      <c r="B82" s="111"/>
      <c r="C82" s="122"/>
      <c r="D82" s="115"/>
      <c r="E82" s="115"/>
      <c r="F82" s="115"/>
      <c r="G82" s="115"/>
      <c r="H82" s="115"/>
      <c r="I82" s="116">
        <f t="shared" si="22"/>
        <v>0</v>
      </c>
      <c r="J82" s="123"/>
      <c r="K82" s="118"/>
      <c r="L82" s="118"/>
      <c r="M82" s="118"/>
      <c r="N82" s="118"/>
      <c r="O82" s="118"/>
      <c r="P82" s="116">
        <f t="shared" si="23"/>
        <v>0</v>
      </c>
      <c r="Q82" s="119">
        <f t="shared" si="20"/>
        <v>0</v>
      </c>
      <c r="R82" s="120">
        <f t="shared" si="21"/>
        <v>0</v>
      </c>
      <c r="S82" s="121" t="str">
        <f t="shared" si="24"/>
        <v/>
      </c>
    </row>
    <row r="83" hidden="1" outlineLevel="1">
      <c r="A83" s="110" t="str">
        <f>IFERROR(VLOOKUP(B83,'Статьи'!$A$2:C105,3,0)," ")</f>
        <v> </v>
      </c>
      <c r="B83" s="111"/>
      <c r="C83" s="122"/>
      <c r="D83" s="115"/>
      <c r="E83" s="115"/>
      <c r="F83" s="115"/>
      <c r="G83" s="115"/>
      <c r="H83" s="115"/>
      <c r="I83" s="116">
        <f t="shared" si="22"/>
        <v>0</v>
      </c>
      <c r="J83" s="123"/>
      <c r="K83" s="118"/>
      <c r="L83" s="118"/>
      <c r="M83" s="118"/>
      <c r="N83" s="118"/>
      <c r="O83" s="118"/>
      <c r="P83" s="116">
        <f t="shared" si="23"/>
        <v>0</v>
      </c>
      <c r="Q83" s="119">
        <f t="shared" si="20"/>
        <v>0</v>
      </c>
      <c r="R83" s="120">
        <f t="shared" si="21"/>
        <v>0</v>
      </c>
      <c r="S83" s="121" t="str">
        <f t="shared" si="24"/>
        <v/>
      </c>
    </row>
    <row r="84">
      <c r="A84" s="110" t="str">
        <f>IFERROR(VLOOKUP(B84,'Статьи'!$A$2:C106,3,0)," ")</f>
        <v> </v>
      </c>
      <c r="B84" s="111"/>
      <c r="C84" s="122"/>
      <c r="D84" s="115"/>
      <c r="E84" s="115"/>
      <c r="F84" s="115"/>
      <c r="G84" s="115"/>
      <c r="H84" s="115"/>
      <c r="I84" s="116">
        <f t="shared" si="22"/>
        <v>0</v>
      </c>
      <c r="J84" s="123"/>
      <c r="K84" s="118"/>
      <c r="L84" s="118"/>
      <c r="M84" s="118"/>
      <c r="N84" s="118"/>
      <c r="O84" s="118"/>
      <c r="P84" s="116">
        <f t="shared" si="23"/>
        <v>0</v>
      </c>
      <c r="Q84" s="119">
        <f t="shared" si="20"/>
        <v>0</v>
      </c>
      <c r="R84" s="120">
        <f t="shared" si="21"/>
        <v>0</v>
      </c>
      <c r="S84" s="121" t="str">
        <f t="shared" si="24"/>
        <v/>
      </c>
    </row>
    <row r="85">
      <c r="A85" s="152"/>
      <c r="B85" s="153" t="s">
        <v>138</v>
      </c>
      <c r="C85" s="154">
        <f t="shared" ref="C85:K85" si="25">C55+C58</f>
        <v>11</v>
      </c>
      <c r="D85" s="155">
        <f t="shared" si="25"/>
        <v>0</v>
      </c>
      <c r="E85" s="155">
        <f t="shared" si="25"/>
        <v>0</v>
      </c>
      <c r="F85" s="155">
        <f t="shared" si="25"/>
        <v>0</v>
      </c>
      <c r="G85" s="155">
        <f t="shared" si="25"/>
        <v>0</v>
      </c>
      <c r="H85" s="155">
        <f t="shared" si="25"/>
        <v>0</v>
      </c>
      <c r="I85" s="157">
        <f t="shared" si="25"/>
        <v>11</v>
      </c>
      <c r="J85" s="154">
        <f t="shared" si="25"/>
        <v>0</v>
      </c>
      <c r="K85" s="155">
        <f t="shared" si="25"/>
        <v>0</v>
      </c>
      <c r="L85" s="155"/>
      <c r="M85" s="155"/>
      <c r="N85" s="155"/>
      <c r="O85" s="155"/>
      <c r="P85" s="157">
        <f>P55+P58</f>
        <v>0</v>
      </c>
      <c r="Q85" s="155">
        <f t="shared" si="20"/>
        <v>11</v>
      </c>
      <c r="R85" s="158">
        <f t="shared" si="21"/>
        <v>0</v>
      </c>
      <c r="S85" s="177" t="str">
        <f>IF(Q85=0,"",IF(R85&gt;1,"выполнение","план не выполнен"))</f>
        <v>план не выполнен</v>
      </c>
    </row>
    <row r="86">
      <c r="A86" s="160"/>
      <c r="B86" s="161" t="s">
        <v>139</v>
      </c>
      <c r="C86" s="162">
        <f t="shared" ref="C86:K86" si="26">IFERROR(C85/C$3,"")</f>
        <v>1</v>
      </c>
      <c r="D86" s="163" t="str">
        <f t="shared" si="26"/>
        <v/>
      </c>
      <c r="E86" s="163" t="str">
        <f t="shared" si="26"/>
        <v/>
      </c>
      <c r="F86" s="163" t="str">
        <f t="shared" si="26"/>
        <v/>
      </c>
      <c r="G86" s="163" t="str">
        <f t="shared" si="26"/>
        <v/>
      </c>
      <c r="H86" s="163" t="str">
        <f t="shared" si="26"/>
        <v/>
      </c>
      <c r="I86" s="164">
        <f t="shared" si="26"/>
        <v>1</v>
      </c>
      <c r="J86" s="162" t="str">
        <f t="shared" si="26"/>
        <v/>
      </c>
      <c r="K86" s="163" t="str">
        <f t="shared" si="26"/>
        <v/>
      </c>
      <c r="L86" s="163"/>
      <c r="M86" s="163"/>
      <c r="N86" s="163"/>
      <c r="O86" s="163"/>
      <c r="P86" s="164" t="str">
        <f>IFERROR(P85/P$3,"")</f>
        <v/>
      </c>
      <c r="Q86" s="121"/>
      <c r="R86" s="121"/>
      <c r="S86" s="121" t="str">
        <f t="shared" ref="S86:S87" si="27">IF(Q86=0,"",IF(Q86=0,0,IF(R86&gt;1,"перерасход","экономия")))</f>
        <v/>
      </c>
    </row>
    <row r="87">
      <c r="A87" s="178"/>
      <c r="B87" s="179"/>
      <c r="C87" s="124"/>
      <c r="D87" s="115"/>
      <c r="E87" s="115"/>
      <c r="F87" s="115"/>
      <c r="G87" s="115"/>
      <c r="H87" s="115"/>
      <c r="I87" s="116"/>
      <c r="J87" s="123"/>
      <c r="K87" s="118"/>
      <c r="L87" s="118"/>
      <c r="M87" s="118"/>
      <c r="N87" s="118"/>
      <c r="O87" s="118"/>
      <c r="P87" s="116"/>
      <c r="Q87" s="180"/>
      <c r="R87" s="121"/>
      <c r="S87" s="121" t="str">
        <f t="shared" si="27"/>
        <v/>
      </c>
    </row>
    <row r="88">
      <c r="A88" s="181"/>
      <c r="B88" s="127" t="s">
        <v>140</v>
      </c>
      <c r="C88" s="182">
        <f t="shared" ref="C88:K88" si="28">C101+C132+C89</f>
        <v>0</v>
      </c>
      <c r="D88" s="183">
        <f t="shared" si="28"/>
        <v>0</v>
      </c>
      <c r="E88" s="183">
        <f t="shared" si="28"/>
        <v>0</v>
      </c>
      <c r="F88" s="183">
        <f t="shared" si="28"/>
        <v>0</v>
      </c>
      <c r="G88" s="183">
        <f t="shared" si="28"/>
        <v>0</v>
      </c>
      <c r="H88" s="183">
        <f t="shared" si="28"/>
        <v>0</v>
      </c>
      <c r="I88" s="184">
        <f t="shared" si="28"/>
        <v>0</v>
      </c>
      <c r="J88" s="182">
        <f t="shared" si="28"/>
        <v>0</v>
      </c>
      <c r="K88" s="183">
        <f t="shared" si="28"/>
        <v>0</v>
      </c>
      <c r="L88" s="183"/>
      <c r="M88" s="183"/>
      <c r="N88" s="183"/>
      <c r="O88" s="183"/>
      <c r="P88" s="185">
        <f>P101+P132+P89</f>
        <v>0</v>
      </c>
      <c r="Q88" s="183">
        <f t="shared" ref="Q88:Q142" si="30">I88-P88</f>
        <v>0</v>
      </c>
      <c r="R88" s="186">
        <f t="shared" ref="R88:R142" si="31">IFERROR(I88/P88,0)</f>
        <v>0</v>
      </c>
      <c r="S88" s="134" t="str">
        <f>IF(Q88=0,"",IF(R88&gt;1,"план не выполнен","выполнение"))</f>
        <v/>
      </c>
    </row>
    <row r="89">
      <c r="A89" s="135"/>
      <c r="B89" s="136" t="s">
        <v>141</v>
      </c>
      <c r="C89" s="137">
        <f t="shared" ref="C89:K89" si="29">SUM(C90:C100)</f>
        <v>0</v>
      </c>
      <c r="D89" s="138">
        <f t="shared" si="29"/>
        <v>0</v>
      </c>
      <c r="E89" s="138">
        <f t="shared" si="29"/>
        <v>0</v>
      </c>
      <c r="F89" s="138">
        <f t="shared" si="29"/>
        <v>0</v>
      </c>
      <c r="G89" s="138">
        <f t="shared" si="29"/>
        <v>0</v>
      </c>
      <c r="H89" s="138">
        <f t="shared" si="29"/>
        <v>0</v>
      </c>
      <c r="I89" s="139">
        <f t="shared" si="29"/>
        <v>0</v>
      </c>
      <c r="J89" s="137">
        <f t="shared" si="29"/>
        <v>0</v>
      </c>
      <c r="K89" s="138">
        <f t="shared" si="29"/>
        <v>0</v>
      </c>
      <c r="L89" s="138"/>
      <c r="M89" s="138"/>
      <c r="N89" s="138"/>
      <c r="O89" s="138"/>
      <c r="P89" s="140">
        <f>SUM(P90:P100)</f>
        <v>0</v>
      </c>
      <c r="Q89" s="138">
        <f t="shared" si="30"/>
        <v>0</v>
      </c>
      <c r="R89" s="187">
        <f t="shared" si="31"/>
        <v>0</v>
      </c>
      <c r="S89" s="141" t="str">
        <f>IF(Q89=0,"",IF(Q89=0,0,IF(R89&gt;1,"перерасход","экономия")))</f>
        <v/>
      </c>
    </row>
    <row r="90">
      <c r="A90" s="142" t="str">
        <f>IFERROR(VLOOKUP(B90,'Статьи'!$A$2:C112,3,0)," ")</f>
        <v> </v>
      </c>
      <c r="B90" s="125" t="str">
        <f>IFERROR(__xludf.DUMMYFUNCTION("iferror(filter('Статьи'!$A$1:$A177,'Статьи'!$B$1:$B177=$B$89))"),"")</f>
        <v/>
      </c>
      <c r="C90" s="171"/>
      <c r="D90" s="172"/>
      <c r="E90" s="149"/>
      <c r="F90" s="149"/>
      <c r="G90" s="149"/>
      <c r="H90" s="149"/>
      <c r="I90" s="188">
        <f t="shared" ref="I90:I100" si="32">sum(C90:H90)</f>
        <v>0</v>
      </c>
      <c r="J90" s="170"/>
      <c r="K90" s="149"/>
      <c r="L90" s="149"/>
      <c r="M90" s="149"/>
      <c r="N90" s="149"/>
      <c r="O90" s="149"/>
      <c r="P90" s="188">
        <f t="shared" ref="P90:P94" si="33">SUM(J90:K90)</f>
        <v>0</v>
      </c>
      <c r="Q90" s="132">
        <f t="shared" si="30"/>
        <v>0</v>
      </c>
      <c r="R90" s="133">
        <f t="shared" si="31"/>
        <v>0</v>
      </c>
      <c r="S90" s="121" t="str">
        <f t="shared" ref="S90:S94" si="34">IF(Q90=0,"",IF(R90=0,"обратить внимание",IF(R90&gt;1,"перерасход","экономия")))</f>
        <v/>
      </c>
    </row>
    <row r="91">
      <c r="A91" s="142" t="str">
        <f>IFERROR(VLOOKUP(B91,'Статьи'!$A$2:C113,3,0)," ")</f>
        <v> </v>
      </c>
      <c r="B91" s="125"/>
      <c r="C91" s="171"/>
      <c r="D91" s="172"/>
      <c r="E91" s="149"/>
      <c r="F91" s="149"/>
      <c r="G91" s="149"/>
      <c r="H91" s="149"/>
      <c r="I91" s="188">
        <f t="shared" si="32"/>
        <v>0</v>
      </c>
      <c r="J91" s="189"/>
      <c r="K91" s="149"/>
      <c r="L91" s="149"/>
      <c r="M91" s="149"/>
      <c r="N91" s="149"/>
      <c r="O91" s="149"/>
      <c r="P91" s="188">
        <f t="shared" si="33"/>
        <v>0</v>
      </c>
      <c r="Q91" s="132">
        <f t="shared" si="30"/>
        <v>0</v>
      </c>
      <c r="R91" s="133">
        <f t="shared" si="31"/>
        <v>0</v>
      </c>
      <c r="S91" s="121" t="str">
        <f t="shared" si="34"/>
        <v/>
      </c>
    </row>
    <row r="92">
      <c r="A92" s="142" t="str">
        <f>IFERROR(VLOOKUP(B92,'Статьи'!$A$2:C114,3,0)," ")</f>
        <v> </v>
      </c>
      <c r="B92" s="125"/>
      <c r="C92" s="171"/>
      <c r="D92" s="172"/>
      <c r="E92" s="149"/>
      <c r="F92" s="149"/>
      <c r="G92" s="149"/>
      <c r="H92" s="149"/>
      <c r="I92" s="188">
        <f t="shared" si="32"/>
        <v>0</v>
      </c>
      <c r="J92" s="189"/>
      <c r="K92" s="149"/>
      <c r="L92" s="149"/>
      <c r="M92" s="149"/>
      <c r="N92" s="149"/>
      <c r="O92" s="149"/>
      <c r="P92" s="188">
        <f t="shared" si="33"/>
        <v>0</v>
      </c>
      <c r="Q92" s="132">
        <f t="shared" si="30"/>
        <v>0</v>
      </c>
      <c r="R92" s="133">
        <f t="shared" si="31"/>
        <v>0</v>
      </c>
      <c r="S92" s="121" t="str">
        <f t="shared" si="34"/>
        <v/>
      </c>
    </row>
    <row r="93">
      <c r="A93" s="142" t="str">
        <f>IFERROR(VLOOKUP(B93,'Статьи'!$A$2:C115,3,0)," ")</f>
        <v> </v>
      </c>
      <c r="B93" s="125"/>
      <c r="C93" s="171"/>
      <c r="D93" s="172"/>
      <c r="E93" s="149"/>
      <c r="F93" s="149"/>
      <c r="G93" s="149"/>
      <c r="H93" s="149"/>
      <c r="I93" s="188">
        <f t="shared" si="32"/>
        <v>0</v>
      </c>
      <c r="J93" s="170"/>
      <c r="K93" s="149"/>
      <c r="L93" s="149"/>
      <c r="M93" s="149"/>
      <c r="N93" s="149"/>
      <c r="O93" s="149"/>
      <c r="P93" s="188">
        <f t="shared" si="33"/>
        <v>0</v>
      </c>
      <c r="Q93" s="132">
        <f t="shared" si="30"/>
        <v>0</v>
      </c>
      <c r="R93" s="133">
        <f t="shared" si="31"/>
        <v>0</v>
      </c>
      <c r="S93" s="121" t="str">
        <f t="shared" si="34"/>
        <v/>
      </c>
    </row>
    <row r="94" collapsed="1">
      <c r="A94" s="190" t="str">
        <f>IFERROR(VLOOKUP(B94,'Статьи'!$A$2:C116,3,0)," ")</f>
        <v> </v>
      </c>
      <c r="B94" s="125"/>
      <c r="C94" s="170"/>
      <c r="D94" s="149"/>
      <c r="E94" s="149"/>
      <c r="F94" s="149"/>
      <c r="G94" s="149"/>
      <c r="H94" s="149"/>
      <c r="I94" s="188">
        <f t="shared" si="32"/>
        <v>0</v>
      </c>
      <c r="J94" s="170"/>
      <c r="K94" s="149"/>
      <c r="L94" s="149"/>
      <c r="M94" s="149"/>
      <c r="N94" s="149"/>
      <c r="O94" s="149"/>
      <c r="P94" s="188">
        <f t="shared" si="33"/>
        <v>0</v>
      </c>
      <c r="Q94" s="132">
        <f t="shared" si="30"/>
        <v>0</v>
      </c>
      <c r="R94" s="133">
        <f t="shared" si="31"/>
        <v>0</v>
      </c>
      <c r="S94" s="121" t="str">
        <f t="shared" si="34"/>
        <v/>
      </c>
    </row>
    <row r="95" hidden="1" outlineLevel="1">
      <c r="A95" s="190"/>
      <c r="B95" s="125"/>
      <c r="C95" s="170"/>
      <c r="D95" s="149"/>
      <c r="E95" s="149"/>
      <c r="F95" s="149"/>
      <c r="G95" s="149"/>
      <c r="H95" s="149"/>
      <c r="I95" s="188">
        <f t="shared" si="32"/>
        <v>0</v>
      </c>
      <c r="J95" s="170"/>
      <c r="K95" s="149"/>
      <c r="L95" s="149"/>
      <c r="M95" s="149"/>
      <c r="N95" s="149"/>
      <c r="O95" s="149"/>
      <c r="P95" s="188">
        <f t="shared" ref="P95:P100" si="35">sum(F95:J95)</f>
        <v>0</v>
      </c>
      <c r="Q95" s="132">
        <f t="shared" si="30"/>
        <v>0</v>
      </c>
      <c r="R95" s="133">
        <f t="shared" si="31"/>
        <v>0</v>
      </c>
      <c r="S95" s="121" t="str">
        <f t="shared" ref="S95:S100" si="36">IF(Q95=0,"",IF(Q95=0,0,IF(R95&gt;1,"перерасход","экономия")))</f>
        <v/>
      </c>
    </row>
    <row r="96" hidden="1" outlineLevel="1">
      <c r="A96" s="190"/>
      <c r="B96" s="125"/>
      <c r="C96" s="170"/>
      <c r="D96" s="149"/>
      <c r="E96" s="149"/>
      <c r="F96" s="149"/>
      <c r="G96" s="149"/>
      <c r="H96" s="149"/>
      <c r="I96" s="188">
        <f t="shared" si="32"/>
        <v>0</v>
      </c>
      <c r="J96" s="170"/>
      <c r="K96" s="149"/>
      <c r="L96" s="149"/>
      <c r="M96" s="149"/>
      <c r="N96" s="149"/>
      <c r="O96" s="149"/>
      <c r="P96" s="188">
        <f t="shared" si="35"/>
        <v>0</v>
      </c>
      <c r="Q96" s="132">
        <f t="shared" si="30"/>
        <v>0</v>
      </c>
      <c r="R96" s="133">
        <f t="shared" si="31"/>
        <v>0</v>
      </c>
      <c r="S96" s="121" t="str">
        <f t="shared" si="36"/>
        <v/>
      </c>
    </row>
    <row r="97" hidden="1" outlineLevel="1">
      <c r="A97" s="190"/>
      <c r="B97" s="125"/>
      <c r="C97" s="170"/>
      <c r="D97" s="149"/>
      <c r="E97" s="149"/>
      <c r="F97" s="149"/>
      <c r="G97" s="149"/>
      <c r="H97" s="149"/>
      <c r="I97" s="188">
        <f t="shared" si="32"/>
        <v>0</v>
      </c>
      <c r="J97" s="170"/>
      <c r="K97" s="149"/>
      <c r="L97" s="149"/>
      <c r="M97" s="149"/>
      <c r="N97" s="149"/>
      <c r="O97" s="149"/>
      <c r="P97" s="188">
        <f t="shared" si="35"/>
        <v>0</v>
      </c>
      <c r="Q97" s="132">
        <f t="shared" si="30"/>
        <v>0</v>
      </c>
      <c r="R97" s="133">
        <f t="shared" si="31"/>
        <v>0</v>
      </c>
      <c r="S97" s="121" t="str">
        <f t="shared" si="36"/>
        <v/>
      </c>
    </row>
    <row r="98" hidden="1" outlineLevel="1">
      <c r="A98" s="190"/>
      <c r="B98" s="125"/>
      <c r="C98" s="170"/>
      <c r="D98" s="149"/>
      <c r="E98" s="149"/>
      <c r="F98" s="149"/>
      <c r="G98" s="149"/>
      <c r="H98" s="149"/>
      <c r="I98" s="188">
        <f t="shared" si="32"/>
        <v>0</v>
      </c>
      <c r="J98" s="170"/>
      <c r="K98" s="149"/>
      <c r="L98" s="149"/>
      <c r="M98" s="149"/>
      <c r="N98" s="149"/>
      <c r="O98" s="149"/>
      <c r="P98" s="188">
        <f t="shared" si="35"/>
        <v>0</v>
      </c>
      <c r="Q98" s="132">
        <f t="shared" si="30"/>
        <v>0</v>
      </c>
      <c r="R98" s="133">
        <f t="shared" si="31"/>
        <v>0</v>
      </c>
      <c r="S98" s="121" t="str">
        <f t="shared" si="36"/>
        <v/>
      </c>
    </row>
    <row r="99" hidden="1" outlineLevel="1">
      <c r="A99" s="190"/>
      <c r="B99" s="125"/>
      <c r="C99" s="170"/>
      <c r="D99" s="149"/>
      <c r="E99" s="149"/>
      <c r="F99" s="149"/>
      <c r="G99" s="149"/>
      <c r="H99" s="149"/>
      <c r="I99" s="188">
        <f t="shared" si="32"/>
        <v>0</v>
      </c>
      <c r="J99" s="170"/>
      <c r="K99" s="149"/>
      <c r="L99" s="149"/>
      <c r="M99" s="149"/>
      <c r="N99" s="149"/>
      <c r="O99" s="149"/>
      <c r="P99" s="188">
        <f t="shared" si="35"/>
        <v>0</v>
      </c>
      <c r="Q99" s="132">
        <f t="shared" si="30"/>
        <v>0</v>
      </c>
      <c r="R99" s="133">
        <f t="shared" si="31"/>
        <v>0</v>
      </c>
      <c r="S99" s="121" t="str">
        <f t="shared" si="36"/>
        <v/>
      </c>
    </row>
    <row r="100" hidden="1" outlineLevel="1">
      <c r="A100" s="190"/>
      <c r="B100" s="125"/>
      <c r="C100" s="170"/>
      <c r="D100" s="149"/>
      <c r="E100" s="149"/>
      <c r="F100" s="149"/>
      <c r="G100" s="149"/>
      <c r="H100" s="149"/>
      <c r="I100" s="188">
        <f t="shared" si="32"/>
        <v>0</v>
      </c>
      <c r="J100" s="170"/>
      <c r="K100" s="149"/>
      <c r="L100" s="149"/>
      <c r="M100" s="149"/>
      <c r="N100" s="149"/>
      <c r="O100" s="149"/>
      <c r="P100" s="188">
        <f t="shared" si="35"/>
        <v>0</v>
      </c>
      <c r="Q100" s="132">
        <f t="shared" si="30"/>
        <v>0</v>
      </c>
      <c r="R100" s="133">
        <f t="shared" si="31"/>
        <v>0</v>
      </c>
      <c r="S100" s="121" t="str">
        <f t="shared" si="36"/>
        <v/>
      </c>
    </row>
    <row r="101">
      <c r="A101" s="135"/>
      <c r="B101" s="136" t="s">
        <v>90</v>
      </c>
      <c r="C101" s="137">
        <f t="shared" ref="C101:K101" si="37">SUM(C102:C131)</f>
        <v>0</v>
      </c>
      <c r="D101" s="138">
        <f t="shared" si="37"/>
        <v>0</v>
      </c>
      <c r="E101" s="138">
        <f t="shared" si="37"/>
        <v>0</v>
      </c>
      <c r="F101" s="138">
        <f t="shared" si="37"/>
        <v>0</v>
      </c>
      <c r="G101" s="138">
        <f t="shared" si="37"/>
        <v>0</v>
      </c>
      <c r="H101" s="138">
        <f t="shared" si="37"/>
        <v>0</v>
      </c>
      <c r="I101" s="139">
        <f t="shared" si="37"/>
        <v>0</v>
      </c>
      <c r="J101" s="137">
        <f t="shared" si="37"/>
        <v>0</v>
      </c>
      <c r="K101" s="138">
        <f t="shared" si="37"/>
        <v>0</v>
      </c>
      <c r="L101" s="138"/>
      <c r="M101" s="138"/>
      <c r="N101" s="138"/>
      <c r="O101" s="138"/>
      <c r="P101" s="140">
        <f>SUM(P102:P131)</f>
        <v>0</v>
      </c>
      <c r="Q101" s="138">
        <f t="shared" si="30"/>
        <v>0</v>
      </c>
      <c r="R101" s="187">
        <f t="shared" si="31"/>
        <v>0</v>
      </c>
      <c r="S101" s="141" t="str">
        <f>IF(Q101=0,"",IF(R101&gt;1,"план не выполнен","выполнение"))</f>
        <v/>
      </c>
    </row>
    <row r="102">
      <c r="A102" s="142" t="str">
        <f>IFERROR(VLOOKUP(B102,'Статьи'!$A$2:C124,3,0)," ")</f>
        <v>1С</v>
      </c>
      <c r="B102" s="125" t="str">
        <f>IFERROR(__xludf.DUMMYFUNCTION("iferror(filter('Статьи'!$A$1:$A177,'Статьи'!$B$1:$B177=$B$101))"),"Аренда, коммунальные услуги")</f>
        <v>Аренда, коммунальные услуги</v>
      </c>
      <c r="C102" s="171"/>
      <c r="D102" s="172"/>
      <c r="E102" s="149"/>
      <c r="F102" s="149"/>
      <c r="G102" s="149"/>
      <c r="H102" s="149"/>
      <c r="I102" s="188">
        <f t="shared" ref="I102:I141" si="38">sum(C102:H102)</f>
        <v>0</v>
      </c>
      <c r="J102" s="170"/>
      <c r="K102" s="149"/>
      <c r="L102" s="149"/>
      <c r="M102" s="149"/>
      <c r="N102" s="149"/>
      <c r="O102" s="149"/>
      <c r="P102" s="188">
        <f t="shared" ref="P102:P131" si="39">SUM(J102:K102)</f>
        <v>0</v>
      </c>
      <c r="Q102" s="132">
        <f t="shared" si="30"/>
        <v>0</v>
      </c>
      <c r="R102" s="133">
        <f t="shared" si="31"/>
        <v>0</v>
      </c>
      <c r="S102" s="121" t="str">
        <f t="shared" ref="S102:S131" si="40">IF(Q102=0,"",IF(R102=0,"обратить внимание",IF(R102&gt;1,"перерасход","экономия")))</f>
        <v/>
      </c>
    </row>
    <row r="103">
      <c r="A103" s="191" t="str">
        <f>IFERROR(VLOOKUP(B103,'Статьи'!$A$2:C125,3,0)," ")</f>
        <v>1С</v>
      </c>
      <c r="B103" s="192" t="str">
        <f>IFERROR(__xludf.DUMMYFUNCTION("""COMPUTED_VALUE"""),"Аутсорсинг и прочие услуги")</f>
        <v>Аутсорсинг и прочие услуги</v>
      </c>
      <c r="C103" s="171"/>
      <c r="D103" s="172"/>
      <c r="E103" s="149"/>
      <c r="F103" s="149"/>
      <c r="G103" s="149"/>
      <c r="H103" s="149"/>
      <c r="I103" s="188">
        <f t="shared" si="38"/>
        <v>0</v>
      </c>
      <c r="J103" s="170"/>
      <c r="K103" s="149"/>
      <c r="L103" s="149"/>
      <c r="M103" s="149"/>
      <c r="N103" s="149"/>
      <c r="O103" s="149"/>
      <c r="P103" s="188">
        <f t="shared" si="39"/>
        <v>0</v>
      </c>
      <c r="Q103" s="132">
        <f t="shared" si="30"/>
        <v>0</v>
      </c>
      <c r="R103" s="133">
        <f t="shared" si="31"/>
        <v>0</v>
      </c>
      <c r="S103" s="121" t="str">
        <f t="shared" si="40"/>
        <v/>
      </c>
    </row>
    <row r="104">
      <c r="A104" s="193" t="str">
        <f>IFERROR(VLOOKUP(B104,'Статьи'!$A$2:C126,3,0)," ")</f>
        <v>1С</v>
      </c>
      <c r="B104" s="194" t="str">
        <f>IFERROR(__xludf.DUMMYFUNCTION("""COMPUTED_VALUE"""),"Командировочные расходы")</f>
        <v>Командировочные расходы</v>
      </c>
      <c r="C104" s="171"/>
      <c r="D104" s="172"/>
      <c r="E104" s="149"/>
      <c r="F104" s="149"/>
      <c r="G104" s="149"/>
      <c r="H104" s="149"/>
      <c r="I104" s="188">
        <f t="shared" si="38"/>
        <v>0</v>
      </c>
      <c r="J104" s="170"/>
      <c r="K104" s="149"/>
      <c r="L104" s="149"/>
      <c r="M104" s="149"/>
      <c r="N104" s="149"/>
      <c r="O104" s="149"/>
      <c r="P104" s="188">
        <f t="shared" si="39"/>
        <v>0</v>
      </c>
      <c r="Q104" s="132">
        <f t="shared" si="30"/>
        <v>0</v>
      </c>
      <c r="R104" s="133">
        <f t="shared" si="31"/>
        <v>0</v>
      </c>
      <c r="S104" s="121" t="str">
        <f t="shared" si="40"/>
        <v/>
      </c>
    </row>
    <row r="105">
      <c r="A105" s="195" t="str">
        <f>IFERROR(VLOOKUP(B105,'Статьи'!$A$2:C127,3,0)," ")</f>
        <v>ДДС отчетного месяца. Без НДС!</v>
      </c>
      <c r="B105" s="196" t="str">
        <f>IFERROR(__xludf.DUMMYFUNCTION("""COMPUTED_VALUE"""),"Комиссии банка")</f>
        <v>Комиссии банка</v>
      </c>
      <c r="C105" s="171"/>
      <c r="D105" s="172"/>
      <c r="E105" s="149"/>
      <c r="F105" s="149"/>
      <c r="G105" s="149"/>
      <c r="H105" s="149"/>
      <c r="I105" s="188">
        <f t="shared" si="38"/>
        <v>0</v>
      </c>
      <c r="J105" s="170"/>
      <c r="K105" s="149"/>
      <c r="L105" s="149"/>
      <c r="M105" s="149"/>
      <c r="N105" s="149"/>
      <c r="O105" s="149"/>
      <c r="P105" s="188">
        <f t="shared" si="39"/>
        <v>0</v>
      </c>
      <c r="Q105" s="132">
        <f t="shared" si="30"/>
        <v>0</v>
      </c>
      <c r="R105" s="133">
        <f t="shared" si="31"/>
        <v>0</v>
      </c>
      <c r="S105" s="121" t="str">
        <f t="shared" si="40"/>
        <v/>
      </c>
    </row>
    <row r="106">
      <c r="A106" s="191" t="str">
        <f>IFERROR(VLOOKUP(B106,'Статьи'!$A$2:C128,3,0)," ")</f>
        <v>ДДС отчетного месяца. Без НДС!</v>
      </c>
      <c r="B106" s="192" t="str">
        <f>IFERROR(__xludf.DUMMYFUNCTION("""COMPUTED_VALUE"""),"Обучение сотрудников")</f>
        <v>Обучение сотрудников</v>
      </c>
      <c r="C106" s="171"/>
      <c r="D106" s="172"/>
      <c r="E106" s="149"/>
      <c r="F106" s="149"/>
      <c r="G106" s="149"/>
      <c r="H106" s="149"/>
      <c r="I106" s="188">
        <f t="shared" si="38"/>
        <v>0</v>
      </c>
      <c r="J106" s="170"/>
      <c r="K106" s="149"/>
      <c r="L106" s="149"/>
      <c r="M106" s="149"/>
      <c r="N106" s="149"/>
      <c r="O106" s="149"/>
      <c r="P106" s="188">
        <f t="shared" si="39"/>
        <v>0</v>
      </c>
      <c r="Q106" s="132">
        <f t="shared" si="30"/>
        <v>0</v>
      </c>
      <c r="R106" s="133">
        <f t="shared" si="31"/>
        <v>0</v>
      </c>
      <c r="S106" s="121" t="str">
        <f t="shared" si="40"/>
        <v/>
      </c>
    </row>
    <row r="107">
      <c r="A107" s="142" t="str">
        <f>IFERROR(VLOOKUP(B107,'Статьи'!$A$2:C129,3,0)," ")</f>
        <v>ДДС отчетного месяца. Без НДС!</v>
      </c>
      <c r="B107" s="125" t="str">
        <f>IFERROR(__xludf.DUMMYFUNCTION("""COMPUTED_VALUE"""),"Подбор персонала")</f>
        <v>Подбор персонала</v>
      </c>
      <c r="C107" s="171"/>
      <c r="D107" s="172"/>
      <c r="E107" s="149"/>
      <c r="F107" s="149"/>
      <c r="G107" s="149"/>
      <c r="H107" s="149"/>
      <c r="I107" s="188">
        <f t="shared" si="38"/>
        <v>0</v>
      </c>
      <c r="J107" s="189"/>
      <c r="K107" s="149"/>
      <c r="L107" s="149"/>
      <c r="M107" s="149"/>
      <c r="N107" s="149"/>
      <c r="O107" s="149"/>
      <c r="P107" s="188">
        <f t="shared" si="39"/>
        <v>0</v>
      </c>
      <c r="Q107" s="132">
        <f t="shared" si="30"/>
        <v>0</v>
      </c>
      <c r="R107" s="133">
        <f t="shared" si="31"/>
        <v>0</v>
      </c>
      <c r="S107" s="121" t="str">
        <f t="shared" si="40"/>
        <v/>
      </c>
    </row>
    <row r="108">
      <c r="A108" s="142" t="str">
        <f>IFERROR(VLOOKUP(B108,'Статьи'!$A$2:C130,3,0)," ")</f>
        <v>ДДС отчетного месяца. Без НДС!</v>
      </c>
      <c r="B108" s="125" t="str">
        <f>IFERROR(__xludf.DUMMYFUNCTION("""COMPUTED_VALUE"""),"Почтовые расходы")</f>
        <v>Почтовые расходы</v>
      </c>
      <c r="C108" s="171"/>
      <c r="D108" s="172"/>
      <c r="E108" s="149"/>
      <c r="F108" s="149"/>
      <c r="G108" s="149"/>
      <c r="H108" s="149"/>
      <c r="I108" s="188">
        <f t="shared" si="38"/>
        <v>0</v>
      </c>
      <c r="J108" s="170"/>
      <c r="K108" s="149"/>
      <c r="L108" s="149"/>
      <c r="M108" s="149"/>
      <c r="N108" s="149"/>
      <c r="O108" s="149"/>
      <c r="P108" s="188">
        <f t="shared" si="39"/>
        <v>0</v>
      </c>
      <c r="Q108" s="132">
        <f t="shared" si="30"/>
        <v>0</v>
      </c>
      <c r="R108" s="133">
        <f t="shared" si="31"/>
        <v>0</v>
      </c>
      <c r="S108" s="121" t="str">
        <f t="shared" si="40"/>
        <v/>
      </c>
    </row>
    <row r="109">
      <c r="A109" s="142" t="str">
        <f>IFERROR(VLOOKUP(B109,'Статьи'!$A$2:C131,3,0)," ")</f>
        <v>ДДС отчетного месяца. Без НДС!</v>
      </c>
      <c r="B109" s="125" t="str">
        <f>IFERROR(__xludf.DUMMYFUNCTION("""COMPUTED_VALUE"""),"Представительские расходы")</f>
        <v>Представительские расходы</v>
      </c>
      <c r="C109" s="171"/>
      <c r="D109" s="172"/>
      <c r="E109" s="149"/>
      <c r="F109" s="149"/>
      <c r="G109" s="149"/>
      <c r="H109" s="149"/>
      <c r="I109" s="188">
        <f t="shared" si="38"/>
        <v>0</v>
      </c>
      <c r="J109" s="170"/>
      <c r="K109" s="149"/>
      <c r="L109" s="149"/>
      <c r="M109" s="149"/>
      <c r="N109" s="149"/>
      <c r="O109" s="149"/>
      <c r="P109" s="188">
        <f t="shared" si="39"/>
        <v>0</v>
      </c>
      <c r="Q109" s="132">
        <f t="shared" si="30"/>
        <v>0</v>
      </c>
      <c r="R109" s="133">
        <f t="shared" si="31"/>
        <v>0</v>
      </c>
      <c r="S109" s="121" t="str">
        <f t="shared" si="40"/>
        <v/>
      </c>
    </row>
    <row r="110">
      <c r="A110" s="142" t="str">
        <f>IFERROR(VLOOKUP(B110,'Статьи'!$A$2:C132,3,0)," ")</f>
        <v>ДДС отчетного месяца. Без НДС!</v>
      </c>
      <c r="B110" s="125" t="str">
        <f>IFERROR(__xludf.DUMMYFUNCTION("""COMPUTED_VALUE"""),"Содержание офиса")</f>
        <v>Содержание офиса</v>
      </c>
      <c r="C110" s="171"/>
      <c r="D110" s="172"/>
      <c r="E110" s="149"/>
      <c r="F110" s="149"/>
      <c r="G110" s="149"/>
      <c r="H110" s="149"/>
      <c r="I110" s="188">
        <f t="shared" si="38"/>
        <v>0</v>
      </c>
      <c r="J110" s="189"/>
      <c r="K110" s="149"/>
      <c r="L110" s="149"/>
      <c r="M110" s="149"/>
      <c r="N110" s="149"/>
      <c r="O110" s="149"/>
      <c r="P110" s="188">
        <f t="shared" si="39"/>
        <v>0</v>
      </c>
      <c r="Q110" s="132">
        <f t="shared" si="30"/>
        <v>0</v>
      </c>
      <c r="R110" s="133">
        <f t="shared" si="31"/>
        <v>0</v>
      </c>
      <c r="S110" s="121" t="str">
        <f t="shared" si="40"/>
        <v/>
      </c>
    </row>
    <row r="111">
      <c r="A111" s="142" t="str">
        <f>IFERROR(VLOOKUP(B111,'Статьи'!$A$2:C133,3,0)," ")</f>
        <v>ДДС отчетного месяца. Без НДС!</v>
      </c>
      <c r="B111" s="125" t="str">
        <f>IFERROR(__xludf.DUMMYFUNCTION("""COMPUTED_VALUE"""),"Услуги связи + Интернет")</f>
        <v>Услуги связи + Интернет</v>
      </c>
      <c r="C111" s="171"/>
      <c r="D111" s="172"/>
      <c r="E111" s="149"/>
      <c r="F111" s="149"/>
      <c r="G111" s="149"/>
      <c r="H111" s="149"/>
      <c r="I111" s="188">
        <f t="shared" si="38"/>
        <v>0</v>
      </c>
      <c r="J111" s="189"/>
      <c r="K111" s="149"/>
      <c r="L111" s="149"/>
      <c r="M111" s="149"/>
      <c r="N111" s="149"/>
      <c r="O111" s="149"/>
      <c r="P111" s="188">
        <f t="shared" si="39"/>
        <v>0</v>
      </c>
      <c r="Q111" s="132">
        <f t="shared" si="30"/>
        <v>0</v>
      </c>
      <c r="R111" s="133">
        <f t="shared" si="31"/>
        <v>0</v>
      </c>
      <c r="S111" s="121" t="str">
        <f t="shared" si="40"/>
        <v/>
      </c>
    </row>
    <row r="112">
      <c r="A112" s="142" t="str">
        <f>IFERROR(VLOOKUP(B112,'Статьи'!$A$2:C134,3,0)," ")</f>
        <v>ДДС отчетного месяца. Без НДС!</v>
      </c>
      <c r="B112" s="125" t="str">
        <f>IFERROR(__xludf.DUMMYFUNCTION("""COMPUTED_VALUE"""),"Штрафы")</f>
        <v>Штрафы</v>
      </c>
      <c r="C112" s="171"/>
      <c r="D112" s="172"/>
      <c r="E112" s="149"/>
      <c r="F112" s="149"/>
      <c r="G112" s="149"/>
      <c r="H112" s="149"/>
      <c r="I112" s="188">
        <f t="shared" si="38"/>
        <v>0</v>
      </c>
      <c r="J112" s="189"/>
      <c r="K112" s="149"/>
      <c r="L112" s="149"/>
      <c r="M112" s="149"/>
      <c r="N112" s="149"/>
      <c r="O112" s="149"/>
      <c r="P112" s="188">
        <f t="shared" si="39"/>
        <v>0</v>
      </c>
      <c r="Q112" s="132">
        <f t="shared" si="30"/>
        <v>0</v>
      </c>
      <c r="R112" s="133">
        <f t="shared" si="31"/>
        <v>0</v>
      </c>
      <c r="S112" s="121" t="str">
        <f t="shared" si="40"/>
        <v/>
      </c>
    </row>
    <row r="113" collapsed="1">
      <c r="A113" s="142" t="str">
        <f>IFERROR(VLOOKUP(B113,'Статьи'!$A$2:C135,3,0)," ")</f>
        <v> </v>
      </c>
      <c r="B113" s="125"/>
      <c r="C113" s="197"/>
      <c r="D113" s="149"/>
      <c r="E113" s="149"/>
      <c r="F113" s="149"/>
      <c r="G113" s="149"/>
      <c r="H113" s="149"/>
      <c r="I113" s="188">
        <f t="shared" si="38"/>
        <v>0</v>
      </c>
      <c r="J113" s="189"/>
      <c r="K113" s="149"/>
      <c r="L113" s="149"/>
      <c r="M113" s="149"/>
      <c r="N113" s="149"/>
      <c r="O113" s="149"/>
      <c r="P113" s="188">
        <f t="shared" si="39"/>
        <v>0</v>
      </c>
      <c r="Q113" s="132">
        <f t="shared" si="30"/>
        <v>0</v>
      </c>
      <c r="R113" s="133">
        <f t="shared" si="31"/>
        <v>0</v>
      </c>
      <c r="S113" s="121" t="str">
        <f t="shared" si="40"/>
        <v/>
      </c>
    </row>
    <row r="114" hidden="1" outlineLevel="1">
      <c r="A114" s="142" t="str">
        <f>IFERROR(VLOOKUP(B114,'Статьи'!$A$2:C136,3,0)," ")</f>
        <v> </v>
      </c>
      <c r="B114" s="125"/>
      <c r="C114" s="197"/>
      <c r="D114" s="149"/>
      <c r="E114" s="149"/>
      <c r="F114" s="149"/>
      <c r="G114" s="149"/>
      <c r="H114" s="149"/>
      <c r="I114" s="188">
        <f t="shared" si="38"/>
        <v>0</v>
      </c>
      <c r="J114" s="170"/>
      <c r="K114" s="149"/>
      <c r="L114" s="149"/>
      <c r="M114" s="149"/>
      <c r="N114" s="149"/>
      <c r="O114" s="149"/>
      <c r="P114" s="188">
        <f t="shared" si="39"/>
        <v>0</v>
      </c>
      <c r="Q114" s="132">
        <f t="shared" si="30"/>
        <v>0</v>
      </c>
      <c r="R114" s="133">
        <f t="shared" si="31"/>
        <v>0</v>
      </c>
      <c r="S114" s="121" t="str">
        <f t="shared" si="40"/>
        <v/>
      </c>
    </row>
    <row r="115" hidden="1" outlineLevel="1">
      <c r="A115" s="142" t="str">
        <f>IFERROR(VLOOKUP(B115,'Статьи'!$A$2:C137,3,0)," ")</f>
        <v> </v>
      </c>
      <c r="B115" s="125"/>
      <c r="C115" s="197"/>
      <c r="D115" s="149"/>
      <c r="E115" s="198"/>
      <c r="F115" s="198"/>
      <c r="G115" s="198"/>
      <c r="H115" s="198"/>
      <c r="I115" s="188">
        <f t="shared" si="38"/>
        <v>0</v>
      </c>
      <c r="J115" s="189"/>
      <c r="K115" s="149"/>
      <c r="L115" s="149"/>
      <c r="M115" s="149"/>
      <c r="N115" s="149"/>
      <c r="O115" s="149"/>
      <c r="P115" s="188">
        <f t="shared" si="39"/>
        <v>0</v>
      </c>
      <c r="Q115" s="132">
        <f t="shared" si="30"/>
        <v>0</v>
      </c>
      <c r="R115" s="133">
        <f t="shared" si="31"/>
        <v>0</v>
      </c>
      <c r="S115" s="121" t="str">
        <f t="shared" si="40"/>
        <v/>
      </c>
    </row>
    <row r="116" hidden="1" outlineLevel="1">
      <c r="A116" s="142" t="str">
        <f>IFERROR(VLOOKUP(B116,'Статьи'!$A$2:C138,3,0)," ")</f>
        <v> </v>
      </c>
      <c r="B116" s="125"/>
      <c r="C116" s="197"/>
      <c r="D116" s="149"/>
      <c r="E116" s="149"/>
      <c r="F116" s="149"/>
      <c r="G116" s="149"/>
      <c r="H116" s="149"/>
      <c r="I116" s="188">
        <f t="shared" si="38"/>
        <v>0</v>
      </c>
      <c r="J116" s="189"/>
      <c r="K116" s="149"/>
      <c r="L116" s="149"/>
      <c r="M116" s="149"/>
      <c r="N116" s="149"/>
      <c r="O116" s="149"/>
      <c r="P116" s="188">
        <f t="shared" si="39"/>
        <v>0</v>
      </c>
      <c r="Q116" s="132">
        <f t="shared" si="30"/>
        <v>0</v>
      </c>
      <c r="R116" s="133">
        <f t="shared" si="31"/>
        <v>0</v>
      </c>
      <c r="S116" s="121" t="str">
        <f t="shared" si="40"/>
        <v/>
      </c>
    </row>
    <row r="117" hidden="1" outlineLevel="1">
      <c r="A117" s="142" t="str">
        <f>IFERROR(VLOOKUP(B117,'Статьи'!$A$2:C139,3,0)," ")</f>
        <v> </v>
      </c>
      <c r="B117" s="125"/>
      <c r="C117" s="197"/>
      <c r="D117" s="149"/>
      <c r="E117" s="149"/>
      <c r="F117" s="149"/>
      <c r="G117" s="149"/>
      <c r="H117" s="149"/>
      <c r="I117" s="188">
        <f t="shared" si="38"/>
        <v>0</v>
      </c>
      <c r="J117" s="189"/>
      <c r="K117" s="149"/>
      <c r="L117" s="149"/>
      <c r="M117" s="149"/>
      <c r="N117" s="149"/>
      <c r="O117" s="149"/>
      <c r="P117" s="188">
        <f t="shared" si="39"/>
        <v>0</v>
      </c>
      <c r="Q117" s="132">
        <f t="shared" si="30"/>
        <v>0</v>
      </c>
      <c r="R117" s="133">
        <f t="shared" si="31"/>
        <v>0</v>
      </c>
      <c r="S117" s="121" t="str">
        <f t="shared" si="40"/>
        <v/>
      </c>
    </row>
    <row r="118" hidden="1" outlineLevel="1">
      <c r="A118" s="142" t="str">
        <f>IFERROR(VLOOKUP(B118,'Статьи'!$A$2:C140,3,0)," ")</f>
        <v> </v>
      </c>
      <c r="B118" s="125"/>
      <c r="C118" s="197"/>
      <c r="D118" s="149"/>
      <c r="E118" s="149"/>
      <c r="F118" s="149"/>
      <c r="G118" s="149"/>
      <c r="H118" s="149"/>
      <c r="I118" s="188">
        <f t="shared" si="38"/>
        <v>0</v>
      </c>
      <c r="J118" s="170"/>
      <c r="K118" s="149"/>
      <c r="L118" s="149"/>
      <c r="M118" s="149"/>
      <c r="N118" s="149"/>
      <c r="O118" s="149"/>
      <c r="P118" s="188">
        <f t="shared" si="39"/>
        <v>0</v>
      </c>
      <c r="Q118" s="132">
        <f t="shared" si="30"/>
        <v>0</v>
      </c>
      <c r="R118" s="133">
        <f t="shared" si="31"/>
        <v>0</v>
      </c>
      <c r="S118" s="121" t="str">
        <f t="shared" si="40"/>
        <v/>
      </c>
    </row>
    <row r="119" hidden="1" outlineLevel="1">
      <c r="A119" s="142" t="str">
        <f>IFERROR(VLOOKUP(B119,'Статьи'!$A$2:C141,3,0)," ")</f>
        <v> </v>
      </c>
      <c r="B119" s="125"/>
      <c r="C119" s="197"/>
      <c r="D119" s="149"/>
      <c r="E119" s="149"/>
      <c r="F119" s="149"/>
      <c r="G119" s="149"/>
      <c r="H119" s="149"/>
      <c r="I119" s="188">
        <f t="shared" si="38"/>
        <v>0</v>
      </c>
      <c r="J119" s="189"/>
      <c r="K119" s="149"/>
      <c r="L119" s="149"/>
      <c r="M119" s="149"/>
      <c r="N119" s="149"/>
      <c r="O119" s="149"/>
      <c r="P119" s="188">
        <f t="shared" si="39"/>
        <v>0</v>
      </c>
      <c r="Q119" s="132">
        <f t="shared" si="30"/>
        <v>0</v>
      </c>
      <c r="R119" s="133">
        <f t="shared" si="31"/>
        <v>0</v>
      </c>
      <c r="S119" s="121" t="str">
        <f t="shared" si="40"/>
        <v/>
      </c>
    </row>
    <row r="120" hidden="1" outlineLevel="1">
      <c r="A120" s="142" t="str">
        <f>IFERROR(VLOOKUP(B120,'Статьи'!$A$2:C142,3,0)," ")</f>
        <v> </v>
      </c>
      <c r="B120" s="125"/>
      <c r="C120" s="197"/>
      <c r="D120" s="149"/>
      <c r="E120" s="149"/>
      <c r="F120" s="149"/>
      <c r="G120" s="149"/>
      <c r="H120" s="149"/>
      <c r="I120" s="188">
        <f t="shared" si="38"/>
        <v>0</v>
      </c>
      <c r="J120" s="189"/>
      <c r="K120" s="149"/>
      <c r="L120" s="149"/>
      <c r="M120" s="149"/>
      <c r="N120" s="149"/>
      <c r="O120" s="149"/>
      <c r="P120" s="188">
        <f t="shared" si="39"/>
        <v>0</v>
      </c>
      <c r="Q120" s="132">
        <f t="shared" si="30"/>
        <v>0</v>
      </c>
      <c r="R120" s="133">
        <f t="shared" si="31"/>
        <v>0</v>
      </c>
      <c r="S120" s="121" t="str">
        <f t="shared" si="40"/>
        <v/>
      </c>
    </row>
    <row r="121" hidden="1" outlineLevel="1">
      <c r="A121" s="142" t="str">
        <f>IFERROR(VLOOKUP(B121,'Статьи'!$A$2:C143,3,0)," ")</f>
        <v> </v>
      </c>
      <c r="B121" s="125"/>
      <c r="C121" s="197"/>
      <c r="D121" s="149"/>
      <c r="E121" s="149"/>
      <c r="F121" s="149"/>
      <c r="G121" s="149"/>
      <c r="H121" s="149"/>
      <c r="I121" s="188">
        <f t="shared" si="38"/>
        <v>0</v>
      </c>
      <c r="J121" s="170"/>
      <c r="K121" s="149"/>
      <c r="L121" s="149"/>
      <c r="M121" s="149"/>
      <c r="N121" s="149"/>
      <c r="O121" s="149"/>
      <c r="P121" s="188">
        <f t="shared" si="39"/>
        <v>0</v>
      </c>
      <c r="Q121" s="132">
        <f t="shared" si="30"/>
        <v>0</v>
      </c>
      <c r="R121" s="133">
        <f t="shared" si="31"/>
        <v>0</v>
      </c>
      <c r="S121" s="121" t="str">
        <f t="shared" si="40"/>
        <v/>
      </c>
    </row>
    <row r="122" hidden="1" outlineLevel="1">
      <c r="A122" s="142" t="str">
        <f>IFERROR(VLOOKUP(B122,'Статьи'!$A$2:C144,3,0)," ")</f>
        <v> </v>
      </c>
      <c r="B122" s="125"/>
      <c r="C122" s="197"/>
      <c r="D122" s="149"/>
      <c r="E122" s="149"/>
      <c r="F122" s="149"/>
      <c r="G122" s="149"/>
      <c r="H122" s="149"/>
      <c r="I122" s="188">
        <f t="shared" si="38"/>
        <v>0</v>
      </c>
      <c r="J122" s="189"/>
      <c r="K122" s="149"/>
      <c r="L122" s="149"/>
      <c r="M122" s="149"/>
      <c r="N122" s="149"/>
      <c r="O122" s="149"/>
      <c r="P122" s="188">
        <f t="shared" si="39"/>
        <v>0</v>
      </c>
      <c r="Q122" s="132">
        <f t="shared" si="30"/>
        <v>0</v>
      </c>
      <c r="R122" s="133">
        <f t="shared" si="31"/>
        <v>0</v>
      </c>
      <c r="S122" s="121" t="str">
        <f t="shared" si="40"/>
        <v/>
      </c>
    </row>
    <row r="123" hidden="1" outlineLevel="1">
      <c r="A123" s="142" t="str">
        <f>IFERROR(VLOOKUP(B123,'Статьи'!$A$2:C145,3,0)," ")</f>
        <v> </v>
      </c>
      <c r="B123" s="125"/>
      <c r="C123" s="197"/>
      <c r="D123" s="149"/>
      <c r="E123" s="149"/>
      <c r="F123" s="149"/>
      <c r="G123" s="149"/>
      <c r="H123" s="149"/>
      <c r="I123" s="188">
        <f t="shared" si="38"/>
        <v>0</v>
      </c>
      <c r="J123" s="170"/>
      <c r="K123" s="149"/>
      <c r="L123" s="149"/>
      <c r="M123" s="149"/>
      <c r="N123" s="149"/>
      <c r="O123" s="149"/>
      <c r="P123" s="188">
        <f t="shared" si="39"/>
        <v>0</v>
      </c>
      <c r="Q123" s="132">
        <f t="shared" si="30"/>
        <v>0</v>
      </c>
      <c r="R123" s="133">
        <f t="shared" si="31"/>
        <v>0</v>
      </c>
      <c r="S123" s="121" t="str">
        <f t="shared" si="40"/>
        <v/>
      </c>
    </row>
    <row r="124" hidden="1" outlineLevel="1">
      <c r="A124" s="142" t="str">
        <f>IFERROR(VLOOKUP(B124,'Статьи'!$A$2:C146,3,0)," ")</f>
        <v> </v>
      </c>
      <c r="B124" s="125"/>
      <c r="C124" s="170"/>
      <c r="D124" s="149"/>
      <c r="E124" s="149"/>
      <c r="F124" s="149"/>
      <c r="G124" s="149"/>
      <c r="H124" s="149"/>
      <c r="I124" s="188">
        <f t="shared" si="38"/>
        <v>0</v>
      </c>
      <c r="J124" s="170"/>
      <c r="K124" s="149"/>
      <c r="L124" s="149"/>
      <c r="M124" s="149"/>
      <c r="N124" s="149"/>
      <c r="O124" s="149"/>
      <c r="P124" s="188">
        <f t="shared" si="39"/>
        <v>0</v>
      </c>
      <c r="Q124" s="132">
        <f t="shared" si="30"/>
        <v>0</v>
      </c>
      <c r="R124" s="133">
        <f t="shared" si="31"/>
        <v>0</v>
      </c>
      <c r="S124" s="121" t="str">
        <f t="shared" si="40"/>
        <v/>
      </c>
    </row>
    <row r="125" hidden="1" outlineLevel="1">
      <c r="A125" s="142" t="str">
        <f>IFERROR(VLOOKUP(B125,'Статьи'!$A$2:C147,3,0)," ")</f>
        <v> </v>
      </c>
      <c r="B125" s="125"/>
      <c r="C125" s="170"/>
      <c r="D125" s="149"/>
      <c r="E125" s="149"/>
      <c r="F125" s="149"/>
      <c r="G125" s="149"/>
      <c r="H125" s="149"/>
      <c r="I125" s="188">
        <f t="shared" si="38"/>
        <v>0</v>
      </c>
      <c r="J125" s="170"/>
      <c r="K125" s="149"/>
      <c r="L125" s="149"/>
      <c r="M125" s="149"/>
      <c r="N125" s="149"/>
      <c r="O125" s="149"/>
      <c r="P125" s="188">
        <f t="shared" si="39"/>
        <v>0</v>
      </c>
      <c r="Q125" s="132">
        <f t="shared" si="30"/>
        <v>0</v>
      </c>
      <c r="R125" s="133">
        <f t="shared" si="31"/>
        <v>0</v>
      </c>
      <c r="S125" s="121" t="str">
        <f t="shared" si="40"/>
        <v/>
      </c>
    </row>
    <row r="126" hidden="1" outlineLevel="1">
      <c r="A126" s="142" t="str">
        <f>IFERROR(VLOOKUP(B126,'Статьи'!$A$2:C148,3,0)," ")</f>
        <v> </v>
      </c>
      <c r="B126" s="125"/>
      <c r="C126" s="170"/>
      <c r="D126" s="149"/>
      <c r="E126" s="149"/>
      <c r="F126" s="149"/>
      <c r="G126" s="149"/>
      <c r="H126" s="149"/>
      <c r="I126" s="188">
        <f t="shared" si="38"/>
        <v>0</v>
      </c>
      <c r="J126" s="170"/>
      <c r="K126" s="149"/>
      <c r="L126" s="149"/>
      <c r="M126" s="149"/>
      <c r="N126" s="149"/>
      <c r="O126" s="149"/>
      <c r="P126" s="188">
        <f t="shared" si="39"/>
        <v>0</v>
      </c>
      <c r="Q126" s="132">
        <f t="shared" si="30"/>
        <v>0</v>
      </c>
      <c r="R126" s="133">
        <f t="shared" si="31"/>
        <v>0</v>
      </c>
      <c r="S126" s="121" t="str">
        <f t="shared" si="40"/>
        <v/>
      </c>
    </row>
    <row r="127" hidden="1" outlineLevel="1">
      <c r="A127" s="142" t="str">
        <f>IFERROR(VLOOKUP(B127,'Статьи'!$A$2:C149,3,0)," ")</f>
        <v> </v>
      </c>
      <c r="B127" s="125"/>
      <c r="C127" s="170"/>
      <c r="D127" s="149"/>
      <c r="E127" s="149"/>
      <c r="F127" s="149"/>
      <c r="G127" s="149"/>
      <c r="H127" s="149"/>
      <c r="I127" s="188">
        <f t="shared" si="38"/>
        <v>0</v>
      </c>
      <c r="J127" s="170"/>
      <c r="K127" s="149"/>
      <c r="L127" s="149"/>
      <c r="M127" s="149"/>
      <c r="N127" s="149"/>
      <c r="O127" s="149"/>
      <c r="P127" s="188">
        <f t="shared" si="39"/>
        <v>0</v>
      </c>
      <c r="Q127" s="132">
        <f t="shared" si="30"/>
        <v>0</v>
      </c>
      <c r="R127" s="133">
        <f t="shared" si="31"/>
        <v>0</v>
      </c>
      <c r="S127" s="121" t="str">
        <f t="shared" si="40"/>
        <v/>
      </c>
    </row>
    <row r="128" hidden="1" outlineLevel="1">
      <c r="A128" s="142" t="str">
        <f>IFERROR(VLOOKUP(B128,'Статьи'!$A$2:C150,3,0)," ")</f>
        <v> </v>
      </c>
      <c r="B128" s="125"/>
      <c r="C128" s="170"/>
      <c r="D128" s="149"/>
      <c r="E128" s="149"/>
      <c r="F128" s="149"/>
      <c r="G128" s="149"/>
      <c r="H128" s="149"/>
      <c r="I128" s="188">
        <f t="shared" si="38"/>
        <v>0</v>
      </c>
      <c r="J128" s="170"/>
      <c r="K128" s="149"/>
      <c r="L128" s="149"/>
      <c r="M128" s="149"/>
      <c r="N128" s="149"/>
      <c r="O128" s="149"/>
      <c r="P128" s="188">
        <f t="shared" si="39"/>
        <v>0</v>
      </c>
      <c r="Q128" s="132">
        <f t="shared" si="30"/>
        <v>0</v>
      </c>
      <c r="R128" s="133">
        <f t="shared" si="31"/>
        <v>0</v>
      </c>
      <c r="S128" s="121" t="str">
        <f t="shared" si="40"/>
        <v/>
      </c>
    </row>
    <row r="129" hidden="1" outlineLevel="1">
      <c r="A129" s="142" t="str">
        <f>IFERROR(VLOOKUP(B129,'Статьи'!$A$2:C151,3,0)," ")</f>
        <v> </v>
      </c>
      <c r="B129" s="125"/>
      <c r="C129" s="170"/>
      <c r="D129" s="149"/>
      <c r="E129" s="149"/>
      <c r="F129" s="149"/>
      <c r="G129" s="149"/>
      <c r="H129" s="149"/>
      <c r="I129" s="188">
        <f t="shared" si="38"/>
        <v>0</v>
      </c>
      <c r="J129" s="170"/>
      <c r="K129" s="149"/>
      <c r="L129" s="149"/>
      <c r="M129" s="149"/>
      <c r="N129" s="149"/>
      <c r="O129" s="149"/>
      <c r="P129" s="188">
        <f t="shared" si="39"/>
        <v>0</v>
      </c>
      <c r="Q129" s="132">
        <f t="shared" si="30"/>
        <v>0</v>
      </c>
      <c r="R129" s="133">
        <f t="shared" si="31"/>
        <v>0</v>
      </c>
      <c r="S129" s="121" t="str">
        <f t="shared" si="40"/>
        <v/>
      </c>
    </row>
    <row r="130" hidden="1" outlineLevel="1">
      <c r="A130" s="142" t="str">
        <f>IFERROR(VLOOKUP(B130,'Статьи'!$A$2:C152,3,0)," ")</f>
        <v> </v>
      </c>
      <c r="B130" s="125"/>
      <c r="C130" s="170"/>
      <c r="D130" s="149"/>
      <c r="E130" s="149"/>
      <c r="F130" s="149"/>
      <c r="G130" s="149"/>
      <c r="H130" s="149"/>
      <c r="I130" s="188">
        <f t="shared" si="38"/>
        <v>0</v>
      </c>
      <c r="J130" s="170"/>
      <c r="K130" s="149"/>
      <c r="L130" s="149"/>
      <c r="M130" s="149"/>
      <c r="N130" s="149"/>
      <c r="O130" s="149"/>
      <c r="P130" s="188">
        <f t="shared" si="39"/>
        <v>0</v>
      </c>
      <c r="Q130" s="132">
        <f t="shared" si="30"/>
        <v>0</v>
      </c>
      <c r="R130" s="133">
        <f t="shared" si="31"/>
        <v>0</v>
      </c>
      <c r="S130" s="121" t="str">
        <f t="shared" si="40"/>
        <v/>
      </c>
    </row>
    <row r="131">
      <c r="A131" s="142" t="str">
        <f>IFERROR(VLOOKUP(B131,'Статьи'!$A$2:C153,3,0)," ")</f>
        <v> </v>
      </c>
      <c r="B131" s="125"/>
      <c r="C131" s="170"/>
      <c r="D131" s="149"/>
      <c r="E131" s="149"/>
      <c r="F131" s="149"/>
      <c r="G131" s="149"/>
      <c r="H131" s="149"/>
      <c r="I131" s="188">
        <f t="shared" si="38"/>
        <v>0</v>
      </c>
      <c r="J131" s="170"/>
      <c r="K131" s="149"/>
      <c r="L131" s="149"/>
      <c r="M131" s="149"/>
      <c r="N131" s="149"/>
      <c r="O131" s="149"/>
      <c r="P131" s="188">
        <f t="shared" si="39"/>
        <v>0</v>
      </c>
      <c r="Q131" s="132">
        <f t="shared" si="30"/>
        <v>0</v>
      </c>
      <c r="R131" s="133">
        <f t="shared" si="31"/>
        <v>0</v>
      </c>
      <c r="S131" s="121" t="str">
        <f t="shared" si="40"/>
        <v/>
      </c>
    </row>
    <row r="132">
      <c r="A132" s="135"/>
      <c r="B132" s="136" t="s">
        <v>107</v>
      </c>
      <c r="C132" s="137">
        <f t="shared" ref="C132:H132" si="41">SUM(C133:C141)</f>
        <v>0</v>
      </c>
      <c r="D132" s="138">
        <f t="shared" si="41"/>
        <v>0</v>
      </c>
      <c r="E132" s="138">
        <f t="shared" si="41"/>
        <v>0</v>
      </c>
      <c r="F132" s="138">
        <f t="shared" si="41"/>
        <v>0</v>
      </c>
      <c r="G132" s="138">
        <f t="shared" si="41"/>
        <v>0</v>
      </c>
      <c r="H132" s="138">
        <f t="shared" si="41"/>
        <v>0</v>
      </c>
      <c r="I132" s="139">
        <f t="shared" si="38"/>
        <v>0</v>
      </c>
      <c r="J132" s="137">
        <f t="shared" ref="J132:P132" si="42">SUM(J133:J141)</f>
        <v>0</v>
      </c>
      <c r="K132" s="138">
        <f t="shared" si="42"/>
        <v>0</v>
      </c>
      <c r="L132" s="138">
        <f t="shared" si="42"/>
        <v>0</v>
      </c>
      <c r="M132" s="138">
        <f t="shared" si="42"/>
        <v>0</v>
      </c>
      <c r="N132" s="138">
        <f t="shared" si="42"/>
        <v>0</v>
      </c>
      <c r="O132" s="138">
        <f t="shared" si="42"/>
        <v>0</v>
      </c>
      <c r="P132" s="140">
        <f t="shared" si="42"/>
        <v>0</v>
      </c>
      <c r="Q132" s="138">
        <f t="shared" si="30"/>
        <v>0</v>
      </c>
      <c r="R132" s="187">
        <f t="shared" si="31"/>
        <v>0</v>
      </c>
      <c r="S132" s="229" t="str">
        <f>IF(Q132=0,"",IF(R132&gt;1,"план не выполнен","выполнение"))</f>
        <v/>
      </c>
    </row>
    <row r="133" collapsed="1">
      <c r="A133" s="142" t="str">
        <f>IFERROR(VLOOKUP(B133,'Статьи'!$A$2:C155,3,0)," ")</f>
        <v>ДДС отчетного месяца. Без НДС!</v>
      </c>
      <c r="B133" s="125" t="str">
        <f>IFERROR(__xludf.DUMMYFUNCTION("iferror(filter('Статьи'!$A$1:$A177,'Статьи'!$B$1:$B177=$B$132))"),"Подписка на сайты по поиску клиентов")</f>
        <v>Подписка на сайты по поиску клиентов</v>
      </c>
      <c r="C133" s="170"/>
      <c r="D133" s="149"/>
      <c r="E133" s="149"/>
      <c r="F133" s="149"/>
      <c r="G133" s="149"/>
      <c r="H133" s="149"/>
      <c r="I133" s="188">
        <f t="shared" si="38"/>
        <v>0</v>
      </c>
      <c r="J133" s="170"/>
      <c r="K133" s="149"/>
      <c r="L133" s="149"/>
      <c r="M133" s="149"/>
      <c r="N133" s="149"/>
      <c r="O133" s="149"/>
      <c r="P133" s="188">
        <f t="shared" ref="P133:P140" si="43">SUM(J133:K133)</f>
        <v>0</v>
      </c>
      <c r="Q133" s="132">
        <f t="shared" si="30"/>
        <v>0</v>
      </c>
      <c r="R133" s="133">
        <f t="shared" si="31"/>
        <v>0</v>
      </c>
      <c r="S133" s="121" t="str">
        <f t="shared" ref="S133:S141" si="44">IF(Q133=0,"",IF(R133=0,"обратить внимание",IF(R133&gt;1,"перерасход","экономия")))</f>
        <v/>
      </c>
    </row>
    <row r="134" hidden="1" outlineLevel="1">
      <c r="A134" s="142" t="str">
        <f>IFERROR(VLOOKUP(B134,'Статьи'!$A$2:C156,3,0)," ")</f>
        <v> </v>
      </c>
      <c r="B134" s="125"/>
      <c r="C134" s="170"/>
      <c r="D134" s="149"/>
      <c r="E134" s="149"/>
      <c r="F134" s="149"/>
      <c r="G134" s="149"/>
      <c r="H134" s="149"/>
      <c r="I134" s="188">
        <f t="shared" si="38"/>
        <v>0</v>
      </c>
      <c r="J134" s="170"/>
      <c r="K134" s="149"/>
      <c r="L134" s="149"/>
      <c r="M134" s="149"/>
      <c r="N134" s="149"/>
      <c r="O134" s="149"/>
      <c r="P134" s="188">
        <f t="shared" si="43"/>
        <v>0</v>
      </c>
      <c r="Q134" s="132">
        <f t="shared" si="30"/>
        <v>0</v>
      </c>
      <c r="R134" s="133">
        <f t="shared" si="31"/>
        <v>0</v>
      </c>
      <c r="S134" s="121" t="str">
        <f t="shared" si="44"/>
        <v/>
      </c>
    </row>
    <row r="135" hidden="1" outlineLevel="1">
      <c r="A135" s="175" t="str">
        <f>IFERROR(VLOOKUP(B135,'Статьи'!$A$2:C157,3,0)," ")</f>
        <v> </v>
      </c>
      <c r="B135" s="175"/>
      <c r="C135" s="170"/>
      <c r="D135" s="149"/>
      <c r="E135" s="149"/>
      <c r="F135" s="149"/>
      <c r="G135" s="149"/>
      <c r="H135" s="149"/>
      <c r="I135" s="188">
        <f t="shared" si="38"/>
        <v>0</v>
      </c>
      <c r="J135" s="170"/>
      <c r="K135" s="149"/>
      <c r="L135" s="149"/>
      <c r="M135" s="149"/>
      <c r="N135" s="149"/>
      <c r="O135" s="149"/>
      <c r="P135" s="188">
        <f t="shared" si="43"/>
        <v>0</v>
      </c>
      <c r="Q135" s="132">
        <f t="shared" si="30"/>
        <v>0</v>
      </c>
      <c r="R135" s="133">
        <f t="shared" si="31"/>
        <v>0</v>
      </c>
      <c r="S135" s="121" t="str">
        <f t="shared" si="44"/>
        <v/>
      </c>
    </row>
    <row r="136" hidden="1" outlineLevel="1">
      <c r="A136" s="175" t="str">
        <f>IFERROR(VLOOKUP(B136,'Статьи'!$A$2:C158,3,0)," ")</f>
        <v> </v>
      </c>
      <c r="B136" s="175"/>
      <c r="C136" s="170"/>
      <c r="D136" s="149"/>
      <c r="E136" s="149"/>
      <c r="F136" s="149"/>
      <c r="G136" s="149"/>
      <c r="H136" s="149"/>
      <c r="I136" s="188">
        <f t="shared" si="38"/>
        <v>0</v>
      </c>
      <c r="J136" s="170"/>
      <c r="K136" s="149"/>
      <c r="L136" s="149"/>
      <c r="M136" s="149"/>
      <c r="N136" s="149"/>
      <c r="O136" s="149"/>
      <c r="P136" s="188">
        <f t="shared" si="43"/>
        <v>0</v>
      </c>
      <c r="Q136" s="132">
        <f t="shared" si="30"/>
        <v>0</v>
      </c>
      <c r="R136" s="133">
        <f t="shared" si="31"/>
        <v>0</v>
      </c>
      <c r="S136" s="121" t="str">
        <f t="shared" si="44"/>
        <v/>
      </c>
    </row>
    <row r="137" hidden="1" outlineLevel="1">
      <c r="A137" s="175" t="str">
        <f>IFERROR(VLOOKUP(B137,'Статьи'!$A$2:C159,3,0)," ")</f>
        <v> </v>
      </c>
      <c r="B137" s="175"/>
      <c r="C137" s="170"/>
      <c r="D137" s="149"/>
      <c r="E137" s="149"/>
      <c r="F137" s="149"/>
      <c r="G137" s="149"/>
      <c r="H137" s="149"/>
      <c r="I137" s="188">
        <f t="shared" si="38"/>
        <v>0</v>
      </c>
      <c r="J137" s="170"/>
      <c r="K137" s="149"/>
      <c r="L137" s="149"/>
      <c r="M137" s="149"/>
      <c r="N137" s="149"/>
      <c r="O137" s="149"/>
      <c r="P137" s="188">
        <f t="shared" si="43"/>
        <v>0</v>
      </c>
      <c r="Q137" s="132">
        <f t="shared" si="30"/>
        <v>0</v>
      </c>
      <c r="R137" s="133">
        <f t="shared" si="31"/>
        <v>0</v>
      </c>
      <c r="S137" s="121" t="str">
        <f t="shared" si="44"/>
        <v/>
      </c>
    </row>
    <row r="138" hidden="1" outlineLevel="1">
      <c r="A138" s="175" t="str">
        <f>IFERROR(VLOOKUP(B138,'Статьи'!$A$2:C160,3,0)," ")</f>
        <v> </v>
      </c>
      <c r="B138" s="175"/>
      <c r="C138" s="170"/>
      <c r="D138" s="149"/>
      <c r="E138" s="149"/>
      <c r="F138" s="149"/>
      <c r="G138" s="149"/>
      <c r="H138" s="149"/>
      <c r="I138" s="188">
        <f t="shared" si="38"/>
        <v>0</v>
      </c>
      <c r="J138" s="170"/>
      <c r="K138" s="149"/>
      <c r="L138" s="149"/>
      <c r="M138" s="149"/>
      <c r="N138" s="149"/>
      <c r="O138" s="149"/>
      <c r="P138" s="188">
        <f t="shared" si="43"/>
        <v>0</v>
      </c>
      <c r="Q138" s="132">
        <f t="shared" si="30"/>
        <v>0</v>
      </c>
      <c r="R138" s="133">
        <f t="shared" si="31"/>
        <v>0</v>
      </c>
      <c r="S138" s="121" t="str">
        <f t="shared" si="44"/>
        <v/>
      </c>
    </row>
    <row r="139" hidden="1" outlineLevel="1">
      <c r="A139" s="175" t="str">
        <f>IFERROR(VLOOKUP(B139,'Статьи'!$A$2:C161,3,0)," ")</f>
        <v> </v>
      </c>
      <c r="B139" s="175"/>
      <c r="C139" s="170"/>
      <c r="D139" s="149"/>
      <c r="E139" s="149"/>
      <c r="F139" s="149"/>
      <c r="G139" s="149"/>
      <c r="H139" s="149"/>
      <c r="I139" s="188">
        <f t="shared" si="38"/>
        <v>0</v>
      </c>
      <c r="J139" s="170"/>
      <c r="K139" s="149"/>
      <c r="L139" s="149"/>
      <c r="M139" s="149"/>
      <c r="N139" s="149"/>
      <c r="O139" s="149"/>
      <c r="P139" s="188">
        <f t="shared" si="43"/>
        <v>0</v>
      </c>
      <c r="Q139" s="132">
        <f t="shared" si="30"/>
        <v>0</v>
      </c>
      <c r="R139" s="133">
        <f t="shared" si="31"/>
        <v>0</v>
      </c>
      <c r="S139" s="121" t="str">
        <f t="shared" si="44"/>
        <v/>
      </c>
    </row>
    <row r="140" hidden="1" outlineLevel="1">
      <c r="A140" s="175" t="str">
        <f>IFERROR(VLOOKUP(B140,'Статьи'!$A$2:C162,3,0)," ")</f>
        <v> </v>
      </c>
      <c r="B140" s="175"/>
      <c r="C140" s="170"/>
      <c r="D140" s="149"/>
      <c r="E140" s="149"/>
      <c r="F140" s="149"/>
      <c r="G140" s="149"/>
      <c r="H140" s="149"/>
      <c r="I140" s="188">
        <f t="shared" si="38"/>
        <v>0</v>
      </c>
      <c r="J140" s="170"/>
      <c r="K140" s="149"/>
      <c r="L140" s="149"/>
      <c r="M140" s="149"/>
      <c r="N140" s="149"/>
      <c r="O140" s="149"/>
      <c r="P140" s="188">
        <f t="shared" si="43"/>
        <v>0</v>
      </c>
      <c r="Q140" s="132">
        <f t="shared" si="30"/>
        <v>0</v>
      </c>
      <c r="R140" s="133">
        <f t="shared" si="31"/>
        <v>0</v>
      </c>
      <c r="S140" s="121" t="str">
        <f t="shared" si="44"/>
        <v/>
      </c>
    </row>
    <row r="141">
      <c r="A141" s="175" t="str">
        <f>IFERROR(VLOOKUP(B141,'Статьи'!$A$2:C163,3,0)," ")</f>
        <v> </v>
      </c>
      <c r="B141" s="175"/>
      <c r="C141" s="170"/>
      <c r="D141" s="149"/>
      <c r="E141" s="149"/>
      <c r="F141" s="149"/>
      <c r="G141" s="149"/>
      <c r="H141" s="149"/>
      <c r="I141" s="188">
        <f t="shared" si="38"/>
        <v>0</v>
      </c>
      <c r="J141" s="170"/>
      <c r="K141" s="149"/>
      <c r="L141" s="149"/>
      <c r="M141" s="149"/>
      <c r="N141" s="149"/>
      <c r="O141" s="149"/>
      <c r="P141" s="188">
        <f>sum(F141:J141)</f>
        <v>0</v>
      </c>
      <c r="Q141" s="132">
        <f t="shared" si="30"/>
        <v>0</v>
      </c>
      <c r="R141" s="133">
        <f t="shared" si="31"/>
        <v>0</v>
      </c>
      <c r="S141" s="121" t="str">
        <f t="shared" si="44"/>
        <v/>
      </c>
    </row>
    <row r="142">
      <c r="A142" s="152"/>
      <c r="B142" s="153" t="s">
        <v>142</v>
      </c>
      <c r="C142" s="154">
        <f t="shared" ref="C142:K142" si="45">C85+C88</f>
        <v>11</v>
      </c>
      <c r="D142" s="155">
        <f t="shared" si="45"/>
        <v>0</v>
      </c>
      <c r="E142" s="155">
        <f t="shared" si="45"/>
        <v>0</v>
      </c>
      <c r="F142" s="155">
        <f t="shared" si="45"/>
        <v>0</v>
      </c>
      <c r="G142" s="155">
        <f t="shared" si="45"/>
        <v>0</v>
      </c>
      <c r="H142" s="155">
        <f t="shared" si="45"/>
        <v>0</v>
      </c>
      <c r="I142" s="157">
        <f t="shared" si="45"/>
        <v>11</v>
      </c>
      <c r="J142" s="154">
        <f t="shared" si="45"/>
        <v>0</v>
      </c>
      <c r="K142" s="155">
        <f t="shared" si="45"/>
        <v>0</v>
      </c>
      <c r="L142" s="155"/>
      <c r="M142" s="155"/>
      <c r="N142" s="155"/>
      <c r="O142" s="155"/>
      <c r="P142" s="157">
        <f>P85+P88</f>
        <v>0</v>
      </c>
      <c r="Q142" s="155">
        <f t="shared" si="30"/>
        <v>11</v>
      </c>
      <c r="R142" s="158">
        <f t="shared" si="31"/>
        <v>0</v>
      </c>
      <c r="S142" s="159" t="str">
        <f>IF(Q142=0,"",IF(R142&gt;1,"выполнение","план не выполнен"))</f>
        <v>план не выполнен</v>
      </c>
    </row>
    <row r="143">
      <c r="A143" s="160"/>
      <c r="B143" s="161" t="s">
        <v>143</v>
      </c>
      <c r="C143" s="162">
        <f t="shared" ref="C143:K143" si="46">IFERROR(C142/C$3,"")</f>
        <v>1</v>
      </c>
      <c r="D143" s="163" t="str">
        <f t="shared" si="46"/>
        <v/>
      </c>
      <c r="E143" s="163" t="str">
        <f t="shared" si="46"/>
        <v/>
      </c>
      <c r="F143" s="163" t="str">
        <f t="shared" si="46"/>
        <v/>
      </c>
      <c r="G143" s="163" t="str">
        <f t="shared" si="46"/>
        <v/>
      </c>
      <c r="H143" s="163" t="str">
        <f t="shared" si="46"/>
        <v/>
      </c>
      <c r="I143" s="164">
        <f t="shared" si="46"/>
        <v>1</v>
      </c>
      <c r="J143" s="162" t="str">
        <f t="shared" si="46"/>
        <v/>
      </c>
      <c r="K143" s="163" t="str">
        <f t="shared" si="46"/>
        <v/>
      </c>
      <c r="L143" s="163"/>
      <c r="M143" s="163"/>
      <c r="N143" s="163"/>
      <c r="O143" s="163"/>
      <c r="P143" s="164" t="str">
        <f>IFERROR(P142/P$3,"")</f>
        <v/>
      </c>
      <c r="Q143" s="133"/>
      <c r="R143" s="133"/>
      <c r="S143" s="121" t="str">
        <f t="shared" ref="S143:S144" si="47">IF(Q143=0,"",IF(Q143=0,0,IF(R143&gt;1,"перерасход","экономия")))</f>
        <v/>
      </c>
    </row>
    <row r="144">
      <c r="A144" s="142"/>
      <c r="B144" s="125"/>
      <c r="C144" s="199"/>
      <c r="D144" s="200"/>
      <c r="E144" s="200"/>
      <c r="F144" s="200"/>
      <c r="G144" s="200"/>
      <c r="H144" s="200"/>
      <c r="I144" s="116"/>
      <c r="J144" s="123"/>
      <c r="K144" s="118"/>
      <c r="L144" s="118"/>
      <c r="M144" s="118"/>
      <c r="N144" s="118"/>
      <c r="O144" s="118"/>
      <c r="P144" s="116"/>
      <c r="Q144" s="132"/>
      <c r="R144" s="133"/>
      <c r="S144" s="121" t="str">
        <f t="shared" si="47"/>
        <v/>
      </c>
    </row>
    <row r="145">
      <c r="A145" s="201"/>
      <c r="B145" s="202" t="s">
        <v>111</v>
      </c>
      <c r="C145" s="203">
        <f t="shared" ref="C145:H145" si="48">SUM(C146:C154)</f>
        <v>0</v>
      </c>
      <c r="D145" s="204">
        <f t="shared" si="48"/>
        <v>0</v>
      </c>
      <c r="E145" s="204">
        <f t="shared" si="48"/>
        <v>0</v>
      </c>
      <c r="F145" s="204">
        <f t="shared" si="48"/>
        <v>0</v>
      </c>
      <c r="G145" s="204">
        <f t="shared" si="48"/>
        <v>0</v>
      </c>
      <c r="H145" s="204">
        <f t="shared" si="48"/>
        <v>0</v>
      </c>
      <c r="I145" s="205">
        <f>SUM(C145:H145)</f>
        <v>0</v>
      </c>
      <c r="J145" s="206">
        <f t="shared" ref="J145:P145" si="49">SUM(J146:J154)</f>
        <v>0</v>
      </c>
      <c r="K145" s="207">
        <f t="shared" si="49"/>
        <v>0</v>
      </c>
      <c r="L145" s="207">
        <f t="shared" si="49"/>
        <v>0</v>
      </c>
      <c r="M145" s="207">
        <f t="shared" si="49"/>
        <v>0</v>
      </c>
      <c r="N145" s="207">
        <f t="shared" si="49"/>
        <v>0</v>
      </c>
      <c r="O145" s="207">
        <f t="shared" si="49"/>
        <v>0</v>
      </c>
      <c r="P145" s="208">
        <f t="shared" si="49"/>
        <v>0</v>
      </c>
      <c r="Q145" s="204">
        <f t="shared" ref="Q145:Q173" si="50">I145-P145</f>
        <v>0</v>
      </c>
      <c r="R145" s="209">
        <f t="shared" ref="R145:R173" si="51">IFERROR(I145/P145,0)</f>
        <v>0</v>
      </c>
      <c r="S145" s="210" t="str">
        <f>IF(Q145=0,"",IF(R145&gt;1,"выполнение","план не выполнен"))</f>
        <v/>
      </c>
    </row>
    <row r="146">
      <c r="A146" s="142" t="str">
        <f>IFERROR(VLOOKUP(B146,'Статьи'!$A$2:C168,3,0)," ")</f>
        <v>ДДС отчетного месяца. Без НДС!</v>
      </c>
      <c r="B146" s="125" t="str">
        <f>IFERROR(__xludf.DUMMYFUNCTION("iferror(filter('Статьи'!$A$1:$A177,'Статьи'!$B$1:$B177=B145))"),"Поступления прочие")</f>
        <v>Поступления прочие</v>
      </c>
      <c r="C146" s="170"/>
      <c r="D146" s="149"/>
      <c r="E146" s="149"/>
      <c r="F146" s="149"/>
      <c r="G146" s="149"/>
      <c r="H146" s="149"/>
      <c r="I146" s="211">
        <f t="shared" ref="I146:I172" si="52">sum(C146:H146)</f>
        <v>0</v>
      </c>
      <c r="J146" s="122"/>
      <c r="K146" s="114"/>
      <c r="L146" s="114"/>
      <c r="M146" s="114"/>
      <c r="N146" s="114"/>
      <c r="O146" s="114"/>
      <c r="P146" s="211">
        <f t="shared" ref="P146:P153" si="53">SUM(J146:K146)</f>
        <v>0</v>
      </c>
      <c r="Q146" s="132">
        <f t="shared" si="50"/>
        <v>0</v>
      </c>
      <c r="R146" s="133">
        <f t="shared" si="51"/>
        <v>0</v>
      </c>
      <c r="S146" s="121" t="str">
        <f t="shared" ref="S146:S154" si="54">IF(Q146=0,"",IF(R146=0,"обратить внимание",IF(R146&gt;1,"выполнение","план не выполнен")))</f>
        <v/>
      </c>
    </row>
    <row r="147">
      <c r="A147" s="142" t="str">
        <f>IFERROR(VLOOKUP(B147,'Статьи'!$A$2:C169,3,0)," ")</f>
        <v>ДДС отчетного месяца. Без НДС!</v>
      </c>
      <c r="B147" s="125" t="str">
        <f>IFERROR(__xludf.DUMMYFUNCTION("""COMPUTED_VALUE"""),"Поступления страховые выплаты")</f>
        <v>Поступления страховые выплаты</v>
      </c>
      <c r="C147" s="170"/>
      <c r="D147" s="149"/>
      <c r="E147" s="149"/>
      <c r="F147" s="149"/>
      <c r="G147" s="149"/>
      <c r="H147" s="149"/>
      <c r="I147" s="211">
        <f t="shared" si="52"/>
        <v>0</v>
      </c>
      <c r="J147" s="122"/>
      <c r="K147" s="114"/>
      <c r="L147" s="114"/>
      <c r="M147" s="114"/>
      <c r="N147" s="114"/>
      <c r="O147" s="114"/>
      <c r="P147" s="211">
        <f t="shared" si="53"/>
        <v>0</v>
      </c>
      <c r="Q147" s="132">
        <f t="shared" si="50"/>
        <v>0</v>
      </c>
      <c r="R147" s="133">
        <f t="shared" si="51"/>
        <v>0</v>
      </c>
      <c r="S147" s="121" t="str">
        <f t="shared" si="54"/>
        <v/>
      </c>
    </row>
    <row r="148">
      <c r="A148" s="142" t="str">
        <f>IFERROR(VLOOKUP(B148,'Статьи'!$A$2:C170,3,0)," ")</f>
        <v>отчет Учета ОС Вкладка Свод строка 37</v>
      </c>
      <c r="B148" s="125" t="str">
        <f>IFERROR(__xludf.DUMMYFUNCTION("""COMPUTED_VALUE"""),"Продажа ОС")</f>
        <v>Продажа ОС</v>
      </c>
      <c r="C148" s="170"/>
      <c r="D148" s="149"/>
      <c r="E148" s="149"/>
      <c r="F148" s="149"/>
      <c r="G148" s="149"/>
      <c r="H148" s="149"/>
      <c r="I148" s="211">
        <f t="shared" si="52"/>
        <v>0</v>
      </c>
      <c r="J148" s="122"/>
      <c r="K148" s="114"/>
      <c r="L148" s="114"/>
      <c r="M148" s="114"/>
      <c r="N148" s="114"/>
      <c r="O148" s="114"/>
      <c r="P148" s="211">
        <f t="shared" si="53"/>
        <v>0</v>
      </c>
      <c r="Q148" s="132">
        <f t="shared" si="50"/>
        <v>0</v>
      </c>
      <c r="R148" s="133">
        <f t="shared" si="51"/>
        <v>0</v>
      </c>
      <c r="S148" s="121" t="str">
        <f t="shared" si="54"/>
        <v/>
      </c>
    </row>
    <row r="149">
      <c r="A149" s="142" t="str">
        <f>IFERROR(VLOOKUP(B149,'Статьи'!$A$2:C171,3,0)," ")</f>
        <v>ДДС отчетного месяца. Без НДС!</v>
      </c>
      <c r="B149" s="125" t="str">
        <f>IFERROR(__xludf.DUMMYFUNCTION("""COMPUTED_VALUE"""),"Прочие поступления от фин. операций")</f>
        <v>Прочие поступления от фин. операций</v>
      </c>
      <c r="C149" s="170"/>
      <c r="D149" s="149"/>
      <c r="E149" s="149"/>
      <c r="F149" s="149"/>
      <c r="G149" s="149"/>
      <c r="H149" s="149"/>
      <c r="I149" s="211">
        <f t="shared" si="52"/>
        <v>0</v>
      </c>
      <c r="J149" s="122"/>
      <c r="K149" s="114"/>
      <c r="L149" s="114"/>
      <c r="M149" s="114"/>
      <c r="N149" s="114"/>
      <c r="O149" s="114"/>
      <c r="P149" s="211">
        <f t="shared" si="53"/>
        <v>0</v>
      </c>
      <c r="Q149" s="132">
        <f t="shared" si="50"/>
        <v>0</v>
      </c>
      <c r="R149" s="133">
        <f t="shared" si="51"/>
        <v>0</v>
      </c>
      <c r="S149" s="121" t="str">
        <f t="shared" si="54"/>
        <v/>
      </c>
    </row>
    <row r="150">
      <c r="A150" s="142" t="str">
        <f>IFERROR(VLOOKUP(B150,'Статьи'!$A$2:C172,3,0)," ")</f>
        <v> </v>
      </c>
      <c r="B150" s="125"/>
      <c r="C150" s="170"/>
      <c r="D150" s="149"/>
      <c r="E150" s="149"/>
      <c r="F150" s="149"/>
      <c r="G150" s="149"/>
      <c r="H150" s="149"/>
      <c r="I150" s="211">
        <f t="shared" si="52"/>
        <v>0</v>
      </c>
      <c r="J150" s="122" t="str">
        <f>C150</f>
        <v/>
      </c>
      <c r="K150" s="114"/>
      <c r="L150" s="114"/>
      <c r="M150" s="114"/>
      <c r="N150" s="114"/>
      <c r="O150" s="114"/>
      <c r="P150" s="211">
        <f t="shared" si="53"/>
        <v>0</v>
      </c>
      <c r="Q150" s="132">
        <f t="shared" si="50"/>
        <v>0</v>
      </c>
      <c r="R150" s="133">
        <f t="shared" si="51"/>
        <v>0</v>
      </c>
      <c r="S150" s="121" t="str">
        <f t="shared" si="54"/>
        <v/>
      </c>
    </row>
    <row r="151" collapsed="1">
      <c r="A151" s="142" t="str">
        <f>IFERROR(VLOOKUP(B151,'Статьи'!$A$2:C173,3,0)," ")</f>
        <v> </v>
      </c>
      <c r="B151" s="125"/>
      <c r="C151" s="170"/>
      <c r="D151" s="149"/>
      <c r="E151" s="149"/>
      <c r="F151" s="149"/>
      <c r="G151" s="149"/>
      <c r="H151" s="149"/>
      <c r="I151" s="211">
        <f t="shared" si="52"/>
        <v>0</v>
      </c>
      <c r="J151" s="122"/>
      <c r="K151" s="114"/>
      <c r="L151" s="114"/>
      <c r="M151" s="114"/>
      <c r="N151" s="114"/>
      <c r="O151" s="114"/>
      <c r="P151" s="211">
        <f t="shared" si="53"/>
        <v>0</v>
      </c>
      <c r="Q151" s="132">
        <f t="shared" si="50"/>
        <v>0</v>
      </c>
      <c r="R151" s="133">
        <f t="shared" si="51"/>
        <v>0</v>
      </c>
      <c r="S151" s="121" t="str">
        <f t="shared" si="54"/>
        <v/>
      </c>
    </row>
    <row r="152" hidden="1" outlineLevel="1">
      <c r="A152" s="142" t="str">
        <f>IFERROR(VLOOKUP(B152,'Статьи'!$A$2:C174,3,0)," ")</f>
        <v> </v>
      </c>
      <c r="B152" s="125"/>
      <c r="C152" s="170"/>
      <c r="D152" s="149"/>
      <c r="E152" s="149"/>
      <c r="F152" s="149"/>
      <c r="G152" s="149"/>
      <c r="H152" s="149"/>
      <c r="I152" s="211">
        <f t="shared" si="52"/>
        <v>0</v>
      </c>
      <c r="J152" s="122"/>
      <c r="K152" s="114"/>
      <c r="L152" s="114"/>
      <c r="M152" s="114"/>
      <c r="N152" s="114"/>
      <c r="O152" s="114"/>
      <c r="P152" s="211">
        <f t="shared" si="53"/>
        <v>0</v>
      </c>
      <c r="Q152" s="132">
        <f t="shared" si="50"/>
        <v>0</v>
      </c>
      <c r="R152" s="133">
        <f t="shared" si="51"/>
        <v>0</v>
      </c>
      <c r="S152" s="121" t="str">
        <f t="shared" si="54"/>
        <v/>
      </c>
    </row>
    <row r="153" hidden="1" outlineLevel="1">
      <c r="A153" s="142" t="str">
        <f>IFERROR(VLOOKUP(B153,'Статьи'!$A$2:C175,3,0)," ")</f>
        <v> </v>
      </c>
      <c r="B153" s="125"/>
      <c r="C153" s="170"/>
      <c r="D153" s="149"/>
      <c r="E153" s="149"/>
      <c r="F153" s="149"/>
      <c r="G153" s="149"/>
      <c r="H153" s="149"/>
      <c r="I153" s="211">
        <f t="shared" si="52"/>
        <v>0</v>
      </c>
      <c r="J153" s="122"/>
      <c r="K153" s="114"/>
      <c r="L153" s="114"/>
      <c r="M153" s="114"/>
      <c r="N153" s="114"/>
      <c r="O153" s="114"/>
      <c r="P153" s="211">
        <f t="shared" si="53"/>
        <v>0</v>
      </c>
      <c r="Q153" s="132">
        <f t="shared" si="50"/>
        <v>0</v>
      </c>
      <c r="R153" s="133">
        <f t="shared" si="51"/>
        <v>0</v>
      </c>
      <c r="S153" s="121" t="str">
        <f t="shared" si="54"/>
        <v/>
      </c>
    </row>
    <row r="154">
      <c r="A154" s="142" t="str">
        <f>IFERROR(VLOOKUP(B154,'Статьи'!$A$2:C176,3,0)," ")</f>
        <v> </v>
      </c>
      <c r="B154" s="125"/>
      <c r="C154" s="170"/>
      <c r="D154" s="149"/>
      <c r="E154" s="149"/>
      <c r="F154" s="149"/>
      <c r="G154" s="149"/>
      <c r="H154" s="149"/>
      <c r="I154" s="211">
        <f t="shared" si="52"/>
        <v>0</v>
      </c>
      <c r="J154" s="122"/>
      <c r="K154" s="114"/>
      <c r="L154" s="114"/>
      <c r="M154" s="114"/>
      <c r="N154" s="114"/>
      <c r="O154" s="114"/>
      <c r="P154" s="211">
        <f>sum(F154:J154)</f>
        <v>0</v>
      </c>
      <c r="Q154" s="132">
        <f t="shared" si="50"/>
        <v>0</v>
      </c>
      <c r="R154" s="133">
        <f t="shared" si="51"/>
        <v>0</v>
      </c>
      <c r="S154" s="121" t="str">
        <f t="shared" si="54"/>
        <v/>
      </c>
    </row>
    <row r="155">
      <c r="A155" s="212"/>
      <c r="B155" s="213" t="s">
        <v>101</v>
      </c>
      <c r="C155" s="203">
        <f t="shared" ref="C155:H155" si="55">SUM(C156:C172)</f>
        <v>0</v>
      </c>
      <c r="D155" s="204">
        <f t="shared" si="55"/>
        <v>0</v>
      </c>
      <c r="E155" s="204">
        <f t="shared" si="55"/>
        <v>0</v>
      </c>
      <c r="F155" s="204">
        <f t="shared" si="55"/>
        <v>0</v>
      </c>
      <c r="G155" s="204">
        <f t="shared" si="55"/>
        <v>0</v>
      </c>
      <c r="H155" s="204">
        <f t="shared" si="55"/>
        <v>0</v>
      </c>
      <c r="I155" s="208">
        <f t="shared" si="52"/>
        <v>0</v>
      </c>
      <c r="J155" s="206">
        <f t="shared" ref="J155:K155" si="56">SUM(J156:J172)</f>
        <v>0</v>
      </c>
      <c r="K155" s="207">
        <f t="shared" si="56"/>
        <v>0</v>
      </c>
      <c r="L155" s="207"/>
      <c r="M155" s="207"/>
      <c r="N155" s="207"/>
      <c r="O155" s="207"/>
      <c r="P155" s="208">
        <f>SUM(P156:P172)</f>
        <v>0</v>
      </c>
      <c r="Q155" s="207">
        <f t="shared" si="50"/>
        <v>0</v>
      </c>
      <c r="R155" s="214">
        <f t="shared" si="51"/>
        <v>0</v>
      </c>
      <c r="S155" s="210" t="str">
        <f>IF(Q155=0,"",IF(R155&gt;1,"план не выполнен","выполнение"))</f>
        <v/>
      </c>
    </row>
    <row r="156">
      <c r="A156" s="142" t="str">
        <f>IFERROR(VLOOKUP(B156,'Статьи'!$A$2:C178,3,0)," ")</f>
        <v>ДДС отчетного месяца. Без НДС!</v>
      </c>
      <c r="B156" s="125" t="str">
        <f>IFERROR(__xludf.DUMMYFUNCTION("iferror(filter('Статьи'!$A$1:$A177,'Статьи'!$B$1:$B177=B155))"),"Курсовые разницы")</f>
        <v>Курсовые разницы</v>
      </c>
      <c r="C156" s="171"/>
      <c r="D156" s="149"/>
      <c r="E156" s="149"/>
      <c r="F156" s="149"/>
      <c r="G156" s="149"/>
      <c r="H156" s="149"/>
      <c r="I156" s="211">
        <f t="shared" si="52"/>
        <v>0</v>
      </c>
      <c r="J156" s="122"/>
      <c r="K156" s="114"/>
      <c r="L156" s="114"/>
      <c r="M156" s="114"/>
      <c r="N156" s="114"/>
      <c r="O156" s="114"/>
      <c r="P156" s="211">
        <f t="shared" ref="P156:P171" si="57">SUM(J156:K156)</f>
        <v>0</v>
      </c>
      <c r="Q156" s="132">
        <f t="shared" si="50"/>
        <v>0</v>
      </c>
      <c r="R156" s="133">
        <f t="shared" si="51"/>
        <v>0</v>
      </c>
      <c r="S156" s="121" t="str">
        <f t="shared" ref="S156:S172" si="58">IF(Q156=0,"",IF(R156=0,"обратить внимание",IF(R156&gt;1,"перерасход","экономия")))</f>
        <v/>
      </c>
    </row>
    <row r="157">
      <c r="A157" s="142" t="str">
        <f>IFERROR(VLOOKUP(B157,'Статьи'!$A$2:C179,3,0)," ")</f>
        <v>1С</v>
      </c>
      <c r="B157" s="125" t="str">
        <f>IFERROR(__xludf.DUMMYFUNCTION("""COMPUTED_VALUE"""),"Налог  на прибыль УСН 6%")</f>
        <v>Налог  на прибыль УСН 6%</v>
      </c>
      <c r="C157" s="171"/>
      <c r="D157" s="149"/>
      <c r="E157" s="149"/>
      <c r="F157" s="149"/>
      <c r="G157" s="149"/>
      <c r="H157" s="149"/>
      <c r="I157" s="211">
        <f t="shared" si="52"/>
        <v>0</v>
      </c>
      <c r="J157" s="122"/>
      <c r="K157" s="114"/>
      <c r="L157" s="114"/>
      <c r="M157" s="114"/>
      <c r="N157" s="114"/>
      <c r="O157" s="114"/>
      <c r="P157" s="211">
        <f t="shared" si="57"/>
        <v>0</v>
      </c>
      <c r="Q157" s="132">
        <f t="shared" si="50"/>
        <v>0</v>
      </c>
      <c r="R157" s="133">
        <f t="shared" si="51"/>
        <v>0</v>
      </c>
      <c r="S157" s="121" t="str">
        <f t="shared" si="58"/>
        <v/>
      </c>
    </row>
    <row r="158">
      <c r="A158" s="142" t="str">
        <f>IFERROR(VLOOKUP(B158,'Статьи'!$A$2:C180,3,0)," ")</f>
        <v>1С</v>
      </c>
      <c r="B158" s="125" t="str">
        <f>IFERROR(__xludf.DUMMYFUNCTION("""COMPUTED_VALUE"""),"Налог на прибыль 20%")</f>
        <v>Налог на прибыль 20%</v>
      </c>
      <c r="C158" s="171"/>
      <c r="D158" s="149"/>
      <c r="E158" s="149"/>
      <c r="F158" s="149"/>
      <c r="G158" s="149"/>
      <c r="H158" s="149"/>
      <c r="I158" s="211">
        <f t="shared" si="52"/>
        <v>0</v>
      </c>
      <c r="J158" s="122"/>
      <c r="K158" s="114"/>
      <c r="L158" s="114"/>
      <c r="M158" s="114"/>
      <c r="N158" s="114"/>
      <c r="O158" s="114"/>
      <c r="P158" s="211">
        <f t="shared" si="57"/>
        <v>0</v>
      </c>
      <c r="Q158" s="132">
        <f t="shared" si="50"/>
        <v>0</v>
      </c>
      <c r="R158" s="133">
        <f t="shared" si="51"/>
        <v>0</v>
      </c>
      <c r="S158" s="121" t="str">
        <f t="shared" si="58"/>
        <v/>
      </c>
    </row>
    <row r="159">
      <c r="A159" s="142" t="str">
        <f>IFERROR(VLOOKUP(B159,'Статьи'!$A$2:C181,3,0)," ")</f>
        <v>отчет Учет ОС</v>
      </c>
      <c r="B159" s="125" t="str">
        <f>IFERROR(__xludf.DUMMYFUNCTION("""COMPUTED_VALUE"""),"Амортизация ОС")</f>
        <v>Амортизация ОС</v>
      </c>
      <c r="C159" s="215"/>
      <c r="D159" s="149"/>
      <c r="E159" s="149"/>
      <c r="F159" s="149"/>
      <c r="G159" s="149"/>
      <c r="H159" s="149"/>
      <c r="I159" s="211">
        <f t="shared" si="52"/>
        <v>0</v>
      </c>
      <c r="J159" s="122"/>
      <c r="K159" s="114"/>
      <c r="L159" s="114"/>
      <c r="M159" s="114"/>
      <c r="N159" s="114"/>
      <c r="O159" s="114"/>
      <c r="P159" s="211">
        <f t="shared" si="57"/>
        <v>0</v>
      </c>
      <c r="Q159" s="132">
        <f t="shared" si="50"/>
        <v>0</v>
      </c>
      <c r="R159" s="133">
        <f t="shared" si="51"/>
        <v>0</v>
      </c>
      <c r="S159" s="121" t="str">
        <f t="shared" si="58"/>
        <v/>
      </c>
    </row>
    <row r="160">
      <c r="A160" s="142" t="str">
        <f>IFERROR(VLOOKUP(B160,'Статьи'!$A$2:C182,3,0)," ")</f>
        <v>ДДС отчетного месяца. Без НДС!</v>
      </c>
      <c r="B160" s="125" t="str">
        <f>IFERROR(__xludf.DUMMYFUNCTION("""COMPUTED_VALUE"""),"Прочие расходы")</f>
        <v>Прочие расходы</v>
      </c>
      <c r="C160" s="171"/>
      <c r="D160" s="149"/>
      <c r="E160" s="149"/>
      <c r="F160" s="149"/>
      <c r="G160" s="149"/>
      <c r="H160" s="149"/>
      <c r="I160" s="211">
        <f t="shared" si="52"/>
        <v>0</v>
      </c>
      <c r="J160" s="122"/>
      <c r="K160" s="114"/>
      <c r="L160" s="114"/>
      <c r="M160" s="114"/>
      <c r="N160" s="114"/>
      <c r="O160" s="114"/>
      <c r="P160" s="211">
        <f t="shared" si="57"/>
        <v>0</v>
      </c>
      <c r="Q160" s="132">
        <f t="shared" si="50"/>
        <v>0</v>
      </c>
      <c r="R160" s="133">
        <f t="shared" si="51"/>
        <v>0</v>
      </c>
      <c r="S160" s="121" t="str">
        <f t="shared" si="58"/>
        <v/>
      </c>
    </row>
    <row r="161">
      <c r="A161" s="142" t="str">
        <f>IFERROR(VLOOKUP(B161,'Статьи'!$A$2:C183,3,0)," ")</f>
        <v>ДДС отчетного месяца. Без НДС!</v>
      </c>
      <c r="B161" s="111" t="str">
        <f>IFERROR(__xludf.DUMMYFUNCTION("""COMPUTED_VALUE"""),"Ремонт ОС")</f>
        <v>Ремонт ОС</v>
      </c>
      <c r="C161" s="171"/>
      <c r="D161" s="149"/>
      <c r="E161" s="149"/>
      <c r="F161" s="149"/>
      <c r="G161" s="149"/>
      <c r="H161" s="149"/>
      <c r="I161" s="211">
        <f t="shared" si="52"/>
        <v>0</v>
      </c>
      <c r="J161" s="122"/>
      <c r="K161" s="114"/>
      <c r="L161" s="114"/>
      <c r="M161" s="114"/>
      <c r="N161" s="114"/>
      <c r="O161" s="114"/>
      <c r="P161" s="211">
        <f t="shared" si="57"/>
        <v>0</v>
      </c>
      <c r="Q161" s="132">
        <f t="shared" si="50"/>
        <v>0</v>
      </c>
      <c r="R161" s="133">
        <f t="shared" si="51"/>
        <v>0</v>
      </c>
      <c r="S161" s="121" t="str">
        <f t="shared" si="58"/>
        <v/>
      </c>
    </row>
    <row r="162">
      <c r="A162" s="142" t="str">
        <f>IFERROR(VLOOKUP(B162,'Статьи'!$A$2:C184,3,0)," ")</f>
        <v>отчет Учет ФД</v>
      </c>
      <c r="B162" s="111" t="str">
        <f>IFERROR(__xludf.DUMMYFUNCTION("""COMPUTED_VALUE"""),"Оплаты %  кредиты")</f>
        <v>Оплаты %  кредиты</v>
      </c>
      <c r="C162" s="171"/>
      <c r="D162" s="149"/>
      <c r="E162" s="149"/>
      <c r="F162" s="149"/>
      <c r="G162" s="149"/>
      <c r="H162" s="149"/>
      <c r="I162" s="211">
        <f t="shared" si="52"/>
        <v>0</v>
      </c>
      <c r="J162" s="122"/>
      <c r="K162" s="114"/>
      <c r="L162" s="114"/>
      <c r="M162" s="114"/>
      <c r="N162" s="114"/>
      <c r="O162" s="114"/>
      <c r="P162" s="211">
        <f t="shared" si="57"/>
        <v>0</v>
      </c>
      <c r="Q162" s="132">
        <f t="shared" si="50"/>
        <v>0</v>
      </c>
      <c r="R162" s="133">
        <f t="shared" si="51"/>
        <v>0</v>
      </c>
      <c r="S162" s="121" t="str">
        <f t="shared" si="58"/>
        <v/>
      </c>
    </row>
    <row r="163" collapsed="1">
      <c r="A163" s="110" t="str">
        <f>IFERROR(VLOOKUP(B163,'Статьи'!$A$2:C185,3,0)," ")</f>
        <v> </v>
      </c>
      <c r="B163" s="111"/>
      <c r="C163" s="171"/>
      <c r="D163" s="149"/>
      <c r="E163" s="149"/>
      <c r="F163" s="149"/>
      <c r="G163" s="149"/>
      <c r="H163" s="149"/>
      <c r="I163" s="211">
        <f t="shared" si="52"/>
        <v>0</v>
      </c>
      <c r="J163" s="122"/>
      <c r="K163" s="114"/>
      <c r="L163" s="114"/>
      <c r="M163" s="114"/>
      <c r="N163" s="114"/>
      <c r="O163" s="114"/>
      <c r="P163" s="211">
        <f t="shared" si="57"/>
        <v>0</v>
      </c>
      <c r="Q163" s="132">
        <f t="shared" si="50"/>
        <v>0</v>
      </c>
      <c r="R163" s="133">
        <f t="shared" si="51"/>
        <v>0</v>
      </c>
      <c r="S163" s="121" t="str">
        <f t="shared" si="58"/>
        <v/>
      </c>
    </row>
    <row r="164" hidden="1" outlineLevel="1">
      <c r="A164" s="110" t="str">
        <f>IFERROR(VLOOKUP(B164,'Статьи'!$A$2:C186,3,0)," ")</f>
        <v> </v>
      </c>
      <c r="B164" s="111"/>
      <c r="C164" s="170"/>
      <c r="I164" s="211">
        <f t="shared" si="52"/>
        <v>0</v>
      </c>
      <c r="J164" s="122"/>
      <c r="K164" s="114"/>
      <c r="L164" s="114"/>
      <c r="M164" s="114"/>
      <c r="N164" s="114"/>
      <c r="O164" s="114"/>
      <c r="P164" s="211">
        <f t="shared" si="57"/>
        <v>0</v>
      </c>
      <c r="Q164" s="132">
        <f t="shared" si="50"/>
        <v>0</v>
      </c>
      <c r="R164" s="133">
        <f t="shared" si="51"/>
        <v>0</v>
      </c>
      <c r="S164" s="121" t="str">
        <f t="shared" si="58"/>
        <v/>
      </c>
    </row>
    <row r="165" hidden="1" outlineLevel="1">
      <c r="A165" s="110" t="str">
        <f>IFERROR(VLOOKUP(B165,'Статьи'!$A$2:C187,3,0)," ")</f>
        <v> </v>
      </c>
      <c r="B165" s="111"/>
      <c r="C165" s="170"/>
      <c r="I165" s="211">
        <f t="shared" si="52"/>
        <v>0</v>
      </c>
      <c r="J165" s="122"/>
      <c r="K165" s="114"/>
      <c r="L165" s="114"/>
      <c r="M165" s="114"/>
      <c r="N165" s="114"/>
      <c r="O165" s="114"/>
      <c r="P165" s="211">
        <f t="shared" si="57"/>
        <v>0</v>
      </c>
      <c r="Q165" s="132">
        <f t="shared" si="50"/>
        <v>0</v>
      </c>
      <c r="R165" s="133">
        <f t="shared" si="51"/>
        <v>0</v>
      </c>
      <c r="S165" s="121" t="str">
        <f t="shared" si="58"/>
        <v/>
      </c>
    </row>
    <row r="166" hidden="1" outlineLevel="1">
      <c r="A166" s="110" t="str">
        <f>IFERROR(VLOOKUP(B166,'Статьи'!$A$2:C188,3,0)," ")</f>
        <v> </v>
      </c>
      <c r="B166" s="111"/>
      <c r="C166" s="170"/>
      <c r="I166" s="211">
        <f t="shared" si="52"/>
        <v>0</v>
      </c>
      <c r="J166" s="122"/>
      <c r="K166" s="114"/>
      <c r="L166" s="114"/>
      <c r="M166" s="114"/>
      <c r="N166" s="114"/>
      <c r="O166" s="114"/>
      <c r="P166" s="211">
        <f t="shared" si="57"/>
        <v>0</v>
      </c>
      <c r="Q166" s="132">
        <f t="shared" si="50"/>
        <v>0</v>
      </c>
      <c r="R166" s="133">
        <f t="shared" si="51"/>
        <v>0</v>
      </c>
      <c r="S166" s="121" t="str">
        <f t="shared" si="58"/>
        <v/>
      </c>
    </row>
    <row r="167" hidden="1" outlineLevel="1">
      <c r="A167" s="110" t="str">
        <f>IFERROR(VLOOKUP(B167,'Статьи'!$A$2:C189,3,0)," ")</f>
        <v> </v>
      </c>
      <c r="B167" s="111"/>
      <c r="C167" s="170"/>
      <c r="I167" s="211">
        <f t="shared" si="52"/>
        <v>0</v>
      </c>
      <c r="J167" s="122"/>
      <c r="K167" s="114"/>
      <c r="L167" s="114"/>
      <c r="M167" s="114"/>
      <c r="N167" s="114"/>
      <c r="O167" s="114"/>
      <c r="P167" s="211">
        <f t="shared" si="57"/>
        <v>0</v>
      </c>
      <c r="Q167" s="132">
        <f t="shared" si="50"/>
        <v>0</v>
      </c>
      <c r="R167" s="133">
        <f t="shared" si="51"/>
        <v>0</v>
      </c>
      <c r="S167" s="121" t="str">
        <f t="shared" si="58"/>
        <v/>
      </c>
    </row>
    <row r="168" hidden="1" outlineLevel="1">
      <c r="A168" s="110" t="str">
        <f>IFERROR(VLOOKUP(B168,'Статьи'!$A$2:C190,3,0)," ")</f>
        <v> </v>
      </c>
      <c r="B168" s="111"/>
      <c r="C168" s="170"/>
      <c r="I168" s="211">
        <f t="shared" si="52"/>
        <v>0</v>
      </c>
      <c r="J168" s="122"/>
      <c r="K168" s="114"/>
      <c r="L168" s="114"/>
      <c r="M168" s="114"/>
      <c r="N168" s="114"/>
      <c r="O168" s="114"/>
      <c r="P168" s="211">
        <f t="shared" si="57"/>
        <v>0</v>
      </c>
      <c r="Q168" s="132">
        <f t="shared" si="50"/>
        <v>0</v>
      </c>
      <c r="R168" s="133">
        <f t="shared" si="51"/>
        <v>0</v>
      </c>
      <c r="S168" s="121" t="str">
        <f t="shared" si="58"/>
        <v/>
      </c>
    </row>
    <row r="169" hidden="1" outlineLevel="1">
      <c r="A169" s="110" t="str">
        <f>IFERROR(VLOOKUP(B169,'Статьи'!$A$2:C191,3,0)," ")</f>
        <v> </v>
      </c>
      <c r="B169" s="111"/>
      <c r="C169" s="170"/>
      <c r="I169" s="211">
        <f t="shared" si="52"/>
        <v>0</v>
      </c>
      <c r="J169" s="122"/>
      <c r="K169" s="114"/>
      <c r="L169" s="114"/>
      <c r="M169" s="114"/>
      <c r="N169" s="114"/>
      <c r="O169" s="114"/>
      <c r="P169" s="211">
        <f t="shared" si="57"/>
        <v>0</v>
      </c>
      <c r="Q169" s="132">
        <f t="shared" si="50"/>
        <v>0</v>
      </c>
      <c r="R169" s="133">
        <f t="shared" si="51"/>
        <v>0</v>
      </c>
      <c r="S169" s="121" t="str">
        <f t="shared" si="58"/>
        <v/>
      </c>
    </row>
    <row r="170" hidden="1" outlineLevel="1">
      <c r="A170" s="110" t="str">
        <f>IFERROR(VLOOKUP(B170,'Статьи'!$A$2:C192,3,0)," ")</f>
        <v> </v>
      </c>
      <c r="B170" s="111"/>
      <c r="C170" s="170"/>
      <c r="I170" s="211">
        <f t="shared" si="52"/>
        <v>0</v>
      </c>
      <c r="J170" s="122"/>
      <c r="K170" s="114"/>
      <c r="L170" s="114"/>
      <c r="M170" s="114"/>
      <c r="N170" s="114"/>
      <c r="O170" s="114"/>
      <c r="P170" s="211">
        <f t="shared" si="57"/>
        <v>0</v>
      </c>
      <c r="Q170" s="132">
        <f t="shared" si="50"/>
        <v>0</v>
      </c>
      <c r="R170" s="133">
        <f t="shared" si="51"/>
        <v>0</v>
      </c>
      <c r="S170" s="121" t="str">
        <f t="shared" si="58"/>
        <v/>
      </c>
    </row>
    <row r="171" hidden="1" outlineLevel="1">
      <c r="A171" s="110" t="str">
        <f>IFERROR(VLOOKUP(B171,'Статьи'!$A$2:C193,3,0)," ")</f>
        <v> </v>
      </c>
      <c r="B171" s="111"/>
      <c r="C171" s="170"/>
      <c r="I171" s="211">
        <f t="shared" si="52"/>
        <v>0</v>
      </c>
      <c r="J171" s="122"/>
      <c r="K171" s="114"/>
      <c r="L171" s="114"/>
      <c r="M171" s="114"/>
      <c r="N171" s="114"/>
      <c r="O171" s="114"/>
      <c r="P171" s="211">
        <f t="shared" si="57"/>
        <v>0</v>
      </c>
      <c r="Q171" s="132">
        <f t="shared" si="50"/>
        <v>0</v>
      </c>
      <c r="R171" s="133">
        <f t="shared" si="51"/>
        <v>0</v>
      </c>
      <c r="S171" s="121" t="str">
        <f t="shared" si="58"/>
        <v/>
      </c>
    </row>
    <row r="172">
      <c r="A172" s="110" t="str">
        <f>IFERROR(VLOOKUP(B172,'Статьи'!$A$2:C194,3,0)," ")</f>
        <v> </v>
      </c>
      <c r="B172" s="111"/>
      <c r="C172" s="170"/>
      <c r="D172" s="149"/>
      <c r="E172" s="149"/>
      <c r="F172" s="149"/>
      <c r="G172" s="149"/>
      <c r="H172" s="149"/>
      <c r="I172" s="211">
        <f t="shared" si="52"/>
        <v>0</v>
      </c>
      <c r="J172" s="122"/>
      <c r="K172" s="114"/>
      <c r="L172" s="114"/>
      <c r="M172" s="114"/>
      <c r="N172" s="114"/>
      <c r="O172" s="114"/>
      <c r="P172" s="211">
        <f>sum(F172:J172)</f>
        <v>0</v>
      </c>
      <c r="Q172" s="132">
        <f t="shared" si="50"/>
        <v>0</v>
      </c>
      <c r="R172" s="133">
        <f t="shared" si="51"/>
        <v>0</v>
      </c>
      <c r="S172" s="121" t="str">
        <f t="shared" si="58"/>
        <v/>
      </c>
    </row>
    <row r="173">
      <c r="A173" s="152"/>
      <c r="B173" s="153" t="s">
        <v>144</v>
      </c>
      <c r="C173" s="154">
        <f t="shared" ref="C173:K173" si="59">C142+C155+C145</f>
        <v>11</v>
      </c>
      <c r="D173" s="155">
        <f t="shared" si="59"/>
        <v>0</v>
      </c>
      <c r="E173" s="155">
        <f t="shared" si="59"/>
        <v>0</v>
      </c>
      <c r="F173" s="155">
        <f t="shared" si="59"/>
        <v>0</v>
      </c>
      <c r="G173" s="155">
        <f t="shared" si="59"/>
        <v>0</v>
      </c>
      <c r="H173" s="155">
        <f t="shared" si="59"/>
        <v>0</v>
      </c>
      <c r="I173" s="157">
        <f t="shared" si="59"/>
        <v>11</v>
      </c>
      <c r="J173" s="154">
        <f t="shared" si="59"/>
        <v>0</v>
      </c>
      <c r="K173" s="155">
        <f t="shared" si="59"/>
        <v>0</v>
      </c>
      <c r="L173" s="155"/>
      <c r="M173" s="155"/>
      <c r="N173" s="155"/>
      <c r="O173" s="155"/>
      <c r="P173" s="157">
        <f>P142+P155+P145</f>
        <v>0</v>
      </c>
      <c r="Q173" s="155">
        <f t="shared" si="50"/>
        <v>11</v>
      </c>
      <c r="R173" s="158">
        <f t="shared" si="51"/>
        <v>0</v>
      </c>
      <c r="S173" s="159" t="str">
        <f>IF(Q173=0,"",IF(R173&gt;1,"выполнение","план не выполнен"))</f>
        <v>план не выполнен</v>
      </c>
    </row>
    <row r="174">
      <c r="A174" s="160"/>
      <c r="B174" s="161" t="s">
        <v>145</v>
      </c>
      <c r="C174" s="216">
        <f t="shared" ref="C174:K174" si="60">IFERROR(C173/C$3,0)</f>
        <v>1</v>
      </c>
      <c r="D174" s="217">
        <f t="shared" si="60"/>
        <v>0</v>
      </c>
      <c r="E174" s="217">
        <f t="shared" si="60"/>
        <v>0</v>
      </c>
      <c r="F174" s="217">
        <f t="shared" si="60"/>
        <v>0</v>
      </c>
      <c r="G174" s="217">
        <f t="shared" si="60"/>
        <v>0</v>
      </c>
      <c r="H174" s="217">
        <f t="shared" si="60"/>
        <v>0</v>
      </c>
      <c r="I174" s="218">
        <f t="shared" si="60"/>
        <v>1</v>
      </c>
      <c r="J174" s="216">
        <f t="shared" si="60"/>
        <v>0</v>
      </c>
      <c r="K174" s="217">
        <f t="shared" si="60"/>
        <v>0</v>
      </c>
      <c r="L174" s="217"/>
      <c r="M174" s="217"/>
      <c r="N174" s="217"/>
      <c r="O174" s="217"/>
      <c r="P174" s="218">
        <f>IFERROR(P173/P$3,0)</f>
        <v>0</v>
      </c>
      <c r="Q174" s="219"/>
      <c r="R174" s="219"/>
      <c r="S174" s="219"/>
    </row>
    <row r="175">
      <c r="A175" s="110"/>
      <c r="B175" s="111"/>
      <c r="C175" s="115"/>
      <c r="D175" s="115"/>
      <c r="E175" s="115"/>
      <c r="F175" s="115"/>
      <c r="G175" s="115"/>
      <c r="H175" s="115"/>
      <c r="I175" s="118"/>
      <c r="J175" s="118"/>
      <c r="K175" s="118"/>
      <c r="L175" s="118"/>
      <c r="M175" s="118"/>
      <c r="N175" s="118"/>
      <c r="O175" s="118"/>
      <c r="P175" s="118"/>
      <c r="Q175" s="118"/>
      <c r="R175" s="220"/>
      <c r="S175" s="220"/>
    </row>
    <row r="176">
      <c r="A176" s="142"/>
      <c r="B176" s="125"/>
      <c r="C176" s="115"/>
      <c r="D176" s="115"/>
      <c r="E176" s="115"/>
      <c r="F176" s="114"/>
      <c r="G176" s="115"/>
      <c r="H176" s="115"/>
      <c r="I176" s="118"/>
      <c r="J176" s="118"/>
      <c r="K176" s="118"/>
      <c r="L176" s="118"/>
      <c r="M176" s="118"/>
      <c r="N176" s="118"/>
      <c r="O176" s="118"/>
      <c r="P176" s="118"/>
      <c r="Q176" s="118"/>
      <c r="R176" s="220"/>
      <c r="S176" s="220"/>
    </row>
    <row r="177">
      <c r="A177" s="110"/>
      <c r="B177" s="111"/>
      <c r="C177" s="115"/>
      <c r="D177" s="115"/>
      <c r="E177" s="115"/>
      <c r="F177" s="115"/>
      <c r="G177" s="115"/>
      <c r="H177" s="115"/>
      <c r="I177" s="118"/>
      <c r="J177" s="118"/>
      <c r="K177" s="118"/>
      <c r="L177" s="118"/>
      <c r="M177" s="118"/>
      <c r="N177" s="118"/>
      <c r="O177" s="118"/>
      <c r="P177" s="118"/>
      <c r="Q177" s="118"/>
      <c r="R177" s="220"/>
      <c r="S177" s="220"/>
    </row>
  </sheetData>
  <mergeCells count="11">
    <mergeCell ref="C168:H168"/>
    <mergeCell ref="C169:H169"/>
    <mergeCell ref="C170:H170"/>
    <mergeCell ref="C171:H171"/>
    <mergeCell ref="C1:I1"/>
    <mergeCell ref="J1:P1"/>
    <mergeCell ref="Q1:R1"/>
    <mergeCell ref="C164:H164"/>
    <mergeCell ref="C165:H165"/>
    <mergeCell ref="C166:H166"/>
    <mergeCell ref="C167:H167"/>
  </mergeCells>
  <conditionalFormatting sqref="C13:H54">
    <cfRule type="expression" dxfId="4" priority="1">
      <formula>C$2=""</formula>
    </cfRule>
  </conditionalFormatting>
  <conditionalFormatting sqref="C13:H54">
    <cfRule type="expression" dxfId="2" priority="2">
      <formula>OR(#REF!=C$2,#REF!=C$2,#REF!=C$2,#REF!=C$2,#REF!=C$2,#REF!=C$2,#REF!=C$2,#REF!=C$2,#REF!=C$2)</formula>
    </cfRule>
  </conditionalFormatting>
  <conditionalFormatting sqref="C59:H84 C91:C93">
    <cfRule type="expression" dxfId="4" priority="3">
      <formula>C$2=""</formula>
    </cfRule>
  </conditionalFormatting>
  <conditionalFormatting sqref="C59:H84 C91:C93">
    <cfRule type="expression" dxfId="2" priority="4">
      <formula>OR(#REF!=C$2,#REF!=C$2,#REF!=C$2,#REF!=C$2,#REF!=C$2,#REF!=C$2,#REF!=C$2,#REF!=C$2,#REF!=C$2)</formula>
    </cfRule>
  </conditionalFormatting>
  <conditionalFormatting sqref="A1:A2">
    <cfRule type="notContainsBlanks" dxfId="2" priority="5">
      <formula>LEN(TRIM(A1))&gt;0</formula>
    </cfRule>
  </conditionalFormatting>
  <conditionalFormatting sqref="S1:S177">
    <cfRule type="containsText" dxfId="2" priority="6" operator="containsText" text="выполнение">
      <formula>NOT(ISERROR(SEARCH(("выполнение"),(S1))))</formula>
    </cfRule>
  </conditionalFormatting>
  <conditionalFormatting sqref="S1:S177">
    <cfRule type="containsText" dxfId="3" priority="7" operator="containsText" text="план не выполнен">
      <formula>NOT(ISERROR(SEARCH(("план не выполнен"),(S1))))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7.13"/>
    <col customWidth="1" min="2" max="2" width="38.25"/>
    <col customWidth="1" min="3" max="3" width="10.63"/>
    <col collapsed="1" customWidth="1" min="4" max="4" width="10.63"/>
    <col customWidth="1" hidden="1" min="5" max="8" width="10.63" outlineLevel="1"/>
    <col customWidth="1" min="9" max="10" width="10.63"/>
    <col collapsed="1" customWidth="1" min="11" max="11" width="10.63"/>
    <col customWidth="1" hidden="1" min="12" max="15" width="10.63" outlineLevel="1"/>
    <col customWidth="1" min="16" max="16" width="10.63"/>
    <col customWidth="1" min="17" max="18" width="11.38"/>
    <col customWidth="1" min="19" max="19" width="16.88"/>
  </cols>
  <sheetData>
    <row r="1">
      <c r="A1" s="88">
        <v>10.0</v>
      </c>
      <c r="B1" s="89"/>
      <c r="C1" s="90" t="s">
        <v>127</v>
      </c>
      <c r="D1" s="91"/>
      <c r="E1" s="91"/>
      <c r="F1" s="91"/>
      <c r="G1" s="91"/>
      <c r="H1" s="91"/>
      <c r="I1" s="92"/>
      <c r="J1" s="93" t="s">
        <v>128</v>
      </c>
      <c r="K1" s="91"/>
      <c r="L1" s="91"/>
      <c r="M1" s="91"/>
      <c r="N1" s="91"/>
      <c r="O1" s="91"/>
      <c r="P1" s="92"/>
      <c r="Q1" s="94" t="s">
        <v>129</v>
      </c>
      <c r="S1" s="94"/>
    </row>
    <row r="2">
      <c r="A2" s="88" t="s">
        <v>130</v>
      </c>
      <c r="B2" s="89"/>
      <c r="C2" s="95" t="str">
        <f t="array" ref="C2:H2">TRANSPOSE('Справочник'!D2:D7)</f>
        <v>ООО "Весело живем"</v>
      </c>
      <c r="D2" s="96" t="s">
        <v>84</v>
      </c>
      <c r="E2" s="97">
        <v>3.0</v>
      </c>
      <c r="F2" s="97">
        <v>4.0</v>
      </c>
      <c r="G2" s="97">
        <v>5.0</v>
      </c>
      <c r="H2" s="97">
        <v>6.0</v>
      </c>
      <c r="I2" s="98" t="s">
        <v>131</v>
      </c>
      <c r="J2" s="95" t="str">
        <f t="array" ref="J2:O2">TRANSPOSE('Справочник'!D2:D7)</f>
        <v>ООО "Весело живем"</v>
      </c>
      <c r="K2" s="96" t="s">
        <v>84</v>
      </c>
      <c r="L2" s="97">
        <v>3.0</v>
      </c>
      <c r="M2" s="97">
        <v>4.0</v>
      </c>
      <c r="N2" s="97">
        <v>5.0</v>
      </c>
      <c r="O2" s="97">
        <v>6.0</v>
      </c>
      <c r="P2" s="98" t="s">
        <v>131</v>
      </c>
      <c r="Q2" s="99" t="s">
        <v>154</v>
      </c>
      <c r="R2" s="100" t="s">
        <v>133</v>
      </c>
      <c r="S2" s="101" t="s">
        <v>134</v>
      </c>
    </row>
    <row r="3">
      <c r="A3" s="102"/>
      <c r="B3" s="103" t="s">
        <v>86</v>
      </c>
      <c r="C3" s="104">
        <f t="shared" ref="C3:H3" si="1">SUM(C4:C10)</f>
        <v>12</v>
      </c>
      <c r="D3" s="105">
        <f t="shared" si="1"/>
        <v>0</v>
      </c>
      <c r="E3" s="105">
        <f t="shared" si="1"/>
        <v>0</v>
      </c>
      <c r="F3" s="105">
        <f t="shared" si="1"/>
        <v>0</v>
      </c>
      <c r="G3" s="105">
        <f t="shared" si="1"/>
        <v>0</v>
      </c>
      <c r="H3" s="105">
        <f t="shared" si="1"/>
        <v>0</v>
      </c>
      <c r="I3" s="106">
        <f>sum(C3:H3)</f>
        <v>12</v>
      </c>
      <c r="J3" s="104">
        <f t="shared" ref="J3:K3" si="2">SUM(J4:J10)</f>
        <v>0</v>
      </c>
      <c r="K3" s="105">
        <f t="shared" si="2"/>
        <v>0</v>
      </c>
      <c r="L3" s="105"/>
      <c r="M3" s="105"/>
      <c r="N3" s="105"/>
      <c r="O3" s="105"/>
      <c r="P3" s="107">
        <f>SUM(P4:P10)</f>
        <v>0</v>
      </c>
      <c r="Q3" s="105">
        <f t="shared" ref="Q3:Q55" si="3">I3-P3</f>
        <v>12</v>
      </c>
      <c r="R3" s="108">
        <f t="shared" ref="R3:R55" si="4">IFERROR(I3/P3,0)</f>
        <v>0</v>
      </c>
      <c r="S3" s="109" t="str">
        <f>IF(Q3=0,"",IF(R3&gt;1,"выполнение","план не выполнен"))</f>
        <v>план не выполнен</v>
      </c>
    </row>
    <row r="4">
      <c r="A4" s="110" t="str">
        <f>IFERROR(VLOOKUP(B4,'Статьи'!$A$2:C26,3,0)," ")</f>
        <v>1С сч 90.01 убрать НДС!</v>
      </c>
      <c r="B4" s="111" t="str">
        <f>IFERROR(__xludf.DUMMYFUNCTION("iferror(filter('Статьи'!$A$1:$A177,'Статьи'!$B$1:$B177=$B$3))"),"Выручка от аренды машиноместа")</f>
        <v>Выручка от аренды машиноместа</v>
      </c>
      <c r="C4" s="112">
        <v>12.0</v>
      </c>
      <c r="D4" s="113"/>
      <c r="E4" s="114"/>
      <c r="F4" s="115"/>
      <c r="G4" s="115"/>
      <c r="H4" s="115"/>
      <c r="I4" s="116">
        <f t="shared" ref="I4:I8" si="5">SUM(C4:H4)</f>
        <v>12</v>
      </c>
      <c r="J4" s="117"/>
      <c r="K4" s="118"/>
      <c r="L4" s="118"/>
      <c r="M4" s="118"/>
      <c r="N4" s="118"/>
      <c r="O4" s="118"/>
      <c r="P4" s="116">
        <f t="shared" ref="P4:P5" si="6">SUM(J4:K4)</f>
        <v>0</v>
      </c>
      <c r="Q4" s="119">
        <f t="shared" si="3"/>
        <v>12</v>
      </c>
      <c r="R4" s="120">
        <f t="shared" si="4"/>
        <v>0</v>
      </c>
      <c r="S4" s="121" t="str">
        <f t="shared" ref="S4:S10" si="7">IF(Q4=0,"",IF(R4=0,"обратить внимание",IF(R4&gt;1,"выполнение","план не выполнен")))</f>
        <v>обратить внимание</v>
      </c>
    </row>
    <row r="5" collapsed="1">
      <c r="A5" s="110" t="str">
        <f>IFERROR(VLOOKUP(B5,'Статьи'!$A$2:C27,3,0)," ")</f>
        <v>1С сч 90.01 убрать НДС!</v>
      </c>
      <c r="B5" s="111" t="str">
        <f>IFERROR(__xludf.DUMMYFUNCTION("""COMPUTED_VALUE"""),"Выручка за грузоперевозки")</f>
        <v>Выручка за грузоперевозки</v>
      </c>
      <c r="C5" s="112"/>
      <c r="D5" s="113"/>
      <c r="E5" s="114"/>
      <c r="F5" s="115"/>
      <c r="G5" s="115"/>
      <c r="H5" s="115"/>
      <c r="I5" s="116">
        <f t="shared" si="5"/>
        <v>0</v>
      </c>
      <c r="J5" s="117"/>
      <c r="K5" s="118"/>
      <c r="L5" s="118"/>
      <c r="M5" s="118"/>
      <c r="N5" s="118"/>
      <c r="O5" s="118"/>
      <c r="P5" s="116">
        <f t="shared" si="6"/>
        <v>0</v>
      </c>
      <c r="Q5" s="119">
        <f t="shared" si="3"/>
        <v>0</v>
      </c>
      <c r="R5" s="120">
        <f t="shared" si="4"/>
        <v>0</v>
      </c>
      <c r="S5" s="121" t="str">
        <f t="shared" si="7"/>
        <v/>
      </c>
    </row>
    <row r="6" hidden="1" outlineLevel="1">
      <c r="A6" s="110" t="str">
        <f>IFERROR(VLOOKUP(B6,'Статьи'!$A$2:C28,3,0)," ")</f>
        <v> </v>
      </c>
      <c r="B6" s="111"/>
      <c r="C6" s="122"/>
      <c r="D6" s="115"/>
      <c r="E6" s="115"/>
      <c r="F6" s="114"/>
      <c r="G6" s="114"/>
      <c r="H6" s="114"/>
      <c r="I6" s="116">
        <f t="shared" si="5"/>
        <v>0</v>
      </c>
      <c r="J6" s="123"/>
      <c r="K6" s="118"/>
      <c r="L6" s="118"/>
      <c r="M6" s="118"/>
      <c r="N6" s="118"/>
      <c r="O6" s="118"/>
      <c r="P6" s="116">
        <f t="shared" ref="P6:P8" si="8">SUM(F6:J6)</f>
        <v>0</v>
      </c>
      <c r="Q6" s="119">
        <f t="shared" si="3"/>
        <v>0</v>
      </c>
      <c r="R6" s="120">
        <f t="shared" si="4"/>
        <v>0</v>
      </c>
      <c r="S6" s="121" t="str">
        <f t="shared" si="7"/>
        <v/>
      </c>
    </row>
    <row r="7" hidden="1" outlineLevel="1">
      <c r="A7" s="110" t="str">
        <f>IFERROR(VLOOKUP(B7,'Статьи'!$A$2:C29,3,0)," ")</f>
        <v> </v>
      </c>
      <c r="B7" s="111"/>
      <c r="C7" s="122"/>
      <c r="D7" s="115"/>
      <c r="E7" s="115"/>
      <c r="F7" s="115"/>
      <c r="G7" s="115"/>
      <c r="H7" s="115"/>
      <c r="I7" s="116">
        <f t="shared" si="5"/>
        <v>0</v>
      </c>
      <c r="J7" s="123"/>
      <c r="K7" s="118"/>
      <c r="L7" s="118"/>
      <c r="M7" s="118"/>
      <c r="N7" s="118"/>
      <c r="O7" s="118"/>
      <c r="P7" s="116">
        <f t="shared" si="8"/>
        <v>0</v>
      </c>
      <c r="Q7" s="119">
        <f t="shared" si="3"/>
        <v>0</v>
      </c>
      <c r="R7" s="120">
        <f t="shared" si="4"/>
        <v>0</v>
      </c>
      <c r="S7" s="121" t="str">
        <f t="shared" si="7"/>
        <v/>
      </c>
    </row>
    <row r="8" hidden="1" outlineLevel="1">
      <c r="A8" s="110" t="str">
        <f>IFERROR(VLOOKUP(B8,'Статьи'!$A$2:C30,3,0)," ")</f>
        <v> </v>
      </c>
      <c r="B8" s="111"/>
      <c r="C8" s="122"/>
      <c r="D8" s="115"/>
      <c r="E8" s="115"/>
      <c r="F8" s="115"/>
      <c r="G8" s="115"/>
      <c r="H8" s="115"/>
      <c r="I8" s="116">
        <f t="shared" si="5"/>
        <v>0</v>
      </c>
      <c r="J8" s="123"/>
      <c r="K8" s="118"/>
      <c r="L8" s="118"/>
      <c r="M8" s="118"/>
      <c r="N8" s="118"/>
      <c r="O8" s="118"/>
      <c r="P8" s="116">
        <f t="shared" si="8"/>
        <v>0</v>
      </c>
      <c r="Q8" s="119">
        <f t="shared" si="3"/>
        <v>0</v>
      </c>
      <c r="R8" s="120">
        <f t="shared" si="4"/>
        <v>0</v>
      </c>
      <c r="S8" s="121" t="str">
        <f t="shared" si="7"/>
        <v/>
      </c>
    </row>
    <row r="9" hidden="1" outlineLevel="1">
      <c r="A9" s="110" t="str">
        <f>IFERROR(VLOOKUP(B9,'Статьи'!$A$2:C31,3,0)," ")</f>
        <v> </v>
      </c>
      <c r="B9" s="111"/>
      <c r="C9" s="124"/>
      <c r="D9" s="115"/>
      <c r="E9" s="115"/>
      <c r="F9" s="115"/>
      <c r="G9" s="115"/>
      <c r="H9" s="115"/>
      <c r="I9" s="116"/>
      <c r="J9" s="123"/>
      <c r="K9" s="118"/>
      <c r="L9" s="118"/>
      <c r="M9" s="118"/>
      <c r="N9" s="118"/>
      <c r="O9" s="118"/>
      <c r="P9" s="116"/>
      <c r="Q9" s="119">
        <f t="shared" si="3"/>
        <v>0</v>
      </c>
      <c r="R9" s="120">
        <f t="shared" si="4"/>
        <v>0</v>
      </c>
      <c r="S9" s="121" t="str">
        <f t="shared" si="7"/>
        <v/>
      </c>
    </row>
    <row r="10">
      <c r="A10" s="110" t="str">
        <f>IFERROR(VLOOKUP(B10,'Статьи'!$A$2:C32,3,0)," ")</f>
        <v> </v>
      </c>
      <c r="B10" s="125"/>
      <c r="C10" s="122"/>
      <c r="D10" s="115"/>
      <c r="E10" s="115"/>
      <c r="F10" s="115"/>
      <c r="G10" s="115"/>
      <c r="H10" s="115"/>
      <c r="I10" s="116"/>
      <c r="J10" s="123"/>
      <c r="K10" s="118"/>
      <c r="L10" s="118"/>
      <c r="M10" s="118"/>
      <c r="N10" s="118"/>
      <c r="O10" s="118"/>
      <c r="P10" s="116"/>
      <c r="Q10" s="119">
        <f t="shared" si="3"/>
        <v>0</v>
      </c>
      <c r="R10" s="120">
        <f t="shared" si="4"/>
        <v>0</v>
      </c>
      <c r="S10" s="121" t="str">
        <f t="shared" si="7"/>
        <v/>
      </c>
    </row>
    <row r="11">
      <c r="A11" s="126"/>
      <c r="B11" s="127" t="s">
        <v>135</v>
      </c>
      <c r="C11" s="128">
        <f t="shared" ref="C11:K11" si="9">C12+C58</f>
        <v>0</v>
      </c>
      <c r="D11" s="129">
        <f t="shared" si="9"/>
        <v>0</v>
      </c>
      <c r="E11" s="129">
        <f t="shared" si="9"/>
        <v>0</v>
      </c>
      <c r="F11" s="129">
        <f t="shared" si="9"/>
        <v>0</v>
      </c>
      <c r="G11" s="129">
        <f t="shared" si="9"/>
        <v>0</v>
      </c>
      <c r="H11" s="129">
        <f t="shared" si="9"/>
        <v>0</v>
      </c>
      <c r="I11" s="130">
        <f t="shared" si="9"/>
        <v>0</v>
      </c>
      <c r="J11" s="128">
        <f t="shared" si="9"/>
        <v>0</v>
      </c>
      <c r="K11" s="129">
        <f t="shared" si="9"/>
        <v>0</v>
      </c>
      <c r="L11" s="129"/>
      <c r="M11" s="129"/>
      <c r="N11" s="129"/>
      <c r="O11" s="129"/>
      <c r="P11" s="131">
        <f>P12+P58</f>
        <v>0</v>
      </c>
      <c r="Q11" s="132">
        <f t="shared" si="3"/>
        <v>0</v>
      </c>
      <c r="R11" s="133">
        <f t="shared" si="4"/>
        <v>0</v>
      </c>
      <c r="S11" s="134" t="str">
        <f>IF(Q11=0,"",IF(R11&gt;1,"план не выполнен","выполнение"))</f>
        <v/>
      </c>
    </row>
    <row r="12">
      <c r="A12" s="135"/>
      <c r="B12" s="136" t="s">
        <v>99</v>
      </c>
      <c r="C12" s="137">
        <f t="shared" ref="C12:K12" si="10">sum(C13:C54)</f>
        <v>0</v>
      </c>
      <c r="D12" s="138">
        <f t="shared" si="10"/>
        <v>0</v>
      </c>
      <c r="E12" s="138">
        <f t="shared" si="10"/>
        <v>0</v>
      </c>
      <c r="F12" s="138">
        <f t="shared" si="10"/>
        <v>0</v>
      </c>
      <c r="G12" s="138">
        <f t="shared" si="10"/>
        <v>0</v>
      </c>
      <c r="H12" s="138">
        <f t="shared" si="10"/>
        <v>0</v>
      </c>
      <c r="I12" s="139">
        <f t="shared" si="10"/>
        <v>0</v>
      </c>
      <c r="J12" s="137">
        <f t="shared" si="10"/>
        <v>0</v>
      </c>
      <c r="K12" s="138">
        <f t="shared" si="10"/>
        <v>0</v>
      </c>
      <c r="L12" s="138"/>
      <c r="M12" s="138"/>
      <c r="N12" s="138"/>
      <c r="O12" s="138"/>
      <c r="P12" s="140">
        <f>sum(P13:P54)</f>
        <v>0</v>
      </c>
      <c r="Q12" s="119">
        <f t="shared" si="3"/>
        <v>0</v>
      </c>
      <c r="R12" s="120">
        <f t="shared" si="4"/>
        <v>0</v>
      </c>
      <c r="S12" s="121" t="str">
        <f t="shared" ref="S12:S17" si="11">IF(Q12=0,"",IF(R12=0,"обратить внимание",IF(R12&gt;1,"перерасход","экономия")))</f>
        <v/>
      </c>
    </row>
    <row r="13">
      <c r="A13" s="142" t="str">
        <f>IFERROR(VLOOKUP(B13,'Статьи'!$A$2:C35,3,0)," ")</f>
        <v>ДДС отчетного месяца. Без НДС!</v>
      </c>
      <c r="B13" s="125" t="str">
        <f>IFERROR(__xludf.DUMMYFUNCTION("iferror(filter('Статьи'!$A$1:$A177,'Статьи'!$B$1:$B177=$B$12))"),"Комиссия топливных компаний")</f>
        <v>Комиссия топливных компаний</v>
      </c>
      <c r="C13" s="112"/>
      <c r="D13" s="113"/>
      <c r="E13" s="114"/>
      <c r="F13" s="114"/>
      <c r="G13" s="114"/>
      <c r="H13" s="143"/>
      <c r="I13" s="116">
        <f t="shared" ref="I13:I54" si="12">sum(C13:H13)</f>
        <v>0</v>
      </c>
      <c r="J13" s="117"/>
      <c r="K13" s="118"/>
      <c r="L13" s="118"/>
      <c r="M13" s="118"/>
      <c r="N13" s="118"/>
      <c r="O13" s="118"/>
      <c r="P13" s="116">
        <f t="shared" ref="P13:P16" si="13">SUM(J13:K13)</f>
        <v>0</v>
      </c>
      <c r="Q13" s="119">
        <f t="shared" si="3"/>
        <v>0</v>
      </c>
      <c r="R13" s="120">
        <f t="shared" si="4"/>
        <v>0</v>
      </c>
      <c r="S13" s="121" t="str">
        <f t="shared" si="11"/>
        <v/>
      </c>
    </row>
    <row r="14">
      <c r="A14" s="142" t="str">
        <f>IFERROR(VLOOKUP(B14,'Статьи'!$A$2:C36,3,0)," ")</f>
        <v>1С</v>
      </c>
      <c r="B14" s="125" t="str">
        <f>IFERROR(__xludf.DUMMYFUNCTION("""COMPUTED_VALUE"""),"Топливо для грузовых авто ")</f>
        <v>Топливо для грузовых авто </v>
      </c>
      <c r="C14" s="145"/>
      <c r="D14" s="113"/>
      <c r="E14" s="114"/>
      <c r="F14" s="146"/>
      <c r="G14" s="146"/>
      <c r="H14" s="143"/>
      <c r="I14" s="116">
        <f t="shared" si="12"/>
        <v>0</v>
      </c>
      <c r="J14" s="117"/>
      <c r="K14" s="118"/>
      <c r="L14" s="118"/>
      <c r="M14" s="118"/>
      <c r="N14" s="118"/>
      <c r="O14" s="118"/>
      <c r="P14" s="116">
        <f t="shared" si="13"/>
        <v>0</v>
      </c>
      <c r="Q14" s="119">
        <f t="shared" si="3"/>
        <v>0</v>
      </c>
      <c r="R14" s="120">
        <f t="shared" si="4"/>
        <v>0</v>
      </c>
      <c r="S14" s="121" t="str">
        <f t="shared" si="11"/>
        <v/>
      </c>
    </row>
    <row r="15">
      <c r="A15" s="142" t="str">
        <f>IFERROR(VLOOKUP(B15,'Статьи'!$A$2:C37,3,0)," ")</f>
        <v> </v>
      </c>
      <c r="B15" s="144"/>
      <c r="C15" s="145"/>
      <c r="D15" s="113"/>
      <c r="E15" s="114"/>
      <c r="F15" s="146"/>
      <c r="G15" s="146"/>
      <c r="H15" s="143"/>
      <c r="I15" s="116">
        <f t="shared" si="12"/>
        <v>0</v>
      </c>
      <c r="J15" s="117"/>
      <c r="K15" s="118"/>
      <c r="L15" s="118"/>
      <c r="M15" s="118"/>
      <c r="N15" s="118"/>
      <c r="O15" s="118"/>
      <c r="P15" s="116">
        <f t="shared" si="13"/>
        <v>0</v>
      </c>
      <c r="Q15" s="119">
        <f t="shared" si="3"/>
        <v>0</v>
      </c>
      <c r="R15" s="120">
        <f t="shared" si="4"/>
        <v>0</v>
      </c>
      <c r="S15" s="121" t="str">
        <f t="shared" si="11"/>
        <v/>
      </c>
    </row>
    <row r="16">
      <c r="A16" s="142" t="str">
        <f>IFERROR(VLOOKUP(B16,'Статьи'!$A$2:C38,3,0)," ")</f>
        <v> </v>
      </c>
      <c r="B16" s="144"/>
      <c r="C16" s="145"/>
      <c r="D16" s="113"/>
      <c r="E16" s="114"/>
      <c r="F16" s="146"/>
      <c r="G16" s="146"/>
      <c r="H16" s="143"/>
      <c r="I16" s="116">
        <f t="shared" si="12"/>
        <v>0</v>
      </c>
      <c r="J16" s="117"/>
      <c r="K16" s="118"/>
      <c r="L16" s="118"/>
      <c r="M16" s="118"/>
      <c r="N16" s="118"/>
      <c r="O16" s="118"/>
      <c r="P16" s="116">
        <f t="shared" si="13"/>
        <v>0</v>
      </c>
      <c r="Q16" s="119">
        <f t="shared" si="3"/>
        <v>0</v>
      </c>
      <c r="R16" s="120">
        <f t="shared" si="4"/>
        <v>0</v>
      </c>
      <c r="S16" s="121" t="str">
        <f t="shared" si="11"/>
        <v/>
      </c>
    </row>
    <row r="17" collapsed="1">
      <c r="A17" s="147" t="str">
        <f>IFERROR(VLOOKUP(B17,'Статьи'!$A$2:C39,3,0)," ")</f>
        <v> </v>
      </c>
      <c r="B17" s="144"/>
      <c r="C17" s="145"/>
      <c r="D17" s="114"/>
      <c r="E17" s="114"/>
      <c r="F17" s="146"/>
      <c r="G17" s="146"/>
      <c r="H17" s="143"/>
      <c r="I17" s="116">
        <f t="shared" si="12"/>
        <v>0</v>
      </c>
      <c r="J17" s="123"/>
      <c r="K17" s="118"/>
      <c r="L17" s="118"/>
      <c r="M17" s="118"/>
      <c r="N17" s="118"/>
      <c r="O17" s="118"/>
      <c r="P17" s="116">
        <f t="shared" ref="P17:P54" si="14">sum(F17:J17)</f>
        <v>0</v>
      </c>
      <c r="Q17" s="119">
        <f t="shared" si="3"/>
        <v>0</v>
      </c>
      <c r="R17" s="120">
        <f t="shared" si="4"/>
        <v>0</v>
      </c>
      <c r="S17" s="121" t="str">
        <f t="shared" si="11"/>
        <v/>
      </c>
    </row>
    <row r="18" hidden="1" outlineLevel="1">
      <c r="A18" s="147"/>
      <c r="B18" s="144"/>
      <c r="C18" s="145"/>
      <c r="D18" s="114"/>
      <c r="E18" s="114"/>
      <c r="F18" s="146"/>
      <c r="G18" s="146"/>
      <c r="H18" s="143"/>
      <c r="I18" s="116">
        <f t="shared" si="12"/>
        <v>0</v>
      </c>
      <c r="J18" s="123"/>
      <c r="K18" s="118"/>
      <c r="L18" s="118"/>
      <c r="M18" s="118"/>
      <c r="N18" s="118"/>
      <c r="O18" s="118"/>
      <c r="P18" s="116">
        <f t="shared" si="14"/>
        <v>0</v>
      </c>
      <c r="Q18" s="132">
        <f t="shared" si="3"/>
        <v>0</v>
      </c>
      <c r="R18" s="133">
        <f t="shared" si="4"/>
        <v>0</v>
      </c>
      <c r="S18" s="133">
        <f t="shared" ref="S18:S54" si="15">IF(Q18=0,0,IF(R18&gt;1,"перерасход","экономия"))</f>
        <v>0</v>
      </c>
    </row>
    <row r="19" hidden="1" outlineLevel="1">
      <c r="A19" s="147"/>
      <c r="B19" s="144"/>
      <c r="C19" s="148"/>
      <c r="D19" s="114"/>
      <c r="E19" s="114"/>
      <c r="F19" s="146"/>
      <c r="G19" s="146"/>
      <c r="H19" s="143"/>
      <c r="I19" s="116">
        <f t="shared" si="12"/>
        <v>0</v>
      </c>
      <c r="J19" s="123"/>
      <c r="K19" s="118"/>
      <c r="L19" s="118"/>
      <c r="M19" s="118"/>
      <c r="N19" s="118"/>
      <c r="O19" s="118"/>
      <c r="P19" s="116">
        <f t="shared" si="14"/>
        <v>0</v>
      </c>
      <c r="Q19" s="132">
        <f t="shared" si="3"/>
        <v>0</v>
      </c>
      <c r="R19" s="133">
        <f t="shared" si="4"/>
        <v>0</v>
      </c>
      <c r="S19" s="133">
        <f t="shared" si="15"/>
        <v>0</v>
      </c>
    </row>
    <row r="20" hidden="1" outlineLevel="1">
      <c r="A20" s="147"/>
      <c r="B20" s="144"/>
      <c r="C20" s="148"/>
      <c r="D20" s="114"/>
      <c r="E20" s="114"/>
      <c r="F20" s="146"/>
      <c r="G20" s="146"/>
      <c r="H20" s="143"/>
      <c r="I20" s="116">
        <f t="shared" si="12"/>
        <v>0</v>
      </c>
      <c r="J20" s="123"/>
      <c r="K20" s="118"/>
      <c r="L20" s="118"/>
      <c r="M20" s="118"/>
      <c r="N20" s="118"/>
      <c r="O20" s="118"/>
      <c r="P20" s="116">
        <f t="shared" si="14"/>
        <v>0</v>
      </c>
      <c r="Q20" s="132">
        <f t="shared" si="3"/>
        <v>0</v>
      </c>
      <c r="R20" s="133">
        <f t="shared" si="4"/>
        <v>0</v>
      </c>
      <c r="S20" s="133">
        <f t="shared" si="15"/>
        <v>0</v>
      </c>
    </row>
    <row r="21" hidden="1" outlineLevel="1">
      <c r="A21" s="147"/>
      <c r="B21" s="144"/>
      <c r="C21" s="148"/>
      <c r="D21" s="114"/>
      <c r="E21" s="114"/>
      <c r="F21" s="146"/>
      <c r="G21" s="146"/>
      <c r="H21" s="143"/>
      <c r="I21" s="116">
        <f t="shared" si="12"/>
        <v>0</v>
      </c>
      <c r="J21" s="123"/>
      <c r="K21" s="118"/>
      <c r="L21" s="118"/>
      <c r="M21" s="118"/>
      <c r="N21" s="118"/>
      <c r="O21" s="118"/>
      <c r="P21" s="116">
        <f t="shared" si="14"/>
        <v>0</v>
      </c>
      <c r="Q21" s="132">
        <f t="shared" si="3"/>
        <v>0</v>
      </c>
      <c r="R21" s="133">
        <f t="shared" si="4"/>
        <v>0</v>
      </c>
      <c r="S21" s="133">
        <f t="shared" si="15"/>
        <v>0</v>
      </c>
    </row>
    <row r="22" hidden="1" outlineLevel="1">
      <c r="A22" s="147"/>
      <c r="B22" s="144"/>
      <c r="C22" s="145"/>
      <c r="D22" s="114"/>
      <c r="E22" s="114"/>
      <c r="F22" s="146"/>
      <c r="G22" s="146"/>
      <c r="H22" s="149"/>
      <c r="I22" s="116">
        <f t="shared" si="12"/>
        <v>0</v>
      </c>
      <c r="J22" s="123"/>
      <c r="K22" s="118"/>
      <c r="L22" s="118"/>
      <c r="M22" s="118"/>
      <c r="N22" s="118"/>
      <c r="O22" s="118"/>
      <c r="P22" s="116">
        <f t="shared" si="14"/>
        <v>0</v>
      </c>
      <c r="Q22" s="132">
        <f t="shared" si="3"/>
        <v>0</v>
      </c>
      <c r="R22" s="133">
        <f t="shared" si="4"/>
        <v>0</v>
      </c>
      <c r="S22" s="133">
        <f t="shared" si="15"/>
        <v>0</v>
      </c>
    </row>
    <row r="23" hidden="1" outlineLevel="1">
      <c r="A23" s="150"/>
      <c r="B23" s="151"/>
      <c r="C23" s="148"/>
      <c r="D23" s="114"/>
      <c r="E23" s="114"/>
      <c r="F23" s="146"/>
      <c r="G23" s="146"/>
      <c r="H23" s="143"/>
      <c r="I23" s="116">
        <f t="shared" si="12"/>
        <v>0</v>
      </c>
      <c r="J23" s="123"/>
      <c r="K23" s="118"/>
      <c r="L23" s="118"/>
      <c r="M23" s="118"/>
      <c r="N23" s="118"/>
      <c r="O23" s="118"/>
      <c r="P23" s="116">
        <f t="shared" si="14"/>
        <v>0</v>
      </c>
      <c r="Q23" s="132">
        <f t="shared" si="3"/>
        <v>0</v>
      </c>
      <c r="R23" s="133">
        <f t="shared" si="4"/>
        <v>0</v>
      </c>
      <c r="S23" s="133">
        <f t="shared" si="15"/>
        <v>0</v>
      </c>
    </row>
    <row r="24" hidden="1" outlineLevel="1">
      <c r="A24" s="142"/>
      <c r="B24" s="125"/>
      <c r="C24" s="148"/>
      <c r="D24" s="114"/>
      <c r="E24" s="114"/>
      <c r="F24" s="146"/>
      <c r="G24" s="146"/>
      <c r="H24" s="143"/>
      <c r="I24" s="116">
        <f t="shared" si="12"/>
        <v>0</v>
      </c>
      <c r="J24" s="123"/>
      <c r="K24" s="118"/>
      <c r="L24" s="118"/>
      <c r="M24" s="118"/>
      <c r="N24" s="118"/>
      <c r="O24" s="118"/>
      <c r="P24" s="116">
        <f t="shared" si="14"/>
        <v>0</v>
      </c>
      <c r="Q24" s="132">
        <f t="shared" si="3"/>
        <v>0</v>
      </c>
      <c r="R24" s="133">
        <f t="shared" si="4"/>
        <v>0</v>
      </c>
      <c r="S24" s="133">
        <f t="shared" si="15"/>
        <v>0</v>
      </c>
    </row>
    <row r="25" hidden="1" outlineLevel="1">
      <c r="A25" s="142"/>
      <c r="B25" s="125"/>
      <c r="C25" s="123"/>
      <c r="D25" s="114"/>
      <c r="E25" s="114"/>
      <c r="F25" s="114"/>
      <c r="G25" s="114"/>
      <c r="H25" s="143"/>
      <c r="I25" s="116">
        <f t="shared" si="12"/>
        <v>0</v>
      </c>
      <c r="J25" s="123"/>
      <c r="K25" s="118"/>
      <c r="L25" s="118"/>
      <c r="M25" s="118"/>
      <c r="N25" s="118"/>
      <c r="O25" s="118"/>
      <c r="P25" s="116">
        <f t="shared" si="14"/>
        <v>0</v>
      </c>
      <c r="Q25" s="132">
        <f t="shared" si="3"/>
        <v>0</v>
      </c>
      <c r="R25" s="133">
        <f t="shared" si="4"/>
        <v>0</v>
      </c>
      <c r="S25" s="133">
        <f t="shared" si="15"/>
        <v>0</v>
      </c>
    </row>
    <row r="26" hidden="1" outlineLevel="1">
      <c r="A26" s="142"/>
      <c r="B26" s="125"/>
      <c r="C26" s="123"/>
      <c r="D26" s="114"/>
      <c r="E26" s="114"/>
      <c r="F26" s="114"/>
      <c r="G26" s="114"/>
      <c r="H26" s="143"/>
      <c r="I26" s="116">
        <f t="shared" si="12"/>
        <v>0</v>
      </c>
      <c r="J26" s="123"/>
      <c r="K26" s="118"/>
      <c r="L26" s="118"/>
      <c r="M26" s="118"/>
      <c r="N26" s="118"/>
      <c r="O26" s="118"/>
      <c r="P26" s="116">
        <f t="shared" si="14"/>
        <v>0</v>
      </c>
      <c r="Q26" s="132">
        <f t="shared" si="3"/>
        <v>0</v>
      </c>
      <c r="R26" s="133">
        <f t="shared" si="4"/>
        <v>0</v>
      </c>
      <c r="S26" s="133">
        <f t="shared" si="15"/>
        <v>0</v>
      </c>
    </row>
    <row r="27" hidden="1" outlineLevel="1">
      <c r="A27" s="142"/>
      <c r="B27" s="125"/>
      <c r="C27" s="123"/>
      <c r="D27" s="114"/>
      <c r="E27" s="114"/>
      <c r="F27" s="114"/>
      <c r="G27" s="114"/>
      <c r="H27" s="143"/>
      <c r="I27" s="116">
        <f t="shared" si="12"/>
        <v>0</v>
      </c>
      <c r="J27" s="123"/>
      <c r="K27" s="118"/>
      <c r="L27" s="118"/>
      <c r="M27" s="118"/>
      <c r="N27" s="118"/>
      <c r="O27" s="118"/>
      <c r="P27" s="116">
        <f t="shared" si="14"/>
        <v>0</v>
      </c>
      <c r="Q27" s="132">
        <f t="shared" si="3"/>
        <v>0</v>
      </c>
      <c r="R27" s="133">
        <f t="shared" si="4"/>
        <v>0</v>
      </c>
      <c r="S27" s="133">
        <f t="shared" si="15"/>
        <v>0</v>
      </c>
    </row>
    <row r="28" hidden="1" outlineLevel="1">
      <c r="A28" s="142"/>
      <c r="B28" s="125"/>
      <c r="C28" s="123"/>
      <c r="D28" s="114"/>
      <c r="E28" s="114"/>
      <c r="F28" s="114"/>
      <c r="G28" s="114"/>
      <c r="H28" s="143"/>
      <c r="I28" s="116">
        <f t="shared" si="12"/>
        <v>0</v>
      </c>
      <c r="J28" s="123"/>
      <c r="K28" s="118"/>
      <c r="L28" s="118"/>
      <c r="M28" s="118"/>
      <c r="N28" s="118"/>
      <c r="O28" s="118"/>
      <c r="P28" s="116">
        <f t="shared" si="14"/>
        <v>0</v>
      </c>
      <c r="Q28" s="132">
        <f t="shared" si="3"/>
        <v>0</v>
      </c>
      <c r="R28" s="133">
        <f t="shared" si="4"/>
        <v>0</v>
      </c>
      <c r="S28" s="133">
        <f t="shared" si="15"/>
        <v>0</v>
      </c>
    </row>
    <row r="29" hidden="1" outlineLevel="1">
      <c r="A29" s="142"/>
      <c r="B29" s="125"/>
      <c r="C29" s="123"/>
      <c r="D29" s="114"/>
      <c r="E29" s="114"/>
      <c r="F29" s="114"/>
      <c r="G29" s="114"/>
      <c r="H29" s="143"/>
      <c r="I29" s="116">
        <f t="shared" si="12"/>
        <v>0</v>
      </c>
      <c r="J29" s="123"/>
      <c r="K29" s="118"/>
      <c r="L29" s="118"/>
      <c r="M29" s="118"/>
      <c r="N29" s="118"/>
      <c r="O29" s="118"/>
      <c r="P29" s="116">
        <f t="shared" si="14"/>
        <v>0</v>
      </c>
      <c r="Q29" s="132">
        <f t="shared" si="3"/>
        <v>0</v>
      </c>
      <c r="R29" s="133">
        <f t="shared" si="4"/>
        <v>0</v>
      </c>
      <c r="S29" s="133">
        <f t="shared" si="15"/>
        <v>0</v>
      </c>
    </row>
    <row r="30" hidden="1" outlineLevel="1">
      <c r="A30" s="142"/>
      <c r="B30" s="125"/>
      <c r="C30" s="123"/>
      <c r="D30" s="114"/>
      <c r="E30" s="114"/>
      <c r="F30" s="114"/>
      <c r="G30" s="114"/>
      <c r="H30" s="143"/>
      <c r="I30" s="116">
        <f t="shared" si="12"/>
        <v>0</v>
      </c>
      <c r="J30" s="123"/>
      <c r="K30" s="118"/>
      <c r="L30" s="118"/>
      <c r="M30" s="118"/>
      <c r="N30" s="118"/>
      <c r="O30" s="118"/>
      <c r="P30" s="116">
        <f t="shared" si="14"/>
        <v>0</v>
      </c>
      <c r="Q30" s="132">
        <f t="shared" si="3"/>
        <v>0</v>
      </c>
      <c r="R30" s="133">
        <f t="shared" si="4"/>
        <v>0</v>
      </c>
      <c r="S30" s="133">
        <f t="shared" si="15"/>
        <v>0</v>
      </c>
    </row>
    <row r="31" hidden="1" outlineLevel="1">
      <c r="A31" s="142"/>
      <c r="B31" s="125"/>
      <c r="C31" s="123"/>
      <c r="D31" s="114"/>
      <c r="E31" s="114"/>
      <c r="F31" s="114"/>
      <c r="G31" s="114"/>
      <c r="H31" s="143"/>
      <c r="I31" s="116">
        <f t="shared" si="12"/>
        <v>0</v>
      </c>
      <c r="J31" s="123"/>
      <c r="K31" s="118"/>
      <c r="L31" s="118"/>
      <c r="M31" s="118"/>
      <c r="N31" s="118"/>
      <c r="O31" s="118"/>
      <c r="P31" s="116">
        <f t="shared" si="14"/>
        <v>0</v>
      </c>
      <c r="Q31" s="132">
        <f t="shared" si="3"/>
        <v>0</v>
      </c>
      <c r="R31" s="133">
        <f t="shared" si="4"/>
        <v>0</v>
      </c>
      <c r="S31" s="133">
        <f t="shared" si="15"/>
        <v>0</v>
      </c>
    </row>
    <row r="32" hidden="1" outlineLevel="1">
      <c r="A32" s="142"/>
      <c r="B32" s="125"/>
      <c r="C32" s="123"/>
      <c r="D32" s="114"/>
      <c r="E32" s="114"/>
      <c r="F32" s="114"/>
      <c r="G32" s="114"/>
      <c r="H32" s="143"/>
      <c r="I32" s="116">
        <f t="shared" si="12"/>
        <v>0</v>
      </c>
      <c r="J32" s="123"/>
      <c r="K32" s="118"/>
      <c r="L32" s="118"/>
      <c r="M32" s="118"/>
      <c r="N32" s="118"/>
      <c r="O32" s="118"/>
      <c r="P32" s="116">
        <f t="shared" si="14"/>
        <v>0</v>
      </c>
      <c r="Q32" s="132">
        <f t="shared" si="3"/>
        <v>0</v>
      </c>
      <c r="R32" s="133">
        <f t="shared" si="4"/>
        <v>0</v>
      </c>
      <c r="S32" s="133">
        <f t="shared" si="15"/>
        <v>0</v>
      </c>
    </row>
    <row r="33" hidden="1" outlineLevel="1">
      <c r="A33" s="142"/>
      <c r="B33" s="125"/>
      <c r="C33" s="123"/>
      <c r="D33" s="114"/>
      <c r="E33" s="114"/>
      <c r="F33" s="114"/>
      <c r="G33" s="114"/>
      <c r="H33" s="143"/>
      <c r="I33" s="116">
        <f t="shared" si="12"/>
        <v>0</v>
      </c>
      <c r="J33" s="123"/>
      <c r="K33" s="118"/>
      <c r="L33" s="118"/>
      <c r="M33" s="118"/>
      <c r="N33" s="118"/>
      <c r="O33" s="118"/>
      <c r="P33" s="116">
        <f t="shared" si="14"/>
        <v>0</v>
      </c>
      <c r="Q33" s="132">
        <f t="shared" si="3"/>
        <v>0</v>
      </c>
      <c r="R33" s="133">
        <f t="shared" si="4"/>
        <v>0</v>
      </c>
      <c r="S33" s="133">
        <f t="shared" si="15"/>
        <v>0</v>
      </c>
    </row>
    <row r="34" hidden="1" outlineLevel="1">
      <c r="A34" s="142"/>
      <c r="B34" s="125"/>
      <c r="C34" s="123"/>
      <c r="D34" s="114"/>
      <c r="E34" s="114"/>
      <c r="F34" s="114"/>
      <c r="G34" s="114"/>
      <c r="H34" s="143"/>
      <c r="I34" s="116">
        <f t="shared" si="12"/>
        <v>0</v>
      </c>
      <c r="J34" s="123"/>
      <c r="K34" s="118"/>
      <c r="L34" s="118"/>
      <c r="M34" s="118"/>
      <c r="N34" s="118"/>
      <c r="O34" s="118"/>
      <c r="P34" s="116">
        <f t="shared" si="14"/>
        <v>0</v>
      </c>
      <c r="Q34" s="132">
        <f t="shared" si="3"/>
        <v>0</v>
      </c>
      <c r="R34" s="133">
        <f t="shared" si="4"/>
        <v>0</v>
      </c>
      <c r="S34" s="133">
        <f t="shared" si="15"/>
        <v>0</v>
      </c>
    </row>
    <row r="35" hidden="1" outlineLevel="1">
      <c r="A35" s="142"/>
      <c r="B35" s="125"/>
      <c r="C35" s="123"/>
      <c r="D35" s="114"/>
      <c r="E35" s="114"/>
      <c r="F35" s="114"/>
      <c r="G35" s="114"/>
      <c r="H35" s="143"/>
      <c r="I35" s="116">
        <f t="shared" si="12"/>
        <v>0</v>
      </c>
      <c r="J35" s="123"/>
      <c r="K35" s="118"/>
      <c r="L35" s="118"/>
      <c r="M35" s="118"/>
      <c r="N35" s="118"/>
      <c r="O35" s="118"/>
      <c r="P35" s="116">
        <f t="shared" si="14"/>
        <v>0</v>
      </c>
      <c r="Q35" s="132">
        <f t="shared" si="3"/>
        <v>0</v>
      </c>
      <c r="R35" s="133">
        <f t="shared" si="4"/>
        <v>0</v>
      </c>
      <c r="S35" s="133">
        <f t="shared" si="15"/>
        <v>0</v>
      </c>
    </row>
    <row r="36" hidden="1" outlineLevel="1">
      <c r="A36" s="142"/>
      <c r="B36" s="125"/>
      <c r="C36" s="123"/>
      <c r="D36" s="114"/>
      <c r="E36" s="114"/>
      <c r="F36" s="114"/>
      <c r="G36" s="114"/>
      <c r="H36" s="143"/>
      <c r="I36" s="116">
        <f t="shared" si="12"/>
        <v>0</v>
      </c>
      <c r="J36" s="123"/>
      <c r="K36" s="118"/>
      <c r="L36" s="118"/>
      <c r="M36" s="118"/>
      <c r="N36" s="118"/>
      <c r="O36" s="118"/>
      <c r="P36" s="116">
        <f t="shared" si="14"/>
        <v>0</v>
      </c>
      <c r="Q36" s="132">
        <f t="shared" si="3"/>
        <v>0</v>
      </c>
      <c r="R36" s="133">
        <f t="shared" si="4"/>
        <v>0</v>
      </c>
      <c r="S36" s="133">
        <f t="shared" si="15"/>
        <v>0</v>
      </c>
    </row>
    <row r="37" hidden="1" outlineLevel="1">
      <c r="A37" s="142"/>
      <c r="B37" s="125"/>
      <c r="C37" s="123"/>
      <c r="D37" s="114"/>
      <c r="E37" s="114"/>
      <c r="F37" s="114"/>
      <c r="G37" s="114"/>
      <c r="H37" s="143"/>
      <c r="I37" s="116">
        <f t="shared" si="12"/>
        <v>0</v>
      </c>
      <c r="J37" s="123"/>
      <c r="K37" s="118"/>
      <c r="L37" s="118"/>
      <c r="M37" s="118"/>
      <c r="N37" s="118"/>
      <c r="O37" s="118"/>
      <c r="P37" s="116">
        <f t="shared" si="14"/>
        <v>0</v>
      </c>
      <c r="Q37" s="132">
        <f t="shared" si="3"/>
        <v>0</v>
      </c>
      <c r="R37" s="133">
        <f t="shared" si="4"/>
        <v>0</v>
      </c>
      <c r="S37" s="133">
        <f t="shared" si="15"/>
        <v>0</v>
      </c>
    </row>
    <row r="38" hidden="1" outlineLevel="1">
      <c r="A38" s="142"/>
      <c r="B38" s="125"/>
      <c r="C38" s="123"/>
      <c r="D38" s="114"/>
      <c r="E38" s="114"/>
      <c r="F38" s="114"/>
      <c r="G38" s="114"/>
      <c r="H38" s="143"/>
      <c r="I38" s="116">
        <f t="shared" si="12"/>
        <v>0</v>
      </c>
      <c r="J38" s="123"/>
      <c r="K38" s="118"/>
      <c r="L38" s="118"/>
      <c r="M38" s="118"/>
      <c r="N38" s="118"/>
      <c r="O38" s="118"/>
      <c r="P38" s="116">
        <f t="shared" si="14"/>
        <v>0</v>
      </c>
      <c r="Q38" s="132">
        <f t="shared" si="3"/>
        <v>0</v>
      </c>
      <c r="R38" s="133">
        <f t="shared" si="4"/>
        <v>0</v>
      </c>
      <c r="S38" s="133">
        <f t="shared" si="15"/>
        <v>0</v>
      </c>
    </row>
    <row r="39" hidden="1" outlineLevel="1">
      <c r="A39" s="142"/>
      <c r="B39" s="125"/>
      <c r="C39" s="123"/>
      <c r="D39" s="114"/>
      <c r="E39" s="114"/>
      <c r="F39" s="114"/>
      <c r="G39" s="114"/>
      <c r="H39" s="143"/>
      <c r="I39" s="116">
        <f t="shared" si="12"/>
        <v>0</v>
      </c>
      <c r="J39" s="123"/>
      <c r="K39" s="118"/>
      <c r="L39" s="118"/>
      <c r="M39" s="118"/>
      <c r="N39" s="118"/>
      <c r="O39" s="118"/>
      <c r="P39" s="116">
        <f t="shared" si="14"/>
        <v>0</v>
      </c>
      <c r="Q39" s="132">
        <f t="shared" si="3"/>
        <v>0</v>
      </c>
      <c r="R39" s="133">
        <f t="shared" si="4"/>
        <v>0</v>
      </c>
      <c r="S39" s="133">
        <f t="shared" si="15"/>
        <v>0</v>
      </c>
    </row>
    <row r="40" hidden="1" outlineLevel="1">
      <c r="A40" s="142"/>
      <c r="B40" s="125"/>
      <c r="C40" s="123"/>
      <c r="D40" s="114"/>
      <c r="E40" s="114"/>
      <c r="F40" s="114"/>
      <c r="G40" s="114"/>
      <c r="H40" s="143"/>
      <c r="I40" s="116">
        <f t="shared" si="12"/>
        <v>0</v>
      </c>
      <c r="J40" s="123"/>
      <c r="K40" s="118"/>
      <c r="L40" s="118"/>
      <c r="M40" s="118"/>
      <c r="N40" s="118"/>
      <c r="O40" s="118"/>
      <c r="P40" s="116">
        <f t="shared" si="14"/>
        <v>0</v>
      </c>
      <c r="Q40" s="132">
        <f t="shared" si="3"/>
        <v>0</v>
      </c>
      <c r="R40" s="133">
        <f t="shared" si="4"/>
        <v>0</v>
      </c>
      <c r="S40" s="133">
        <f t="shared" si="15"/>
        <v>0</v>
      </c>
    </row>
    <row r="41" hidden="1" outlineLevel="1">
      <c r="A41" s="142"/>
      <c r="B41" s="125"/>
      <c r="C41" s="123"/>
      <c r="D41" s="114"/>
      <c r="E41" s="114"/>
      <c r="F41" s="114"/>
      <c r="G41" s="114"/>
      <c r="H41" s="143"/>
      <c r="I41" s="116">
        <f t="shared" si="12"/>
        <v>0</v>
      </c>
      <c r="J41" s="123"/>
      <c r="K41" s="118"/>
      <c r="L41" s="118"/>
      <c r="M41" s="118"/>
      <c r="N41" s="118"/>
      <c r="O41" s="118"/>
      <c r="P41" s="116">
        <f t="shared" si="14"/>
        <v>0</v>
      </c>
      <c r="Q41" s="132">
        <f t="shared" si="3"/>
        <v>0</v>
      </c>
      <c r="R41" s="133">
        <f t="shared" si="4"/>
        <v>0</v>
      </c>
      <c r="S41" s="133">
        <f t="shared" si="15"/>
        <v>0</v>
      </c>
    </row>
    <row r="42" hidden="1" outlineLevel="1">
      <c r="A42" s="142"/>
      <c r="B42" s="125"/>
      <c r="C42" s="123"/>
      <c r="D42" s="114"/>
      <c r="E42" s="114"/>
      <c r="F42" s="114"/>
      <c r="G42" s="114"/>
      <c r="H42" s="143"/>
      <c r="I42" s="116">
        <f t="shared" si="12"/>
        <v>0</v>
      </c>
      <c r="J42" s="123"/>
      <c r="K42" s="118"/>
      <c r="L42" s="118"/>
      <c r="M42" s="118"/>
      <c r="N42" s="118"/>
      <c r="O42" s="118"/>
      <c r="P42" s="116">
        <f t="shared" si="14"/>
        <v>0</v>
      </c>
      <c r="Q42" s="132">
        <f t="shared" si="3"/>
        <v>0</v>
      </c>
      <c r="R42" s="133">
        <f t="shared" si="4"/>
        <v>0</v>
      </c>
      <c r="S42" s="133">
        <f t="shared" si="15"/>
        <v>0</v>
      </c>
    </row>
    <row r="43" hidden="1" outlineLevel="1">
      <c r="A43" s="142"/>
      <c r="B43" s="125"/>
      <c r="C43" s="123"/>
      <c r="D43" s="114"/>
      <c r="E43" s="114"/>
      <c r="F43" s="114"/>
      <c r="G43" s="114"/>
      <c r="H43" s="143"/>
      <c r="I43" s="116">
        <f t="shared" si="12"/>
        <v>0</v>
      </c>
      <c r="J43" s="123"/>
      <c r="K43" s="118"/>
      <c r="L43" s="118"/>
      <c r="M43" s="118"/>
      <c r="N43" s="118"/>
      <c r="O43" s="118"/>
      <c r="P43" s="116">
        <f t="shared" si="14"/>
        <v>0</v>
      </c>
      <c r="Q43" s="132">
        <f t="shared" si="3"/>
        <v>0</v>
      </c>
      <c r="R43" s="133">
        <f t="shared" si="4"/>
        <v>0</v>
      </c>
      <c r="S43" s="133">
        <f t="shared" si="15"/>
        <v>0</v>
      </c>
    </row>
    <row r="44" hidden="1" outlineLevel="1">
      <c r="A44" s="142"/>
      <c r="B44" s="125"/>
      <c r="C44" s="123"/>
      <c r="D44" s="114"/>
      <c r="E44" s="114"/>
      <c r="F44" s="114"/>
      <c r="G44" s="114"/>
      <c r="H44" s="143"/>
      <c r="I44" s="116">
        <f t="shared" si="12"/>
        <v>0</v>
      </c>
      <c r="J44" s="123"/>
      <c r="K44" s="118"/>
      <c r="L44" s="118"/>
      <c r="M44" s="118"/>
      <c r="N44" s="118"/>
      <c r="O44" s="118"/>
      <c r="P44" s="116">
        <f t="shared" si="14"/>
        <v>0</v>
      </c>
      <c r="Q44" s="132">
        <f t="shared" si="3"/>
        <v>0</v>
      </c>
      <c r="R44" s="133">
        <f t="shared" si="4"/>
        <v>0</v>
      </c>
      <c r="S44" s="133">
        <f t="shared" si="15"/>
        <v>0</v>
      </c>
    </row>
    <row r="45" hidden="1" outlineLevel="1">
      <c r="A45" s="142"/>
      <c r="B45" s="125"/>
      <c r="C45" s="123"/>
      <c r="D45" s="114"/>
      <c r="E45" s="114"/>
      <c r="F45" s="114"/>
      <c r="G45" s="114"/>
      <c r="H45" s="143"/>
      <c r="I45" s="116">
        <f t="shared" si="12"/>
        <v>0</v>
      </c>
      <c r="J45" s="123"/>
      <c r="K45" s="118"/>
      <c r="L45" s="118"/>
      <c r="M45" s="118"/>
      <c r="N45" s="118"/>
      <c r="O45" s="118"/>
      <c r="P45" s="116">
        <f t="shared" si="14"/>
        <v>0</v>
      </c>
      <c r="Q45" s="132">
        <f t="shared" si="3"/>
        <v>0</v>
      </c>
      <c r="R45" s="133">
        <f t="shared" si="4"/>
        <v>0</v>
      </c>
      <c r="S45" s="133">
        <f t="shared" si="15"/>
        <v>0</v>
      </c>
    </row>
    <row r="46" hidden="1" outlineLevel="1">
      <c r="A46" s="142"/>
      <c r="B46" s="125"/>
      <c r="C46" s="123"/>
      <c r="D46" s="114"/>
      <c r="E46" s="114"/>
      <c r="F46" s="114"/>
      <c r="G46" s="114"/>
      <c r="H46" s="143"/>
      <c r="I46" s="116">
        <f t="shared" si="12"/>
        <v>0</v>
      </c>
      <c r="J46" s="123"/>
      <c r="K46" s="118"/>
      <c r="L46" s="118"/>
      <c r="M46" s="118"/>
      <c r="N46" s="118"/>
      <c r="O46" s="118"/>
      <c r="P46" s="116">
        <f t="shared" si="14"/>
        <v>0</v>
      </c>
      <c r="Q46" s="132">
        <f t="shared" si="3"/>
        <v>0</v>
      </c>
      <c r="R46" s="133">
        <f t="shared" si="4"/>
        <v>0</v>
      </c>
      <c r="S46" s="133">
        <f t="shared" si="15"/>
        <v>0</v>
      </c>
    </row>
    <row r="47" hidden="1" outlineLevel="1">
      <c r="A47" s="142"/>
      <c r="B47" s="125"/>
      <c r="C47" s="123"/>
      <c r="D47" s="114"/>
      <c r="E47" s="114"/>
      <c r="F47" s="114"/>
      <c r="G47" s="114"/>
      <c r="H47" s="143"/>
      <c r="I47" s="116">
        <f t="shared" si="12"/>
        <v>0</v>
      </c>
      <c r="J47" s="123"/>
      <c r="K47" s="118"/>
      <c r="L47" s="118"/>
      <c r="M47" s="118"/>
      <c r="N47" s="118"/>
      <c r="O47" s="118"/>
      <c r="P47" s="116">
        <f t="shared" si="14"/>
        <v>0</v>
      </c>
      <c r="Q47" s="132">
        <f t="shared" si="3"/>
        <v>0</v>
      </c>
      <c r="R47" s="133">
        <f t="shared" si="4"/>
        <v>0</v>
      </c>
      <c r="S47" s="133">
        <f t="shared" si="15"/>
        <v>0</v>
      </c>
    </row>
    <row r="48" hidden="1" outlineLevel="1">
      <c r="A48" s="142"/>
      <c r="B48" s="125"/>
      <c r="C48" s="123"/>
      <c r="D48" s="114"/>
      <c r="E48" s="114"/>
      <c r="F48" s="114"/>
      <c r="G48" s="114"/>
      <c r="H48" s="143"/>
      <c r="I48" s="116">
        <f t="shared" si="12"/>
        <v>0</v>
      </c>
      <c r="J48" s="123"/>
      <c r="K48" s="118"/>
      <c r="L48" s="118"/>
      <c r="M48" s="118"/>
      <c r="N48" s="118"/>
      <c r="O48" s="118"/>
      <c r="P48" s="116">
        <f t="shared" si="14"/>
        <v>0</v>
      </c>
      <c r="Q48" s="132">
        <f t="shared" si="3"/>
        <v>0</v>
      </c>
      <c r="R48" s="133">
        <f t="shared" si="4"/>
        <v>0</v>
      </c>
      <c r="S48" s="133">
        <f t="shared" si="15"/>
        <v>0</v>
      </c>
    </row>
    <row r="49" hidden="1" outlineLevel="1">
      <c r="A49" s="142"/>
      <c r="B49" s="125"/>
      <c r="C49" s="123"/>
      <c r="D49" s="143"/>
      <c r="E49" s="114"/>
      <c r="F49" s="114"/>
      <c r="G49" s="114"/>
      <c r="H49" s="143"/>
      <c r="I49" s="116">
        <f t="shared" si="12"/>
        <v>0</v>
      </c>
      <c r="J49" s="123"/>
      <c r="K49" s="118"/>
      <c r="L49" s="118"/>
      <c r="M49" s="118"/>
      <c r="N49" s="118"/>
      <c r="O49" s="118"/>
      <c r="P49" s="116">
        <f t="shared" si="14"/>
        <v>0</v>
      </c>
      <c r="Q49" s="132">
        <f t="shared" si="3"/>
        <v>0</v>
      </c>
      <c r="R49" s="133">
        <f t="shared" si="4"/>
        <v>0</v>
      </c>
      <c r="S49" s="133">
        <f t="shared" si="15"/>
        <v>0</v>
      </c>
    </row>
    <row r="50" hidden="1" outlineLevel="1">
      <c r="A50" s="142"/>
      <c r="B50" s="125"/>
      <c r="C50" s="123"/>
      <c r="D50" s="114"/>
      <c r="E50" s="114"/>
      <c r="F50" s="114"/>
      <c r="G50" s="114"/>
      <c r="H50" s="143"/>
      <c r="I50" s="116">
        <f t="shared" si="12"/>
        <v>0</v>
      </c>
      <c r="J50" s="123"/>
      <c r="K50" s="118"/>
      <c r="L50" s="118"/>
      <c r="M50" s="118"/>
      <c r="N50" s="118"/>
      <c r="O50" s="118"/>
      <c r="P50" s="116">
        <f t="shared" si="14"/>
        <v>0</v>
      </c>
      <c r="Q50" s="132">
        <f t="shared" si="3"/>
        <v>0</v>
      </c>
      <c r="R50" s="133">
        <f t="shared" si="4"/>
        <v>0</v>
      </c>
      <c r="S50" s="133">
        <f t="shared" si="15"/>
        <v>0</v>
      </c>
    </row>
    <row r="51" hidden="1" outlineLevel="1">
      <c r="A51" s="142"/>
      <c r="B51" s="125"/>
      <c r="C51" s="123"/>
      <c r="D51" s="114"/>
      <c r="E51" s="114"/>
      <c r="F51" s="114"/>
      <c r="G51" s="114"/>
      <c r="H51" s="143"/>
      <c r="I51" s="116">
        <f t="shared" si="12"/>
        <v>0</v>
      </c>
      <c r="J51" s="123"/>
      <c r="K51" s="118"/>
      <c r="L51" s="118"/>
      <c r="M51" s="118"/>
      <c r="N51" s="118"/>
      <c r="O51" s="118"/>
      <c r="P51" s="116">
        <f t="shared" si="14"/>
        <v>0</v>
      </c>
      <c r="Q51" s="132">
        <f t="shared" si="3"/>
        <v>0</v>
      </c>
      <c r="R51" s="133">
        <f t="shared" si="4"/>
        <v>0</v>
      </c>
      <c r="S51" s="133">
        <f t="shared" si="15"/>
        <v>0</v>
      </c>
    </row>
    <row r="52" hidden="1" outlineLevel="1">
      <c r="A52" s="142"/>
      <c r="B52" s="125"/>
      <c r="C52" s="123"/>
      <c r="D52" s="114"/>
      <c r="E52" s="114"/>
      <c r="F52" s="114"/>
      <c r="G52" s="114"/>
      <c r="H52" s="149"/>
      <c r="I52" s="116">
        <f t="shared" si="12"/>
        <v>0</v>
      </c>
      <c r="J52" s="123"/>
      <c r="K52" s="118"/>
      <c r="L52" s="118"/>
      <c r="M52" s="118"/>
      <c r="N52" s="118"/>
      <c r="O52" s="118"/>
      <c r="P52" s="116">
        <f t="shared" si="14"/>
        <v>0</v>
      </c>
      <c r="Q52" s="132">
        <f t="shared" si="3"/>
        <v>0</v>
      </c>
      <c r="R52" s="133">
        <f t="shared" si="4"/>
        <v>0</v>
      </c>
      <c r="S52" s="133">
        <f t="shared" si="15"/>
        <v>0</v>
      </c>
    </row>
    <row r="53" hidden="1" outlineLevel="1">
      <c r="A53" s="142"/>
      <c r="B53" s="125"/>
      <c r="C53" s="123"/>
      <c r="D53" s="114"/>
      <c r="E53" s="114"/>
      <c r="F53" s="114"/>
      <c r="G53" s="114"/>
      <c r="H53" s="143"/>
      <c r="I53" s="116">
        <f t="shared" si="12"/>
        <v>0</v>
      </c>
      <c r="J53" s="123"/>
      <c r="K53" s="118"/>
      <c r="L53" s="118"/>
      <c r="M53" s="118"/>
      <c r="N53" s="118"/>
      <c r="O53" s="118"/>
      <c r="P53" s="116">
        <f t="shared" si="14"/>
        <v>0</v>
      </c>
      <c r="Q53" s="132">
        <f t="shared" si="3"/>
        <v>0</v>
      </c>
      <c r="R53" s="133">
        <f t="shared" si="4"/>
        <v>0</v>
      </c>
      <c r="S53" s="133">
        <f t="shared" si="15"/>
        <v>0</v>
      </c>
    </row>
    <row r="54" hidden="1" outlineLevel="1">
      <c r="A54" s="142"/>
      <c r="B54" s="125"/>
      <c r="C54" s="122"/>
      <c r="D54" s="114"/>
      <c r="E54" s="114"/>
      <c r="F54" s="114"/>
      <c r="G54" s="114"/>
      <c r="H54" s="143"/>
      <c r="I54" s="116">
        <f t="shared" si="12"/>
        <v>0</v>
      </c>
      <c r="J54" s="123"/>
      <c r="K54" s="118"/>
      <c r="L54" s="118"/>
      <c r="M54" s="118"/>
      <c r="N54" s="118"/>
      <c r="O54" s="118"/>
      <c r="P54" s="116">
        <f t="shared" si="14"/>
        <v>0</v>
      </c>
      <c r="Q54" s="132">
        <f t="shared" si="3"/>
        <v>0</v>
      </c>
      <c r="R54" s="133">
        <f t="shared" si="4"/>
        <v>0</v>
      </c>
      <c r="S54" s="133">
        <f t="shared" si="15"/>
        <v>0</v>
      </c>
    </row>
    <row r="55">
      <c r="A55" s="152"/>
      <c r="B55" s="153" t="s">
        <v>136</v>
      </c>
      <c r="C55" s="154">
        <f t="shared" ref="C55:K55" si="16">C3+C12</f>
        <v>12</v>
      </c>
      <c r="D55" s="155">
        <f t="shared" si="16"/>
        <v>0</v>
      </c>
      <c r="E55" s="155">
        <f t="shared" si="16"/>
        <v>0</v>
      </c>
      <c r="F55" s="155">
        <f t="shared" si="16"/>
        <v>0</v>
      </c>
      <c r="G55" s="155">
        <f t="shared" si="16"/>
        <v>0</v>
      </c>
      <c r="H55" s="156">
        <f t="shared" si="16"/>
        <v>0</v>
      </c>
      <c r="I55" s="157">
        <f t="shared" si="16"/>
        <v>12</v>
      </c>
      <c r="J55" s="154">
        <f t="shared" si="16"/>
        <v>0</v>
      </c>
      <c r="K55" s="155">
        <f t="shared" si="16"/>
        <v>0</v>
      </c>
      <c r="L55" s="155"/>
      <c r="M55" s="155"/>
      <c r="N55" s="155"/>
      <c r="O55" s="155"/>
      <c r="P55" s="157">
        <f>P3+P12</f>
        <v>0</v>
      </c>
      <c r="Q55" s="155">
        <f t="shared" si="3"/>
        <v>12</v>
      </c>
      <c r="R55" s="158">
        <f t="shared" si="4"/>
        <v>0</v>
      </c>
      <c r="S55" s="159" t="str">
        <f>IF(Q55=0,"",IF(R55&gt;1,"выполнение","план не выполнен"))</f>
        <v>план не выполнен</v>
      </c>
    </row>
    <row r="56">
      <c r="A56" s="160"/>
      <c r="B56" s="161" t="s">
        <v>137</v>
      </c>
      <c r="C56" s="162">
        <f t="shared" ref="C56:K56" si="17">IFERROR(C55/C$3,"")</f>
        <v>1</v>
      </c>
      <c r="D56" s="163" t="str">
        <f t="shared" si="17"/>
        <v/>
      </c>
      <c r="E56" s="163" t="str">
        <f t="shared" si="17"/>
        <v/>
      </c>
      <c r="F56" s="163" t="str">
        <f t="shared" si="17"/>
        <v/>
      </c>
      <c r="G56" s="163" t="str">
        <f t="shared" si="17"/>
        <v/>
      </c>
      <c r="H56" s="163" t="str">
        <f t="shared" si="17"/>
        <v/>
      </c>
      <c r="I56" s="164">
        <f t="shared" si="17"/>
        <v>1</v>
      </c>
      <c r="J56" s="163" t="str">
        <f t="shared" si="17"/>
        <v/>
      </c>
      <c r="K56" s="163" t="str">
        <f t="shared" si="17"/>
        <v/>
      </c>
      <c r="L56" s="163"/>
      <c r="M56" s="163"/>
      <c r="N56" s="163"/>
      <c r="O56" s="163"/>
      <c r="P56" s="164" t="str">
        <f>IFERROR(P55/P$3,"")</f>
        <v/>
      </c>
      <c r="Q56" s="121"/>
      <c r="R56" s="121"/>
      <c r="S56" s="121"/>
    </row>
    <row r="57">
      <c r="A57" s="142"/>
      <c r="B57" s="125"/>
      <c r="C57" s="122"/>
      <c r="D57" s="114"/>
      <c r="E57" s="114"/>
      <c r="F57" s="114"/>
      <c r="G57" s="114"/>
      <c r="H57" s="114"/>
      <c r="I57" s="116"/>
      <c r="J57" s="123"/>
      <c r="K57" s="118"/>
      <c r="L57" s="118"/>
      <c r="M57" s="118"/>
      <c r="N57" s="118"/>
      <c r="O57" s="118"/>
      <c r="P57" s="116"/>
      <c r="Q57" s="121"/>
      <c r="R57" s="121"/>
      <c r="S57" s="121"/>
    </row>
    <row r="58">
      <c r="A58" s="135"/>
      <c r="B58" s="136" t="s">
        <v>94</v>
      </c>
      <c r="C58" s="165">
        <f t="shared" ref="C58:H58" si="18">sum(C59:C79)</f>
        <v>0</v>
      </c>
      <c r="D58" s="166">
        <f t="shared" si="18"/>
        <v>0</v>
      </c>
      <c r="E58" s="166">
        <f t="shared" si="18"/>
        <v>0</v>
      </c>
      <c r="F58" s="166">
        <f t="shared" si="18"/>
        <v>0</v>
      </c>
      <c r="G58" s="166">
        <f t="shared" si="18"/>
        <v>0</v>
      </c>
      <c r="H58" s="166">
        <f t="shared" si="18"/>
        <v>0</v>
      </c>
      <c r="I58" s="167">
        <f t="shared" ref="I58:K58" si="19">SUM(I59:I84)</f>
        <v>0</v>
      </c>
      <c r="J58" s="165">
        <f t="shared" si="19"/>
        <v>0</v>
      </c>
      <c r="K58" s="166">
        <f t="shared" si="19"/>
        <v>0</v>
      </c>
      <c r="L58" s="166"/>
      <c r="M58" s="166"/>
      <c r="N58" s="166"/>
      <c r="O58" s="166"/>
      <c r="P58" s="168">
        <f>SUM(P59:P84)</f>
        <v>0</v>
      </c>
      <c r="Q58" s="166">
        <f t="shared" ref="Q58:Q85" si="20">I58-P58</f>
        <v>0</v>
      </c>
      <c r="R58" s="169">
        <f t="shared" ref="R58:R85" si="21">IFERROR(I58/P58,0)</f>
        <v>0</v>
      </c>
      <c r="S58" s="141" t="str">
        <f>IF(Q58=0,"",IF(R58&gt;1,"план не выполнен","выполнение"))</f>
        <v/>
      </c>
    </row>
    <row r="59">
      <c r="A59" s="142" t="str">
        <f>IFERROR(VLOOKUP(B59,'Статьи'!$A$2:C81,3,0)," ")</f>
        <v>1С</v>
      </c>
      <c r="B59" s="125" t="str">
        <f>IFERROR(__xludf.DUMMYFUNCTION("iferror(filter('Статьи'!$A$1:$A177,'Статьи'!$B$1:$B177=$B$58))"),"Зарплата производственного персонала")</f>
        <v>Зарплата производственного персонала</v>
      </c>
      <c r="C59" s="170"/>
      <c r="D59" s="149"/>
      <c r="E59" s="143"/>
      <c r="F59" s="143"/>
      <c r="G59" s="143"/>
      <c r="H59" s="143"/>
      <c r="I59" s="116">
        <f t="shared" ref="I59:I84" si="22">SUM(C59:H59)</f>
        <v>0</v>
      </c>
      <c r="J59" s="117"/>
      <c r="K59" s="118"/>
      <c r="L59" s="118"/>
      <c r="M59" s="118"/>
      <c r="N59" s="118"/>
      <c r="O59" s="118"/>
      <c r="P59" s="116">
        <f t="shared" ref="P59:P84" si="23">SUM(J59:K59)</f>
        <v>0</v>
      </c>
      <c r="Q59" s="119">
        <f t="shared" si="20"/>
        <v>0</v>
      </c>
      <c r="R59" s="120">
        <f t="shared" si="21"/>
        <v>0</v>
      </c>
      <c r="S59" s="121" t="str">
        <f t="shared" ref="S59:S84" si="24">IF(Q59=0,"",IF(R59=0,"обратить внимание",IF(R59&gt;1,"перерасход","экономия")))</f>
        <v/>
      </c>
    </row>
    <row r="60">
      <c r="A60" s="142" t="str">
        <f>IFERROR(VLOOKUP(B60,'Статьи'!$A$2:C82,3,0)," ")</f>
        <v>ДДС отчетного месяца. Без НДС!</v>
      </c>
      <c r="B60" s="125" t="str">
        <f>IFERROR(__xludf.DUMMYFUNCTION("""COMPUTED_VALUE"""),"Таможенные расходы")</f>
        <v>Таможенные расходы</v>
      </c>
      <c r="C60" s="171"/>
      <c r="D60" s="149"/>
      <c r="E60" s="143"/>
      <c r="F60" s="143"/>
      <c r="G60" s="143"/>
      <c r="H60" s="149"/>
      <c r="I60" s="116">
        <f t="shared" si="22"/>
        <v>0</v>
      </c>
      <c r="J60" s="117"/>
      <c r="K60" s="118"/>
      <c r="L60" s="118"/>
      <c r="M60" s="118"/>
      <c r="N60" s="118"/>
      <c r="O60" s="118"/>
      <c r="P60" s="116">
        <f t="shared" si="23"/>
        <v>0</v>
      </c>
      <c r="Q60" s="119">
        <f t="shared" si="20"/>
        <v>0</v>
      </c>
      <c r="R60" s="120">
        <f t="shared" si="21"/>
        <v>0</v>
      </c>
      <c r="S60" s="121" t="str">
        <f t="shared" si="24"/>
        <v/>
      </c>
    </row>
    <row r="61">
      <c r="A61" s="142" t="str">
        <f>IFERROR(VLOOKUP(B61,'Статьи'!$A$2:C83,3,0)," ")</f>
        <v> </v>
      </c>
      <c r="B61" s="125"/>
      <c r="C61" s="171"/>
      <c r="D61" s="172"/>
      <c r="E61" s="143"/>
      <c r="F61" s="143"/>
      <c r="G61" s="143"/>
      <c r="H61" s="149"/>
      <c r="I61" s="116">
        <f t="shared" si="22"/>
        <v>0</v>
      </c>
      <c r="J61" s="117"/>
      <c r="K61" s="118"/>
      <c r="L61" s="118"/>
      <c r="M61" s="118"/>
      <c r="N61" s="118"/>
      <c r="O61" s="118"/>
      <c r="P61" s="116">
        <f t="shared" si="23"/>
        <v>0</v>
      </c>
      <c r="Q61" s="119">
        <f t="shared" si="20"/>
        <v>0</v>
      </c>
      <c r="R61" s="120">
        <f t="shared" si="21"/>
        <v>0</v>
      </c>
      <c r="S61" s="121" t="str">
        <f t="shared" si="24"/>
        <v/>
      </c>
    </row>
    <row r="62">
      <c r="A62" s="142" t="str">
        <f>IFERROR(VLOOKUP(B62,'Статьи'!$A$2:C84,3,0)," ")</f>
        <v> </v>
      </c>
      <c r="B62" s="125"/>
      <c r="C62" s="171"/>
      <c r="D62" s="172"/>
      <c r="E62" s="143"/>
      <c r="F62" s="143"/>
      <c r="G62" s="143"/>
      <c r="H62" s="149"/>
      <c r="I62" s="116">
        <f t="shared" si="22"/>
        <v>0</v>
      </c>
      <c r="J62" s="123"/>
      <c r="K62" s="118"/>
      <c r="L62" s="118"/>
      <c r="M62" s="118"/>
      <c r="N62" s="118"/>
      <c r="O62" s="118"/>
      <c r="P62" s="116">
        <f t="shared" si="23"/>
        <v>0</v>
      </c>
      <c r="Q62" s="119">
        <f t="shared" si="20"/>
        <v>0</v>
      </c>
      <c r="R62" s="120">
        <f t="shared" si="21"/>
        <v>0</v>
      </c>
      <c r="S62" s="121" t="str">
        <f t="shared" si="24"/>
        <v/>
      </c>
    </row>
    <row r="63">
      <c r="A63" s="142" t="str">
        <f>IFERROR(VLOOKUP(B63,'Статьи'!$A$2:C85,3,0)," ")</f>
        <v> </v>
      </c>
      <c r="B63" s="125"/>
      <c r="C63" s="171"/>
      <c r="D63" s="172"/>
      <c r="E63" s="143"/>
      <c r="F63" s="143"/>
      <c r="G63" s="143"/>
      <c r="H63" s="149"/>
      <c r="I63" s="116">
        <f t="shared" si="22"/>
        <v>0</v>
      </c>
      <c r="J63" s="117"/>
      <c r="K63" s="118"/>
      <c r="L63" s="118"/>
      <c r="M63" s="118"/>
      <c r="N63" s="118"/>
      <c r="O63" s="118"/>
      <c r="P63" s="116">
        <f t="shared" si="23"/>
        <v>0</v>
      </c>
      <c r="Q63" s="119">
        <f t="shared" si="20"/>
        <v>0</v>
      </c>
      <c r="R63" s="120">
        <f t="shared" si="21"/>
        <v>0</v>
      </c>
      <c r="S63" s="121" t="str">
        <f t="shared" si="24"/>
        <v/>
      </c>
    </row>
    <row r="64">
      <c r="A64" s="142" t="str">
        <f>IFERROR(VLOOKUP(B64,'Статьи'!$A$2:C86,3,0)," ")</f>
        <v> </v>
      </c>
      <c r="B64" s="125"/>
      <c r="C64" s="171"/>
      <c r="D64" s="172"/>
      <c r="E64" s="143"/>
      <c r="F64" s="143"/>
      <c r="G64" s="143"/>
      <c r="H64" s="149"/>
      <c r="I64" s="116">
        <f t="shared" si="22"/>
        <v>0</v>
      </c>
      <c r="J64" s="117"/>
      <c r="K64" s="118"/>
      <c r="L64" s="118"/>
      <c r="M64" s="118"/>
      <c r="N64" s="118"/>
      <c r="O64" s="118"/>
      <c r="P64" s="116">
        <f t="shared" si="23"/>
        <v>0</v>
      </c>
      <c r="Q64" s="119">
        <f t="shared" si="20"/>
        <v>0</v>
      </c>
      <c r="R64" s="120">
        <f t="shared" si="21"/>
        <v>0</v>
      </c>
      <c r="S64" s="121" t="str">
        <f t="shared" si="24"/>
        <v/>
      </c>
    </row>
    <row r="65">
      <c r="A65" s="142" t="str">
        <f>IFERROR(VLOOKUP(B65,'Статьи'!$A$2:C87,3,0)," ")</f>
        <v> </v>
      </c>
      <c r="B65" s="125"/>
      <c r="C65" s="171"/>
      <c r="D65" s="172"/>
      <c r="E65" s="143"/>
      <c r="F65" s="143"/>
      <c r="G65" s="143"/>
      <c r="H65" s="149"/>
      <c r="I65" s="116">
        <f t="shared" si="22"/>
        <v>0</v>
      </c>
      <c r="J65" s="117"/>
      <c r="K65" s="118"/>
      <c r="L65" s="118"/>
      <c r="M65" s="118"/>
      <c r="N65" s="118"/>
      <c r="O65" s="118"/>
      <c r="P65" s="116">
        <f t="shared" si="23"/>
        <v>0</v>
      </c>
      <c r="Q65" s="119">
        <f t="shared" si="20"/>
        <v>0</v>
      </c>
      <c r="R65" s="120">
        <f t="shared" si="21"/>
        <v>0</v>
      </c>
      <c r="S65" s="121" t="str">
        <f t="shared" si="24"/>
        <v/>
      </c>
    </row>
    <row r="66">
      <c r="A66" s="142" t="str">
        <f>IFERROR(VLOOKUP(B66,'Статьи'!$A$2:C88,3,0)," ")</f>
        <v> </v>
      </c>
      <c r="B66" s="125"/>
      <c r="C66" s="171"/>
      <c r="D66" s="172"/>
      <c r="E66" s="143"/>
      <c r="F66" s="143"/>
      <c r="G66" s="143"/>
      <c r="H66" s="149"/>
      <c r="I66" s="116">
        <f t="shared" si="22"/>
        <v>0</v>
      </c>
      <c r="J66" s="117"/>
      <c r="K66" s="118"/>
      <c r="L66" s="118"/>
      <c r="M66" s="118"/>
      <c r="N66" s="118"/>
      <c r="O66" s="118"/>
      <c r="P66" s="116">
        <f t="shared" si="23"/>
        <v>0</v>
      </c>
      <c r="Q66" s="119">
        <f t="shared" si="20"/>
        <v>0</v>
      </c>
      <c r="R66" s="120">
        <f t="shared" si="21"/>
        <v>0</v>
      </c>
      <c r="S66" s="121" t="str">
        <f t="shared" si="24"/>
        <v/>
      </c>
    </row>
    <row r="67">
      <c r="A67" s="142" t="str">
        <f>IFERROR(VLOOKUP(B67,'Статьи'!$A$2:C89,3,0)," ")</f>
        <v> </v>
      </c>
      <c r="B67" s="125"/>
      <c r="C67" s="171"/>
      <c r="D67" s="172"/>
      <c r="E67" s="143"/>
      <c r="F67" s="143"/>
      <c r="G67" s="143"/>
      <c r="H67" s="149"/>
      <c r="I67" s="116">
        <f t="shared" si="22"/>
        <v>0</v>
      </c>
      <c r="J67" s="117"/>
      <c r="K67" s="118"/>
      <c r="L67" s="118"/>
      <c r="M67" s="118"/>
      <c r="N67" s="118"/>
      <c r="O67" s="118"/>
      <c r="P67" s="116">
        <f t="shared" si="23"/>
        <v>0</v>
      </c>
      <c r="Q67" s="119">
        <f t="shared" si="20"/>
        <v>0</v>
      </c>
      <c r="R67" s="120">
        <f t="shared" si="21"/>
        <v>0</v>
      </c>
      <c r="S67" s="121" t="str">
        <f t="shared" si="24"/>
        <v/>
      </c>
    </row>
    <row r="68">
      <c r="A68" s="142" t="str">
        <f>IFERROR(VLOOKUP(B68,'Статьи'!$A$2:C90,3,0)," ")</f>
        <v> </v>
      </c>
      <c r="B68" s="125"/>
      <c r="C68" s="171"/>
      <c r="D68" s="172"/>
      <c r="E68" s="143"/>
      <c r="F68" s="143"/>
      <c r="G68" s="143"/>
      <c r="H68" s="149"/>
      <c r="I68" s="116">
        <f t="shared" si="22"/>
        <v>0</v>
      </c>
      <c r="J68" s="123"/>
      <c r="K68" s="118"/>
      <c r="L68" s="118"/>
      <c r="M68" s="118"/>
      <c r="N68" s="118"/>
      <c r="O68" s="118"/>
      <c r="P68" s="116">
        <f t="shared" si="23"/>
        <v>0</v>
      </c>
      <c r="Q68" s="119">
        <f t="shared" si="20"/>
        <v>0</v>
      </c>
      <c r="R68" s="120">
        <f t="shared" si="21"/>
        <v>0</v>
      </c>
      <c r="S68" s="121" t="str">
        <f t="shared" si="24"/>
        <v/>
      </c>
    </row>
    <row r="69">
      <c r="A69" s="142" t="str">
        <f>IFERROR(VLOOKUP(B69,'Статьи'!$A$2:C91,3,0)," ")</f>
        <v> </v>
      </c>
      <c r="B69" s="125"/>
      <c r="C69" s="171"/>
      <c r="D69" s="172"/>
      <c r="E69" s="143"/>
      <c r="F69" s="143"/>
      <c r="G69" s="143"/>
      <c r="H69" s="149"/>
      <c r="I69" s="116">
        <f t="shared" si="22"/>
        <v>0</v>
      </c>
      <c r="J69" s="117"/>
      <c r="K69" s="118"/>
      <c r="L69" s="118"/>
      <c r="M69" s="118"/>
      <c r="N69" s="118"/>
      <c r="O69" s="118"/>
      <c r="P69" s="116">
        <f t="shared" si="23"/>
        <v>0</v>
      </c>
      <c r="Q69" s="119">
        <f t="shared" si="20"/>
        <v>0</v>
      </c>
      <c r="R69" s="120">
        <f t="shared" si="21"/>
        <v>0</v>
      </c>
      <c r="S69" s="121" t="str">
        <f t="shared" si="24"/>
        <v/>
      </c>
    </row>
    <row r="70">
      <c r="A70" s="142" t="str">
        <f>IFERROR(VLOOKUP(B70,'Статьи'!$A$2:C92,3,0)," ")</f>
        <v> </v>
      </c>
      <c r="B70" s="125"/>
      <c r="C70" s="171"/>
      <c r="D70" s="172"/>
      <c r="E70" s="143"/>
      <c r="F70" s="143"/>
      <c r="G70" s="143"/>
      <c r="H70" s="149"/>
      <c r="I70" s="116">
        <f t="shared" si="22"/>
        <v>0</v>
      </c>
      <c r="J70" s="117"/>
      <c r="K70" s="118"/>
      <c r="L70" s="118"/>
      <c r="M70" s="118"/>
      <c r="N70" s="118"/>
      <c r="O70" s="118"/>
      <c r="P70" s="116">
        <f t="shared" si="23"/>
        <v>0</v>
      </c>
      <c r="Q70" s="119">
        <f t="shared" si="20"/>
        <v>0</v>
      </c>
      <c r="R70" s="120">
        <f t="shared" si="21"/>
        <v>0</v>
      </c>
      <c r="S70" s="121" t="str">
        <f t="shared" si="24"/>
        <v/>
      </c>
    </row>
    <row r="71" collapsed="1">
      <c r="A71" s="142" t="str">
        <f>IFERROR(VLOOKUP(B71,'Статьи'!$A$2:C93,3,0)," ")</f>
        <v> </v>
      </c>
      <c r="B71" s="125"/>
      <c r="C71" s="171"/>
      <c r="D71" s="172"/>
      <c r="E71" s="143"/>
      <c r="F71" s="143"/>
      <c r="G71" s="143"/>
      <c r="H71" s="149"/>
      <c r="I71" s="116">
        <f t="shared" si="22"/>
        <v>0</v>
      </c>
      <c r="J71" s="117"/>
      <c r="K71" s="118"/>
      <c r="L71" s="118"/>
      <c r="M71" s="118"/>
      <c r="N71" s="118"/>
      <c r="O71" s="118"/>
      <c r="P71" s="116">
        <f t="shared" si="23"/>
        <v>0</v>
      </c>
      <c r="Q71" s="119">
        <f t="shared" si="20"/>
        <v>0</v>
      </c>
      <c r="R71" s="120">
        <f t="shared" si="21"/>
        <v>0</v>
      </c>
      <c r="S71" s="121" t="str">
        <f t="shared" si="24"/>
        <v/>
      </c>
    </row>
    <row r="72" hidden="1" outlineLevel="1">
      <c r="A72" s="142" t="str">
        <f>IFERROR(VLOOKUP(B72,'Статьи'!$A$2:C94,3,0)," ")</f>
        <v> </v>
      </c>
      <c r="B72" s="125"/>
      <c r="C72" s="170"/>
      <c r="D72" s="149"/>
      <c r="E72" s="143"/>
      <c r="F72" s="143"/>
      <c r="G72" s="143"/>
      <c r="H72" s="149"/>
      <c r="I72" s="116">
        <f t="shared" si="22"/>
        <v>0</v>
      </c>
      <c r="J72" s="123"/>
      <c r="K72" s="118"/>
      <c r="L72" s="118"/>
      <c r="M72" s="118"/>
      <c r="N72" s="118"/>
      <c r="O72" s="118"/>
      <c r="P72" s="116">
        <f t="shared" si="23"/>
        <v>0</v>
      </c>
      <c r="Q72" s="119">
        <f t="shared" si="20"/>
        <v>0</v>
      </c>
      <c r="R72" s="120">
        <f t="shared" si="21"/>
        <v>0</v>
      </c>
      <c r="S72" s="121" t="str">
        <f t="shared" si="24"/>
        <v/>
      </c>
    </row>
    <row r="73" hidden="1" outlineLevel="1">
      <c r="A73" s="142" t="str">
        <f>IFERROR(VLOOKUP(B73,'Статьи'!$A$2:C95,3,0)," ")</f>
        <v> </v>
      </c>
      <c r="B73" s="125"/>
      <c r="C73" s="170"/>
      <c r="D73" s="149"/>
      <c r="E73" s="143"/>
      <c r="F73" s="143"/>
      <c r="G73" s="143"/>
      <c r="H73" s="149"/>
      <c r="I73" s="116">
        <f t="shared" si="22"/>
        <v>0</v>
      </c>
      <c r="J73" s="123"/>
      <c r="K73" s="118"/>
      <c r="L73" s="118"/>
      <c r="M73" s="118"/>
      <c r="N73" s="118"/>
      <c r="O73" s="118"/>
      <c r="P73" s="116">
        <f t="shared" si="23"/>
        <v>0</v>
      </c>
      <c r="Q73" s="119">
        <f t="shared" si="20"/>
        <v>0</v>
      </c>
      <c r="R73" s="120">
        <f t="shared" si="21"/>
        <v>0</v>
      </c>
      <c r="S73" s="121" t="str">
        <f t="shared" si="24"/>
        <v/>
      </c>
    </row>
    <row r="74" hidden="1" outlineLevel="1">
      <c r="A74" s="142" t="str">
        <f>IFERROR(VLOOKUP(B74,'Статьи'!$A$2:C96,3,0)," ")</f>
        <v> </v>
      </c>
      <c r="B74" s="125"/>
      <c r="C74" s="170"/>
      <c r="D74" s="149"/>
      <c r="E74" s="143"/>
      <c r="F74" s="143"/>
      <c r="G74" s="143"/>
      <c r="H74" s="149"/>
      <c r="I74" s="116">
        <f t="shared" si="22"/>
        <v>0</v>
      </c>
      <c r="J74" s="123"/>
      <c r="K74" s="118"/>
      <c r="L74" s="118"/>
      <c r="M74" s="118"/>
      <c r="N74" s="118"/>
      <c r="O74" s="118"/>
      <c r="P74" s="116">
        <f t="shared" si="23"/>
        <v>0</v>
      </c>
      <c r="Q74" s="119">
        <f t="shared" si="20"/>
        <v>0</v>
      </c>
      <c r="R74" s="120">
        <f t="shared" si="21"/>
        <v>0</v>
      </c>
      <c r="S74" s="121" t="str">
        <f t="shared" si="24"/>
        <v/>
      </c>
    </row>
    <row r="75" hidden="1" outlineLevel="1">
      <c r="A75" s="142" t="str">
        <f>IFERROR(VLOOKUP(B75,'Статьи'!$A$2:C97,3,0)," ")</f>
        <v> </v>
      </c>
      <c r="B75" s="125"/>
      <c r="C75" s="170"/>
      <c r="D75" s="149"/>
      <c r="E75" s="143"/>
      <c r="F75" s="143"/>
      <c r="G75" s="143"/>
      <c r="H75" s="149"/>
      <c r="I75" s="116">
        <f t="shared" si="22"/>
        <v>0</v>
      </c>
      <c r="J75" s="123"/>
      <c r="K75" s="118"/>
      <c r="L75" s="118"/>
      <c r="M75" s="118"/>
      <c r="N75" s="118"/>
      <c r="O75" s="118"/>
      <c r="P75" s="116">
        <f t="shared" si="23"/>
        <v>0</v>
      </c>
      <c r="Q75" s="119">
        <f t="shared" si="20"/>
        <v>0</v>
      </c>
      <c r="R75" s="120">
        <f t="shared" si="21"/>
        <v>0</v>
      </c>
      <c r="S75" s="121" t="str">
        <f t="shared" si="24"/>
        <v/>
      </c>
    </row>
    <row r="76" hidden="1" outlineLevel="1">
      <c r="A76" s="142" t="str">
        <f>IFERROR(VLOOKUP(B76,'Статьи'!$A$2:C98,3,0)," ")</f>
        <v> </v>
      </c>
      <c r="B76" s="125"/>
      <c r="C76" s="173"/>
      <c r="D76" s="143"/>
      <c r="E76" s="149"/>
      <c r="F76" s="143"/>
      <c r="G76" s="143"/>
      <c r="H76" s="143"/>
      <c r="I76" s="116">
        <f t="shared" si="22"/>
        <v>0</v>
      </c>
      <c r="J76" s="123"/>
      <c r="K76" s="118"/>
      <c r="L76" s="118"/>
      <c r="M76" s="118"/>
      <c r="N76" s="118"/>
      <c r="O76" s="118"/>
      <c r="P76" s="116">
        <f t="shared" si="23"/>
        <v>0</v>
      </c>
      <c r="Q76" s="119">
        <f t="shared" si="20"/>
        <v>0</v>
      </c>
      <c r="R76" s="120">
        <f t="shared" si="21"/>
        <v>0</v>
      </c>
      <c r="S76" s="121" t="str">
        <f t="shared" si="24"/>
        <v/>
      </c>
    </row>
    <row r="77" hidden="1" outlineLevel="1">
      <c r="A77" s="142" t="str">
        <f>IFERROR(VLOOKUP(B77,'Статьи'!$A$2:C99,3,0)," ")</f>
        <v> </v>
      </c>
      <c r="B77" s="125"/>
      <c r="C77" s="170"/>
      <c r="D77" s="174"/>
      <c r="E77" s="174"/>
      <c r="F77" s="174"/>
      <c r="G77" s="174"/>
      <c r="H77" s="174"/>
      <c r="I77" s="116">
        <f t="shared" si="22"/>
        <v>0</v>
      </c>
      <c r="J77" s="123"/>
      <c r="K77" s="118"/>
      <c r="L77" s="118"/>
      <c r="M77" s="118"/>
      <c r="N77" s="118"/>
      <c r="O77" s="118"/>
      <c r="P77" s="116">
        <f t="shared" si="23"/>
        <v>0</v>
      </c>
      <c r="Q77" s="119">
        <f t="shared" si="20"/>
        <v>0</v>
      </c>
      <c r="R77" s="120">
        <f t="shared" si="21"/>
        <v>0</v>
      </c>
      <c r="S77" s="121" t="str">
        <f t="shared" si="24"/>
        <v/>
      </c>
    </row>
    <row r="78" hidden="1" outlineLevel="1">
      <c r="A78" s="175" t="str">
        <f>IFERROR(VLOOKUP(B78,'Статьи'!$A$2:C100,3,0)," ")</f>
        <v> </v>
      </c>
      <c r="B78" s="176"/>
      <c r="C78" s="122"/>
      <c r="D78" s="114"/>
      <c r="E78" s="114"/>
      <c r="F78" s="114"/>
      <c r="G78" s="114"/>
      <c r="H78" s="149"/>
      <c r="I78" s="116">
        <f t="shared" si="22"/>
        <v>0</v>
      </c>
      <c r="J78" s="123"/>
      <c r="K78" s="118"/>
      <c r="L78" s="118"/>
      <c r="M78" s="118"/>
      <c r="N78" s="118"/>
      <c r="O78" s="118"/>
      <c r="P78" s="116">
        <f t="shared" si="23"/>
        <v>0</v>
      </c>
      <c r="Q78" s="119">
        <f t="shared" si="20"/>
        <v>0</v>
      </c>
      <c r="R78" s="120">
        <f t="shared" si="21"/>
        <v>0</v>
      </c>
      <c r="S78" s="121" t="str">
        <f t="shared" si="24"/>
        <v/>
      </c>
    </row>
    <row r="79" hidden="1" outlineLevel="1">
      <c r="A79" s="110" t="str">
        <f>IFERROR(VLOOKUP(B79,'Статьи'!$A$2:C101,3,0)," ")</f>
        <v> </v>
      </c>
      <c r="B79" s="111"/>
      <c r="C79" s="122"/>
      <c r="D79" s="115"/>
      <c r="E79" s="115"/>
      <c r="F79" s="115"/>
      <c r="G79" s="115"/>
      <c r="H79" s="115"/>
      <c r="I79" s="116">
        <f t="shared" si="22"/>
        <v>0</v>
      </c>
      <c r="J79" s="123"/>
      <c r="K79" s="118"/>
      <c r="L79" s="118"/>
      <c r="M79" s="118"/>
      <c r="N79" s="118"/>
      <c r="O79" s="118"/>
      <c r="P79" s="116">
        <f t="shared" si="23"/>
        <v>0</v>
      </c>
      <c r="Q79" s="119">
        <f t="shared" si="20"/>
        <v>0</v>
      </c>
      <c r="R79" s="120">
        <f t="shared" si="21"/>
        <v>0</v>
      </c>
      <c r="S79" s="121" t="str">
        <f t="shared" si="24"/>
        <v/>
      </c>
    </row>
    <row r="80" hidden="1" outlineLevel="1">
      <c r="A80" s="110" t="str">
        <f>IFERROR(VLOOKUP(B80,'Статьи'!$A$2:C102,3,0)," ")</f>
        <v> </v>
      </c>
      <c r="B80" s="111"/>
      <c r="C80" s="122"/>
      <c r="D80" s="115"/>
      <c r="E80" s="115"/>
      <c r="F80" s="115"/>
      <c r="G80" s="115"/>
      <c r="H80" s="115"/>
      <c r="I80" s="116">
        <f t="shared" si="22"/>
        <v>0</v>
      </c>
      <c r="J80" s="123"/>
      <c r="K80" s="118"/>
      <c r="L80" s="118"/>
      <c r="M80" s="118"/>
      <c r="N80" s="118"/>
      <c r="O80" s="118"/>
      <c r="P80" s="116">
        <f t="shared" si="23"/>
        <v>0</v>
      </c>
      <c r="Q80" s="119">
        <f t="shared" si="20"/>
        <v>0</v>
      </c>
      <c r="R80" s="120">
        <f t="shared" si="21"/>
        <v>0</v>
      </c>
      <c r="S80" s="121" t="str">
        <f t="shared" si="24"/>
        <v/>
      </c>
    </row>
    <row r="81" hidden="1" outlineLevel="1">
      <c r="A81" s="110" t="str">
        <f>IFERROR(VLOOKUP(B81,'Статьи'!$A$2:C103,3,0)," ")</f>
        <v> </v>
      </c>
      <c r="B81" s="111"/>
      <c r="C81" s="122"/>
      <c r="D81" s="115"/>
      <c r="E81" s="115"/>
      <c r="F81" s="115"/>
      <c r="G81" s="115"/>
      <c r="H81" s="115"/>
      <c r="I81" s="116">
        <f t="shared" si="22"/>
        <v>0</v>
      </c>
      <c r="J81" s="123"/>
      <c r="K81" s="118"/>
      <c r="L81" s="118"/>
      <c r="M81" s="118"/>
      <c r="N81" s="118"/>
      <c r="O81" s="118"/>
      <c r="P81" s="116">
        <f t="shared" si="23"/>
        <v>0</v>
      </c>
      <c r="Q81" s="119">
        <f t="shared" si="20"/>
        <v>0</v>
      </c>
      <c r="R81" s="120">
        <f t="shared" si="21"/>
        <v>0</v>
      </c>
      <c r="S81" s="121" t="str">
        <f t="shared" si="24"/>
        <v/>
      </c>
    </row>
    <row r="82" hidden="1" outlineLevel="1">
      <c r="A82" s="110" t="str">
        <f>IFERROR(VLOOKUP(B82,'Статьи'!$A$2:C104,3,0)," ")</f>
        <v> </v>
      </c>
      <c r="B82" s="111"/>
      <c r="C82" s="122"/>
      <c r="D82" s="115"/>
      <c r="E82" s="115"/>
      <c r="F82" s="115"/>
      <c r="G82" s="115"/>
      <c r="H82" s="115"/>
      <c r="I82" s="116">
        <f t="shared" si="22"/>
        <v>0</v>
      </c>
      <c r="J82" s="123"/>
      <c r="K82" s="118"/>
      <c r="L82" s="118"/>
      <c r="M82" s="118"/>
      <c r="N82" s="118"/>
      <c r="O82" s="118"/>
      <c r="P82" s="116">
        <f t="shared" si="23"/>
        <v>0</v>
      </c>
      <c r="Q82" s="119">
        <f t="shared" si="20"/>
        <v>0</v>
      </c>
      <c r="R82" s="120">
        <f t="shared" si="21"/>
        <v>0</v>
      </c>
      <c r="S82" s="121" t="str">
        <f t="shared" si="24"/>
        <v/>
      </c>
    </row>
    <row r="83" hidden="1" outlineLevel="1">
      <c r="A83" s="110" t="str">
        <f>IFERROR(VLOOKUP(B83,'Статьи'!$A$2:C105,3,0)," ")</f>
        <v> </v>
      </c>
      <c r="B83" s="111"/>
      <c r="C83" s="122"/>
      <c r="D83" s="115"/>
      <c r="E83" s="115"/>
      <c r="F83" s="115"/>
      <c r="G83" s="115"/>
      <c r="H83" s="115"/>
      <c r="I83" s="116">
        <f t="shared" si="22"/>
        <v>0</v>
      </c>
      <c r="J83" s="123"/>
      <c r="K83" s="118"/>
      <c r="L83" s="118"/>
      <c r="M83" s="118"/>
      <c r="N83" s="118"/>
      <c r="O83" s="118"/>
      <c r="P83" s="116">
        <f t="shared" si="23"/>
        <v>0</v>
      </c>
      <c r="Q83" s="119">
        <f t="shared" si="20"/>
        <v>0</v>
      </c>
      <c r="R83" s="120">
        <f t="shared" si="21"/>
        <v>0</v>
      </c>
      <c r="S83" s="121" t="str">
        <f t="shared" si="24"/>
        <v/>
      </c>
    </row>
    <row r="84">
      <c r="A84" s="110" t="str">
        <f>IFERROR(VLOOKUP(B84,'Статьи'!$A$2:C106,3,0)," ")</f>
        <v> </v>
      </c>
      <c r="B84" s="111"/>
      <c r="C84" s="122"/>
      <c r="D84" s="115"/>
      <c r="E84" s="115"/>
      <c r="F84" s="115"/>
      <c r="G84" s="115"/>
      <c r="H84" s="115"/>
      <c r="I84" s="116">
        <f t="shared" si="22"/>
        <v>0</v>
      </c>
      <c r="J84" s="123"/>
      <c r="K84" s="118"/>
      <c r="L84" s="118"/>
      <c r="M84" s="118"/>
      <c r="N84" s="118"/>
      <c r="O84" s="118"/>
      <c r="P84" s="116">
        <f t="shared" si="23"/>
        <v>0</v>
      </c>
      <c r="Q84" s="119">
        <f t="shared" si="20"/>
        <v>0</v>
      </c>
      <c r="R84" s="120">
        <f t="shared" si="21"/>
        <v>0</v>
      </c>
      <c r="S84" s="121" t="str">
        <f t="shared" si="24"/>
        <v/>
      </c>
    </row>
    <row r="85">
      <c r="A85" s="152"/>
      <c r="B85" s="153" t="s">
        <v>138</v>
      </c>
      <c r="C85" s="154">
        <f t="shared" ref="C85:K85" si="25">C55+C58</f>
        <v>12</v>
      </c>
      <c r="D85" s="155">
        <f t="shared" si="25"/>
        <v>0</v>
      </c>
      <c r="E85" s="155">
        <f t="shared" si="25"/>
        <v>0</v>
      </c>
      <c r="F85" s="155">
        <f t="shared" si="25"/>
        <v>0</v>
      </c>
      <c r="G85" s="155">
        <f t="shared" si="25"/>
        <v>0</v>
      </c>
      <c r="H85" s="155">
        <f t="shared" si="25"/>
        <v>0</v>
      </c>
      <c r="I85" s="157">
        <f t="shared" si="25"/>
        <v>12</v>
      </c>
      <c r="J85" s="154">
        <f t="shared" si="25"/>
        <v>0</v>
      </c>
      <c r="K85" s="155">
        <f t="shared" si="25"/>
        <v>0</v>
      </c>
      <c r="L85" s="155"/>
      <c r="M85" s="155"/>
      <c r="N85" s="155"/>
      <c r="O85" s="155"/>
      <c r="P85" s="157">
        <f>P55+P58</f>
        <v>0</v>
      </c>
      <c r="Q85" s="155">
        <f t="shared" si="20"/>
        <v>12</v>
      </c>
      <c r="R85" s="158">
        <f t="shared" si="21"/>
        <v>0</v>
      </c>
      <c r="S85" s="177" t="str">
        <f>IF(Q85=0,"",IF(R85&gt;1,"выполнение","план не выполнен"))</f>
        <v>план не выполнен</v>
      </c>
    </row>
    <row r="86">
      <c r="A86" s="160"/>
      <c r="B86" s="161" t="s">
        <v>139</v>
      </c>
      <c r="C86" s="162">
        <f t="shared" ref="C86:K86" si="26">IFERROR(C85/C$3,"")</f>
        <v>1</v>
      </c>
      <c r="D86" s="163" t="str">
        <f t="shared" si="26"/>
        <v/>
      </c>
      <c r="E86" s="163" t="str">
        <f t="shared" si="26"/>
        <v/>
      </c>
      <c r="F86" s="163" t="str">
        <f t="shared" si="26"/>
        <v/>
      </c>
      <c r="G86" s="163" t="str">
        <f t="shared" si="26"/>
        <v/>
      </c>
      <c r="H86" s="163" t="str">
        <f t="shared" si="26"/>
        <v/>
      </c>
      <c r="I86" s="164">
        <f t="shared" si="26"/>
        <v>1</v>
      </c>
      <c r="J86" s="162" t="str">
        <f t="shared" si="26"/>
        <v/>
      </c>
      <c r="K86" s="163" t="str">
        <f t="shared" si="26"/>
        <v/>
      </c>
      <c r="L86" s="163"/>
      <c r="M86" s="163"/>
      <c r="N86" s="163"/>
      <c r="O86" s="163"/>
      <c r="P86" s="164" t="str">
        <f>IFERROR(P85/P$3,"")</f>
        <v/>
      </c>
      <c r="Q86" s="121"/>
      <c r="R86" s="121"/>
      <c r="S86" s="121" t="str">
        <f t="shared" ref="S86:S87" si="27">IF(Q86=0,"",IF(Q86=0,0,IF(R86&gt;1,"перерасход","экономия")))</f>
        <v/>
      </c>
    </row>
    <row r="87">
      <c r="A87" s="178"/>
      <c r="B87" s="179"/>
      <c r="C87" s="124"/>
      <c r="D87" s="115"/>
      <c r="E87" s="115"/>
      <c r="F87" s="115"/>
      <c r="G87" s="115"/>
      <c r="H87" s="115"/>
      <c r="I87" s="116"/>
      <c r="J87" s="123"/>
      <c r="K87" s="118"/>
      <c r="L87" s="118"/>
      <c r="M87" s="118"/>
      <c r="N87" s="118"/>
      <c r="O87" s="118"/>
      <c r="P87" s="116"/>
      <c r="Q87" s="180"/>
      <c r="R87" s="121"/>
      <c r="S87" s="121" t="str">
        <f t="shared" si="27"/>
        <v/>
      </c>
    </row>
    <row r="88">
      <c r="A88" s="181"/>
      <c r="B88" s="127" t="s">
        <v>140</v>
      </c>
      <c r="C88" s="182">
        <f t="shared" ref="C88:K88" si="28">C101+C132+C89</f>
        <v>0</v>
      </c>
      <c r="D88" s="183">
        <f t="shared" si="28"/>
        <v>0</v>
      </c>
      <c r="E88" s="183">
        <f t="shared" si="28"/>
        <v>0</v>
      </c>
      <c r="F88" s="183">
        <f t="shared" si="28"/>
        <v>0</v>
      </c>
      <c r="G88" s="183">
        <f t="shared" si="28"/>
        <v>0</v>
      </c>
      <c r="H88" s="183">
        <f t="shared" si="28"/>
        <v>0</v>
      </c>
      <c r="I88" s="184">
        <f t="shared" si="28"/>
        <v>0</v>
      </c>
      <c r="J88" s="182">
        <f t="shared" si="28"/>
        <v>0</v>
      </c>
      <c r="K88" s="183">
        <f t="shared" si="28"/>
        <v>0</v>
      </c>
      <c r="L88" s="183"/>
      <c r="M88" s="183"/>
      <c r="N88" s="183"/>
      <c r="O88" s="183"/>
      <c r="P88" s="185">
        <f>P101+P132+P89</f>
        <v>0</v>
      </c>
      <c r="Q88" s="183">
        <f t="shared" ref="Q88:Q142" si="30">I88-P88</f>
        <v>0</v>
      </c>
      <c r="R88" s="186">
        <f t="shared" ref="R88:R142" si="31">IFERROR(I88/P88,0)</f>
        <v>0</v>
      </c>
      <c r="S88" s="134" t="str">
        <f>IF(Q88=0,"",IF(R88&gt;1,"план не выполнен","выполнение"))</f>
        <v/>
      </c>
    </row>
    <row r="89">
      <c r="A89" s="135"/>
      <c r="B89" s="136" t="s">
        <v>141</v>
      </c>
      <c r="C89" s="137">
        <f t="shared" ref="C89:K89" si="29">SUM(C90:C100)</f>
        <v>0</v>
      </c>
      <c r="D89" s="138">
        <f t="shared" si="29"/>
        <v>0</v>
      </c>
      <c r="E89" s="138">
        <f t="shared" si="29"/>
        <v>0</v>
      </c>
      <c r="F89" s="138">
        <f t="shared" si="29"/>
        <v>0</v>
      </c>
      <c r="G89" s="138">
        <f t="shared" si="29"/>
        <v>0</v>
      </c>
      <c r="H89" s="138">
        <f t="shared" si="29"/>
        <v>0</v>
      </c>
      <c r="I89" s="139">
        <f t="shared" si="29"/>
        <v>0</v>
      </c>
      <c r="J89" s="137">
        <f t="shared" si="29"/>
        <v>0</v>
      </c>
      <c r="K89" s="138">
        <f t="shared" si="29"/>
        <v>0</v>
      </c>
      <c r="L89" s="138"/>
      <c r="M89" s="138"/>
      <c r="N89" s="138"/>
      <c r="O89" s="138"/>
      <c r="P89" s="140">
        <f>SUM(P90:P100)</f>
        <v>0</v>
      </c>
      <c r="Q89" s="138">
        <f t="shared" si="30"/>
        <v>0</v>
      </c>
      <c r="R89" s="187">
        <f t="shared" si="31"/>
        <v>0</v>
      </c>
      <c r="S89" s="141" t="str">
        <f>IF(Q89=0,"",IF(Q89=0,0,IF(R89&gt;1,"перерасход","экономия")))</f>
        <v/>
      </c>
    </row>
    <row r="90">
      <c r="A90" s="142" t="str">
        <f>IFERROR(VLOOKUP(B90,'Статьи'!$A$2:C112,3,0)," ")</f>
        <v> </v>
      </c>
      <c r="B90" s="125" t="str">
        <f>IFERROR(__xludf.DUMMYFUNCTION("iferror(filter('Статьи'!$A$1:$A177,'Статьи'!$B$1:$B177=$B$89))"),"")</f>
        <v/>
      </c>
      <c r="C90" s="171"/>
      <c r="D90" s="172"/>
      <c r="E90" s="149"/>
      <c r="F90" s="149"/>
      <c r="G90" s="149"/>
      <c r="H90" s="149"/>
      <c r="I90" s="188">
        <f t="shared" ref="I90:I100" si="32">sum(C90:H90)</f>
        <v>0</v>
      </c>
      <c r="J90" s="170"/>
      <c r="K90" s="149"/>
      <c r="L90" s="149"/>
      <c r="M90" s="149"/>
      <c r="N90" s="149"/>
      <c r="O90" s="149"/>
      <c r="P90" s="188">
        <f t="shared" ref="P90:P94" si="33">SUM(J90:K90)</f>
        <v>0</v>
      </c>
      <c r="Q90" s="132">
        <f t="shared" si="30"/>
        <v>0</v>
      </c>
      <c r="R90" s="133">
        <f t="shared" si="31"/>
        <v>0</v>
      </c>
      <c r="S90" s="121" t="str">
        <f t="shared" ref="S90:S94" si="34">IF(Q90=0,"",IF(R90=0,"обратить внимание",IF(R90&gt;1,"перерасход","экономия")))</f>
        <v/>
      </c>
    </row>
    <row r="91">
      <c r="A91" s="142" t="str">
        <f>IFERROR(VLOOKUP(B91,'Статьи'!$A$2:C113,3,0)," ")</f>
        <v> </v>
      </c>
      <c r="B91" s="125"/>
      <c r="C91" s="171"/>
      <c r="D91" s="172"/>
      <c r="E91" s="149"/>
      <c r="F91" s="149"/>
      <c r="G91" s="149"/>
      <c r="H91" s="149"/>
      <c r="I91" s="188">
        <f t="shared" si="32"/>
        <v>0</v>
      </c>
      <c r="J91" s="189"/>
      <c r="K91" s="149"/>
      <c r="L91" s="149"/>
      <c r="M91" s="149"/>
      <c r="N91" s="149"/>
      <c r="O91" s="149"/>
      <c r="P91" s="188">
        <f t="shared" si="33"/>
        <v>0</v>
      </c>
      <c r="Q91" s="132">
        <f t="shared" si="30"/>
        <v>0</v>
      </c>
      <c r="R91" s="133">
        <f t="shared" si="31"/>
        <v>0</v>
      </c>
      <c r="S91" s="121" t="str">
        <f t="shared" si="34"/>
        <v/>
      </c>
    </row>
    <row r="92">
      <c r="A92" s="142" t="str">
        <f>IFERROR(VLOOKUP(B92,'Статьи'!$A$2:C114,3,0)," ")</f>
        <v> </v>
      </c>
      <c r="B92" s="125"/>
      <c r="C92" s="171"/>
      <c r="D92" s="172"/>
      <c r="E92" s="149"/>
      <c r="F92" s="149"/>
      <c r="G92" s="149"/>
      <c r="H92" s="149"/>
      <c r="I92" s="188">
        <f t="shared" si="32"/>
        <v>0</v>
      </c>
      <c r="J92" s="189"/>
      <c r="K92" s="149"/>
      <c r="L92" s="149"/>
      <c r="M92" s="149"/>
      <c r="N92" s="149"/>
      <c r="O92" s="149"/>
      <c r="P92" s="188">
        <f t="shared" si="33"/>
        <v>0</v>
      </c>
      <c r="Q92" s="132">
        <f t="shared" si="30"/>
        <v>0</v>
      </c>
      <c r="R92" s="133">
        <f t="shared" si="31"/>
        <v>0</v>
      </c>
      <c r="S92" s="121" t="str">
        <f t="shared" si="34"/>
        <v/>
      </c>
    </row>
    <row r="93">
      <c r="A93" s="142" t="str">
        <f>IFERROR(VLOOKUP(B93,'Статьи'!$A$2:C115,3,0)," ")</f>
        <v> </v>
      </c>
      <c r="B93" s="125"/>
      <c r="C93" s="171"/>
      <c r="D93" s="172"/>
      <c r="E93" s="149"/>
      <c r="F93" s="149"/>
      <c r="G93" s="149"/>
      <c r="H93" s="149"/>
      <c r="I93" s="188">
        <f t="shared" si="32"/>
        <v>0</v>
      </c>
      <c r="J93" s="170"/>
      <c r="K93" s="149"/>
      <c r="L93" s="149"/>
      <c r="M93" s="149"/>
      <c r="N93" s="149"/>
      <c r="O93" s="149"/>
      <c r="P93" s="188">
        <f t="shared" si="33"/>
        <v>0</v>
      </c>
      <c r="Q93" s="132">
        <f t="shared" si="30"/>
        <v>0</v>
      </c>
      <c r="R93" s="133">
        <f t="shared" si="31"/>
        <v>0</v>
      </c>
      <c r="S93" s="121" t="str">
        <f t="shared" si="34"/>
        <v/>
      </c>
    </row>
    <row r="94" collapsed="1">
      <c r="A94" s="190" t="str">
        <f>IFERROR(VLOOKUP(B94,'Статьи'!$A$2:C116,3,0)," ")</f>
        <v> </v>
      </c>
      <c r="B94" s="125"/>
      <c r="C94" s="170"/>
      <c r="D94" s="149"/>
      <c r="E94" s="149"/>
      <c r="F94" s="149"/>
      <c r="G94" s="149"/>
      <c r="H94" s="149"/>
      <c r="I94" s="188">
        <f t="shared" si="32"/>
        <v>0</v>
      </c>
      <c r="J94" s="170"/>
      <c r="K94" s="149"/>
      <c r="L94" s="149"/>
      <c r="M94" s="149"/>
      <c r="N94" s="149"/>
      <c r="O94" s="149"/>
      <c r="P94" s="188">
        <f t="shared" si="33"/>
        <v>0</v>
      </c>
      <c r="Q94" s="132">
        <f t="shared" si="30"/>
        <v>0</v>
      </c>
      <c r="R94" s="133">
        <f t="shared" si="31"/>
        <v>0</v>
      </c>
      <c r="S94" s="121" t="str">
        <f t="shared" si="34"/>
        <v/>
      </c>
    </row>
    <row r="95" hidden="1" outlineLevel="1">
      <c r="A95" s="190"/>
      <c r="B95" s="125"/>
      <c r="C95" s="170"/>
      <c r="D95" s="149"/>
      <c r="E95" s="149"/>
      <c r="F95" s="149"/>
      <c r="G95" s="149"/>
      <c r="H95" s="149"/>
      <c r="I95" s="188">
        <f t="shared" si="32"/>
        <v>0</v>
      </c>
      <c r="J95" s="170"/>
      <c r="K95" s="149"/>
      <c r="L95" s="149"/>
      <c r="M95" s="149"/>
      <c r="N95" s="149"/>
      <c r="O95" s="149"/>
      <c r="P95" s="188">
        <f t="shared" ref="P95:P100" si="35">sum(F95:J95)</f>
        <v>0</v>
      </c>
      <c r="Q95" s="132">
        <f t="shared" si="30"/>
        <v>0</v>
      </c>
      <c r="R95" s="133">
        <f t="shared" si="31"/>
        <v>0</v>
      </c>
      <c r="S95" s="121" t="str">
        <f t="shared" ref="S95:S100" si="36">IF(Q95=0,"",IF(Q95=0,0,IF(R95&gt;1,"перерасход","экономия")))</f>
        <v/>
      </c>
    </row>
    <row r="96" hidden="1" outlineLevel="1">
      <c r="A96" s="190"/>
      <c r="B96" s="125"/>
      <c r="C96" s="170"/>
      <c r="D96" s="149"/>
      <c r="E96" s="149"/>
      <c r="F96" s="149"/>
      <c r="G96" s="149"/>
      <c r="H96" s="149"/>
      <c r="I96" s="188">
        <f t="shared" si="32"/>
        <v>0</v>
      </c>
      <c r="J96" s="170"/>
      <c r="K96" s="149"/>
      <c r="L96" s="149"/>
      <c r="M96" s="149"/>
      <c r="N96" s="149"/>
      <c r="O96" s="149"/>
      <c r="P96" s="188">
        <f t="shared" si="35"/>
        <v>0</v>
      </c>
      <c r="Q96" s="132">
        <f t="shared" si="30"/>
        <v>0</v>
      </c>
      <c r="R96" s="133">
        <f t="shared" si="31"/>
        <v>0</v>
      </c>
      <c r="S96" s="121" t="str">
        <f t="shared" si="36"/>
        <v/>
      </c>
    </row>
    <row r="97" hidden="1" outlineLevel="1">
      <c r="A97" s="190"/>
      <c r="B97" s="125"/>
      <c r="C97" s="170"/>
      <c r="D97" s="149"/>
      <c r="E97" s="149"/>
      <c r="F97" s="149"/>
      <c r="G97" s="149"/>
      <c r="H97" s="149"/>
      <c r="I97" s="188">
        <f t="shared" si="32"/>
        <v>0</v>
      </c>
      <c r="J97" s="170"/>
      <c r="K97" s="149"/>
      <c r="L97" s="149"/>
      <c r="M97" s="149"/>
      <c r="N97" s="149"/>
      <c r="O97" s="149"/>
      <c r="P97" s="188">
        <f t="shared" si="35"/>
        <v>0</v>
      </c>
      <c r="Q97" s="132">
        <f t="shared" si="30"/>
        <v>0</v>
      </c>
      <c r="R97" s="133">
        <f t="shared" si="31"/>
        <v>0</v>
      </c>
      <c r="S97" s="121" t="str">
        <f t="shared" si="36"/>
        <v/>
      </c>
    </row>
    <row r="98" hidden="1" outlineLevel="1">
      <c r="A98" s="190"/>
      <c r="B98" s="125"/>
      <c r="C98" s="170"/>
      <c r="D98" s="149"/>
      <c r="E98" s="149"/>
      <c r="F98" s="149"/>
      <c r="G98" s="149"/>
      <c r="H98" s="149"/>
      <c r="I98" s="188">
        <f t="shared" si="32"/>
        <v>0</v>
      </c>
      <c r="J98" s="170"/>
      <c r="K98" s="149"/>
      <c r="L98" s="149"/>
      <c r="M98" s="149"/>
      <c r="N98" s="149"/>
      <c r="O98" s="149"/>
      <c r="P98" s="188">
        <f t="shared" si="35"/>
        <v>0</v>
      </c>
      <c r="Q98" s="132">
        <f t="shared" si="30"/>
        <v>0</v>
      </c>
      <c r="R98" s="133">
        <f t="shared" si="31"/>
        <v>0</v>
      </c>
      <c r="S98" s="121" t="str">
        <f t="shared" si="36"/>
        <v/>
      </c>
    </row>
    <row r="99" hidden="1" outlineLevel="1">
      <c r="A99" s="190"/>
      <c r="B99" s="125"/>
      <c r="C99" s="170"/>
      <c r="D99" s="149"/>
      <c r="E99" s="149"/>
      <c r="F99" s="149"/>
      <c r="G99" s="149"/>
      <c r="H99" s="149"/>
      <c r="I99" s="188">
        <f t="shared" si="32"/>
        <v>0</v>
      </c>
      <c r="J99" s="170"/>
      <c r="K99" s="149"/>
      <c r="L99" s="149"/>
      <c r="M99" s="149"/>
      <c r="N99" s="149"/>
      <c r="O99" s="149"/>
      <c r="P99" s="188">
        <f t="shared" si="35"/>
        <v>0</v>
      </c>
      <c r="Q99" s="132">
        <f t="shared" si="30"/>
        <v>0</v>
      </c>
      <c r="R99" s="133">
        <f t="shared" si="31"/>
        <v>0</v>
      </c>
      <c r="S99" s="121" t="str">
        <f t="shared" si="36"/>
        <v/>
      </c>
    </row>
    <row r="100" hidden="1" outlineLevel="1">
      <c r="A100" s="190"/>
      <c r="B100" s="125"/>
      <c r="C100" s="170"/>
      <c r="D100" s="149"/>
      <c r="E100" s="149"/>
      <c r="F100" s="149"/>
      <c r="G100" s="149"/>
      <c r="H100" s="149"/>
      <c r="I100" s="188">
        <f t="shared" si="32"/>
        <v>0</v>
      </c>
      <c r="J100" s="170"/>
      <c r="K100" s="149"/>
      <c r="L100" s="149"/>
      <c r="M100" s="149"/>
      <c r="N100" s="149"/>
      <c r="O100" s="149"/>
      <c r="P100" s="188">
        <f t="shared" si="35"/>
        <v>0</v>
      </c>
      <c r="Q100" s="132">
        <f t="shared" si="30"/>
        <v>0</v>
      </c>
      <c r="R100" s="133">
        <f t="shared" si="31"/>
        <v>0</v>
      </c>
      <c r="S100" s="121" t="str">
        <f t="shared" si="36"/>
        <v/>
      </c>
    </row>
    <row r="101">
      <c r="A101" s="135"/>
      <c r="B101" s="136" t="s">
        <v>90</v>
      </c>
      <c r="C101" s="137">
        <f t="shared" ref="C101:K101" si="37">SUM(C102:C131)</f>
        <v>0</v>
      </c>
      <c r="D101" s="138">
        <f t="shared" si="37"/>
        <v>0</v>
      </c>
      <c r="E101" s="138">
        <f t="shared" si="37"/>
        <v>0</v>
      </c>
      <c r="F101" s="138">
        <f t="shared" si="37"/>
        <v>0</v>
      </c>
      <c r="G101" s="138">
        <f t="shared" si="37"/>
        <v>0</v>
      </c>
      <c r="H101" s="138">
        <f t="shared" si="37"/>
        <v>0</v>
      </c>
      <c r="I101" s="139">
        <f t="shared" si="37"/>
        <v>0</v>
      </c>
      <c r="J101" s="137">
        <f t="shared" si="37"/>
        <v>0</v>
      </c>
      <c r="K101" s="138">
        <f t="shared" si="37"/>
        <v>0</v>
      </c>
      <c r="L101" s="138"/>
      <c r="M101" s="138"/>
      <c r="N101" s="138"/>
      <c r="O101" s="138"/>
      <c r="P101" s="140">
        <f>SUM(P102:P131)</f>
        <v>0</v>
      </c>
      <c r="Q101" s="138">
        <f t="shared" si="30"/>
        <v>0</v>
      </c>
      <c r="R101" s="187">
        <f t="shared" si="31"/>
        <v>0</v>
      </c>
      <c r="S101" s="141" t="str">
        <f>IF(Q101=0,"",IF(R101&gt;1,"план не выполнен","выполнение"))</f>
        <v/>
      </c>
    </row>
    <row r="102">
      <c r="A102" s="142" t="str">
        <f>IFERROR(VLOOKUP(B102,'Статьи'!$A$2:C124,3,0)," ")</f>
        <v>1С</v>
      </c>
      <c r="B102" s="125" t="str">
        <f>IFERROR(__xludf.DUMMYFUNCTION("iferror(filter('Статьи'!$A$1:$A177,'Статьи'!$B$1:$B177=$B$101))"),"Аренда, коммунальные услуги")</f>
        <v>Аренда, коммунальные услуги</v>
      </c>
      <c r="C102" s="171"/>
      <c r="D102" s="172"/>
      <c r="E102" s="149"/>
      <c r="F102" s="149"/>
      <c r="G102" s="149"/>
      <c r="H102" s="149"/>
      <c r="I102" s="188">
        <f t="shared" ref="I102:I141" si="38">sum(C102:H102)</f>
        <v>0</v>
      </c>
      <c r="J102" s="170"/>
      <c r="K102" s="149"/>
      <c r="L102" s="149"/>
      <c r="M102" s="149"/>
      <c r="N102" s="149"/>
      <c r="O102" s="149"/>
      <c r="P102" s="188">
        <f t="shared" ref="P102:P131" si="39">SUM(J102:K102)</f>
        <v>0</v>
      </c>
      <c r="Q102" s="132">
        <f t="shared" si="30"/>
        <v>0</v>
      </c>
      <c r="R102" s="133">
        <f t="shared" si="31"/>
        <v>0</v>
      </c>
      <c r="S102" s="121" t="str">
        <f t="shared" ref="S102:S131" si="40">IF(Q102=0,"",IF(R102=0,"обратить внимание",IF(R102&gt;1,"перерасход","экономия")))</f>
        <v/>
      </c>
    </row>
    <row r="103">
      <c r="A103" s="191" t="str">
        <f>IFERROR(VLOOKUP(B103,'Статьи'!$A$2:C125,3,0)," ")</f>
        <v>1С</v>
      </c>
      <c r="B103" s="192" t="str">
        <f>IFERROR(__xludf.DUMMYFUNCTION("""COMPUTED_VALUE"""),"Аутсорсинг и прочие услуги")</f>
        <v>Аутсорсинг и прочие услуги</v>
      </c>
      <c r="C103" s="171"/>
      <c r="D103" s="172"/>
      <c r="E103" s="149"/>
      <c r="F103" s="149"/>
      <c r="G103" s="149"/>
      <c r="H103" s="149"/>
      <c r="I103" s="188">
        <f t="shared" si="38"/>
        <v>0</v>
      </c>
      <c r="J103" s="170"/>
      <c r="K103" s="149"/>
      <c r="L103" s="149"/>
      <c r="M103" s="149"/>
      <c r="N103" s="149"/>
      <c r="O103" s="149"/>
      <c r="P103" s="188">
        <f t="shared" si="39"/>
        <v>0</v>
      </c>
      <c r="Q103" s="132">
        <f t="shared" si="30"/>
        <v>0</v>
      </c>
      <c r="R103" s="133">
        <f t="shared" si="31"/>
        <v>0</v>
      </c>
      <c r="S103" s="121" t="str">
        <f t="shared" si="40"/>
        <v/>
      </c>
    </row>
    <row r="104">
      <c r="A104" s="193" t="str">
        <f>IFERROR(VLOOKUP(B104,'Статьи'!$A$2:C126,3,0)," ")</f>
        <v>1С</v>
      </c>
      <c r="B104" s="194" t="str">
        <f>IFERROR(__xludf.DUMMYFUNCTION("""COMPUTED_VALUE"""),"Командировочные расходы")</f>
        <v>Командировочные расходы</v>
      </c>
      <c r="C104" s="171"/>
      <c r="D104" s="172"/>
      <c r="E104" s="149"/>
      <c r="F104" s="149"/>
      <c r="G104" s="149"/>
      <c r="H104" s="149"/>
      <c r="I104" s="188">
        <f t="shared" si="38"/>
        <v>0</v>
      </c>
      <c r="J104" s="170"/>
      <c r="K104" s="149"/>
      <c r="L104" s="149"/>
      <c r="M104" s="149"/>
      <c r="N104" s="149"/>
      <c r="O104" s="149"/>
      <c r="P104" s="188">
        <f t="shared" si="39"/>
        <v>0</v>
      </c>
      <c r="Q104" s="132">
        <f t="shared" si="30"/>
        <v>0</v>
      </c>
      <c r="R104" s="133">
        <f t="shared" si="31"/>
        <v>0</v>
      </c>
      <c r="S104" s="121" t="str">
        <f t="shared" si="40"/>
        <v/>
      </c>
    </row>
    <row r="105">
      <c r="A105" s="195" t="str">
        <f>IFERROR(VLOOKUP(B105,'Статьи'!$A$2:C127,3,0)," ")</f>
        <v>ДДС отчетного месяца. Без НДС!</v>
      </c>
      <c r="B105" s="196" t="str">
        <f>IFERROR(__xludf.DUMMYFUNCTION("""COMPUTED_VALUE"""),"Комиссии банка")</f>
        <v>Комиссии банка</v>
      </c>
      <c r="C105" s="171"/>
      <c r="D105" s="172"/>
      <c r="E105" s="149"/>
      <c r="F105" s="149"/>
      <c r="G105" s="149"/>
      <c r="H105" s="149"/>
      <c r="I105" s="188">
        <f t="shared" si="38"/>
        <v>0</v>
      </c>
      <c r="J105" s="170"/>
      <c r="K105" s="149"/>
      <c r="L105" s="149"/>
      <c r="M105" s="149"/>
      <c r="N105" s="149"/>
      <c r="O105" s="149"/>
      <c r="P105" s="188">
        <f t="shared" si="39"/>
        <v>0</v>
      </c>
      <c r="Q105" s="132">
        <f t="shared" si="30"/>
        <v>0</v>
      </c>
      <c r="R105" s="133">
        <f t="shared" si="31"/>
        <v>0</v>
      </c>
      <c r="S105" s="121" t="str">
        <f t="shared" si="40"/>
        <v/>
      </c>
    </row>
    <row r="106">
      <c r="A106" s="191" t="str">
        <f>IFERROR(VLOOKUP(B106,'Статьи'!$A$2:C128,3,0)," ")</f>
        <v>ДДС отчетного месяца. Без НДС!</v>
      </c>
      <c r="B106" s="192" t="str">
        <f>IFERROR(__xludf.DUMMYFUNCTION("""COMPUTED_VALUE"""),"Обучение сотрудников")</f>
        <v>Обучение сотрудников</v>
      </c>
      <c r="C106" s="171"/>
      <c r="D106" s="172"/>
      <c r="E106" s="149"/>
      <c r="F106" s="149"/>
      <c r="G106" s="149"/>
      <c r="H106" s="149"/>
      <c r="I106" s="188">
        <f t="shared" si="38"/>
        <v>0</v>
      </c>
      <c r="J106" s="170"/>
      <c r="K106" s="149"/>
      <c r="L106" s="149"/>
      <c r="M106" s="149"/>
      <c r="N106" s="149"/>
      <c r="O106" s="149"/>
      <c r="P106" s="188">
        <f t="shared" si="39"/>
        <v>0</v>
      </c>
      <c r="Q106" s="132">
        <f t="shared" si="30"/>
        <v>0</v>
      </c>
      <c r="R106" s="133">
        <f t="shared" si="31"/>
        <v>0</v>
      </c>
      <c r="S106" s="121" t="str">
        <f t="shared" si="40"/>
        <v/>
      </c>
    </row>
    <row r="107">
      <c r="A107" s="142" t="str">
        <f>IFERROR(VLOOKUP(B107,'Статьи'!$A$2:C129,3,0)," ")</f>
        <v>ДДС отчетного месяца. Без НДС!</v>
      </c>
      <c r="B107" s="125" t="str">
        <f>IFERROR(__xludf.DUMMYFUNCTION("""COMPUTED_VALUE"""),"Подбор персонала")</f>
        <v>Подбор персонала</v>
      </c>
      <c r="C107" s="171"/>
      <c r="D107" s="172"/>
      <c r="E107" s="149"/>
      <c r="F107" s="149"/>
      <c r="G107" s="149"/>
      <c r="H107" s="149"/>
      <c r="I107" s="188">
        <f t="shared" si="38"/>
        <v>0</v>
      </c>
      <c r="J107" s="189"/>
      <c r="K107" s="149"/>
      <c r="L107" s="149"/>
      <c r="M107" s="149"/>
      <c r="N107" s="149"/>
      <c r="O107" s="149"/>
      <c r="P107" s="188">
        <f t="shared" si="39"/>
        <v>0</v>
      </c>
      <c r="Q107" s="132">
        <f t="shared" si="30"/>
        <v>0</v>
      </c>
      <c r="R107" s="133">
        <f t="shared" si="31"/>
        <v>0</v>
      </c>
      <c r="S107" s="121" t="str">
        <f t="shared" si="40"/>
        <v/>
      </c>
    </row>
    <row r="108">
      <c r="A108" s="142" t="str">
        <f>IFERROR(VLOOKUP(B108,'Статьи'!$A$2:C130,3,0)," ")</f>
        <v>ДДС отчетного месяца. Без НДС!</v>
      </c>
      <c r="B108" s="125" t="str">
        <f>IFERROR(__xludf.DUMMYFUNCTION("""COMPUTED_VALUE"""),"Почтовые расходы")</f>
        <v>Почтовые расходы</v>
      </c>
      <c r="C108" s="171"/>
      <c r="D108" s="172"/>
      <c r="E108" s="149"/>
      <c r="F108" s="149"/>
      <c r="G108" s="149"/>
      <c r="H108" s="149"/>
      <c r="I108" s="188">
        <f t="shared" si="38"/>
        <v>0</v>
      </c>
      <c r="J108" s="170"/>
      <c r="K108" s="149"/>
      <c r="L108" s="149"/>
      <c r="M108" s="149"/>
      <c r="N108" s="149"/>
      <c r="O108" s="149"/>
      <c r="P108" s="188">
        <f t="shared" si="39"/>
        <v>0</v>
      </c>
      <c r="Q108" s="132">
        <f t="shared" si="30"/>
        <v>0</v>
      </c>
      <c r="R108" s="133">
        <f t="shared" si="31"/>
        <v>0</v>
      </c>
      <c r="S108" s="121" t="str">
        <f t="shared" si="40"/>
        <v/>
      </c>
    </row>
    <row r="109">
      <c r="A109" s="142" t="str">
        <f>IFERROR(VLOOKUP(B109,'Статьи'!$A$2:C131,3,0)," ")</f>
        <v>ДДС отчетного месяца. Без НДС!</v>
      </c>
      <c r="B109" s="125" t="str">
        <f>IFERROR(__xludf.DUMMYFUNCTION("""COMPUTED_VALUE"""),"Представительские расходы")</f>
        <v>Представительские расходы</v>
      </c>
      <c r="C109" s="171"/>
      <c r="D109" s="172"/>
      <c r="E109" s="149"/>
      <c r="F109" s="149"/>
      <c r="G109" s="149"/>
      <c r="H109" s="149"/>
      <c r="I109" s="188">
        <f t="shared" si="38"/>
        <v>0</v>
      </c>
      <c r="J109" s="170"/>
      <c r="K109" s="149"/>
      <c r="L109" s="149"/>
      <c r="M109" s="149"/>
      <c r="N109" s="149"/>
      <c r="O109" s="149"/>
      <c r="P109" s="188">
        <f t="shared" si="39"/>
        <v>0</v>
      </c>
      <c r="Q109" s="132">
        <f t="shared" si="30"/>
        <v>0</v>
      </c>
      <c r="R109" s="133">
        <f t="shared" si="31"/>
        <v>0</v>
      </c>
      <c r="S109" s="121" t="str">
        <f t="shared" si="40"/>
        <v/>
      </c>
    </row>
    <row r="110">
      <c r="A110" s="142" t="str">
        <f>IFERROR(VLOOKUP(B110,'Статьи'!$A$2:C132,3,0)," ")</f>
        <v>ДДС отчетного месяца. Без НДС!</v>
      </c>
      <c r="B110" s="125" t="str">
        <f>IFERROR(__xludf.DUMMYFUNCTION("""COMPUTED_VALUE"""),"Содержание офиса")</f>
        <v>Содержание офиса</v>
      </c>
      <c r="C110" s="171"/>
      <c r="D110" s="172"/>
      <c r="E110" s="149"/>
      <c r="F110" s="149"/>
      <c r="G110" s="149"/>
      <c r="H110" s="149"/>
      <c r="I110" s="188">
        <f t="shared" si="38"/>
        <v>0</v>
      </c>
      <c r="J110" s="189"/>
      <c r="K110" s="149"/>
      <c r="L110" s="149"/>
      <c r="M110" s="149"/>
      <c r="N110" s="149"/>
      <c r="O110" s="149"/>
      <c r="P110" s="188">
        <f t="shared" si="39"/>
        <v>0</v>
      </c>
      <c r="Q110" s="132">
        <f t="shared" si="30"/>
        <v>0</v>
      </c>
      <c r="R110" s="133">
        <f t="shared" si="31"/>
        <v>0</v>
      </c>
      <c r="S110" s="121" t="str">
        <f t="shared" si="40"/>
        <v/>
      </c>
    </row>
    <row r="111">
      <c r="A111" s="142" t="str">
        <f>IFERROR(VLOOKUP(B111,'Статьи'!$A$2:C133,3,0)," ")</f>
        <v>ДДС отчетного месяца. Без НДС!</v>
      </c>
      <c r="B111" s="125" t="str">
        <f>IFERROR(__xludf.DUMMYFUNCTION("""COMPUTED_VALUE"""),"Услуги связи + Интернет")</f>
        <v>Услуги связи + Интернет</v>
      </c>
      <c r="C111" s="171"/>
      <c r="D111" s="172"/>
      <c r="E111" s="149"/>
      <c r="F111" s="149"/>
      <c r="G111" s="149"/>
      <c r="H111" s="149"/>
      <c r="I111" s="188">
        <f t="shared" si="38"/>
        <v>0</v>
      </c>
      <c r="J111" s="189"/>
      <c r="K111" s="149"/>
      <c r="L111" s="149"/>
      <c r="M111" s="149"/>
      <c r="N111" s="149"/>
      <c r="O111" s="149"/>
      <c r="P111" s="188">
        <f t="shared" si="39"/>
        <v>0</v>
      </c>
      <c r="Q111" s="132">
        <f t="shared" si="30"/>
        <v>0</v>
      </c>
      <c r="R111" s="133">
        <f t="shared" si="31"/>
        <v>0</v>
      </c>
      <c r="S111" s="121" t="str">
        <f t="shared" si="40"/>
        <v/>
      </c>
    </row>
    <row r="112">
      <c r="A112" s="142" t="str">
        <f>IFERROR(VLOOKUP(B112,'Статьи'!$A$2:C134,3,0)," ")</f>
        <v>ДДС отчетного месяца. Без НДС!</v>
      </c>
      <c r="B112" s="125" t="str">
        <f>IFERROR(__xludf.DUMMYFUNCTION("""COMPUTED_VALUE"""),"Штрафы")</f>
        <v>Штрафы</v>
      </c>
      <c r="C112" s="171"/>
      <c r="D112" s="172"/>
      <c r="E112" s="149"/>
      <c r="F112" s="149"/>
      <c r="G112" s="149"/>
      <c r="H112" s="149"/>
      <c r="I112" s="188">
        <f t="shared" si="38"/>
        <v>0</v>
      </c>
      <c r="J112" s="189"/>
      <c r="K112" s="149"/>
      <c r="L112" s="149"/>
      <c r="M112" s="149"/>
      <c r="N112" s="149"/>
      <c r="O112" s="149"/>
      <c r="P112" s="188">
        <f t="shared" si="39"/>
        <v>0</v>
      </c>
      <c r="Q112" s="132">
        <f t="shared" si="30"/>
        <v>0</v>
      </c>
      <c r="R112" s="133">
        <f t="shared" si="31"/>
        <v>0</v>
      </c>
      <c r="S112" s="121" t="str">
        <f t="shared" si="40"/>
        <v/>
      </c>
    </row>
    <row r="113" collapsed="1">
      <c r="A113" s="142" t="str">
        <f>IFERROR(VLOOKUP(B113,'Статьи'!$A$2:C135,3,0)," ")</f>
        <v> </v>
      </c>
      <c r="B113" s="125"/>
      <c r="C113" s="197"/>
      <c r="D113" s="149"/>
      <c r="E113" s="149"/>
      <c r="F113" s="149"/>
      <c r="G113" s="149"/>
      <c r="H113" s="149"/>
      <c r="I113" s="188">
        <f t="shared" si="38"/>
        <v>0</v>
      </c>
      <c r="J113" s="189"/>
      <c r="K113" s="149"/>
      <c r="L113" s="149"/>
      <c r="M113" s="149"/>
      <c r="N113" s="149"/>
      <c r="O113" s="149"/>
      <c r="P113" s="188">
        <f t="shared" si="39"/>
        <v>0</v>
      </c>
      <c r="Q113" s="132">
        <f t="shared" si="30"/>
        <v>0</v>
      </c>
      <c r="R113" s="133">
        <f t="shared" si="31"/>
        <v>0</v>
      </c>
      <c r="S113" s="121" t="str">
        <f t="shared" si="40"/>
        <v/>
      </c>
    </row>
    <row r="114" hidden="1" outlineLevel="1">
      <c r="A114" s="142" t="str">
        <f>IFERROR(VLOOKUP(B114,'Статьи'!$A$2:C136,3,0)," ")</f>
        <v> </v>
      </c>
      <c r="B114" s="125"/>
      <c r="C114" s="197"/>
      <c r="D114" s="149"/>
      <c r="E114" s="149"/>
      <c r="F114" s="149"/>
      <c r="G114" s="149"/>
      <c r="H114" s="149"/>
      <c r="I114" s="188">
        <f t="shared" si="38"/>
        <v>0</v>
      </c>
      <c r="J114" s="170"/>
      <c r="K114" s="149"/>
      <c r="L114" s="149"/>
      <c r="M114" s="149"/>
      <c r="N114" s="149"/>
      <c r="O114" s="149"/>
      <c r="P114" s="188">
        <f t="shared" si="39"/>
        <v>0</v>
      </c>
      <c r="Q114" s="132">
        <f t="shared" si="30"/>
        <v>0</v>
      </c>
      <c r="R114" s="133">
        <f t="shared" si="31"/>
        <v>0</v>
      </c>
      <c r="S114" s="121" t="str">
        <f t="shared" si="40"/>
        <v/>
      </c>
    </row>
    <row r="115" hidden="1" outlineLevel="1">
      <c r="A115" s="142" t="str">
        <f>IFERROR(VLOOKUP(B115,'Статьи'!$A$2:C137,3,0)," ")</f>
        <v> </v>
      </c>
      <c r="B115" s="125"/>
      <c r="C115" s="197"/>
      <c r="D115" s="149"/>
      <c r="E115" s="198"/>
      <c r="F115" s="198"/>
      <c r="G115" s="198"/>
      <c r="H115" s="198"/>
      <c r="I115" s="188">
        <f t="shared" si="38"/>
        <v>0</v>
      </c>
      <c r="J115" s="189"/>
      <c r="K115" s="149"/>
      <c r="L115" s="149"/>
      <c r="M115" s="149"/>
      <c r="N115" s="149"/>
      <c r="O115" s="149"/>
      <c r="P115" s="188">
        <f t="shared" si="39"/>
        <v>0</v>
      </c>
      <c r="Q115" s="132">
        <f t="shared" si="30"/>
        <v>0</v>
      </c>
      <c r="R115" s="133">
        <f t="shared" si="31"/>
        <v>0</v>
      </c>
      <c r="S115" s="121" t="str">
        <f t="shared" si="40"/>
        <v/>
      </c>
    </row>
    <row r="116" hidden="1" outlineLevel="1">
      <c r="A116" s="142" t="str">
        <f>IFERROR(VLOOKUP(B116,'Статьи'!$A$2:C138,3,0)," ")</f>
        <v> </v>
      </c>
      <c r="B116" s="125"/>
      <c r="C116" s="197"/>
      <c r="D116" s="149"/>
      <c r="E116" s="149"/>
      <c r="F116" s="149"/>
      <c r="G116" s="149"/>
      <c r="H116" s="149"/>
      <c r="I116" s="188">
        <f t="shared" si="38"/>
        <v>0</v>
      </c>
      <c r="J116" s="189"/>
      <c r="K116" s="149"/>
      <c r="L116" s="149"/>
      <c r="M116" s="149"/>
      <c r="N116" s="149"/>
      <c r="O116" s="149"/>
      <c r="P116" s="188">
        <f t="shared" si="39"/>
        <v>0</v>
      </c>
      <c r="Q116" s="132">
        <f t="shared" si="30"/>
        <v>0</v>
      </c>
      <c r="R116" s="133">
        <f t="shared" si="31"/>
        <v>0</v>
      </c>
      <c r="S116" s="121" t="str">
        <f t="shared" si="40"/>
        <v/>
      </c>
    </row>
    <row r="117" hidden="1" outlineLevel="1">
      <c r="A117" s="142" t="str">
        <f>IFERROR(VLOOKUP(B117,'Статьи'!$A$2:C139,3,0)," ")</f>
        <v> </v>
      </c>
      <c r="B117" s="125"/>
      <c r="C117" s="197"/>
      <c r="D117" s="149"/>
      <c r="E117" s="149"/>
      <c r="F117" s="149"/>
      <c r="G117" s="149"/>
      <c r="H117" s="149"/>
      <c r="I117" s="188">
        <f t="shared" si="38"/>
        <v>0</v>
      </c>
      <c r="J117" s="189"/>
      <c r="K117" s="149"/>
      <c r="L117" s="149"/>
      <c r="M117" s="149"/>
      <c r="N117" s="149"/>
      <c r="O117" s="149"/>
      <c r="P117" s="188">
        <f t="shared" si="39"/>
        <v>0</v>
      </c>
      <c r="Q117" s="132">
        <f t="shared" si="30"/>
        <v>0</v>
      </c>
      <c r="R117" s="133">
        <f t="shared" si="31"/>
        <v>0</v>
      </c>
      <c r="S117" s="121" t="str">
        <f t="shared" si="40"/>
        <v/>
      </c>
    </row>
    <row r="118" hidden="1" outlineLevel="1">
      <c r="A118" s="142" t="str">
        <f>IFERROR(VLOOKUP(B118,'Статьи'!$A$2:C140,3,0)," ")</f>
        <v> </v>
      </c>
      <c r="B118" s="125"/>
      <c r="C118" s="197"/>
      <c r="D118" s="149"/>
      <c r="E118" s="149"/>
      <c r="F118" s="149"/>
      <c r="G118" s="149"/>
      <c r="H118" s="149"/>
      <c r="I118" s="188">
        <f t="shared" si="38"/>
        <v>0</v>
      </c>
      <c r="J118" s="170"/>
      <c r="K118" s="149"/>
      <c r="L118" s="149"/>
      <c r="M118" s="149"/>
      <c r="N118" s="149"/>
      <c r="O118" s="149"/>
      <c r="P118" s="188">
        <f t="shared" si="39"/>
        <v>0</v>
      </c>
      <c r="Q118" s="132">
        <f t="shared" si="30"/>
        <v>0</v>
      </c>
      <c r="R118" s="133">
        <f t="shared" si="31"/>
        <v>0</v>
      </c>
      <c r="S118" s="121" t="str">
        <f t="shared" si="40"/>
        <v/>
      </c>
    </row>
    <row r="119" hidden="1" outlineLevel="1">
      <c r="A119" s="142" t="str">
        <f>IFERROR(VLOOKUP(B119,'Статьи'!$A$2:C141,3,0)," ")</f>
        <v> </v>
      </c>
      <c r="B119" s="125"/>
      <c r="C119" s="197"/>
      <c r="D119" s="149"/>
      <c r="E119" s="149"/>
      <c r="F119" s="149"/>
      <c r="G119" s="149"/>
      <c r="H119" s="149"/>
      <c r="I119" s="188">
        <f t="shared" si="38"/>
        <v>0</v>
      </c>
      <c r="J119" s="189"/>
      <c r="K119" s="149"/>
      <c r="L119" s="149"/>
      <c r="M119" s="149"/>
      <c r="N119" s="149"/>
      <c r="O119" s="149"/>
      <c r="P119" s="188">
        <f t="shared" si="39"/>
        <v>0</v>
      </c>
      <c r="Q119" s="132">
        <f t="shared" si="30"/>
        <v>0</v>
      </c>
      <c r="R119" s="133">
        <f t="shared" si="31"/>
        <v>0</v>
      </c>
      <c r="S119" s="121" t="str">
        <f t="shared" si="40"/>
        <v/>
      </c>
    </row>
    <row r="120" hidden="1" outlineLevel="1">
      <c r="A120" s="142" t="str">
        <f>IFERROR(VLOOKUP(B120,'Статьи'!$A$2:C142,3,0)," ")</f>
        <v> </v>
      </c>
      <c r="B120" s="125"/>
      <c r="C120" s="197"/>
      <c r="D120" s="149"/>
      <c r="E120" s="149"/>
      <c r="F120" s="149"/>
      <c r="G120" s="149"/>
      <c r="H120" s="149"/>
      <c r="I120" s="188">
        <f t="shared" si="38"/>
        <v>0</v>
      </c>
      <c r="J120" s="189"/>
      <c r="K120" s="149"/>
      <c r="L120" s="149"/>
      <c r="M120" s="149"/>
      <c r="N120" s="149"/>
      <c r="O120" s="149"/>
      <c r="P120" s="188">
        <f t="shared" si="39"/>
        <v>0</v>
      </c>
      <c r="Q120" s="132">
        <f t="shared" si="30"/>
        <v>0</v>
      </c>
      <c r="R120" s="133">
        <f t="shared" si="31"/>
        <v>0</v>
      </c>
      <c r="S120" s="121" t="str">
        <f t="shared" si="40"/>
        <v/>
      </c>
    </row>
    <row r="121" hidden="1" outlineLevel="1">
      <c r="A121" s="142" t="str">
        <f>IFERROR(VLOOKUP(B121,'Статьи'!$A$2:C143,3,0)," ")</f>
        <v> </v>
      </c>
      <c r="B121" s="125"/>
      <c r="C121" s="197"/>
      <c r="D121" s="149"/>
      <c r="E121" s="149"/>
      <c r="F121" s="149"/>
      <c r="G121" s="149"/>
      <c r="H121" s="149"/>
      <c r="I121" s="188">
        <f t="shared" si="38"/>
        <v>0</v>
      </c>
      <c r="J121" s="170"/>
      <c r="K121" s="149"/>
      <c r="L121" s="149"/>
      <c r="M121" s="149"/>
      <c r="N121" s="149"/>
      <c r="O121" s="149"/>
      <c r="P121" s="188">
        <f t="shared" si="39"/>
        <v>0</v>
      </c>
      <c r="Q121" s="132">
        <f t="shared" si="30"/>
        <v>0</v>
      </c>
      <c r="R121" s="133">
        <f t="shared" si="31"/>
        <v>0</v>
      </c>
      <c r="S121" s="121" t="str">
        <f t="shared" si="40"/>
        <v/>
      </c>
    </row>
    <row r="122" hidden="1" outlineLevel="1">
      <c r="A122" s="142" t="str">
        <f>IFERROR(VLOOKUP(B122,'Статьи'!$A$2:C144,3,0)," ")</f>
        <v> </v>
      </c>
      <c r="B122" s="125"/>
      <c r="C122" s="197"/>
      <c r="D122" s="149"/>
      <c r="E122" s="149"/>
      <c r="F122" s="149"/>
      <c r="G122" s="149"/>
      <c r="H122" s="149"/>
      <c r="I122" s="188">
        <f t="shared" si="38"/>
        <v>0</v>
      </c>
      <c r="J122" s="189"/>
      <c r="K122" s="149"/>
      <c r="L122" s="149"/>
      <c r="M122" s="149"/>
      <c r="N122" s="149"/>
      <c r="O122" s="149"/>
      <c r="P122" s="188">
        <f t="shared" si="39"/>
        <v>0</v>
      </c>
      <c r="Q122" s="132">
        <f t="shared" si="30"/>
        <v>0</v>
      </c>
      <c r="R122" s="133">
        <f t="shared" si="31"/>
        <v>0</v>
      </c>
      <c r="S122" s="121" t="str">
        <f t="shared" si="40"/>
        <v/>
      </c>
    </row>
    <row r="123" hidden="1" outlineLevel="1">
      <c r="A123" s="142" t="str">
        <f>IFERROR(VLOOKUP(B123,'Статьи'!$A$2:C145,3,0)," ")</f>
        <v> </v>
      </c>
      <c r="B123" s="125"/>
      <c r="C123" s="197"/>
      <c r="D123" s="149"/>
      <c r="E123" s="149"/>
      <c r="F123" s="149"/>
      <c r="G123" s="149"/>
      <c r="H123" s="149"/>
      <c r="I123" s="188">
        <f t="shared" si="38"/>
        <v>0</v>
      </c>
      <c r="J123" s="170"/>
      <c r="K123" s="149"/>
      <c r="L123" s="149"/>
      <c r="M123" s="149"/>
      <c r="N123" s="149"/>
      <c r="O123" s="149"/>
      <c r="P123" s="188">
        <f t="shared" si="39"/>
        <v>0</v>
      </c>
      <c r="Q123" s="132">
        <f t="shared" si="30"/>
        <v>0</v>
      </c>
      <c r="R123" s="133">
        <f t="shared" si="31"/>
        <v>0</v>
      </c>
      <c r="S123" s="121" t="str">
        <f t="shared" si="40"/>
        <v/>
      </c>
    </row>
    <row r="124" hidden="1" outlineLevel="1">
      <c r="A124" s="142" t="str">
        <f>IFERROR(VLOOKUP(B124,'Статьи'!$A$2:C146,3,0)," ")</f>
        <v> </v>
      </c>
      <c r="B124" s="125"/>
      <c r="C124" s="170"/>
      <c r="D124" s="149"/>
      <c r="E124" s="149"/>
      <c r="F124" s="149"/>
      <c r="G124" s="149"/>
      <c r="H124" s="149"/>
      <c r="I124" s="188">
        <f t="shared" si="38"/>
        <v>0</v>
      </c>
      <c r="J124" s="170"/>
      <c r="K124" s="149"/>
      <c r="L124" s="149"/>
      <c r="M124" s="149"/>
      <c r="N124" s="149"/>
      <c r="O124" s="149"/>
      <c r="P124" s="188">
        <f t="shared" si="39"/>
        <v>0</v>
      </c>
      <c r="Q124" s="132">
        <f t="shared" si="30"/>
        <v>0</v>
      </c>
      <c r="R124" s="133">
        <f t="shared" si="31"/>
        <v>0</v>
      </c>
      <c r="S124" s="121" t="str">
        <f t="shared" si="40"/>
        <v/>
      </c>
    </row>
    <row r="125" hidden="1" outlineLevel="1">
      <c r="A125" s="142" t="str">
        <f>IFERROR(VLOOKUP(B125,'Статьи'!$A$2:C147,3,0)," ")</f>
        <v> </v>
      </c>
      <c r="B125" s="125"/>
      <c r="C125" s="170"/>
      <c r="D125" s="149"/>
      <c r="E125" s="149"/>
      <c r="F125" s="149"/>
      <c r="G125" s="149"/>
      <c r="H125" s="149"/>
      <c r="I125" s="188">
        <f t="shared" si="38"/>
        <v>0</v>
      </c>
      <c r="J125" s="170"/>
      <c r="K125" s="149"/>
      <c r="L125" s="149"/>
      <c r="M125" s="149"/>
      <c r="N125" s="149"/>
      <c r="O125" s="149"/>
      <c r="P125" s="188">
        <f t="shared" si="39"/>
        <v>0</v>
      </c>
      <c r="Q125" s="132">
        <f t="shared" si="30"/>
        <v>0</v>
      </c>
      <c r="R125" s="133">
        <f t="shared" si="31"/>
        <v>0</v>
      </c>
      <c r="S125" s="121" t="str">
        <f t="shared" si="40"/>
        <v/>
      </c>
    </row>
    <row r="126" hidden="1" outlineLevel="1">
      <c r="A126" s="142" t="str">
        <f>IFERROR(VLOOKUP(B126,'Статьи'!$A$2:C148,3,0)," ")</f>
        <v> </v>
      </c>
      <c r="B126" s="125"/>
      <c r="C126" s="170"/>
      <c r="D126" s="149"/>
      <c r="E126" s="149"/>
      <c r="F126" s="149"/>
      <c r="G126" s="149"/>
      <c r="H126" s="149"/>
      <c r="I126" s="188">
        <f t="shared" si="38"/>
        <v>0</v>
      </c>
      <c r="J126" s="170"/>
      <c r="K126" s="149"/>
      <c r="L126" s="149"/>
      <c r="M126" s="149"/>
      <c r="N126" s="149"/>
      <c r="O126" s="149"/>
      <c r="P126" s="188">
        <f t="shared" si="39"/>
        <v>0</v>
      </c>
      <c r="Q126" s="132">
        <f t="shared" si="30"/>
        <v>0</v>
      </c>
      <c r="R126" s="133">
        <f t="shared" si="31"/>
        <v>0</v>
      </c>
      <c r="S126" s="121" t="str">
        <f t="shared" si="40"/>
        <v/>
      </c>
    </row>
    <row r="127" hidden="1" outlineLevel="1">
      <c r="A127" s="142" t="str">
        <f>IFERROR(VLOOKUP(B127,'Статьи'!$A$2:C149,3,0)," ")</f>
        <v> </v>
      </c>
      <c r="B127" s="125"/>
      <c r="C127" s="170"/>
      <c r="D127" s="149"/>
      <c r="E127" s="149"/>
      <c r="F127" s="149"/>
      <c r="G127" s="149"/>
      <c r="H127" s="149"/>
      <c r="I127" s="188">
        <f t="shared" si="38"/>
        <v>0</v>
      </c>
      <c r="J127" s="170"/>
      <c r="K127" s="149"/>
      <c r="L127" s="149"/>
      <c r="M127" s="149"/>
      <c r="N127" s="149"/>
      <c r="O127" s="149"/>
      <c r="P127" s="188">
        <f t="shared" si="39"/>
        <v>0</v>
      </c>
      <c r="Q127" s="132">
        <f t="shared" si="30"/>
        <v>0</v>
      </c>
      <c r="R127" s="133">
        <f t="shared" si="31"/>
        <v>0</v>
      </c>
      <c r="S127" s="121" t="str">
        <f t="shared" si="40"/>
        <v/>
      </c>
    </row>
    <row r="128" hidden="1" outlineLevel="1">
      <c r="A128" s="142" t="str">
        <f>IFERROR(VLOOKUP(B128,'Статьи'!$A$2:C150,3,0)," ")</f>
        <v> </v>
      </c>
      <c r="B128" s="125"/>
      <c r="C128" s="170"/>
      <c r="D128" s="149"/>
      <c r="E128" s="149"/>
      <c r="F128" s="149"/>
      <c r="G128" s="149"/>
      <c r="H128" s="149"/>
      <c r="I128" s="188">
        <f t="shared" si="38"/>
        <v>0</v>
      </c>
      <c r="J128" s="170"/>
      <c r="K128" s="149"/>
      <c r="L128" s="149"/>
      <c r="M128" s="149"/>
      <c r="N128" s="149"/>
      <c r="O128" s="149"/>
      <c r="P128" s="188">
        <f t="shared" si="39"/>
        <v>0</v>
      </c>
      <c r="Q128" s="132">
        <f t="shared" si="30"/>
        <v>0</v>
      </c>
      <c r="R128" s="133">
        <f t="shared" si="31"/>
        <v>0</v>
      </c>
      <c r="S128" s="121" t="str">
        <f t="shared" si="40"/>
        <v/>
      </c>
    </row>
    <row r="129" hidden="1" outlineLevel="1">
      <c r="A129" s="142" t="str">
        <f>IFERROR(VLOOKUP(B129,'Статьи'!$A$2:C151,3,0)," ")</f>
        <v> </v>
      </c>
      <c r="B129" s="125"/>
      <c r="C129" s="170"/>
      <c r="D129" s="149"/>
      <c r="E129" s="149"/>
      <c r="F129" s="149"/>
      <c r="G129" s="149"/>
      <c r="H129" s="149"/>
      <c r="I129" s="188">
        <f t="shared" si="38"/>
        <v>0</v>
      </c>
      <c r="J129" s="170"/>
      <c r="K129" s="149"/>
      <c r="L129" s="149"/>
      <c r="M129" s="149"/>
      <c r="N129" s="149"/>
      <c r="O129" s="149"/>
      <c r="P129" s="188">
        <f t="shared" si="39"/>
        <v>0</v>
      </c>
      <c r="Q129" s="132">
        <f t="shared" si="30"/>
        <v>0</v>
      </c>
      <c r="R129" s="133">
        <f t="shared" si="31"/>
        <v>0</v>
      </c>
      <c r="S129" s="121" t="str">
        <f t="shared" si="40"/>
        <v/>
      </c>
    </row>
    <row r="130" hidden="1" outlineLevel="1">
      <c r="A130" s="142" t="str">
        <f>IFERROR(VLOOKUP(B130,'Статьи'!$A$2:C152,3,0)," ")</f>
        <v> </v>
      </c>
      <c r="B130" s="125"/>
      <c r="C130" s="170"/>
      <c r="D130" s="149"/>
      <c r="E130" s="149"/>
      <c r="F130" s="149"/>
      <c r="G130" s="149"/>
      <c r="H130" s="149"/>
      <c r="I130" s="188">
        <f t="shared" si="38"/>
        <v>0</v>
      </c>
      <c r="J130" s="170"/>
      <c r="K130" s="149"/>
      <c r="L130" s="149"/>
      <c r="M130" s="149"/>
      <c r="N130" s="149"/>
      <c r="O130" s="149"/>
      <c r="P130" s="188">
        <f t="shared" si="39"/>
        <v>0</v>
      </c>
      <c r="Q130" s="132">
        <f t="shared" si="30"/>
        <v>0</v>
      </c>
      <c r="R130" s="133">
        <f t="shared" si="31"/>
        <v>0</v>
      </c>
      <c r="S130" s="121" t="str">
        <f t="shared" si="40"/>
        <v/>
      </c>
    </row>
    <row r="131">
      <c r="A131" s="142" t="str">
        <f>IFERROR(VLOOKUP(B131,'Статьи'!$A$2:C153,3,0)," ")</f>
        <v> </v>
      </c>
      <c r="B131" s="125"/>
      <c r="C131" s="170"/>
      <c r="D131" s="149"/>
      <c r="E131" s="149"/>
      <c r="F131" s="149"/>
      <c r="G131" s="149"/>
      <c r="H131" s="149"/>
      <c r="I131" s="188">
        <f t="shared" si="38"/>
        <v>0</v>
      </c>
      <c r="J131" s="170"/>
      <c r="K131" s="149"/>
      <c r="L131" s="149"/>
      <c r="M131" s="149"/>
      <c r="N131" s="149"/>
      <c r="O131" s="149"/>
      <c r="P131" s="188">
        <f t="shared" si="39"/>
        <v>0</v>
      </c>
      <c r="Q131" s="132">
        <f t="shared" si="30"/>
        <v>0</v>
      </c>
      <c r="R131" s="133">
        <f t="shared" si="31"/>
        <v>0</v>
      </c>
      <c r="S131" s="121" t="str">
        <f t="shared" si="40"/>
        <v/>
      </c>
    </row>
    <row r="132">
      <c r="A132" s="135"/>
      <c r="B132" s="136" t="s">
        <v>107</v>
      </c>
      <c r="C132" s="137">
        <f t="shared" ref="C132:H132" si="41">SUM(C133:C141)</f>
        <v>0</v>
      </c>
      <c r="D132" s="138">
        <f t="shared" si="41"/>
        <v>0</v>
      </c>
      <c r="E132" s="138">
        <f t="shared" si="41"/>
        <v>0</v>
      </c>
      <c r="F132" s="138">
        <f t="shared" si="41"/>
        <v>0</v>
      </c>
      <c r="G132" s="138">
        <f t="shared" si="41"/>
        <v>0</v>
      </c>
      <c r="H132" s="138">
        <f t="shared" si="41"/>
        <v>0</v>
      </c>
      <c r="I132" s="139">
        <f t="shared" si="38"/>
        <v>0</v>
      </c>
      <c r="J132" s="137">
        <f t="shared" ref="J132:P132" si="42">SUM(J133:J141)</f>
        <v>0</v>
      </c>
      <c r="K132" s="138">
        <f t="shared" si="42"/>
        <v>0</v>
      </c>
      <c r="L132" s="138">
        <f t="shared" si="42"/>
        <v>0</v>
      </c>
      <c r="M132" s="138">
        <f t="shared" si="42"/>
        <v>0</v>
      </c>
      <c r="N132" s="138">
        <f t="shared" si="42"/>
        <v>0</v>
      </c>
      <c r="O132" s="138">
        <f t="shared" si="42"/>
        <v>0</v>
      </c>
      <c r="P132" s="140">
        <f t="shared" si="42"/>
        <v>0</v>
      </c>
      <c r="Q132" s="138">
        <f t="shared" si="30"/>
        <v>0</v>
      </c>
      <c r="R132" s="187">
        <f t="shared" si="31"/>
        <v>0</v>
      </c>
      <c r="S132" s="229" t="str">
        <f>IF(Q132=0,"",IF(R132&gt;1,"план не выполнен","выполнение"))</f>
        <v/>
      </c>
    </row>
    <row r="133" collapsed="1">
      <c r="A133" s="142" t="str">
        <f>IFERROR(VLOOKUP(B133,'Статьи'!$A$2:C155,3,0)," ")</f>
        <v>ДДС отчетного месяца. Без НДС!</v>
      </c>
      <c r="B133" s="125" t="str">
        <f>IFERROR(__xludf.DUMMYFUNCTION("iferror(filter('Статьи'!$A$1:$A177,'Статьи'!$B$1:$B177=$B$132))"),"Подписка на сайты по поиску клиентов")</f>
        <v>Подписка на сайты по поиску клиентов</v>
      </c>
      <c r="C133" s="170"/>
      <c r="D133" s="149"/>
      <c r="E133" s="149"/>
      <c r="F133" s="149"/>
      <c r="G133" s="149"/>
      <c r="H133" s="149"/>
      <c r="I133" s="188">
        <f t="shared" si="38"/>
        <v>0</v>
      </c>
      <c r="J133" s="170"/>
      <c r="K133" s="149"/>
      <c r="L133" s="149"/>
      <c r="M133" s="149"/>
      <c r="N133" s="149"/>
      <c r="O133" s="149"/>
      <c r="P133" s="188">
        <f t="shared" ref="P133:P140" si="43">SUM(J133:K133)</f>
        <v>0</v>
      </c>
      <c r="Q133" s="132">
        <f t="shared" si="30"/>
        <v>0</v>
      </c>
      <c r="R133" s="133">
        <f t="shared" si="31"/>
        <v>0</v>
      </c>
      <c r="S133" s="121" t="str">
        <f t="shared" ref="S133:S141" si="44">IF(Q133=0,"",IF(R133=0,"обратить внимание",IF(R133&gt;1,"перерасход","экономия")))</f>
        <v/>
      </c>
    </row>
    <row r="134" hidden="1" outlineLevel="1">
      <c r="A134" s="142" t="str">
        <f>IFERROR(VLOOKUP(B134,'Статьи'!$A$2:C156,3,0)," ")</f>
        <v> </v>
      </c>
      <c r="B134" s="125"/>
      <c r="C134" s="170"/>
      <c r="D134" s="149"/>
      <c r="E134" s="149"/>
      <c r="F134" s="149"/>
      <c r="G134" s="149"/>
      <c r="H134" s="149"/>
      <c r="I134" s="188">
        <f t="shared" si="38"/>
        <v>0</v>
      </c>
      <c r="J134" s="170"/>
      <c r="K134" s="149"/>
      <c r="L134" s="149"/>
      <c r="M134" s="149"/>
      <c r="N134" s="149"/>
      <c r="O134" s="149"/>
      <c r="P134" s="188">
        <f t="shared" si="43"/>
        <v>0</v>
      </c>
      <c r="Q134" s="132">
        <f t="shared" si="30"/>
        <v>0</v>
      </c>
      <c r="R134" s="133">
        <f t="shared" si="31"/>
        <v>0</v>
      </c>
      <c r="S134" s="121" t="str">
        <f t="shared" si="44"/>
        <v/>
      </c>
    </row>
    <row r="135" hidden="1" outlineLevel="1">
      <c r="A135" s="175" t="str">
        <f>IFERROR(VLOOKUP(B135,'Статьи'!$A$2:C157,3,0)," ")</f>
        <v> </v>
      </c>
      <c r="B135" s="175"/>
      <c r="C135" s="170"/>
      <c r="D135" s="149"/>
      <c r="E135" s="149"/>
      <c r="F135" s="149"/>
      <c r="G135" s="149"/>
      <c r="H135" s="149"/>
      <c r="I135" s="188">
        <f t="shared" si="38"/>
        <v>0</v>
      </c>
      <c r="J135" s="170"/>
      <c r="K135" s="149"/>
      <c r="L135" s="149"/>
      <c r="M135" s="149"/>
      <c r="N135" s="149"/>
      <c r="O135" s="149"/>
      <c r="P135" s="188">
        <f t="shared" si="43"/>
        <v>0</v>
      </c>
      <c r="Q135" s="132">
        <f t="shared" si="30"/>
        <v>0</v>
      </c>
      <c r="R135" s="133">
        <f t="shared" si="31"/>
        <v>0</v>
      </c>
      <c r="S135" s="121" t="str">
        <f t="shared" si="44"/>
        <v/>
      </c>
    </row>
    <row r="136" hidden="1" outlineLevel="1">
      <c r="A136" s="175" t="str">
        <f>IFERROR(VLOOKUP(B136,'Статьи'!$A$2:C158,3,0)," ")</f>
        <v> </v>
      </c>
      <c r="B136" s="175"/>
      <c r="C136" s="170"/>
      <c r="D136" s="149"/>
      <c r="E136" s="149"/>
      <c r="F136" s="149"/>
      <c r="G136" s="149"/>
      <c r="H136" s="149"/>
      <c r="I136" s="188">
        <f t="shared" si="38"/>
        <v>0</v>
      </c>
      <c r="J136" s="170"/>
      <c r="K136" s="149"/>
      <c r="L136" s="149"/>
      <c r="M136" s="149"/>
      <c r="N136" s="149"/>
      <c r="O136" s="149"/>
      <c r="P136" s="188">
        <f t="shared" si="43"/>
        <v>0</v>
      </c>
      <c r="Q136" s="132">
        <f t="shared" si="30"/>
        <v>0</v>
      </c>
      <c r="R136" s="133">
        <f t="shared" si="31"/>
        <v>0</v>
      </c>
      <c r="S136" s="121" t="str">
        <f t="shared" si="44"/>
        <v/>
      </c>
    </row>
    <row r="137" hidden="1" outlineLevel="1">
      <c r="A137" s="175" t="str">
        <f>IFERROR(VLOOKUP(B137,'Статьи'!$A$2:C159,3,0)," ")</f>
        <v> </v>
      </c>
      <c r="B137" s="175"/>
      <c r="C137" s="170"/>
      <c r="D137" s="149"/>
      <c r="E137" s="149"/>
      <c r="F137" s="149"/>
      <c r="G137" s="149"/>
      <c r="H137" s="149"/>
      <c r="I137" s="188">
        <f t="shared" si="38"/>
        <v>0</v>
      </c>
      <c r="J137" s="170"/>
      <c r="K137" s="149"/>
      <c r="L137" s="149"/>
      <c r="M137" s="149"/>
      <c r="N137" s="149"/>
      <c r="O137" s="149"/>
      <c r="P137" s="188">
        <f t="shared" si="43"/>
        <v>0</v>
      </c>
      <c r="Q137" s="132">
        <f t="shared" si="30"/>
        <v>0</v>
      </c>
      <c r="R137" s="133">
        <f t="shared" si="31"/>
        <v>0</v>
      </c>
      <c r="S137" s="121" t="str">
        <f t="shared" si="44"/>
        <v/>
      </c>
    </row>
    <row r="138" hidden="1" outlineLevel="1">
      <c r="A138" s="175" t="str">
        <f>IFERROR(VLOOKUP(B138,'Статьи'!$A$2:C160,3,0)," ")</f>
        <v> </v>
      </c>
      <c r="B138" s="175"/>
      <c r="C138" s="170"/>
      <c r="D138" s="149"/>
      <c r="E138" s="149"/>
      <c r="F138" s="149"/>
      <c r="G138" s="149"/>
      <c r="H138" s="149"/>
      <c r="I138" s="188">
        <f t="shared" si="38"/>
        <v>0</v>
      </c>
      <c r="J138" s="170"/>
      <c r="K138" s="149"/>
      <c r="L138" s="149"/>
      <c r="M138" s="149"/>
      <c r="N138" s="149"/>
      <c r="O138" s="149"/>
      <c r="P138" s="188">
        <f t="shared" si="43"/>
        <v>0</v>
      </c>
      <c r="Q138" s="132">
        <f t="shared" si="30"/>
        <v>0</v>
      </c>
      <c r="R138" s="133">
        <f t="shared" si="31"/>
        <v>0</v>
      </c>
      <c r="S138" s="121" t="str">
        <f t="shared" si="44"/>
        <v/>
      </c>
    </row>
    <row r="139" hidden="1" outlineLevel="1">
      <c r="A139" s="175" t="str">
        <f>IFERROR(VLOOKUP(B139,'Статьи'!$A$2:C161,3,0)," ")</f>
        <v> </v>
      </c>
      <c r="B139" s="175"/>
      <c r="C139" s="170"/>
      <c r="D139" s="149"/>
      <c r="E139" s="149"/>
      <c r="F139" s="149"/>
      <c r="G139" s="149"/>
      <c r="H139" s="149"/>
      <c r="I139" s="188">
        <f t="shared" si="38"/>
        <v>0</v>
      </c>
      <c r="J139" s="170"/>
      <c r="K139" s="149"/>
      <c r="L139" s="149"/>
      <c r="M139" s="149"/>
      <c r="N139" s="149"/>
      <c r="O139" s="149"/>
      <c r="P139" s="188">
        <f t="shared" si="43"/>
        <v>0</v>
      </c>
      <c r="Q139" s="132">
        <f t="shared" si="30"/>
        <v>0</v>
      </c>
      <c r="R139" s="133">
        <f t="shared" si="31"/>
        <v>0</v>
      </c>
      <c r="S139" s="121" t="str">
        <f t="shared" si="44"/>
        <v/>
      </c>
    </row>
    <row r="140" hidden="1" outlineLevel="1">
      <c r="A140" s="175" t="str">
        <f>IFERROR(VLOOKUP(B140,'Статьи'!$A$2:C162,3,0)," ")</f>
        <v> </v>
      </c>
      <c r="B140" s="175"/>
      <c r="C140" s="170"/>
      <c r="D140" s="149"/>
      <c r="E140" s="149"/>
      <c r="F140" s="149"/>
      <c r="G140" s="149"/>
      <c r="H140" s="149"/>
      <c r="I140" s="188">
        <f t="shared" si="38"/>
        <v>0</v>
      </c>
      <c r="J140" s="170"/>
      <c r="K140" s="149"/>
      <c r="L140" s="149"/>
      <c r="M140" s="149"/>
      <c r="N140" s="149"/>
      <c r="O140" s="149"/>
      <c r="P140" s="188">
        <f t="shared" si="43"/>
        <v>0</v>
      </c>
      <c r="Q140" s="132">
        <f t="shared" si="30"/>
        <v>0</v>
      </c>
      <c r="R140" s="133">
        <f t="shared" si="31"/>
        <v>0</v>
      </c>
      <c r="S140" s="121" t="str">
        <f t="shared" si="44"/>
        <v/>
      </c>
    </row>
    <row r="141">
      <c r="A141" s="175" t="str">
        <f>IFERROR(VLOOKUP(B141,'Статьи'!$A$2:C163,3,0)," ")</f>
        <v> </v>
      </c>
      <c r="B141" s="175"/>
      <c r="C141" s="170"/>
      <c r="D141" s="149"/>
      <c r="E141" s="149"/>
      <c r="F141" s="149"/>
      <c r="G141" s="149"/>
      <c r="H141" s="149"/>
      <c r="I141" s="188">
        <f t="shared" si="38"/>
        <v>0</v>
      </c>
      <c r="J141" s="170"/>
      <c r="K141" s="149"/>
      <c r="L141" s="149"/>
      <c r="M141" s="149"/>
      <c r="N141" s="149"/>
      <c r="O141" s="149"/>
      <c r="P141" s="188">
        <f>sum(F141:J141)</f>
        <v>0</v>
      </c>
      <c r="Q141" s="132">
        <f t="shared" si="30"/>
        <v>0</v>
      </c>
      <c r="R141" s="133">
        <f t="shared" si="31"/>
        <v>0</v>
      </c>
      <c r="S141" s="121" t="str">
        <f t="shared" si="44"/>
        <v/>
      </c>
    </row>
    <row r="142">
      <c r="A142" s="152"/>
      <c r="B142" s="153" t="s">
        <v>142</v>
      </c>
      <c r="C142" s="154">
        <f t="shared" ref="C142:K142" si="45">C85+C88</f>
        <v>12</v>
      </c>
      <c r="D142" s="155">
        <f t="shared" si="45"/>
        <v>0</v>
      </c>
      <c r="E142" s="155">
        <f t="shared" si="45"/>
        <v>0</v>
      </c>
      <c r="F142" s="155">
        <f t="shared" si="45"/>
        <v>0</v>
      </c>
      <c r="G142" s="155">
        <f t="shared" si="45"/>
        <v>0</v>
      </c>
      <c r="H142" s="155">
        <f t="shared" si="45"/>
        <v>0</v>
      </c>
      <c r="I142" s="157">
        <f t="shared" si="45"/>
        <v>12</v>
      </c>
      <c r="J142" s="154">
        <f t="shared" si="45"/>
        <v>0</v>
      </c>
      <c r="K142" s="155">
        <f t="shared" si="45"/>
        <v>0</v>
      </c>
      <c r="L142" s="155"/>
      <c r="M142" s="155"/>
      <c r="N142" s="155"/>
      <c r="O142" s="155"/>
      <c r="P142" s="157">
        <f>P85+P88</f>
        <v>0</v>
      </c>
      <c r="Q142" s="155">
        <f t="shared" si="30"/>
        <v>12</v>
      </c>
      <c r="R142" s="158">
        <f t="shared" si="31"/>
        <v>0</v>
      </c>
      <c r="S142" s="159" t="str">
        <f>IF(Q142=0,"",IF(R142&gt;1,"выполнение","план не выполнен"))</f>
        <v>план не выполнен</v>
      </c>
    </row>
    <row r="143">
      <c r="A143" s="160"/>
      <c r="B143" s="161" t="s">
        <v>143</v>
      </c>
      <c r="C143" s="162">
        <f t="shared" ref="C143:K143" si="46">IFERROR(C142/C$3,"")</f>
        <v>1</v>
      </c>
      <c r="D143" s="163" t="str">
        <f t="shared" si="46"/>
        <v/>
      </c>
      <c r="E143" s="163" t="str">
        <f t="shared" si="46"/>
        <v/>
      </c>
      <c r="F143" s="163" t="str">
        <f t="shared" si="46"/>
        <v/>
      </c>
      <c r="G143" s="163" t="str">
        <f t="shared" si="46"/>
        <v/>
      </c>
      <c r="H143" s="163" t="str">
        <f t="shared" si="46"/>
        <v/>
      </c>
      <c r="I143" s="164">
        <f t="shared" si="46"/>
        <v>1</v>
      </c>
      <c r="J143" s="162" t="str">
        <f t="shared" si="46"/>
        <v/>
      </c>
      <c r="K143" s="163" t="str">
        <f t="shared" si="46"/>
        <v/>
      </c>
      <c r="L143" s="163"/>
      <c r="M143" s="163"/>
      <c r="N143" s="163"/>
      <c r="O143" s="163"/>
      <c r="P143" s="164" t="str">
        <f>IFERROR(P142/P$3,"")</f>
        <v/>
      </c>
      <c r="Q143" s="133"/>
      <c r="R143" s="133"/>
      <c r="S143" s="121" t="str">
        <f t="shared" ref="S143:S144" si="47">IF(Q143=0,"",IF(Q143=0,0,IF(R143&gt;1,"перерасход","экономия")))</f>
        <v/>
      </c>
    </row>
    <row r="144">
      <c r="A144" s="142"/>
      <c r="B144" s="125"/>
      <c r="C144" s="199"/>
      <c r="D144" s="200"/>
      <c r="E144" s="200"/>
      <c r="F144" s="200"/>
      <c r="G144" s="200"/>
      <c r="H144" s="200"/>
      <c r="I144" s="116"/>
      <c r="J144" s="123"/>
      <c r="K144" s="118"/>
      <c r="L144" s="118"/>
      <c r="M144" s="118"/>
      <c r="N144" s="118"/>
      <c r="O144" s="118"/>
      <c r="P144" s="116"/>
      <c r="Q144" s="132"/>
      <c r="R144" s="133"/>
      <c r="S144" s="121" t="str">
        <f t="shared" si="47"/>
        <v/>
      </c>
    </row>
    <row r="145">
      <c r="A145" s="201"/>
      <c r="B145" s="202" t="s">
        <v>111</v>
      </c>
      <c r="C145" s="203">
        <f t="shared" ref="C145:H145" si="48">SUM(C146:C154)</f>
        <v>0</v>
      </c>
      <c r="D145" s="204">
        <f t="shared" si="48"/>
        <v>0</v>
      </c>
      <c r="E145" s="204">
        <f t="shared" si="48"/>
        <v>0</v>
      </c>
      <c r="F145" s="204">
        <f t="shared" si="48"/>
        <v>0</v>
      </c>
      <c r="G145" s="204">
        <f t="shared" si="48"/>
        <v>0</v>
      </c>
      <c r="H145" s="204">
        <f t="shared" si="48"/>
        <v>0</v>
      </c>
      <c r="I145" s="205">
        <f>SUM(C145:H145)</f>
        <v>0</v>
      </c>
      <c r="J145" s="206">
        <f t="shared" ref="J145:P145" si="49">SUM(J146:J154)</f>
        <v>0</v>
      </c>
      <c r="K145" s="207">
        <f t="shared" si="49"/>
        <v>0</v>
      </c>
      <c r="L145" s="207">
        <f t="shared" si="49"/>
        <v>0</v>
      </c>
      <c r="M145" s="207">
        <f t="shared" si="49"/>
        <v>0</v>
      </c>
      <c r="N145" s="207">
        <f t="shared" si="49"/>
        <v>0</v>
      </c>
      <c r="O145" s="207">
        <f t="shared" si="49"/>
        <v>0</v>
      </c>
      <c r="P145" s="208">
        <f t="shared" si="49"/>
        <v>0</v>
      </c>
      <c r="Q145" s="204">
        <f t="shared" ref="Q145:Q173" si="50">I145-P145</f>
        <v>0</v>
      </c>
      <c r="R145" s="209">
        <f t="shared" ref="R145:R173" si="51">IFERROR(I145/P145,0)</f>
        <v>0</v>
      </c>
      <c r="S145" s="210" t="str">
        <f>IF(Q145=0,"",IF(R145&gt;1,"выполнение","план не выполнен"))</f>
        <v/>
      </c>
    </row>
    <row r="146">
      <c r="A146" s="142" t="str">
        <f>IFERROR(VLOOKUP(B146,'Статьи'!$A$2:C168,3,0)," ")</f>
        <v>ДДС отчетного месяца. Без НДС!</v>
      </c>
      <c r="B146" s="125" t="str">
        <f>IFERROR(__xludf.DUMMYFUNCTION("iferror(filter('Статьи'!$A$1:$A177,'Статьи'!$B$1:$B177=B145))"),"Поступления прочие")</f>
        <v>Поступления прочие</v>
      </c>
      <c r="C146" s="170"/>
      <c r="D146" s="149"/>
      <c r="E146" s="149"/>
      <c r="F146" s="149"/>
      <c r="G146" s="149"/>
      <c r="H146" s="149"/>
      <c r="I146" s="211">
        <f t="shared" ref="I146:I172" si="52">sum(C146:H146)</f>
        <v>0</v>
      </c>
      <c r="J146" s="122"/>
      <c r="K146" s="114"/>
      <c r="L146" s="114"/>
      <c r="M146" s="114"/>
      <c r="N146" s="114"/>
      <c r="O146" s="114"/>
      <c r="P146" s="211">
        <f t="shared" ref="P146:P153" si="53">SUM(J146:K146)</f>
        <v>0</v>
      </c>
      <c r="Q146" s="132">
        <f t="shared" si="50"/>
        <v>0</v>
      </c>
      <c r="R146" s="133">
        <f t="shared" si="51"/>
        <v>0</v>
      </c>
      <c r="S146" s="121" t="str">
        <f t="shared" ref="S146:S154" si="54">IF(Q146=0,"",IF(R146=0,"обратить внимание",IF(R146&gt;1,"выполнение","план не выполнен")))</f>
        <v/>
      </c>
    </row>
    <row r="147">
      <c r="A147" s="142" t="str">
        <f>IFERROR(VLOOKUP(B147,'Статьи'!$A$2:C169,3,0)," ")</f>
        <v>ДДС отчетного месяца. Без НДС!</v>
      </c>
      <c r="B147" s="125" t="str">
        <f>IFERROR(__xludf.DUMMYFUNCTION("""COMPUTED_VALUE"""),"Поступления страховые выплаты")</f>
        <v>Поступления страховые выплаты</v>
      </c>
      <c r="C147" s="170"/>
      <c r="D147" s="149"/>
      <c r="E147" s="149"/>
      <c r="F147" s="149"/>
      <c r="G147" s="149"/>
      <c r="H147" s="149"/>
      <c r="I147" s="211">
        <f t="shared" si="52"/>
        <v>0</v>
      </c>
      <c r="J147" s="122"/>
      <c r="K147" s="114"/>
      <c r="L147" s="114"/>
      <c r="M147" s="114"/>
      <c r="N147" s="114"/>
      <c r="O147" s="114"/>
      <c r="P147" s="211">
        <f t="shared" si="53"/>
        <v>0</v>
      </c>
      <c r="Q147" s="132">
        <f t="shared" si="50"/>
        <v>0</v>
      </c>
      <c r="R147" s="133">
        <f t="shared" si="51"/>
        <v>0</v>
      </c>
      <c r="S147" s="121" t="str">
        <f t="shared" si="54"/>
        <v/>
      </c>
    </row>
    <row r="148">
      <c r="A148" s="142" t="str">
        <f>IFERROR(VLOOKUP(B148,'Статьи'!$A$2:C170,3,0)," ")</f>
        <v>отчет Учета ОС Вкладка Свод строка 37</v>
      </c>
      <c r="B148" s="125" t="str">
        <f>IFERROR(__xludf.DUMMYFUNCTION("""COMPUTED_VALUE"""),"Продажа ОС")</f>
        <v>Продажа ОС</v>
      </c>
      <c r="C148" s="170"/>
      <c r="D148" s="149"/>
      <c r="E148" s="149"/>
      <c r="F148" s="149"/>
      <c r="G148" s="149"/>
      <c r="H148" s="149"/>
      <c r="I148" s="211">
        <f t="shared" si="52"/>
        <v>0</v>
      </c>
      <c r="J148" s="122"/>
      <c r="K148" s="114"/>
      <c r="L148" s="114"/>
      <c r="M148" s="114"/>
      <c r="N148" s="114"/>
      <c r="O148" s="114"/>
      <c r="P148" s="211">
        <f t="shared" si="53"/>
        <v>0</v>
      </c>
      <c r="Q148" s="132">
        <f t="shared" si="50"/>
        <v>0</v>
      </c>
      <c r="R148" s="133">
        <f t="shared" si="51"/>
        <v>0</v>
      </c>
      <c r="S148" s="121" t="str">
        <f t="shared" si="54"/>
        <v/>
      </c>
    </row>
    <row r="149">
      <c r="A149" s="142" t="str">
        <f>IFERROR(VLOOKUP(B149,'Статьи'!$A$2:C171,3,0)," ")</f>
        <v>ДДС отчетного месяца. Без НДС!</v>
      </c>
      <c r="B149" s="125" t="str">
        <f>IFERROR(__xludf.DUMMYFUNCTION("""COMPUTED_VALUE"""),"Прочие поступления от фин. операций")</f>
        <v>Прочие поступления от фин. операций</v>
      </c>
      <c r="C149" s="170"/>
      <c r="D149" s="149"/>
      <c r="E149" s="149"/>
      <c r="F149" s="149"/>
      <c r="G149" s="149"/>
      <c r="H149" s="149"/>
      <c r="I149" s="211">
        <f t="shared" si="52"/>
        <v>0</v>
      </c>
      <c r="J149" s="122"/>
      <c r="K149" s="114"/>
      <c r="L149" s="114"/>
      <c r="M149" s="114"/>
      <c r="N149" s="114"/>
      <c r="O149" s="114"/>
      <c r="P149" s="211">
        <f t="shared" si="53"/>
        <v>0</v>
      </c>
      <c r="Q149" s="132">
        <f t="shared" si="50"/>
        <v>0</v>
      </c>
      <c r="R149" s="133">
        <f t="shared" si="51"/>
        <v>0</v>
      </c>
      <c r="S149" s="121" t="str">
        <f t="shared" si="54"/>
        <v/>
      </c>
    </row>
    <row r="150">
      <c r="A150" s="142" t="str">
        <f>IFERROR(VLOOKUP(B150,'Статьи'!$A$2:C172,3,0)," ")</f>
        <v> </v>
      </c>
      <c r="B150" s="125"/>
      <c r="C150" s="170"/>
      <c r="D150" s="149"/>
      <c r="E150" s="149"/>
      <c r="F150" s="149"/>
      <c r="G150" s="149"/>
      <c r="H150" s="149"/>
      <c r="I150" s="211">
        <f t="shared" si="52"/>
        <v>0</v>
      </c>
      <c r="J150" s="122" t="str">
        <f>C150</f>
        <v/>
      </c>
      <c r="K150" s="114"/>
      <c r="L150" s="114"/>
      <c r="M150" s="114"/>
      <c r="N150" s="114"/>
      <c r="O150" s="114"/>
      <c r="P150" s="211">
        <f t="shared" si="53"/>
        <v>0</v>
      </c>
      <c r="Q150" s="132">
        <f t="shared" si="50"/>
        <v>0</v>
      </c>
      <c r="R150" s="133">
        <f t="shared" si="51"/>
        <v>0</v>
      </c>
      <c r="S150" s="121" t="str">
        <f t="shared" si="54"/>
        <v/>
      </c>
    </row>
    <row r="151" collapsed="1">
      <c r="A151" s="142" t="str">
        <f>IFERROR(VLOOKUP(B151,'Статьи'!$A$2:C173,3,0)," ")</f>
        <v> </v>
      </c>
      <c r="B151" s="125"/>
      <c r="C151" s="170"/>
      <c r="D151" s="149"/>
      <c r="E151" s="149"/>
      <c r="F151" s="149"/>
      <c r="G151" s="149"/>
      <c r="H151" s="149"/>
      <c r="I151" s="211">
        <f t="shared" si="52"/>
        <v>0</v>
      </c>
      <c r="J151" s="122"/>
      <c r="K151" s="114"/>
      <c r="L151" s="114"/>
      <c r="M151" s="114"/>
      <c r="N151" s="114"/>
      <c r="O151" s="114"/>
      <c r="P151" s="211">
        <f t="shared" si="53"/>
        <v>0</v>
      </c>
      <c r="Q151" s="132">
        <f t="shared" si="50"/>
        <v>0</v>
      </c>
      <c r="R151" s="133">
        <f t="shared" si="51"/>
        <v>0</v>
      </c>
      <c r="S151" s="121" t="str">
        <f t="shared" si="54"/>
        <v/>
      </c>
    </row>
    <row r="152" hidden="1" outlineLevel="1">
      <c r="A152" s="142" t="str">
        <f>IFERROR(VLOOKUP(B152,'Статьи'!$A$2:C174,3,0)," ")</f>
        <v> </v>
      </c>
      <c r="B152" s="125"/>
      <c r="C152" s="170"/>
      <c r="D152" s="149"/>
      <c r="E152" s="149"/>
      <c r="F152" s="149"/>
      <c r="G152" s="149"/>
      <c r="H152" s="149"/>
      <c r="I152" s="211">
        <f t="shared" si="52"/>
        <v>0</v>
      </c>
      <c r="J152" s="122"/>
      <c r="K152" s="114"/>
      <c r="L152" s="114"/>
      <c r="M152" s="114"/>
      <c r="N152" s="114"/>
      <c r="O152" s="114"/>
      <c r="P152" s="211">
        <f t="shared" si="53"/>
        <v>0</v>
      </c>
      <c r="Q152" s="132">
        <f t="shared" si="50"/>
        <v>0</v>
      </c>
      <c r="R152" s="133">
        <f t="shared" si="51"/>
        <v>0</v>
      </c>
      <c r="S152" s="121" t="str">
        <f t="shared" si="54"/>
        <v/>
      </c>
    </row>
    <row r="153" hidden="1" outlineLevel="1">
      <c r="A153" s="142" t="str">
        <f>IFERROR(VLOOKUP(B153,'Статьи'!$A$2:C175,3,0)," ")</f>
        <v> </v>
      </c>
      <c r="B153" s="125"/>
      <c r="C153" s="170"/>
      <c r="D153" s="149"/>
      <c r="E153" s="149"/>
      <c r="F153" s="149"/>
      <c r="G153" s="149"/>
      <c r="H153" s="149"/>
      <c r="I153" s="211">
        <f t="shared" si="52"/>
        <v>0</v>
      </c>
      <c r="J153" s="122"/>
      <c r="K153" s="114"/>
      <c r="L153" s="114"/>
      <c r="M153" s="114"/>
      <c r="N153" s="114"/>
      <c r="O153" s="114"/>
      <c r="P153" s="211">
        <f t="shared" si="53"/>
        <v>0</v>
      </c>
      <c r="Q153" s="132">
        <f t="shared" si="50"/>
        <v>0</v>
      </c>
      <c r="R153" s="133">
        <f t="shared" si="51"/>
        <v>0</v>
      </c>
      <c r="S153" s="121" t="str">
        <f t="shared" si="54"/>
        <v/>
      </c>
    </row>
    <row r="154">
      <c r="A154" s="142" t="str">
        <f>IFERROR(VLOOKUP(B154,'Статьи'!$A$2:C176,3,0)," ")</f>
        <v> </v>
      </c>
      <c r="B154" s="125"/>
      <c r="C154" s="170"/>
      <c r="D154" s="149"/>
      <c r="E154" s="149"/>
      <c r="F154" s="149"/>
      <c r="G154" s="149"/>
      <c r="H154" s="149"/>
      <c r="I154" s="211">
        <f t="shared" si="52"/>
        <v>0</v>
      </c>
      <c r="J154" s="122"/>
      <c r="K154" s="114"/>
      <c r="L154" s="114"/>
      <c r="M154" s="114"/>
      <c r="N154" s="114"/>
      <c r="O154" s="114"/>
      <c r="P154" s="211">
        <f>sum(F154:J154)</f>
        <v>0</v>
      </c>
      <c r="Q154" s="132">
        <f t="shared" si="50"/>
        <v>0</v>
      </c>
      <c r="R154" s="133">
        <f t="shared" si="51"/>
        <v>0</v>
      </c>
      <c r="S154" s="121" t="str">
        <f t="shared" si="54"/>
        <v/>
      </c>
    </row>
    <row r="155">
      <c r="A155" s="212"/>
      <c r="B155" s="213" t="s">
        <v>101</v>
      </c>
      <c r="C155" s="203">
        <f t="shared" ref="C155:H155" si="55">SUM(C156:C172)</f>
        <v>0</v>
      </c>
      <c r="D155" s="204">
        <f t="shared" si="55"/>
        <v>0</v>
      </c>
      <c r="E155" s="204">
        <f t="shared" si="55"/>
        <v>0</v>
      </c>
      <c r="F155" s="204">
        <f t="shared" si="55"/>
        <v>0</v>
      </c>
      <c r="G155" s="204">
        <f t="shared" si="55"/>
        <v>0</v>
      </c>
      <c r="H155" s="204">
        <f t="shared" si="55"/>
        <v>0</v>
      </c>
      <c r="I155" s="208">
        <f t="shared" si="52"/>
        <v>0</v>
      </c>
      <c r="J155" s="206">
        <f t="shared" ref="J155:K155" si="56">SUM(J156:J172)</f>
        <v>0</v>
      </c>
      <c r="K155" s="207">
        <f t="shared" si="56"/>
        <v>0</v>
      </c>
      <c r="L155" s="207"/>
      <c r="M155" s="207"/>
      <c r="N155" s="207"/>
      <c r="O155" s="207"/>
      <c r="P155" s="208">
        <f>SUM(P156:P172)</f>
        <v>0</v>
      </c>
      <c r="Q155" s="207">
        <f t="shared" si="50"/>
        <v>0</v>
      </c>
      <c r="R155" s="214">
        <f t="shared" si="51"/>
        <v>0</v>
      </c>
      <c r="S155" s="210" t="str">
        <f>IF(Q155=0,"",IF(R155&gt;1,"план не выполнен","выполнение"))</f>
        <v/>
      </c>
    </row>
    <row r="156">
      <c r="A156" s="142" t="str">
        <f>IFERROR(VLOOKUP(B156,'Статьи'!$A$2:C178,3,0)," ")</f>
        <v>ДДС отчетного месяца. Без НДС!</v>
      </c>
      <c r="B156" s="125" t="str">
        <f>IFERROR(__xludf.DUMMYFUNCTION("iferror(filter('Статьи'!$A$1:$A177,'Статьи'!$B$1:$B177=B155))"),"Курсовые разницы")</f>
        <v>Курсовые разницы</v>
      </c>
      <c r="C156" s="171"/>
      <c r="D156" s="149"/>
      <c r="E156" s="149"/>
      <c r="F156" s="149"/>
      <c r="G156" s="149"/>
      <c r="H156" s="149"/>
      <c r="I156" s="211">
        <f t="shared" si="52"/>
        <v>0</v>
      </c>
      <c r="J156" s="122"/>
      <c r="K156" s="114"/>
      <c r="L156" s="114"/>
      <c r="M156" s="114"/>
      <c r="N156" s="114"/>
      <c r="O156" s="114"/>
      <c r="P156" s="211">
        <f t="shared" ref="P156:P171" si="57">SUM(J156:K156)</f>
        <v>0</v>
      </c>
      <c r="Q156" s="132">
        <f t="shared" si="50"/>
        <v>0</v>
      </c>
      <c r="R156" s="133">
        <f t="shared" si="51"/>
        <v>0</v>
      </c>
      <c r="S156" s="121" t="str">
        <f t="shared" ref="S156:S172" si="58">IF(Q156=0,"",IF(R156=0,"обратить внимание",IF(R156&gt;1,"перерасход","экономия")))</f>
        <v/>
      </c>
    </row>
    <row r="157">
      <c r="A157" s="142" t="str">
        <f>IFERROR(VLOOKUP(B157,'Статьи'!$A$2:C179,3,0)," ")</f>
        <v>1С</v>
      </c>
      <c r="B157" s="125" t="str">
        <f>IFERROR(__xludf.DUMMYFUNCTION("""COMPUTED_VALUE"""),"Налог  на прибыль УСН 6%")</f>
        <v>Налог  на прибыль УСН 6%</v>
      </c>
      <c r="C157" s="171"/>
      <c r="D157" s="149"/>
      <c r="E157" s="149"/>
      <c r="F157" s="149"/>
      <c r="G157" s="149"/>
      <c r="H157" s="149"/>
      <c r="I157" s="211">
        <f t="shared" si="52"/>
        <v>0</v>
      </c>
      <c r="J157" s="122"/>
      <c r="K157" s="114"/>
      <c r="L157" s="114"/>
      <c r="M157" s="114"/>
      <c r="N157" s="114"/>
      <c r="O157" s="114"/>
      <c r="P157" s="211">
        <f t="shared" si="57"/>
        <v>0</v>
      </c>
      <c r="Q157" s="132">
        <f t="shared" si="50"/>
        <v>0</v>
      </c>
      <c r="R157" s="133">
        <f t="shared" si="51"/>
        <v>0</v>
      </c>
      <c r="S157" s="121" t="str">
        <f t="shared" si="58"/>
        <v/>
      </c>
    </row>
    <row r="158">
      <c r="A158" s="142" t="str">
        <f>IFERROR(VLOOKUP(B158,'Статьи'!$A$2:C180,3,0)," ")</f>
        <v>1С</v>
      </c>
      <c r="B158" s="125" t="str">
        <f>IFERROR(__xludf.DUMMYFUNCTION("""COMPUTED_VALUE"""),"Налог на прибыль 20%")</f>
        <v>Налог на прибыль 20%</v>
      </c>
      <c r="C158" s="171"/>
      <c r="D158" s="149"/>
      <c r="E158" s="149"/>
      <c r="F158" s="149"/>
      <c r="G158" s="149"/>
      <c r="H158" s="149"/>
      <c r="I158" s="211">
        <f t="shared" si="52"/>
        <v>0</v>
      </c>
      <c r="J158" s="122"/>
      <c r="K158" s="114"/>
      <c r="L158" s="114"/>
      <c r="M158" s="114"/>
      <c r="N158" s="114"/>
      <c r="O158" s="114"/>
      <c r="P158" s="211">
        <f t="shared" si="57"/>
        <v>0</v>
      </c>
      <c r="Q158" s="132">
        <f t="shared" si="50"/>
        <v>0</v>
      </c>
      <c r="R158" s="133">
        <f t="shared" si="51"/>
        <v>0</v>
      </c>
      <c r="S158" s="121" t="str">
        <f t="shared" si="58"/>
        <v/>
      </c>
    </row>
    <row r="159">
      <c r="A159" s="142" t="str">
        <f>IFERROR(VLOOKUP(B159,'Статьи'!$A$2:C181,3,0)," ")</f>
        <v>отчет Учет ОС</v>
      </c>
      <c r="B159" s="125" t="str">
        <f>IFERROR(__xludf.DUMMYFUNCTION("""COMPUTED_VALUE"""),"Амортизация ОС")</f>
        <v>Амортизация ОС</v>
      </c>
      <c r="C159" s="215"/>
      <c r="D159" s="149"/>
      <c r="E159" s="149"/>
      <c r="F159" s="149"/>
      <c r="G159" s="149"/>
      <c r="H159" s="149"/>
      <c r="I159" s="211">
        <f t="shared" si="52"/>
        <v>0</v>
      </c>
      <c r="J159" s="122"/>
      <c r="K159" s="114"/>
      <c r="L159" s="114"/>
      <c r="M159" s="114"/>
      <c r="N159" s="114"/>
      <c r="O159" s="114"/>
      <c r="P159" s="211">
        <f t="shared" si="57"/>
        <v>0</v>
      </c>
      <c r="Q159" s="132">
        <f t="shared" si="50"/>
        <v>0</v>
      </c>
      <c r="R159" s="133">
        <f t="shared" si="51"/>
        <v>0</v>
      </c>
      <c r="S159" s="121" t="str">
        <f t="shared" si="58"/>
        <v/>
      </c>
    </row>
    <row r="160">
      <c r="A160" s="142" t="str">
        <f>IFERROR(VLOOKUP(B160,'Статьи'!$A$2:C182,3,0)," ")</f>
        <v>ДДС отчетного месяца. Без НДС!</v>
      </c>
      <c r="B160" s="125" t="str">
        <f>IFERROR(__xludf.DUMMYFUNCTION("""COMPUTED_VALUE"""),"Прочие расходы")</f>
        <v>Прочие расходы</v>
      </c>
      <c r="C160" s="171"/>
      <c r="D160" s="149"/>
      <c r="E160" s="149"/>
      <c r="F160" s="149"/>
      <c r="G160" s="149"/>
      <c r="H160" s="149"/>
      <c r="I160" s="211">
        <f t="shared" si="52"/>
        <v>0</v>
      </c>
      <c r="J160" s="122"/>
      <c r="K160" s="114"/>
      <c r="L160" s="114"/>
      <c r="M160" s="114"/>
      <c r="N160" s="114"/>
      <c r="O160" s="114"/>
      <c r="P160" s="211">
        <f t="shared" si="57"/>
        <v>0</v>
      </c>
      <c r="Q160" s="132">
        <f t="shared" si="50"/>
        <v>0</v>
      </c>
      <c r="R160" s="133">
        <f t="shared" si="51"/>
        <v>0</v>
      </c>
      <c r="S160" s="121" t="str">
        <f t="shared" si="58"/>
        <v/>
      </c>
    </row>
    <row r="161">
      <c r="A161" s="142" t="str">
        <f>IFERROR(VLOOKUP(B161,'Статьи'!$A$2:C183,3,0)," ")</f>
        <v>ДДС отчетного месяца. Без НДС!</v>
      </c>
      <c r="B161" s="111" t="str">
        <f>IFERROR(__xludf.DUMMYFUNCTION("""COMPUTED_VALUE"""),"Ремонт ОС")</f>
        <v>Ремонт ОС</v>
      </c>
      <c r="C161" s="171"/>
      <c r="D161" s="149"/>
      <c r="E161" s="149"/>
      <c r="F161" s="149"/>
      <c r="G161" s="149"/>
      <c r="H161" s="149"/>
      <c r="I161" s="211">
        <f t="shared" si="52"/>
        <v>0</v>
      </c>
      <c r="J161" s="122"/>
      <c r="K161" s="114"/>
      <c r="L161" s="114"/>
      <c r="M161" s="114"/>
      <c r="N161" s="114"/>
      <c r="O161" s="114"/>
      <c r="P161" s="211">
        <f t="shared" si="57"/>
        <v>0</v>
      </c>
      <c r="Q161" s="132">
        <f t="shared" si="50"/>
        <v>0</v>
      </c>
      <c r="R161" s="133">
        <f t="shared" si="51"/>
        <v>0</v>
      </c>
      <c r="S161" s="121" t="str">
        <f t="shared" si="58"/>
        <v/>
      </c>
    </row>
    <row r="162">
      <c r="A162" s="142" t="str">
        <f>IFERROR(VLOOKUP(B162,'Статьи'!$A$2:C184,3,0)," ")</f>
        <v>отчет Учет ФД</v>
      </c>
      <c r="B162" s="111" t="str">
        <f>IFERROR(__xludf.DUMMYFUNCTION("""COMPUTED_VALUE"""),"Оплаты %  кредиты")</f>
        <v>Оплаты %  кредиты</v>
      </c>
      <c r="C162" s="171"/>
      <c r="D162" s="149"/>
      <c r="E162" s="149"/>
      <c r="F162" s="149"/>
      <c r="G162" s="149"/>
      <c r="H162" s="149"/>
      <c r="I162" s="211">
        <f t="shared" si="52"/>
        <v>0</v>
      </c>
      <c r="J162" s="122"/>
      <c r="K162" s="114"/>
      <c r="L162" s="114"/>
      <c r="M162" s="114"/>
      <c r="N162" s="114"/>
      <c r="O162" s="114"/>
      <c r="P162" s="211">
        <f t="shared" si="57"/>
        <v>0</v>
      </c>
      <c r="Q162" s="132">
        <f t="shared" si="50"/>
        <v>0</v>
      </c>
      <c r="R162" s="133">
        <f t="shared" si="51"/>
        <v>0</v>
      </c>
      <c r="S162" s="121" t="str">
        <f t="shared" si="58"/>
        <v/>
      </c>
    </row>
    <row r="163" collapsed="1">
      <c r="A163" s="110" t="str">
        <f>IFERROR(VLOOKUP(B163,'Статьи'!$A$2:C185,3,0)," ")</f>
        <v> </v>
      </c>
      <c r="B163" s="111"/>
      <c r="C163" s="171"/>
      <c r="D163" s="149"/>
      <c r="E163" s="149"/>
      <c r="F163" s="149"/>
      <c r="G163" s="149"/>
      <c r="H163" s="149"/>
      <c r="I163" s="211">
        <f t="shared" si="52"/>
        <v>0</v>
      </c>
      <c r="J163" s="122"/>
      <c r="K163" s="114"/>
      <c r="L163" s="114"/>
      <c r="M163" s="114"/>
      <c r="N163" s="114"/>
      <c r="O163" s="114"/>
      <c r="P163" s="211">
        <f t="shared" si="57"/>
        <v>0</v>
      </c>
      <c r="Q163" s="132">
        <f t="shared" si="50"/>
        <v>0</v>
      </c>
      <c r="R163" s="133">
        <f t="shared" si="51"/>
        <v>0</v>
      </c>
      <c r="S163" s="121" t="str">
        <f t="shared" si="58"/>
        <v/>
      </c>
    </row>
    <row r="164" hidden="1" outlineLevel="1">
      <c r="A164" s="110" t="str">
        <f>IFERROR(VLOOKUP(B164,'Статьи'!$A$2:C186,3,0)," ")</f>
        <v> </v>
      </c>
      <c r="B164" s="111"/>
      <c r="C164" s="170"/>
      <c r="I164" s="211">
        <f t="shared" si="52"/>
        <v>0</v>
      </c>
      <c r="J164" s="122"/>
      <c r="K164" s="114"/>
      <c r="L164" s="114"/>
      <c r="M164" s="114"/>
      <c r="N164" s="114"/>
      <c r="O164" s="114"/>
      <c r="P164" s="211">
        <f t="shared" si="57"/>
        <v>0</v>
      </c>
      <c r="Q164" s="132">
        <f t="shared" si="50"/>
        <v>0</v>
      </c>
      <c r="R164" s="133">
        <f t="shared" si="51"/>
        <v>0</v>
      </c>
      <c r="S164" s="121" t="str">
        <f t="shared" si="58"/>
        <v/>
      </c>
    </row>
    <row r="165" hidden="1" outlineLevel="1">
      <c r="A165" s="110" t="str">
        <f>IFERROR(VLOOKUP(B165,'Статьи'!$A$2:C187,3,0)," ")</f>
        <v> </v>
      </c>
      <c r="B165" s="111"/>
      <c r="C165" s="170"/>
      <c r="I165" s="211">
        <f t="shared" si="52"/>
        <v>0</v>
      </c>
      <c r="J165" s="122"/>
      <c r="K165" s="114"/>
      <c r="L165" s="114"/>
      <c r="M165" s="114"/>
      <c r="N165" s="114"/>
      <c r="O165" s="114"/>
      <c r="P165" s="211">
        <f t="shared" si="57"/>
        <v>0</v>
      </c>
      <c r="Q165" s="132">
        <f t="shared" si="50"/>
        <v>0</v>
      </c>
      <c r="R165" s="133">
        <f t="shared" si="51"/>
        <v>0</v>
      </c>
      <c r="S165" s="121" t="str">
        <f t="shared" si="58"/>
        <v/>
      </c>
    </row>
    <row r="166" hidden="1" outlineLevel="1">
      <c r="A166" s="110" t="str">
        <f>IFERROR(VLOOKUP(B166,'Статьи'!$A$2:C188,3,0)," ")</f>
        <v> </v>
      </c>
      <c r="B166" s="111"/>
      <c r="C166" s="170"/>
      <c r="I166" s="211">
        <f t="shared" si="52"/>
        <v>0</v>
      </c>
      <c r="J166" s="122"/>
      <c r="K166" s="114"/>
      <c r="L166" s="114"/>
      <c r="M166" s="114"/>
      <c r="N166" s="114"/>
      <c r="O166" s="114"/>
      <c r="P166" s="211">
        <f t="shared" si="57"/>
        <v>0</v>
      </c>
      <c r="Q166" s="132">
        <f t="shared" si="50"/>
        <v>0</v>
      </c>
      <c r="R166" s="133">
        <f t="shared" si="51"/>
        <v>0</v>
      </c>
      <c r="S166" s="121" t="str">
        <f t="shared" si="58"/>
        <v/>
      </c>
    </row>
    <row r="167" hidden="1" outlineLevel="1">
      <c r="A167" s="110" t="str">
        <f>IFERROR(VLOOKUP(B167,'Статьи'!$A$2:C189,3,0)," ")</f>
        <v> </v>
      </c>
      <c r="B167" s="111"/>
      <c r="C167" s="170"/>
      <c r="I167" s="211">
        <f t="shared" si="52"/>
        <v>0</v>
      </c>
      <c r="J167" s="122"/>
      <c r="K167" s="114"/>
      <c r="L167" s="114"/>
      <c r="M167" s="114"/>
      <c r="N167" s="114"/>
      <c r="O167" s="114"/>
      <c r="P167" s="211">
        <f t="shared" si="57"/>
        <v>0</v>
      </c>
      <c r="Q167" s="132">
        <f t="shared" si="50"/>
        <v>0</v>
      </c>
      <c r="R167" s="133">
        <f t="shared" si="51"/>
        <v>0</v>
      </c>
      <c r="S167" s="121" t="str">
        <f t="shared" si="58"/>
        <v/>
      </c>
    </row>
    <row r="168" hidden="1" outlineLevel="1">
      <c r="A168" s="110" t="str">
        <f>IFERROR(VLOOKUP(B168,'Статьи'!$A$2:C190,3,0)," ")</f>
        <v> </v>
      </c>
      <c r="B168" s="111"/>
      <c r="C168" s="170"/>
      <c r="I168" s="211">
        <f t="shared" si="52"/>
        <v>0</v>
      </c>
      <c r="J168" s="122"/>
      <c r="K168" s="114"/>
      <c r="L168" s="114"/>
      <c r="M168" s="114"/>
      <c r="N168" s="114"/>
      <c r="O168" s="114"/>
      <c r="P168" s="211">
        <f t="shared" si="57"/>
        <v>0</v>
      </c>
      <c r="Q168" s="132">
        <f t="shared" si="50"/>
        <v>0</v>
      </c>
      <c r="R168" s="133">
        <f t="shared" si="51"/>
        <v>0</v>
      </c>
      <c r="S168" s="121" t="str">
        <f t="shared" si="58"/>
        <v/>
      </c>
    </row>
    <row r="169" hidden="1" outlineLevel="1">
      <c r="A169" s="110" t="str">
        <f>IFERROR(VLOOKUP(B169,'Статьи'!$A$2:C191,3,0)," ")</f>
        <v> </v>
      </c>
      <c r="B169" s="111"/>
      <c r="C169" s="170"/>
      <c r="I169" s="211">
        <f t="shared" si="52"/>
        <v>0</v>
      </c>
      <c r="J169" s="122"/>
      <c r="K169" s="114"/>
      <c r="L169" s="114"/>
      <c r="M169" s="114"/>
      <c r="N169" s="114"/>
      <c r="O169" s="114"/>
      <c r="P169" s="211">
        <f t="shared" si="57"/>
        <v>0</v>
      </c>
      <c r="Q169" s="132">
        <f t="shared" si="50"/>
        <v>0</v>
      </c>
      <c r="R169" s="133">
        <f t="shared" si="51"/>
        <v>0</v>
      </c>
      <c r="S169" s="121" t="str">
        <f t="shared" si="58"/>
        <v/>
      </c>
    </row>
    <row r="170" hidden="1" outlineLevel="1">
      <c r="A170" s="110" t="str">
        <f>IFERROR(VLOOKUP(B170,'Статьи'!$A$2:C192,3,0)," ")</f>
        <v> </v>
      </c>
      <c r="B170" s="111"/>
      <c r="C170" s="170"/>
      <c r="I170" s="211">
        <f t="shared" si="52"/>
        <v>0</v>
      </c>
      <c r="J170" s="122"/>
      <c r="K170" s="114"/>
      <c r="L170" s="114"/>
      <c r="M170" s="114"/>
      <c r="N170" s="114"/>
      <c r="O170" s="114"/>
      <c r="P170" s="211">
        <f t="shared" si="57"/>
        <v>0</v>
      </c>
      <c r="Q170" s="132">
        <f t="shared" si="50"/>
        <v>0</v>
      </c>
      <c r="R170" s="133">
        <f t="shared" si="51"/>
        <v>0</v>
      </c>
      <c r="S170" s="121" t="str">
        <f t="shared" si="58"/>
        <v/>
      </c>
    </row>
    <row r="171" hidden="1" outlineLevel="1">
      <c r="A171" s="110" t="str">
        <f>IFERROR(VLOOKUP(B171,'Статьи'!$A$2:C193,3,0)," ")</f>
        <v> </v>
      </c>
      <c r="B171" s="111"/>
      <c r="C171" s="170"/>
      <c r="I171" s="211">
        <f t="shared" si="52"/>
        <v>0</v>
      </c>
      <c r="J171" s="122"/>
      <c r="K171" s="114"/>
      <c r="L171" s="114"/>
      <c r="M171" s="114"/>
      <c r="N171" s="114"/>
      <c r="O171" s="114"/>
      <c r="P171" s="211">
        <f t="shared" si="57"/>
        <v>0</v>
      </c>
      <c r="Q171" s="132">
        <f t="shared" si="50"/>
        <v>0</v>
      </c>
      <c r="R171" s="133">
        <f t="shared" si="51"/>
        <v>0</v>
      </c>
      <c r="S171" s="121" t="str">
        <f t="shared" si="58"/>
        <v/>
      </c>
    </row>
    <row r="172">
      <c r="A172" s="110" t="str">
        <f>IFERROR(VLOOKUP(B172,'Статьи'!$A$2:C194,3,0)," ")</f>
        <v> </v>
      </c>
      <c r="B172" s="111"/>
      <c r="C172" s="170"/>
      <c r="D172" s="149"/>
      <c r="E172" s="149"/>
      <c r="F172" s="149"/>
      <c r="G172" s="149"/>
      <c r="H172" s="149"/>
      <c r="I172" s="211">
        <f t="shared" si="52"/>
        <v>0</v>
      </c>
      <c r="J172" s="122"/>
      <c r="K172" s="114"/>
      <c r="L172" s="114"/>
      <c r="M172" s="114"/>
      <c r="N172" s="114"/>
      <c r="O172" s="114"/>
      <c r="P172" s="211">
        <f>sum(F172:J172)</f>
        <v>0</v>
      </c>
      <c r="Q172" s="132">
        <f t="shared" si="50"/>
        <v>0</v>
      </c>
      <c r="R172" s="133">
        <f t="shared" si="51"/>
        <v>0</v>
      </c>
      <c r="S172" s="121" t="str">
        <f t="shared" si="58"/>
        <v/>
      </c>
    </row>
    <row r="173">
      <c r="A173" s="152"/>
      <c r="B173" s="153" t="s">
        <v>144</v>
      </c>
      <c r="C173" s="154">
        <f t="shared" ref="C173:K173" si="59">C142+C155+C145</f>
        <v>12</v>
      </c>
      <c r="D173" s="155">
        <f t="shared" si="59"/>
        <v>0</v>
      </c>
      <c r="E173" s="155">
        <f t="shared" si="59"/>
        <v>0</v>
      </c>
      <c r="F173" s="155">
        <f t="shared" si="59"/>
        <v>0</v>
      </c>
      <c r="G173" s="155">
        <f t="shared" si="59"/>
        <v>0</v>
      </c>
      <c r="H173" s="155">
        <f t="shared" si="59"/>
        <v>0</v>
      </c>
      <c r="I173" s="157">
        <f t="shared" si="59"/>
        <v>12</v>
      </c>
      <c r="J173" s="154">
        <f t="shared" si="59"/>
        <v>0</v>
      </c>
      <c r="K173" s="155">
        <f t="shared" si="59"/>
        <v>0</v>
      </c>
      <c r="L173" s="155"/>
      <c r="M173" s="155"/>
      <c r="N173" s="155"/>
      <c r="O173" s="155"/>
      <c r="P173" s="157">
        <f>P142+P155+P145</f>
        <v>0</v>
      </c>
      <c r="Q173" s="155">
        <f t="shared" si="50"/>
        <v>12</v>
      </c>
      <c r="R173" s="158">
        <f t="shared" si="51"/>
        <v>0</v>
      </c>
      <c r="S173" s="159" t="str">
        <f>IF(Q173=0,"",IF(R173&gt;1,"выполнение","план не выполнен"))</f>
        <v>план не выполнен</v>
      </c>
    </row>
    <row r="174">
      <c r="A174" s="160"/>
      <c r="B174" s="161" t="s">
        <v>145</v>
      </c>
      <c r="C174" s="216">
        <f t="shared" ref="C174:K174" si="60">IFERROR(C173/C$3,0)</f>
        <v>1</v>
      </c>
      <c r="D174" s="217">
        <f t="shared" si="60"/>
        <v>0</v>
      </c>
      <c r="E174" s="217">
        <f t="shared" si="60"/>
        <v>0</v>
      </c>
      <c r="F174" s="217">
        <f t="shared" si="60"/>
        <v>0</v>
      </c>
      <c r="G174" s="217">
        <f t="shared" si="60"/>
        <v>0</v>
      </c>
      <c r="H174" s="217">
        <f t="shared" si="60"/>
        <v>0</v>
      </c>
      <c r="I174" s="218">
        <f t="shared" si="60"/>
        <v>1</v>
      </c>
      <c r="J174" s="216">
        <f t="shared" si="60"/>
        <v>0</v>
      </c>
      <c r="K174" s="217">
        <f t="shared" si="60"/>
        <v>0</v>
      </c>
      <c r="L174" s="217"/>
      <c r="M174" s="217"/>
      <c r="N174" s="217"/>
      <c r="O174" s="217"/>
      <c r="P174" s="218">
        <f>IFERROR(P173/P$3,0)</f>
        <v>0</v>
      </c>
      <c r="Q174" s="219"/>
      <c r="R174" s="219"/>
      <c r="S174" s="219"/>
    </row>
    <row r="175">
      <c r="A175" s="110"/>
      <c r="B175" s="111"/>
      <c r="C175" s="115"/>
      <c r="D175" s="115"/>
      <c r="E175" s="115"/>
      <c r="F175" s="115"/>
      <c r="G175" s="115"/>
      <c r="H175" s="115"/>
      <c r="I175" s="118"/>
      <c r="J175" s="118"/>
      <c r="K175" s="118"/>
      <c r="L175" s="118"/>
      <c r="M175" s="118"/>
      <c r="N175" s="118"/>
      <c r="O175" s="118"/>
      <c r="P175" s="118"/>
      <c r="Q175" s="118"/>
      <c r="R175" s="220"/>
      <c r="S175" s="220"/>
    </row>
    <row r="176">
      <c r="A176" s="142"/>
      <c r="B176" s="125"/>
      <c r="C176" s="115"/>
      <c r="D176" s="115"/>
      <c r="E176" s="115"/>
      <c r="F176" s="114"/>
      <c r="G176" s="115"/>
      <c r="H176" s="115"/>
      <c r="I176" s="118"/>
      <c r="J176" s="118"/>
      <c r="K176" s="118"/>
      <c r="L176" s="118"/>
      <c r="M176" s="118"/>
      <c r="N176" s="118"/>
      <c r="O176" s="118"/>
      <c r="P176" s="118"/>
      <c r="Q176" s="118"/>
      <c r="R176" s="220"/>
      <c r="S176" s="220"/>
    </row>
    <row r="177">
      <c r="A177" s="110"/>
      <c r="B177" s="111"/>
      <c r="C177" s="115"/>
      <c r="D177" s="115"/>
      <c r="E177" s="115"/>
      <c r="F177" s="115"/>
      <c r="G177" s="115"/>
      <c r="H177" s="115"/>
      <c r="I177" s="118"/>
      <c r="J177" s="118"/>
      <c r="K177" s="118"/>
      <c r="L177" s="118"/>
      <c r="M177" s="118"/>
      <c r="N177" s="118"/>
      <c r="O177" s="118"/>
      <c r="P177" s="118"/>
      <c r="Q177" s="118"/>
      <c r="R177" s="220"/>
      <c r="S177" s="220"/>
    </row>
  </sheetData>
  <mergeCells count="11">
    <mergeCell ref="C168:H168"/>
    <mergeCell ref="C169:H169"/>
    <mergeCell ref="C170:H170"/>
    <mergeCell ref="C171:H171"/>
    <mergeCell ref="C1:I1"/>
    <mergeCell ref="J1:P1"/>
    <mergeCell ref="Q1:R1"/>
    <mergeCell ref="C164:H164"/>
    <mergeCell ref="C165:H165"/>
    <mergeCell ref="C166:H166"/>
    <mergeCell ref="C167:H167"/>
  </mergeCells>
  <conditionalFormatting sqref="C13:H54">
    <cfRule type="expression" dxfId="4" priority="1">
      <formula>C$2=""</formula>
    </cfRule>
  </conditionalFormatting>
  <conditionalFormatting sqref="C13:H54">
    <cfRule type="expression" dxfId="2" priority="2">
      <formula>OR(#REF!=C$2,#REF!=C$2,#REF!=C$2,#REF!=C$2,#REF!=C$2,#REF!=C$2,#REF!=C$2,#REF!=C$2,#REF!=C$2)</formula>
    </cfRule>
  </conditionalFormatting>
  <conditionalFormatting sqref="C59:H84 C91:C93">
    <cfRule type="expression" dxfId="4" priority="3">
      <formula>C$2=""</formula>
    </cfRule>
  </conditionalFormatting>
  <conditionalFormatting sqref="C59:H84 C91:C93">
    <cfRule type="expression" dxfId="2" priority="4">
      <formula>OR(#REF!=C$2,#REF!=C$2,#REF!=C$2,#REF!=C$2,#REF!=C$2,#REF!=C$2,#REF!=C$2,#REF!=C$2,#REF!=C$2)</formula>
    </cfRule>
  </conditionalFormatting>
  <conditionalFormatting sqref="A1:A2">
    <cfRule type="notContainsBlanks" dxfId="2" priority="5">
      <formula>LEN(TRIM(A1))&gt;0</formula>
    </cfRule>
  </conditionalFormatting>
  <conditionalFormatting sqref="S1:S177">
    <cfRule type="containsText" dxfId="2" priority="6" operator="containsText" text="выполнение">
      <formula>NOT(ISERROR(SEARCH(("выполнение"),(S1))))</formula>
    </cfRule>
  </conditionalFormatting>
  <conditionalFormatting sqref="S1:S177">
    <cfRule type="containsText" dxfId="3" priority="7" operator="containsText" text="план не выполнен">
      <formula>NOT(ISERROR(SEARCH(("план не выполнен"),(S1))))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 outlineLevelCol="1" outlineLevelRow="1"/>
  <cols>
    <col customWidth="1" min="1" max="1" width="24.5"/>
    <col min="5" max="8" width="12.63" outlineLevel="1"/>
    <col customWidth="1" min="9" max="9" width="14.25" outlineLevel="1"/>
    <col min="10" max="13" width="12.63" outlineLevel="1"/>
  </cols>
  <sheetData>
    <row r="1">
      <c r="A1" s="230" t="s">
        <v>155</v>
      </c>
      <c r="B1" s="231" t="s">
        <v>127</v>
      </c>
      <c r="C1" s="232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</row>
    <row r="2">
      <c r="A2" s="234" t="s">
        <v>156</v>
      </c>
      <c r="B2" s="235" t="s">
        <v>157</v>
      </c>
      <c r="C2" s="232"/>
      <c r="D2" s="233"/>
      <c r="E2" s="233"/>
      <c r="F2" s="233"/>
      <c r="G2" s="233"/>
      <c r="H2" s="233"/>
      <c r="I2" s="233"/>
      <c r="J2" s="233"/>
      <c r="K2" s="233"/>
      <c r="L2" s="233"/>
      <c r="M2" s="236" t="b">
        <v>1</v>
      </c>
      <c r="N2" s="236"/>
    </row>
    <row r="3">
      <c r="A3" s="237" t="s">
        <v>158</v>
      </c>
      <c r="B3" s="238">
        <v>1.0</v>
      </c>
      <c r="C3" s="239">
        <v>2.0</v>
      </c>
      <c r="D3" s="239">
        <v>3.0</v>
      </c>
      <c r="E3" s="239">
        <v>4.0</v>
      </c>
      <c r="F3" s="239">
        <v>5.0</v>
      </c>
      <c r="G3" s="239">
        <v>6.0</v>
      </c>
      <c r="H3" s="239">
        <v>7.0</v>
      </c>
      <c r="I3" s="239">
        <v>8.0</v>
      </c>
      <c r="J3" s="239">
        <v>9.0</v>
      </c>
      <c r="K3" s="239">
        <v>10.0</v>
      </c>
      <c r="L3" s="239">
        <v>11.0</v>
      </c>
      <c r="M3" s="239">
        <v>12.0</v>
      </c>
      <c r="N3" s="240" t="s">
        <v>127</v>
      </c>
    </row>
    <row r="4">
      <c r="A4" s="241" t="s">
        <v>159</v>
      </c>
      <c r="B4" s="242">
        <f t="shared" ref="B4:M4" si="1">iferror(-(B36+B71)/B34,"")</f>
        <v>44351.16934</v>
      </c>
      <c r="C4" s="242" t="str">
        <f t="shared" si="1"/>
        <v/>
      </c>
      <c r="D4" s="242" t="str">
        <f t="shared" si="1"/>
        <v/>
      </c>
      <c r="E4" s="242">
        <f t="shared" si="1"/>
        <v>0</v>
      </c>
      <c r="F4" s="242">
        <f t="shared" si="1"/>
        <v>0</v>
      </c>
      <c r="G4" s="242">
        <f t="shared" si="1"/>
        <v>0</v>
      </c>
      <c r="H4" s="242">
        <f t="shared" si="1"/>
        <v>0</v>
      </c>
      <c r="I4" s="242">
        <f t="shared" si="1"/>
        <v>0</v>
      </c>
      <c r="J4" s="242">
        <f t="shared" si="1"/>
        <v>0</v>
      </c>
      <c r="K4" s="242">
        <f t="shared" si="1"/>
        <v>0</v>
      </c>
      <c r="L4" s="242">
        <f t="shared" si="1"/>
        <v>0</v>
      </c>
      <c r="M4" s="242">
        <f t="shared" si="1"/>
        <v>0</v>
      </c>
      <c r="N4" s="243" t="s">
        <v>160</v>
      </c>
    </row>
    <row r="5">
      <c r="A5" s="244" t="s">
        <v>86</v>
      </c>
      <c r="B5" s="245">
        <f t="shared" ref="B5:M5" si="2">SUM(B6:B10)</f>
        <v>227600</v>
      </c>
      <c r="C5" s="245">
        <f t="shared" si="2"/>
        <v>0</v>
      </c>
      <c r="D5" s="245">
        <f t="shared" si="2"/>
        <v>0</v>
      </c>
      <c r="E5" s="245">
        <f t="shared" si="2"/>
        <v>4</v>
      </c>
      <c r="F5" s="245">
        <f t="shared" si="2"/>
        <v>5</v>
      </c>
      <c r="G5" s="245">
        <f t="shared" si="2"/>
        <v>6</v>
      </c>
      <c r="H5" s="245">
        <f t="shared" si="2"/>
        <v>7</v>
      </c>
      <c r="I5" s="245">
        <f t="shared" si="2"/>
        <v>8</v>
      </c>
      <c r="J5" s="245">
        <f t="shared" si="2"/>
        <v>9</v>
      </c>
      <c r="K5" s="245">
        <f t="shared" si="2"/>
        <v>10</v>
      </c>
      <c r="L5" s="245">
        <f t="shared" si="2"/>
        <v>11</v>
      </c>
      <c r="M5" s="245">
        <f t="shared" si="2"/>
        <v>12</v>
      </c>
      <c r="N5" s="245">
        <f t="shared" ref="N5:N33" si="4">SUM(B5:M5)</f>
        <v>227672</v>
      </c>
    </row>
    <row r="6">
      <c r="A6" s="246" t="str">
        <f>IFERROR(__xludf.DUMMYFUNCTION("iferror(filter('Статьи'!$A$1:$A158,'Статьи'!$B$1:$B158=$A$5))"),"Выручка от аренды машиноместа")</f>
        <v>Выручка от аренды машиноместа</v>
      </c>
      <c r="B6" s="247">
        <f t="shared" ref="B6:M6" si="3">if($M$2,IFERROR(INDIRECT("'"&amp;B$3&amp;"'!"&amp;$B$2&amp;match($A6,INDIRECT("'"&amp;B$3&amp;"'!B1:B"),0)),""),
IFERROR(INDIRECT("'"&amp;B$3&amp;"!"&amp;$B$2&amp;match($A6,INDIRECT("'"&amp;B$3&amp;"'!B:B"),0)),""))</f>
        <v>500</v>
      </c>
      <c r="C6" s="247">
        <f t="shared" si="3"/>
        <v>0</v>
      </c>
      <c r="D6" s="247">
        <f t="shared" si="3"/>
        <v>0</v>
      </c>
      <c r="E6" s="247">
        <f t="shared" si="3"/>
        <v>4</v>
      </c>
      <c r="F6" s="247">
        <f t="shared" si="3"/>
        <v>5</v>
      </c>
      <c r="G6" s="247">
        <f t="shared" si="3"/>
        <v>6</v>
      </c>
      <c r="H6" s="247">
        <f t="shared" si="3"/>
        <v>7</v>
      </c>
      <c r="I6" s="247">
        <f t="shared" si="3"/>
        <v>8</v>
      </c>
      <c r="J6" s="247">
        <f t="shared" si="3"/>
        <v>9</v>
      </c>
      <c r="K6" s="247">
        <f t="shared" si="3"/>
        <v>10</v>
      </c>
      <c r="L6" s="247">
        <f t="shared" si="3"/>
        <v>11</v>
      </c>
      <c r="M6" s="247">
        <f t="shared" si="3"/>
        <v>12</v>
      </c>
      <c r="N6" s="247">
        <f t="shared" si="4"/>
        <v>572</v>
      </c>
    </row>
    <row r="7">
      <c r="A7" s="246" t="str">
        <f>IFERROR(__xludf.DUMMYFUNCTION("""COMPUTED_VALUE"""),"Выручка за грузоперевозки")</f>
        <v>Выручка за грузоперевозки</v>
      </c>
      <c r="B7" s="247">
        <f t="shared" ref="B7:M7" si="5">if($M$2,IFERROR(INDIRECT("'"&amp;B$3&amp;"'!"&amp;$B$2&amp;match($A7,INDIRECT("'"&amp;B$3&amp;"'!B1:B"),0)),""),
IFERROR(INDIRECT("'"&amp;B$3&amp;"!"&amp;$B$2&amp;match($A7,INDIRECT("'"&amp;B$3&amp;"'!B:B"),0)),""))</f>
        <v>227100</v>
      </c>
      <c r="C7" s="247">
        <f t="shared" si="5"/>
        <v>0</v>
      </c>
      <c r="D7" s="247">
        <f t="shared" si="5"/>
        <v>0</v>
      </c>
      <c r="E7" s="247">
        <f t="shared" si="5"/>
        <v>0</v>
      </c>
      <c r="F7" s="247">
        <f t="shared" si="5"/>
        <v>0</v>
      </c>
      <c r="G7" s="247">
        <f t="shared" si="5"/>
        <v>0</v>
      </c>
      <c r="H7" s="247">
        <f t="shared" si="5"/>
        <v>0</v>
      </c>
      <c r="I7" s="247">
        <f t="shared" si="5"/>
        <v>0</v>
      </c>
      <c r="J7" s="247">
        <f t="shared" si="5"/>
        <v>0</v>
      </c>
      <c r="K7" s="247">
        <f t="shared" si="5"/>
        <v>0</v>
      </c>
      <c r="L7" s="247">
        <f t="shared" si="5"/>
        <v>0</v>
      </c>
      <c r="M7" s="247">
        <f t="shared" si="5"/>
        <v>0</v>
      </c>
      <c r="N7" s="247">
        <f t="shared" si="4"/>
        <v>227100</v>
      </c>
    </row>
    <row r="8" collapsed="1">
      <c r="A8" s="246"/>
      <c r="B8" s="247" t="str">
        <f t="shared" ref="B8:M8" si="6">if($M$2,IFERROR(INDIRECT("'"&amp;B$3&amp;"'!"&amp;$B$2&amp;match($A8,INDIRECT("'"&amp;B$3&amp;"'!B1:B"),0)),""),
IFERROR(INDIRECT("'"&amp;B$3&amp;"!"&amp;$B$2&amp;match($A8,INDIRECT("'"&amp;B$3&amp;"'!B:B"),0)),""))</f>
        <v/>
      </c>
      <c r="C8" s="247" t="str">
        <f t="shared" si="6"/>
        <v/>
      </c>
      <c r="D8" s="247" t="str">
        <f t="shared" si="6"/>
        <v/>
      </c>
      <c r="E8" s="247" t="str">
        <f t="shared" si="6"/>
        <v/>
      </c>
      <c r="F8" s="247" t="str">
        <f t="shared" si="6"/>
        <v/>
      </c>
      <c r="G8" s="247" t="str">
        <f t="shared" si="6"/>
        <v/>
      </c>
      <c r="H8" s="247" t="str">
        <f t="shared" si="6"/>
        <v/>
      </c>
      <c r="I8" s="247" t="str">
        <f t="shared" si="6"/>
        <v/>
      </c>
      <c r="J8" s="247" t="str">
        <f t="shared" si="6"/>
        <v/>
      </c>
      <c r="K8" s="247" t="str">
        <f t="shared" si="6"/>
        <v/>
      </c>
      <c r="L8" s="247" t="str">
        <f t="shared" si="6"/>
        <v/>
      </c>
      <c r="M8" s="247" t="str">
        <f t="shared" si="6"/>
        <v/>
      </c>
      <c r="N8" s="247">
        <f t="shared" si="4"/>
        <v>0</v>
      </c>
    </row>
    <row r="9" hidden="1" outlineLevel="1">
      <c r="A9" s="246"/>
      <c r="B9" s="247" t="str">
        <f t="shared" ref="B9:M9" si="7">if($M$2,IFERROR(INDIRECT("'"&amp;B$3&amp;"'!"&amp;$B$2&amp;match($A9,INDIRECT("'"&amp;B$3&amp;"'!B1:B"),0)),""),
IFERROR(INDIRECT("'"&amp;B$3&amp;"!"&amp;$B$2&amp;match($A9,INDIRECT("'"&amp;B$3&amp;"'!B:B"),0)),""))</f>
        <v/>
      </c>
      <c r="C9" s="247" t="str">
        <f t="shared" si="7"/>
        <v/>
      </c>
      <c r="D9" s="247" t="str">
        <f t="shared" si="7"/>
        <v/>
      </c>
      <c r="E9" s="247" t="str">
        <f t="shared" si="7"/>
        <v/>
      </c>
      <c r="F9" s="247" t="str">
        <f t="shared" si="7"/>
        <v/>
      </c>
      <c r="G9" s="247" t="str">
        <f t="shared" si="7"/>
        <v/>
      </c>
      <c r="H9" s="247" t="str">
        <f t="shared" si="7"/>
        <v/>
      </c>
      <c r="I9" s="247" t="str">
        <f t="shared" si="7"/>
        <v/>
      </c>
      <c r="J9" s="247" t="str">
        <f t="shared" si="7"/>
        <v/>
      </c>
      <c r="K9" s="247" t="str">
        <f t="shared" si="7"/>
        <v/>
      </c>
      <c r="L9" s="247" t="str">
        <f t="shared" si="7"/>
        <v/>
      </c>
      <c r="M9" s="247" t="str">
        <f t="shared" si="7"/>
        <v/>
      </c>
      <c r="N9" s="247">
        <f t="shared" si="4"/>
        <v>0</v>
      </c>
    </row>
    <row r="10" hidden="1" outlineLevel="1">
      <c r="A10" s="246"/>
      <c r="B10" s="247" t="str">
        <f t="shared" ref="B10:M10" si="8">if($M$2,IFERROR(INDIRECT("'"&amp;B$3&amp;"'!"&amp;$B$2&amp;match($A10,INDIRECT("'"&amp;B$3&amp;"'!B1:B"),0)),""),
IFERROR(INDIRECT("'"&amp;B$3&amp;"!"&amp;$B$2&amp;match($A10,INDIRECT("'"&amp;B$3&amp;"'!B:B"),0)),""))</f>
        <v/>
      </c>
      <c r="C10" s="247" t="str">
        <f t="shared" si="8"/>
        <v/>
      </c>
      <c r="D10" s="247" t="str">
        <f t="shared" si="8"/>
        <v/>
      </c>
      <c r="E10" s="247" t="str">
        <f t="shared" si="8"/>
        <v/>
      </c>
      <c r="F10" s="247" t="str">
        <f t="shared" si="8"/>
        <v/>
      </c>
      <c r="G10" s="247" t="str">
        <f t="shared" si="8"/>
        <v/>
      </c>
      <c r="H10" s="247" t="str">
        <f t="shared" si="8"/>
        <v/>
      </c>
      <c r="I10" s="247" t="str">
        <f t="shared" si="8"/>
        <v/>
      </c>
      <c r="J10" s="247" t="str">
        <f t="shared" si="8"/>
        <v/>
      </c>
      <c r="K10" s="247" t="str">
        <f t="shared" si="8"/>
        <v/>
      </c>
      <c r="L10" s="247" t="str">
        <f t="shared" si="8"/>
        <v/>
      </c>
      <c r="M10" s="247" t="str">
        <f t="shared" si="8"/>
        <v/>
      </c>
      <c r="N10" s="247">
        <f t="shared" si="4"/>
        <v>0</v>
      </c>
    </row>
    <row r="11" hidden="1" outlineLevel="1">
      <c r="A11" s="246"/>
      <c r="B11" s="247" t="str">
        <f t="shared" ref="B11:M11" si="9">if($M$2,IFERROR(INDIRECT("'"&amp;B$3&amp;"'!"&amp;$B$2&amp;match($A11,INDIRECT("'"&amp;B$3&amp;"'!B1:B"),0)),""),
IFERROR(INDIRECT("'"&amp;B$3&amp;"!"&amp;$B$2&amp;match($A11,INDIRECT("'"&amp;B$3&amp;"'!B:B"),0)),""))</f>
        <v/>
      </c>
      <c r="C11" s="247" t="str">
        <f t="shared" si="9"/>
        <v/>
      </c>
      <c r="D11" s="247" t="str">
        <f t="shared" si="9"/>
        <v/>
      </c>
      <c r="E11" s="247" t="str">
        <f t="shared" si="9"/>
        <v/>
      </c>
      <c r="F11" s="247" t="str">
        <f t="shared" si="9"/>
        <v/>
      </c>
      <c r="G11" s="247" t="str">
        <f t="shared" si="9"/>
        <v/>
      </c>
      <c r="H11" s="247" t="str">
        <f t="shared" si="9"/>
        <v/>
      </c>
      <c r="I11" s="247" t="str">
        <f t="shared" si="9"/>
        <v/>
      </c>
      <c r="J11" s="247" t="str">
        <f t="shared" si="9"/>
        <v/>
      </c>
      <c r="K11" s="247" t="str">
        <f t="shared" si="9"/>
        <v/>
      </c>
      <c r="L11" s="247" t="str">
        <f t="shared" si="9"/>
        <v/>
      </c>
      <c r="M11" s="247" t="str">
        <f t="shared" si="9"/>
        <v/>
      </c>
      <c r="N11" s="247">
        <f t="shared" si="4"/>
        <v>0</v>
      </c>
    </row>
    <row r="12" hidden="1" outlineLevel="1">
      <c r="A12" s="246"/>
      <c r="B12" s="247" t="str">
        <f t="shared" ref="B12:M12" si="10">if($M$2,IFERROR(INDIRECT("'"&amp;B$3&amp;"'!"&amp;$B$2&amp;match($A12,INDIRECT("'"&amp;B$3&amp;"'!B1:B"),0)),""),
IFERROR(INDIRECT("'"&amp;B$3&amp;"!"&amp;$B$2&amp;match($A12,INDIRECT("'"&amp;B$3&amp;"'!B:B"),0)),""))</f>
        <v/>
      </c>
      <c r="C12" s="247" t="str">
        <f t="shared" si="10"/>
        <v/>
      </c>
      <c r="D12" s="247" t="str">
        <f t="shared" si="10"/>
        <v/>
      </c>
      <c r="E12" s="247" t="str">
        <f t="shared" si="10"/>
        <v/>
      </c>
      <c r="F12" s="247" t="str">
        <f t="shared" si="10"/>
        <v/>
      </c>
      <c r="G12" s="247" t="str">
        <f t="shared" si="10"/>
        <v/>
      </c>
      <c r="H12" s="247" t="str">
        <f t="shared" si="10"/>
        <v/>
      </c>
      <c r="I12" s="247" t="str">
        <f t="shared" si="10"/>
        <v/>
      </c>
      <c r="J12" s="247" t="str">
        <f t="shared" si="10"/>
        <v/>
      </c>
      <c r="K12" s="247" t="str">
        <f t="shared" si="10"/>
        <v/>
      </c>
      <c r="L12" s="247" t="str">
        <f t="shared" si="10"/>
        <v/>
      </c>
      <c r="M12" s="247" t="str">
        <f t="shared" si="10"/>
        <v/>
      </c>
      <c r="N12" s="247">
        <f t="shared" si="4"/>
        <v>0</v>
      </c>
    </row>
    <row r="13" hidden="1" outlineLevel="1">
      <c r="A13" s="246"/>
      <c r="B13" s="247" t="str">
        <f t="shared" ref="B13:M13" si="11">if($M$2,IFERROR(INDIRECT("'"&amp;B$3&amp;"'!"&amp;$B$2&amp;match($A13,INDIRECT("'"&amp;B$3&amp;"'!B1:B"),0)),""),
IFERROR(INDIRECT("'"&amp;B$3&amp;"!"&amp;$B$2&amp;match($A13,INDIRECT("'"&amp;B$3&amp;"'!B:B"),0)),""))</f>
        <v/>
      </c>
      <c r="C13" s="247" t="str">
        <f t="shared" si="11"/>
        <v/>
      </c>
      <c r="D13" s="247" t="str">
        <f t="shared" si="11"/>
        <v/>
      </c>
      <c r="E13" s="247" t="str">
        <f t="shared" si="11"/>
        <v/>
      </c>
      <c r="F13" s="247" t="str">
        <f t="shared" si="11"/>
        <v/>
      </c>
      <c r="G13" s="247" t="str">
        <f t="shared" si="11"/>
        <v/>
      </c>
      <c r="H13" s="247" t="str">
        <f t="shared" si="11"/>
        <v/>
      </c>
      <c r="I13" s="247" t="str">
        <f t="shared" si="11"/>
        <v/>
      </c>
      <c r="J13" s="247" t="str">
        <f t="shared" si="11"/>
        <v/>
      </c>
      <c r="K13" s="247" t="str">
        <f t="shared" si="11"/>
        <v/>
      </c>
      <c r="L13" s="247" t="str">
        <f t="shared" si="11"/>
        <v/>
      </c>
      <c r="M13" s="247" t="str">
        <f t="shared" si="11"/>
        <v/>
      </c>
      <c r="N13" s="247">
        <f t="shared" si="4"/>
        <v>0</v>
      </c>
    </row>
    <row r="14">
      <c r="A14" s="248" t="s">
        <v>135</v>
      </c>
      <c r="B14" s="249">
        <f t="shared" ref="B14:M14" si="12">B15+B36</f>
        <v>-61985</v>
      </c>
      <c r="C14" s="249">
        <f t="shared" si="12"/>
        <v>0</v>
      </c>
      <c r="D14" s="249">
        <f t="shared" si="12"/>
        <v>0</v>
      </c>
      <c r="E14" s="249">
        <f t="shared" si="12"/>
        <v>0</v>
      </c>
      <c r="F14" s="249">
        <f t="shared" si="12"/>
        <v>0</v>
      </c>
      <c r="G14" s="249">
        <f t="shared" si="12"/>
        <v>0</v>
      </c>
      <c r="H14" s="249">
        <f t="shared" si="12"/>
        <v>0</v>
      </c>
      <c r="I14" s="249">
        <f t="shared" si="12"/>
        <v>0</v>
      </c>
      <c r="J14" s="249">
        <f t="shared" si="12"/>
        <v>0</v>
      </c>
      <c r="K14" s="249">
        <f t="shared" si="12"/>
        <v>0</v>
      </c>
      <c r="L14" s="249">
        <f t="shared" si="12"/>
        <v>0</v>
      </c>
      <c r="M14" s="249">
        <f t="shared" si="12"/>
        <v>0</v>
      </c>
      <c r="N14" s="249">
        <f t="shared" si="4"/>
        <v>-61985</v>
      </c>
    </row>
    <row r="15">
      <c r="A15" s="250" t="s">
        <v>99</v>
      </c>
      <c r="B15" s="251">
        <f t="shared" ref="B15:M15" si="13">SUM(B16:B32)</f>
        <v>-49466</v>
      </c>
      <c r="C15" s="251">
        <f t="shared" si="13"/>
        <v>0</v>
      </c>
      <c r="D15" s="251">
        <f t="shared" si="13"/>
        <v>0</v>
      </c>
      <c r="E15" s="251">
        <f t="shared" si="13"/>
        <v>0</v>
      </c>
      <c r="F15" s="251">
        <f t="shared" si="13"/>
        <v>0</v>
      </c>
      <c r="G15" s="251">
        <f t="shared" si="13"/>
        <v>0</v>
      </c>
      <c r="H15" s="251">
        <f t="shared" si="13"/>
        <v>0</v>
      </c>
      <c r="I15" s="251">
        <f t="shared" si="13"/>
        <v>0</v>
      </c>
      <c r="J15" s="251">
        <f t="shared" si="13"/>
        <v>0</v>
      </c>
      <c r="K15" s="251">
        <f t="shared" si="13"/>
        <v>0</v>
      </c>
      <c r="L15" s="251">
        <f t="shared" si="13"/>
        <v>0</v>
      </c>
      <c r="M15" s="251">
        <f t="shared" si="13"/>
        <v>0</v>
      </c>
      <c r="N15" s="251">
        <f t="shared" si="4"/>
        <v>-49466</v>
      </c>
    </row>
    <row r="16">
      <c r="A16" s="252" t="str">
        <f>IFERROR(__xludf.DUMMYFUNCTION("iferror(filter('Статьи'!$A$1:$A158,'Статьи'!$B$1:$B158=$A$15))"),"Комиссия топливных компаний")</f>
        <v>Комиссия топливных компаний</v>
      </c>
      <c r="B16" s="253">
        <f t="shared" ref="B16:M16" si="14">if($M$2,IFERROR(INDIRECT("'"&amp;B$3&amp;"'!"&amp;$B$2&amp;match($A16,INDIRECT("'"&amp;B$3&amp;"'!B1:B"),0)),""),
IFERROR(INDIRECT("'"&amp;B$3&amp;"!"&amp;$B$2&amp;match($A16,INDIRECT("'"&amp;B$3&amp;"'!B:B"),0)),""))</f>
        <v>-266</v>
      </c>
      <c r="C16" s="253">
        <f t="shared" si="14"/>
        <v>0</v>
      </c>
      <c r="D16" s="253">
        <f t="shared" si="14"/>
        <v>0</v>
      </c>
      <c r="E16" s="253">
        <f t="shared" si="14"/>
        <v>0</v>
      </c>
      <c r="F16" s="253">
        <f t="shared" si="14"/>
        <v>0</v>
      </c>
      <c r="G16" s="253">
        <f t="shared" si="14"/>
        <v>0</v>
      </c>
      <c r="H16" s="253">
        <f t="shared" si="14"/>
        <v>0</v>
      </c>
      <c r="I16" s="253">
        <f t="shared" si="14"/>
        <v>0</v>
      </c>
      <c r="J16" s="253">
        <f t="shared" si="14"/>
        <v>0</v>
      </c>
      <c r="K16" s="253">
        <f t="shared" si="14"/>
        <v>0</v>
      </c>
      <c r="L16" s="253">
        <f t="shared" si="14"/>
        <v>0</v>
      </c>
      <c r="M16" s="253">
        <f t="shared" si="14"/>
        <v>0</v>
      </c>
      <c r="N16" s="253">
        <f t="shared" si="4"/>
        <v>-266</v>
      </c>
    </row>
    <row r="17">
      <c r="A17" s="254" t="str">
        <f>IFERROR(__xludf.DUMMYFUNCTION("""COMPUTED_VALUE"""),"Топливо для грузовых авто ")</f>
        <v>Топливо для грузовых авто </v>
      </c>
      <c r="B17" s="253">
        <f t="shared" ref="B17:M17" si="15">if($M$2,IFERROR(INDIRECT("'"&amp;B$3&amp;"'!"&amp;$B$2&amp;match($A17,INDIRECT("'"&amp;B$3&amp;"'!B1:B"),0)),""),
IFERROR(INDIRECT("'"&amp;B$3&amp;"!"&amp;$B$2&amp;match($A17,INDIRECT("'"&amp;B$3&amp;"'!B:B"),0)),""))</f>
        <v>-49200</v>
      </c>
      <c r="C17" s="253">
        <f t="shared" si="15"/>
        <v>0</v>
      </c>
      <c r="D17" s="253">
        <f t="shared" si="15"/>
        <v>0</v>
      </c>
      <c r="E17" s="253">
        <f t="shared" si="15"/>
        <v>0</v>
      </c>
      <c r="F17" s="253">
        <f t="shared" si="15"/>
        <v>0</v>
      </c>
      <c r="G17" s="253">
        <f t="shared" si="15"/>
        <v>0</v>
      </c>
      <c r="H17" s="253">
        <f t="shared" si="15"/>
        <v>0</v>
      </c>
      <c r="I17" s="253">
        <f t="shared" si="15"/>
        <v>0</v>
      </c>
      <c r="J17" s="253">
        <f t="shared" si="15"/>
        <v>0</v>
      </c>
      <c r="K17" s="253">
        <f t="shared" si="15"/>
        <v>0</v>
      </c>
      <c r="L17" s="253">
        <f t="shared" si="15"/>
        <v>0</v>
      </c>
      <c r="M17" s="253">
        <f t="shared" si="15"/>
        <v>0</v>
      </c>
      <c r="N17" s="253">
        <f t="shared" si="4"/>
        <v>-49200</v>
      </c>
    </row>
    <row r="18">
      <c r="A18" s="255"/>
      <c r="B18" s="253" t="str">
        <f t="shared" ref="B18:M18" si="16">if($M$2,IFERROR(INDIRECT("'"&amp;B$3&amp;"'!"&amp;$B$2&amp;match($A18,INDIRECT("'"&amp;B$3&amp;"'!B1:B"),0)),""),
IFERROR(INDIRECT("'"&amp;B$3&amp;"!"&amp;$B$2&amp;match($A18,INDIRECT("'"&amp;B$3&amp;"'!B:B"),0)),""))</f>
        <v/>
      </c>
      <c r="C18" s="253" t="str">
        <f t="shared" si="16"/>
        <v/>
      </c>
      <c r="D18" s="253" t="str">
        <f t="shared" si="16"/>
        <v/>
      </c>
      <c r="E18" s="253" t="str">
        <f t="shared" si="16"/>
        <v/>
      </c>
      <c r="F18" s="253" t="str">
        <f t="shared" si="16"/>
        <v/>
      </c>
      <c r="G18" s="253" t="str">
        <f t="shared" si="16"/>
        <v/>
      </c>
      <c r="H18" s="253" t="str">
        <f t="shared" si="16"/>
        <v/>
      </c>
      <c r="I18" s="253" t="str">
        <f t="shared" si="16"/>
        <v/>
      </c>
      <c r="J18" s="253" t="str">
        <f t="shared" si="16"/>
        <v/>
      </c>
      <c r="K18" s="253" t="str">
        <f t="shared" si="16"/>
        <v/>
      </c>
      <c r="L18" s="253" t="str">
        <f t="shared" si="16"/>
        <v/>
      </c>
      <c r="M18" s="253" t="str">
        <f t="shared" si="16"/>
        <v/>
      </c>
      <c r="N18" s="253">
        <f t="shared" si="4"/>
        <v>0</v>
      </c>
    </row>
    <row r="19">
      <c r="A19" s="255"/>
      <c r="B19" s="253" t="str">
        <f t="shared" ref="B19:M19" si="17">if($M$2,IFERROR(INDIRECT("'"&amp;B$3&amp;"'!"&amp;$B$2&amp;match($A19,INDIRECT("'"&amp;B$3&amp;"'!B1:B"),0)),""),
IFERROR(INDIRECT("'"&amp;B$3&amp;"!"&amp;$B$2&amp;match($A19,INDIRECT("'"&amp;B$3&amp;"'!B:B"),0)),""))</f>
        <v/>
      </c>
      <c r="C19" s="253" t="str">
        <f t="shared" si="17"/>
        <v/>
      </c>
      <c r="D19" s="253" t="str">
        <f t="shared" si="17"/>
        <v/>
      </c>
      <c r="E19" s="253" t="str">
        <f t="shared" si="17"/>
        <v/>
      </c>
      <c r="F19" s="253" t="str">
        <f t="shared" si="17"/>
        <v/>
      </c>
      <c r="G19" s="253" t="str">
        <f t="shared" si="17"/>
        <v/>
      </c>
      <c r="H19" s="253" t="str">
        <f t="shared" si="17"/>
        <v/>
      </c>
      <c r="I19" s="253" t="str">
        <f t="shared" si="17"/>
        <v/>
      </c>
      <c r="J19" s="253" t="str">
        <f t="shared" si="17"/>
        <v/>
      </c>
      <c r="K19" s="253" t="str">
        <f t="shared" si="17"/>
        <v/>
      </c>
      <c r="L19" s="253" t="str">
        <f t="shared" si="17"/>
        <v/>
      </c>
      <c r="M19" s="253" t="str">
        <f t="shared" si="17"/>
        <v/>
      </c>
      <c r="N19" s="253">
        <f t="shared" si="4"/>
        <v>0</v>
      </c>
    </row>
    <row r="20" collapsed="1">
      <c r="A20" s="255"/>
      <c r="B20" s="253" t="str">
        <f t="shared" ref="B20:M20" si="18">if($M$2,IFERROR(INDIRECT("'"&amp;B$3&amp;"'!"&amp;$B$2&amp;match($A20,INDIRECT("'"&amp;B$3&amp;"'!B1:B"),0)),""),
IFERROR(INDIRECT("'"&amp;B$3&amp;"!"&amp;$B$2&amp;match($A20,INDIRECT("'"&amp;B$3&amp;"'!B:B"),0)),""))</f>
        <v/>
      </c>
      <c r="C20" s="253" t="str">
        <f t="shared" si="18"/>
        <v/>
      </c>
      <c r="D20" s="253" t="str">
        <f t="shared" si="18"/>
        <v/>
      </c>
      <c r="E20" s="253" t="str">
        <f t="shared" si="18"/>
        <v/>
      </c>
      <c r="F20" s="253" t="str">
        <f t="shared" si="18"/>
        <v/>
      </c>
      <c r="G20" s="253" t="str">
        <f t="shared" si="18"/>
        <v/>
      </c>
      <c r="H20" s="253" t="str">
        <f t="shared" si="18"/>
        <v/>
      </c>
      <c r="I20" s="253" t="str">
        <f t="shared" si="18"/>
        <v/>
      </c>
      <c r="J20" s="253" t="str">
        <f t="shared" si="18"/>
        <v/>
      </c>
      <c r="K20" s="253" t="str">
        <f t="shared" si="18"/>
        <v/>
      </c>
      <c r="L20" s="253" t="str">
        <f t="shared" si="18"/>
        <v/>
      </c>
      <c r="M20" s="253" t="str">
        <f t="shared" si="18"/>
        <v/>
      </c>
      <c r="N20" s="253">
        <f t="shared" si="4"/>
        <v>0</v>
      </c>
    </row>
    <row r="21" hidden="1" outlineLevel="1">
      <c r="A21" s="255"/>
      <c r="B21" s="253" t="str">
        <f t="shared" ref="B21:M21" si="19">if($M$2,IFERROR(INDIRECT("'"&amp;B$3&amp;"'!"&amp;$B$2&amp;match($A21,INDIRECT("'"&amp;B$3&amp;"'!B1:B"),0)),""),
IFERROR(INDIRECT("'"&amp;B$3&amp;"!"&amp;$B$2&amp;match($A21,INDIRECT("'"&amp;B$3&amp;"'!B:B"),0)),""))</f>
        <v/>
      </c>
      <c r="C21" s="253" t="str">
        <f t="shared" si="19"/>
        <v/>
      </c>
      <c r="D21" s="253" t="str">
        <f t="shared" si="19"/>
        <v/>
      </c>
      <c r="E21" s="253" t="str">
        <f t="shared" si="19"/>
        <v/>
      </c>
      <c r="F21" s="253" t="str">
        <f t="shared" si="19"/>
        <v/>
      </c>
      <c r="G21" s="253" t="str">
        <f t="shared" si="19"/>
        <v/>
      </c>
      <c r="H21" s="253" t="str">
        <f t="shared" si="19"/>
        <v/>
      </c>
      <c r="I21" s="253" t="str">
        <f t="shared" si="19"/>
        <v/>
      </c>
      <c r="J21" s="253" t="str">
        <f t="shared" si="19"/>
        <v/>
      </c>
      <c r="K21" s="253" t="str">
        <f t="shared" si="19"/>
        <v/>
      </c>
      <c r="L21" s="253" t="str">
        <f t="shared" si="19"/>
        <v/>
      </c>
      <c r="M21" s="253" t="str">
        <f t="shared" si="19"/>
        <v/>
      </c>
      <c r="N21" s="253">
        <f t="shared" si="4"/>
        <v>0</v>
      </c>
    </row>
    <row r="22" hidden="1" outlineLevel="1">
      <c r="A22" s="255"/>
      <c r="B22" s="253" t="str">
        <f t="shared" ref="B22:M22" si="20">if($M$2,IFERROR(INDIRECT("'"&amp;B$3&amp;"'!"&amp;$B$2&amp;match($A22,INDIRECT("'"&amp;B$3&amp;"'!B1:B"),0)),""),
IFERROR(INDIRECT("'"&amp;B$3&amp;"!"&amp;$B$2&amp;match($A22,INDIRECT("'"&amp;B$3&amp;"'!B:B"),0)),""))</f>
        <v/>
      </c>
      <c r="C22" s="253" t="str">
        <f t="shared" si="20"/>
        <v/>
      </c>
      <c r="D22" s="253" t="str">
        <f t="shared" si="20"/>
        <v/>
      </c>
      <c r="E22" s="253" t="str">
        <f t="shared" si="20"/>
        <v/>
      </c>
      <c r="F22" s="253" t="str">
        <f t="shared" si="20"/>
        <v/>
      </c>
      <c r="G22" s="253" t="str">
        <f t="shared" si="20"/>
        <v/>
      </c>
      <c r="H22" s="253" t="str">
        <f t="shared" si="20"/>
        <v/>
      </c>
      <c r="I22" s="253" t="str">
        <f t="shared" si="20"/>
        <v/>
      </c>
      <c r="J22" s="253" t="str">
        <f t="shared" si="20"/>
        <v/>
      </c>
      <c r="K22" s="253" t="str">
        <f t="shared" si="20"/>
        <v/>
      </c>
      <c r="L22" s="253" t="str">
        <f t="shared" si="20"/>
        <v/>
      </c>
      <c r="M22" s="253" t="str">
        <f t="shared" si="20"/>
        <v/>
      </c>
      <c r="N22" s="253">
        <f t="shared" si="4"/>
        <v>0</v>
      </c>
    </row>
    <row r="23" hidden="1" outlineLevel="1">
      <c r="A23" s="255"/>
      <c r="B23" s="253" t="str">
        <f t="shared" ref="B23:M23" si="21">if($M$2,IFERROR(INDIRECT("'"&amp;B$3&amp;"'!"&amp;$B$2&amp;match($A23,INDIRECT("'"&amp;B$3&amp;"'!B1:B"),0)),""),
IFERROR(INDIRECT("'"&amp;B$3&amp;"!"&amp;$B$2&amp;match($A23,INDIRECT("'"&amp;B$3&amp;"'!B:B"),0)),""))</f>
        <v/>
      </c>
      <c r="C23" s="253" t="str">
        <f t="shared" si="21"/>
        <v/>
      </c>
      <c r="D23" s="253" t="str">
        <f t="shared" si="21"/>
        <v/>
      </c>
      <c r="E23" s="253" t="str">
        <f t="shared" si="21"/>
        <v/>
      </c>
      <c r="F23" s="253" t="str">
        <f t="shared" si="21"/>
        <v/>
      </c>
      <c r="G23" s="253" t="str">
        <f t="shared" si="21"/>
        <v/>
      </c>
      <c r="H23" s="253" t="str">
        <f t="shared" si="21"/>
        <v/>
      </c>
      <c r="I23" s="253" t="str">
        <f t="shared" si="21"/>
        <v/>
      </c>
      <c r="J23" s="253" t="str">
        <f t="shared" si="21"/>
        <v/>
      </c>
      <c r="K23" s="253" t="str">
        <f t="shared" si="21"/>
        <v/>
      </c>
      <c r="L23" s="253" t="str">
        <f t="shared" si="21"/>
        <v/>
      </c>
      <c r="M23" s="253" t="str">
        <f t="shared" si="21"/>
        <v/>
      </c>
      <c r="N23" s="253">
        <f t="shared" si="4"/>
        <v>0</v>
      </c>
    </row>
    <row r="24" hidden="1" outlineLevel="1">
      <c r="A24" s="255"/>
      <c r="B24" s="253" t="str">
        <f t="shared" ref="B24:M24" si="22">if($M$2,IFERROR(INDIRECT("'"&amp;B$3&amp;"'!"&amp;$B$2&amp;match($A24,INDIRECT("'"&amp;B$3&amp;"'!B1:B"),0)),""),
IFERROR(INDIRECT("'"&amp;B$3&amp;"!"&amp;$B$2&amp;match($A24,INDIRECT("'"&amp;B$3&amp;"'!B:B"),0)),""))</f>
        <v/>
      </c>
      <c r="C24" s="253" t="str">
        <f t="shared" si="22"/>
        <v/>
      </c>
      <c r="D24" s="253" t="str">
        <f t="shared" si="22"/>
        <v/>
      </c>
      <c r="E24" s="253" t="str">
        <f t="shared" si="22"/>
        <v/>
      </c>
      <c r="F24" s="253" t="str">
        <f t="shared" si="22"/>
        <v/>
      </c>
      <c r="G24" s="253" t="str">
        <f t="shared" si="22"/>
        <v/>
      </c>
      <c r="H24" s="253" t="str">
        <f t="shared" si="22"/>
        <v/>
      </c>
      <c r="I24" s="253" t="str">
        <f t="shared" si="22"/>
        <v/>
      </c>
      <c r="J24" s="253" t="str">
        <f t="shared" si="22"/>
        <v/>
      </c>
      <c r="K24" s="253" t="str">
        <f t="shared" si="22"/>
        <v/>
      </c>
      <c r="L24" s="253" t="str">
        <f t="shared" si="22"/>
        <v/>
      </c>
      <c r="M24" s="253" t="str">
        <f t="shared" si="22"/>
        <v/>
      </c>
      <c r="N24" s="253">
        <f t="shared" si="4"/>
        <v>0</v>
      </c>
    </row>
    <row r="25" hidden="1" outlineLevel="1">
      <c r="A25" s="255"/>
      <c r="B25" s="253" t="str">
        <f t="shared" ref="B25:M25" si="23">if($M$2,IFERROR(INDIRECT("'"&amp;B$3&amp;"'!"&amp;$B$2&amp;match($A25,INDIRECT("'"&amp;B$3&amp;"'!B1:B"),0)),""),
IFERROR(INDIRECT("'"&amp;B$3&amp;"!"&amp;$B$2&amp;match($A25,INDIRECT("'"&amp;B$3&amp;"'!B:B"),0)),""))</f>
        <v/>
      </c>
      <c r="C25" s="253" t="str">
        <f t="shared" si="23"/>
        <v/>
      </c>
      <c r="D25" s="253" t="str">
        <f t="shared" si="23"/>
        <v/>
      </c>
      <c r="E25" s="253" t="str">
        <f t="shared" si="23"/>
        <v/>
      </c>
      <c r="F25" s="253" t="str">
        <f t="shared" si="23"/>
        <v/>
      </c>
      <c r="G25" s="253" t="str">
        <f t="shared" si="23"/>
        <v/>
      </c>
      <c r="H25" s="253" t="str">
        <f t="shared" si="23"/>
        <v/>
      </c>
      <c r="I25" s="253" t="str">
        <f t="shared" si="23"/>
        <v/>
      </c>
      <c r="J25" s="253" t="str">
        <f t="shared" si="23"/>
        <v/>
      </c>
      <c r="K25" s="253" t="str">
        <f t="shared" si="23"/>
        <v/>
      </c>
      <c r="L25" s="253" t="str">
        <f t="shared" si="23"/>
        <v/>
      </c>
      <c r="M25" s="253" t="str">
        <f t="shared" si="23"/>
        <v/>
      </c>
      <c r="N25" s="253">
        <f t="shared" si="4"/>
        <v>0</v>
      </c>
    </row>
    <row r="26" hidden="1" outlineLevel="1">
      <c r="A26" s="255"/>
      <c r="B26" s="247" t="str">
        <f t="shared" ref="B26:M26" si="24">if($M$2,IFERROR(INDIRECT("'"&amp;B$3&amp;"'!"&amp;$B$2&amp;match($A26,INDIRECT("'"&amp;B$3&amp;"'!B1:B"),0)),""),
IFERROR(INDIRECT("'"&amp;B$3&amp;"!"&amp;$B$2&amp;match($A26,INDIRECT("'"&amp;B$3&amp;"'!B:B"),0)),""))</f>
        <v/>
      </c>
      <c r="C26" s="247" t="str">
        <f t="shared" si="24"/>
        <v/>
      </c>
      <c r="D26" s="247" t="str">
        <f t="shared" si="24"/>
        <v/>
      </c>
      <c r="E26" s="247" t="str">
        <f t="shared" si="24"/>
        <v/>
      </c>
      <c r="F26" s="247" t="str">
        <f t="shared" si="24"/>
        <v/>
      </c>
      <c r="G26" s="247" t="str">
        <f t="shared" si="24"/>
        <v/>
      </c>
      <c r="H26" s="247" t="str">
        <f t="shared" si="24"/>
        <v/>
      </c>
      <c r="I26" s="247" t="str">
        <f t="shared" si="24"/>
        <v/>
      </c>
      <c r="J26" s="247" t="str">
        <f t="shared" si="24"/>
        <v/>
      </c>
      <c r="K26" s="247" t="str">
        <f t="shared" si="24"/>
        <v/>
      </c>
      <c r="L26" s="247" t="str">
        <f t="shared" si="24"/>
        <v/>
      </c>
      <c r="M26" s="247" t="str">
        <f t="shared" si="24"/>
        <v/>
      </c>
      <c r="N26" s="247">
        <f t="shared" si="4"/>
        <v>0</v>
      </c>
    </row>
    <row r="27" hidden="1" outlineLevel="1">
      <c r="A27" s="255"/>
      <c r="B27" s="247" t="str">
        <f t="shared" ref="B27:M27" si="25">if($M$2,IFERROR(INDIRECT("'"&amp;B$3&amp;"'!"&amp;$B$2&amp;match($A27,INDIRECT("'"&amp;B$3&amp;"'!B1:B"),0)),""),
IFERROR(INDIRECT("'"&amp;B$3&amp;"!"&amp;$B$2&amp;match($A27,INDIRECT("'"&amp;B$3&amp;"'!B:B"),0)),""))</f>
        <v/>
      </c>
      <c r="C27" s="247" t="str">
        <f t="shared" si="25"/>
        <v/>
      </c>
      <c r="D27" s="247" t="str">
        <f t="shared" si="25"/>
        <v/>
      </c>
      <c r="E27" s="247" t="str">
        <f t="shared" si="25"/>
        <v/>
      </c>
      <c r="F27" s="247" t="str">
        <f t="shared" si="25"/>
        <v/>
      </c>
      <c r="G27" s="247" t="str">
        <f t="shared" si="25"/>
        <v/>
      </c>
      <c r="H27" s="247" t="str">
        <f t="shared" si="25"/>
        <v/>
      </c>
      <c r="I27" s="247" t="str">
        <f t="shared" si="25"/>
        <v/>
      </c>
      <c r="J27" s="247" t="str">
        <f t="shared" si="25"/>
        <v/>
      </c>
      <c r="K27" s="247" t="str">
        <f t="shared" si="25"/>
        <v/>
      </c>
      <c r="L27" s="247" t="str">
        <f t="shared" si="25"/>
        <v/>
      </c>
      <c r="M27" s="247" t="str">
        <f t="shared" si="25"/>
        <v/>
      </c>
      <c r="N27" s="247">
        <f t="shared" si="4"/>
        <v>0</v>
      </c>
    </row>
    <row r="28" hidden="1" outlineLevel="1">
      <c r="A28" s="254"/>
      <c r="B28" s="247" t="str">
        <f t="shared" ref="B28:M28" si="26">if($M$2,IFERROR(INDIRECT("'"&amp;B$3&amp;"'!"&amp;$B$2&amp;match($A28,INDIRECT("'"&amp;B$3&amp;"'!B1:B"),0)),""),
IFERROR(INDIRECT("'"&amp;B$3&amp;"!"&amp;$B$2&amp;match($A28,INDIRECT("'"&amp;B$3&amp;"'!B:B"),0)),""))</f>
        <v/>
      </c>
      <c r="C28" s="247" t="str">
        <f t="shared" si="26"/>
        <v/>
      </c>
      <c r="D28" s="247" t="str">
        <f t="shared" si="26"/>
        <v/>
      </c>
      <c r="E28" s="247" t="str">
        <f t="shared" si="26"/>
        <v/>
      </c>
      <c r="F28" s="247" t="str">
        <f t="shared" si="26"/>
        <v/>
      </c>
      <c r="G28" s="247" t="str">
        <f t="shared" si="26"/>
        <v/>
      </c>
      <c r="H28" s="247" t="str">
        <f t="shared" si="26"/>
        <v/>
      </c>
      <c r="I28" s="247" t="str">
        <f t="shared" si="26"/>
        <v/>
      </c>
      <c r="J28" s="247" t="str">
        <f t="shared" si="26"/>
        <v/>
      </c>
      <c r="K28" s="247" t="str">
        <f t="shared" si="26"/>
        <v/>
      </c>
      <c r="L28" s="247" t="str">
        <f t="shared" si="26"/>
        <v/>
      </c>
      <c r="M28" s="247" t="str">
        <f t="shared" si="26"/>
        <v/>
      </c>
      <c r="N28" s="247">
        <f t="shared" si="4"/>
        <v>0</v>
      </c>
    </row>
    <row r="29" hidden="1" outlineLevel="1">
      <c r="A29" s="256"/>
      <c r="B29" s="247" t="str">
        <f t="shared" ref="B29:M29" si="27">if($M$2,IFERROR(INDIRECT("'"&amp;B$3&amp;"'!"&amp;$B$2&amp;match($A29,INDIRECT("'"&amp;B$3&amp;"'!B1:B"),0)),""),
IFERROR(INDIRECT("'"&amp;B$3&amp;"!"&amp;$B$2&amp;match($A29,INDIRECT("'"&amp;B$3&amp;"'!B:B"),0)),""))</f>
        <v/>
      </c>
      <c r="C29" s="247" t="str">
        <f t="shared" si="27"/>
        <v/>
      </c>
      <c r="D29" s="247" t="str">
        <f t="shared" si="27"/>
        <v/>
      </c>
      <c r="E29" s="247" t="str">
        <f t="shared" si="27"/>
        <v/>
      </c>
      <c r="F29" s="247" t="str">
        <f t="shared" si="27"/>
        <v/>
      </c>
      <c r="G29" s="247" t="str">
        <f t="shared" si="27"/>
        <v/>
      </c>
      <c r="H29" s="247" t="str">
        <f t="shared" si="27"/>
        <v/>
      </c>
      <c r="I29" s="247" t="str">
        <f t="shared" si="27"/>
        <v/>
      </c>
      <c r="J29" s="247" t="str">
        <f t="shared" si="27"/>
        <v/>
      </c>
      <c r="K29" s="247" t="str">
        <f t="shared" si="27"/>
        <v/>
      </c>
      <c r="L29" s="247" t="str">
        <f t="shared" si="27"/>
        <v/>
      </c>
      <c r="M29" s="247" t="str">
        <f t="shared" si="27"/>
        <v/>
      </c>
      <c r="N29" s="247">
        <f t="shared" si="4"/>
        <v>0</v>
      </c>
    </row>
    <row r="30" hidden="1" outlineLevel="1">
      <c r="A30" s="256"/>
      <c r="B30" s="247" t="str">
        <f t="shared" ref="B30:M30" si="28">if($M$2,IFERROR(INDIRECT("'"&amp;B$3&amp;"'!"&amp;$B$2&amp;match($A30,INDIRECT("'"&amp;B$3&amp;"'!B1:B"),0)),""),
IFERROR(INDIRECT("'"&amp;B$3&amp;"!"&amp;$B$2&amp;match($A30,INDIRECT("'"&amp;B$3&amp;"'!B:B"),0)),""))</f>
        <v/>
      </c>
      <c r="C30" s="247" t="str">
        <f t="shared" si="28"/>
        <v/>
      </c>
      <c r="D30" s="247" t="str">
        <f t="shared" si="28"/>
        <v/>
      </c>
      <c r="E30" s="247" t="str">
        <f t="shared" si="28"/>
        <v/>
      </c>
      <c r="F30" s="247" t="str">
        <f t="shared" si="28"/>
        <v/>
      </c>
      <c r="G30" s="247" t="str">
        <f t="shared" si="28"/>
        <v/>
      </c>
      <c r="H30" s="247" t="str">
        <f t="shared" si="28"/>
        <v/>
      </c>
      <c r="I30" s="247" t="str">
        <f t="shared" si="28"/>
        <v/>
      </c>
      <c r="J30" s="247" t="str">
        <f t="shared" si="28"/>
        <v/>
      </c>
      <c r="K30" s="247" t="str">
        <f t="shared" si="28"/>
        <v/>
      </c>
      <c r="L30" s="247" t="str">
        <f t="shared" si="28"/>
        <v/>
      </c>
      <c r="M30" s="247" t="str">
        <f t="shared" si="28"/>
        <v/>
      </c>
      <c r="N30" s="247">
        <f t="shared" si="4"/>
        <v>0</v>
      </c>
    </row>
    <row r="31" hidden="1" outlineLevel="1">
      <c r="A31" s="256"/>
      <c r="B31" s="247" t="str">
        <f t="shared" ref="B31:M31" si="29">if($M$2,IFERROR(INDIRECT("'"&amp;B$3&amp;"'!"&amp;$B$2&amp;match($A31,INDIRECT("'"&amp;B$3&amp;"'!B1:B"),0)),""),
IFERROR(INDIRECT("'"&amp;B$3&amp;"!"&amp;$B$2&amp;match($A31,INDIRECT("'"&amp;B$3&amp;"'!B:B"),0)),""))</f>
        <v/>
      </c>
      <c r="C31" s="247" t="str">
        <f t="shared" si="29"/>
        <v/>
      </c>
      <c r="D31" s="247" t="str">
        <f t="shared" si="29"/>
        <v/>
      </c>
      <c r="E31" s="247" t="str">
        <f t="shared" si="29"/>
        <v/>
      </c>
      <c r="F31" s="247" t="str">
        <f t="shared" si="29"/>
        <v/>
      </c>
      <c r="G31" s="247" t="str">
        <f t="shared" si="29"/>
        <v/>
      </c>
      <c r="H31" s="247" t="str">
        <f t="shared" si="29"/>
        <v/>
      </c>
      <c r="I31" s="247" t="str">
        <f t="shared" si="29"/>
        <v/>
      </c>
      <c r="J31" s="247" t="str">
        <f t="shared" si="29"/>
        <v/>
      </c>
      <c r="K31" s="247" t="str">
        <f t="shared" si="29"/>
        <v/>
      </c>
      <c r="L31" s="247" t="str">
        <f t="shared" si="29"/>
        <v/>
      </c>
      <c r="M31" s="247" t="str">
        <f t="shared" si="29"/>
        <v/>
      </c>
      <c r="N31" s="247">
        <f t="shared" si="4"/>
        <v>0</v>
      </c>
    </row>
    <row r="32">
      <c r="A32" s="256"/>
      <c r="B32" s="247" t="str">
        <f t="shared" ref="B32:M32" si="30">if($M$2,IFERROR(INDIRECT("'"&amp;B$3&amp;"'!"&amp;$B$2&amp;match($A32,INDIRECT("'"&amp;B$3&amp;"'!B1:B"),0)),""),
IFERROR(INDIRECT("'"&amp;B$3&amp;"!"&amp;$B$2&amp;match($A32,INDIRECT("'"&amp;B$3&amp;"'!B:B"),0)),""))</f>
        <v/>
      </c>
      <c r="C32" s="247" t="str">
        <f t="shared" si="30"/>
        <v/>
      </c>
      <c r="D32" s="247" t="str">
        <f t="shared" si="30"/>
        <v/>
      </c>
      <c r="E32" s="247" t="str">
        <f t="shared" si="30"/>
        <v/>
      </c>
      <c r="F32" s="247" t="str">
        <f t="shared" si="30"/>
        <v/>
      </c>
      <c r="G32" s="247" t="str">
        <f t="shared" si="30"/>
        <v/>
      </c>
      <c r="H32" s="247" t="str">
        <f t="shared" si="30"/>
        <v/>
      </c>
      <c r="I32" s="247" t="str">
        <f t="shared" si="30"/>
        <v/>
      </c>
      <c r="J32" s="247" t="str">
        <f t="shared" si="30"/>
        <v/>
      </c>
      <c r="K32" s="247" t="str">
        <f t="shared" si="30"/>
        <v/>
      </c>
      <c r="L32" s="247" t="str">
        <f t="shared" si="30"/>
        <v/>
      </c>
      <c r="M32" s="247" t="str">
        <f t="shared" si="30"/>
        <v/>
      </c>
      <c r="N32" s="247">
        <f t="shared" si="4"/>
        <v>0</v>
      </c>
    </row>
    <row r="33">
      <c r="A33" s="257" t="s">
        <v>136</v>
      </c>
      <c r="B33" s="258">
        <f t="shared" ref="B33:M33" si="31">B5+B15</f>
        <v>178134</v>
      </c>
      <c r="C33" s="258">
        <f t="shared" si="31"/>
        <v>0</v>
      </c>
      <c r="D33" s="258">
        <f t="shared" si="31"/>
        <v>0</v>
      </c>
      <c r="E33" s="258">
        <f t="shared" si="31"/>
        <v>4</v>
      </c>
      <c r="F33" s="258">
        <f t="shared" si="31"/>
        <v>5</v>
      </c>
      <c r="G33" s="258">
        <f t="shared" si="31"/>
        <v>6</v>
      </c>
      <c r="H33" s="258">
        <f t="shared" si="31"/>
        <v>7</v>
      </c>
      <c r="I33" s="258">
        <f t="shared" si="31"/>
        <v>8</v>
      </c>
      <c r="J33" s="258">
        <f t="shared" si="31"/>
        <v>9</v>
      </c>
      <c r="K33" s="258">
        <f t="shared" si="31"/>
        <v>10</v>
      </c>
      <c r="L33" s="258">
        <f t="shared" si="31"/>
        <v>11</v>
      </c>
      <c r="M33" s="258">
        <f t="shared" si="31"/>
        <v>12</v>
      </c>
      <c r="N33" s="258">
        <f t="shared" si="4"/>
        <v>178206</v>
      </c>
    </row>
    <row r="34">
      <c r="A34" s="259" t="s">
        <v>161</v>
      </c>
      <c r="B34" s="260">
        <f t="shared" ref="B34:N34" si="32">IFERROR(B33/B$5,"")</f>
        <v>0.7826625659</v>
      </c>
      <c r="C34" s="260" t="str">
        <f t="shared" si="32"/>
        <v/>
      </c>
      <c r="D34" s="260" t="str">
        <f t="shared" si="32"/>
        <v/>
      </c>
      <c r="E34" s="260">
        <f t="shared" si="32"/>
        <v>1</v>
      </c>
      <c r="F34" s="260">
        <f t="shared" si="32"/>
        <v>1</v>
      </c>
      <c r="G34" s="260">
        <f t="shared" si="32"/>
        <v>1</v>
      </c>
      <c r="H34" s="260">
        <f t="shared" si="32"/>
        <v>1</v>
      </c>
      <c r="I34" s="260">
        <f t="shared" si="32"/>
        <v>1</v>
      </c>
      <c r="J34" s="260">
        <f t="shared" si="32"/>
        <v>1</v>
      </c>
      <c r="K34" s="260">
        <f t="shared" si="32"/>
        <v>1</v>
      </c>
      <c r="L34" s="260">
        <f t="shared" si="32"/>
        <v>1</v>
      </c>
      <c r="M34" s="260">
        <f t="shared" si="32"/>
        <v>1</v>
      </c>
      <c r="N34" s="260">
        <f t="shared" si="32"/>
        <v>0.7827312977</v>
      </c>
    </row>
    <row r="35">
      <c r="A35" s="252"/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>
        <f t="shared" ref="N35:N68" si="34">SUM(B35:M35)</f>
        <v>0</v>
      </c>
    </row>
    <row r="36">
      <c r="A36" s="262" t="s">
        <v>94</v>
      </c>
      <c r="B36" s="251">
        <f t="shared" ref="B36:M36" si="33">SUM(B37:B67)</f>
        <v>-12519</v>
      </c>
      <c r="C36" s="251">
        <f t="shared" si="33"/>
        <v>0</v>
      </c>
      <c r="D36" s="251">
        <f t="shared" si="33"/>
        <v>0</v>
      </c>
      <c r="E36" s="251">
        <f t="shared" si="33"/>
        <v>0</v>
      </c>
      <c r="F36" s="251">
        <f t="shared" si="33"/>
        <v>0</v>
      </c>
      <c r="G36" s="251">
        <f t="shared" si="33"/>
        <v>0</v>
      </c>
      <c r="H36" s="251">
        <f t="shared" si="33"/>
        <v>0</v>
      </c>
      <c r="I36" s="251">
        <f t="shared" si="33"/>
        <v>0</v>
      </c>
      <c r="J36" s="251">
        <f t="shared" si="33"/>
        <v>0</v>
      </c>
      <c r="K36" s="251">
        <f t="shared" si="33"/>
        <v>0</v>
      </c>
      <c r="L36" s="251">
        <f t="shared" si="33"/>
        <v>0</v>
      </c>
      <c r="M36" s="251">
        <f t="shared" si="33"/>
        <v>0</v>
      </c>
      <c r="N36" s="251">
        <f t="shared" si="34"/>
        <v>-12519</v>
      </c>
    </row>
    <row r="37">
      <c r="A37" s="254" t="str">
        <f>IFERROR(__xludf.DUMMYFUNCTION("iferror(filter('Статьи'!$A$1:$A158,'Статьи'!$B$1:$B158=$A$36))"),"Зарплата производственного персонала")</f>
        <v>Зарплата производственного персонала</v>
      </c>
      <c r="B37" s="247">
        <f t="shared" ref="B37:M37" si="35">if($M$2,IFERROR(INDIRECT("'"&amp;B$3&amp;"'!"&amp;$B$2&amp;match($A37,INDIRECT("'"&amp;B$3&amp;"'!B1:B"),0)),""),
IFERROR(INDIRECT("'"&amp;B$3&amp;"!"&amp;$B$2&amp;match($A37,INDIRECT("'"&amp;B$3&amp;"'!B:B"),0)),""))</f>
        <v>-19</v>
      </c>
      <c r="C37" s="247">
        <f t="shared" si="35"/>
        <v>0</v>
      </c>
      <c r="D37" s="247">
        <f t="shared" si="35"/>
        <v>0</v>
      </c>
      <c r="E37" s="247">
        <f t="shared" si="35"/>
        <v>0</v>
      </c>
      <c r="F37" s="247">
        <f t="shared" si="35"/>
        <v>0</v>
      </c>
      <c r="G37" s="247">
        <f t="shared" si="35"/>
        <v>0</v>
      </c>
      <c r="H37" s="247">
        <f t="shared" si="35"/>
        <v>0</v>
      </c>
      <c r="I37" s="247">
        <f t="shared" si="35"/>
        <v>0</v>
      </c>
      <c r="J37" s="247">
        <f t="shared" si="35"/>
        <v>0</v>
      </c>
      <c r="K37" s="247">
        <f t="shared" si="35"/>
        <v>0</v>
      </c>
      <c r="L37" s="247">
        <f t="shared" si="35"/>
        <v>0</v>
      </c>
      <c r="M37" s="247">
        <f t="shared" si="35"/>
        <v>0</v>
      </c>
      <c r="N37" s="247">
        <f t="shared" si="34"/>
        <v>-19</v>
      </c>
    </row>
    <row r="38">
      <c r="A38" s="254" t="str">
        <f>IFERROR(__xludf.DUMMYFUNCTION("""COMPUTED_VALUE"""),"Таможенные расходы")</f>
        <v>Таможенные расходы</v>
      </c>
      <c r="B38" s="247">
        <f t="shared" ref="B38:M38" si="36">if($M$2,IFERROR(INDIRECT("'"&amp;B$3&amp;"'!"&amp;$B$2&amp;match($A38,INDIRECT("'"&amp;B$3&amp;"'!B1:B"),0)),""),
IFERROR(INDIRECT("'"&amp;B$3&amp;"!"&amp;$B$2&amp;match($A38,INDIRECT("'"&amp;B$3&amp;"'!B:B"),0)),""))</f>
        <v>-12500</v>
      </c>
      <c r="C38" s="247">
        <f t="shared" si="36"/>
        <v>0</v>
      </c>
      <c r="D38" s="247">
        <f t="shared" si="36"/>
        <v>0</v>
      </c>
      <c r="E38" s="247">
        <f t="shared" si="36"/>
        <v>0</v>
      </c>
      <c r="F38" s="247">
        <f t="shared" si="36"/>
        <v>0</v>
      </c>
      <c r="G38" s="247">
        <f t="shared" si="36"/>
        <v>0</v>
      </c>
      <c r="H38" s="247">
        <f t="shared" si="36"/>
        <v>0</v>
      </c>
      <c r="I38" s="247">
        <f t="shared" si="36"/>
        <v>0</v>
      </c>
      <c r="J38" s="247">
        <f t="shared" si="36"/>
        <v>0</v>
      </c>
      <c r="K38" s="247">
        <f t="shared" si="36"/>
        <v>0</v>
      </c>
      <c r="L38" s="247">
        <f t="shared" si="36"/>
        <v>0</v>
      </c>
      <c r="M38" s="247">
        <f t="shared" si="36"/>
        <v>0</v>
      </c>
      <c r="N38" s="247">
        <f t="shared" si="34"/>
        <v>-12500</v>
      </c>
    </row>
    <row r="39">
      <c r="A39" s="254"/>
      <c r="B39" s="247" t="str">
        <f t="shared" ref="B39:M39" si="37">if($M$2,IFERROR(INDIRECT("'"&amp;B$3&amp;"'!"&amp;$B$2&amp;match($A39,INDIRECT("'"&amp;B$3&amp;"'!B1:B"),0)),""),
IFERROR(INDIRECT("'"&amp;B$3&amp;"!"&amp;$B$2&amp;match($A39,INDIRECT("'"&amp;B$3&amp;"'!B:B"),0)),""))</f>
        <v/>
      </c>
      <c r="C39" s="263" t="str">
        <f t="shared" si="37"/>
        <v/>
      </c>
      <c r="D39" s="263" t="str">
        <f t="shared" si="37"/>
        <v/>
      </c>
      <c r="E39" s="263" t="str">
        <f t="shared" si="37"/>
        <v/>
      </c>
      <c r="F39" s="247" t="str">
        <f t="shared" si="37"/>
        <v/>
      </c>
      <c r="G39" s="247" t="str">
        <f t="shared" si="37"/>
        <v/>
      </c>
      <c r="H39" s="247" t="str">
        <f t="shared" si="37"/>
        <v/>
      </c>
      <c r="I39" s="247" t="str">
        <f t="shared" si="37"/>
        <v/>
      </c>
      <c r="J39" s="247" t="str">
        <f t="shared" si="37"/>
        <v/>
      </c>
      <c r="K39" s="247" t="str">
        <f t="shared" si="37"/>
        <v/>
      </c>
      <c r="L39" s="247" t="str">
        <f t="shared" si="37"/>
        <v/>
      </c>
      <c r="M39" s="247" t="str">
        <f t="shared" si="37"/>
        <v/>
      </c>
      <c r="N39" s="247">
        <f t="shared" si="34"/>
        <v>0</v>
      </c>
    </row>
    <row r="40" ht="18.0" customHeight="1">
      <c r="A40" s="254"/>
      <c r="B40" s="247" t="str">
        <f t="shared" ref="B40:M40" si="38">if($M$2,IFERROR(INDIRECT("'"&amp;B$3&amp;"'!"&amp;$B$2&amp;match($A40,INDIRECT("'"&amp;B$3&amp;"'!B1:B"),0)),""),
IFERROR(INDIRECT("'"&amp;B$3&amp;"!"&amp;$B$2&amp;match($A40,INDIRECT("'"&amp;B$3&amp;"'!B:B"),0)),""))</f>
        <v/>
      </c>
      <c r="C40" s="263" t="str">
        <f t="shared" si="38"/>
        <v/>
      </c>
      <c r="D40" s="263" t="str">
        <f t="shared" si="38"/>
        <v/>
      </c>
      <c r="E40" s="263" t="str">
        <f t="shared" si="38"/>
        <v/>
      </c>
      <c r="F40" s="247" t="str">
        <f t="shared" si="38"/>
        <v/>
      </c>
      <c r="G40" s="247" t="str">
        <f t="shared" si="38"/>
        <v/>
      </c>
      <c r="H40" s="247" t="str">
        <f t="shared" si="38"/>
        <v/>
      </c>
      <c r="I40" s="247" t="str">
        <f t="shared" si="38"/>
        <v/>
      </c>
      <c r="J40" s="247" t="str">
        <f t="shared" si="38"/>
        <v/>
      </c>
      <c r="K40" s="247" t="str">
        <f t="shared" si="38"/>
        <v/>
      </c>
      <c r="L40" s="247" t="str">
        <f t="shared" si="38"/>
        <v/>
      </c>
      <c r="M40" s="247" t="str">
        <f t="shared" si="38"/>
        <v/>
      </c>
      <c r="N40" s="247">
        <f t="shared" si="34"/>
        <v>0</v>
      </c>
    </row>
    <row r="41">
      <c r="A41" s="255"/>
      <c r="B41" s="247" t="str">
        <f t="shared" ref="B41:M41" si="39">if($M$2,IFERROR(INDIRECT("'"&amp;B$3&amp;"'!"&amp;$B$2&amp;match($A41,INDIRECT("'"&amp;B$3&amp;"'!B1:B"),0)),""),
IFERROR(INDIRECT("'"&amp;B$3&amp;"!"&amp;$B$2&amp;match($A41,INDIRECT("'"&amp;B$3&amp;"'!B:B"),0)),""))</f>
        <v/>
      </c>
      <c r="C41" s="247" t="str">
        <f t="shared" si="39"/>
        <v/>
      </c>
      <c r="D41" s="247" t="str">
        <f t="shared" si="39"/>
        <v/>
      </c>
      <c r="E41" s="247" t="str">
        <f t="shared" si="39"/>
        <v/>
      </c>
      <c r="F41" s="247" t="str">
        <f t="shared" si="39"/>
        <v/>
      </c>
      <c r="G41" s="247" t="str">
        <f t="shared" si="39"/>
        <v/>
      </c>
      <c r="H41" s="247" t="str">
        <f t="shared" si="39"/>
        <v/>
      </c>
      <c r="I41" s="247" t="str">
        <f t="shared" si="39"/>
        <v/>
      </c>
      <c r="J41" s="247" t="str">
        <f t="shared" si="39"/>
        <v/>
      </c>
      <c r="K41" s="247" t="str">
        <f t="shared" si="39"/>
        <v/>
      </c>
      <c r="L41" s="247" t="str">
        <f t="shared" si="39"/>
        <v/>
      </c>
      <c r="M41" s="247" t="str">
        <f t="shared" si="39"/>
        <v/>
      </c>
      <c r="N41" s="247">
        <f t="shared" si="34"/>
        <v>0</v>
      </c>
    </row>
    <row r="42">
      <c r="A42" s="233"/>
      <c r="B42" s="247" t="str">
        <f t="shared" ref="B42:M42" si="40">if($M$2,IFERROR(INDIRECT("'"&amp;B$3&amp;"'!"&amp;$B$2&amp;match($A42,INDIRECT("'"&amp;B$3&amp;"'!B1:B"),0)),""),
IFERROR(INDIRECT("'"&amp;B$3&amp;"!"&amp;$B$2&amp;match($A42,INDIRECT("'"&amp;B$3&amp;"'!B:B"),0)),""))</f>
        <v/>
      </c>
      <c r="C42" s="247" t="str">
        <f t="shared" si="40"/>
        <v/>
      </c>
      <c r="D42" s="247" t="str">
        <f t="shared" si="40"/>
        <v/>
      </c>
      <c r="E42" s="247" t="str">
        <f t="shared" si="40"/>
        <v/>
      </c>
      <c r="F42" s="247" t="str">
        <f t="shared" si="40"/>
        <v/>
      </c>
      <c r="G42" s="247" t="str">
        <f t="shared" si="40"/>
        <v/>
      </c>
      <c r="H42" s="247" t="str">
        <f t="shared" si="40"/>
        <v/>
      </c>
      <c r="I42" s="247" t="str">
        <f t="shared" si="40"/>
        <v/>
      </c>
      <c r="J42" s="247" t="str">
        <f t="shared" si="40"/>
        <v/>
      </c>
      <c r="K42" s="247" t="str">
        <f t="shared" si="40"/>
        <v/>
      </c>
      <c r="L42" s="247" t="str">
        <f t="shared" si="40"/>
        <v/>
      </c>
      <c r="M42" s="247" t="str">
        <f t="shared" si="40"/>
        <v/>
      </c>
      <c r="N42" s="247">
        <f t="shared" si="34"/>
        <v>0</v>
      </c>
    </row>
    <row r="43">
      <c r="A43" s="233"/>
      <c r="B43" s="247" t="str">
        <f t="shared" ref="B43:M43" si="41">if($M$2,IFERROR(INDIRECT("'"&amp;B$3&amp;"'!"&amp;$B$2&amp;match($A43,INDIRECT("'"&amp;B$3&amp;"'!B1:B"),0)),""),
IFERROR(INDIRECT("'"&amp;B$3&amp;"!"&amp;$B$2&amp;match($A43,INDIRECT("'"&amp;B$3&amp;"'!B:B"),0)),""))</f>
        <v/>
      </c>
      <c r="C43" s="247" t="str">
        <f t="shared" si="41"/>
        <v/>
      </c>
      <c r="D43" s="247" t="str">
        <f t="shared" si="41"/>
        <v/>
      </c>
      <c r="E43" s="247" t="str">
        <f t="shared" si="41"/>
        <v/>
      </c>
      <c r="F43" s="247" t="str">
        <f t="shared" si="41"/>
        <v/>
      </c>
      <c r="G43" s="247" t="str">
        <f t="shared" si="41"/>
        <v/>
      </c>
      <c r="H43" s="247" t="str">
        <f t="shared" si="41"/>
        <v/>
      </c>
      <c r="I43" s="247" t="str">
        <f t="shared" si="41"/>
        <v/>
      </c>
      <c r="J43" s="247" t="str">
        <f t="shared" si="41"/>
        <v/>
      </c>
      <c r="K43" s="247" t="str">
        <f t="shared" si="41"/>
        <v/>
      </c>
      <c r="L43" s="247" t="str">
        <f t="shared" si="41"/>
        <v/>
      </c>
      <c r="M43" s="247" t="str">
        <f t="shared" si="41"/>
        <v/>
      </c>
      <c r="N43" s="247">
        <f t="shared" si="34"/>
        <v>0</v>
      </c>
    </row>
    <row r="44">
      <c r="A44" s="233"/>
      <c r="B44" s="247" t="str">
        <f t="shared" ref="B44:M44" si="42">if($M$2,IFERROR(INDIRECT("'"&amp;B$3&amp;"'!"&amp;$B$2&amp;match($A44,INDIRECT("'"&amp;B$3&amp;"'!B1:B"),0)),""),
IFERROR(INDIRECT("'"&amp;B$3&amp;"!"&amp;$B$2&amp;match($A44,INDIRECT("'"&amp;B$3&amp;"'!B:B"),0)),""))</f>
        <v/>
      </c>
      <c r="C44" s="247" t="str">
        <f t="shared" si="42"/>
        <v/>
      </c>
      <c r="D44" s="247" t="str">
        <f t="shared" si="42"/>
        <v/>
      </c>
      <c r="E44" s="247" t="str">
        <f t="shared" si="42"/>
        <v/>
      </c>
      <c r="F44" s="247" t="str">
        <f t="shared" si="42"/>
        <v/>
      </c>
      <c r="G44" s="247" t="str">
        <f t="shared" si="42"/>
        <v/>
      </c>
      <c r="H44" s="247" t="str">
        <f t="shared" si="42"/>
        <v/>
      </c>
      <c r="I44" s="247" t="str">
        <f t="shared" si="42"/>
        <v/>
      </c>
      <c r="J44" s="247" t="str">
        <f t="shared" si="42"/>
        <v/>
      </c>
      <c r="K44" s="247" t="str">
        <f t="shared" si="42"/>
        <v/>
      </c>
      <c r="L44" s="247" t="str">
        <f t="shared" si="42"/>
        <v/>
      </c>
      <c r="M44" s="247" t="str">
        <f t="shared" si="42"/>
        <v/>
      </c>
      <c r="N44" s="247">
        <f t="shared" si="34"/>
        <v>0</v>
      </c>
    </row>
    <row r="45">
      <c r="A45" s="233"/>
      <c r="B45" s="247" t="str">
        <f t="shared" ref="B45:M45" si="43">if($M$2,IFERROR(INDIRECT("'"&amp;B$3&amp;"'!"&amp;$B$2&amp;match($A45,INDIRECT("'"&amp;B$3&amp;"'!B1:B"),0)),""),
IFERROR(INDIRECT("'"&amp;B$3&amp;"!"&amp;$B$2&amp;match($A45,INDIRECT("'"&amp;B$3&amp;"'!B:B"),0)),""))</f>
        <v/>
      </c>
      <c r="C45" s="247" t="str">
        <f t="shared" si="43"/>
        <v/>
      </c>
      <c r="D45" s="247" t="str">
        <f t="shared" si="43"/>
        <v/>
      </c>
      <c r="E45" s="247" t="str">
        <f t="shared" si="43"/>
        <v/>
      </c>
      <c r="F45" s="247" t="str">
        <f t="shared" si="43"/>
        <v/>
      </c>
      <c r="G45" s="247" t="str">
        <f t="shared" si="43"/>
        <v/>
      </c>
      <c r="H45" s="247" t="str">
        <f t="shared" si="43"/>
        <v/>
      </c>
      <c r="I45" s="247" t="str">
        <f t="shared" si="43"/>
        <v/>
      </c>
      <c r="J45" s="247" t="str">
        <f t="shared" si="43"/>
        <v/>
      </c>
      <c r="K45" s="247" t="str">
        <f t="shared" si="43"/>
        <v/>
      </c>
      <c r="L45" s="247" t="str">
        <f t="shared" si="43"/>
        <v/>
      </c>
      <c r="M45" s="247" t="str">
        <f t="shared" si="43"/>
        <v/>
      </c>
      <c r="N45" s="247">
        <f t="shared" si="34"/>
        <v>0</v>
      </c>
    </row>
    <row r="46">
      <c r="A46" s="233"/>
      <c r="B46" s="247" t="str">
        <f t="shared" ref="B46:M46" si="44">if($M$2,IFERROR(INDIRECT("'"&amp;B$3&amp;"'!"&amp;$B$2&amp;match($A46,INDIRECT("'"&amp;B$3&amp;"'!B1:B"),0)),""),
IFERROR(INDIRECT("'"&amp;B$3&amp;"!"&amp;$B$2&amp;match($A46,INDIRECT("'"&amp;B$3&amp;"'!B:B"),0)),""))</f>
        <v/>
      </c>
      <c r="C46" s="247" t="str">
        <f t="shared" si="44"/>
        <v/>
      </c>
      <c r="D46" s="247" t="str">
        <f t="shared" si="44"/>
        <v/>
      </c>
      <c r="E46" s="247" t="str">
        <f t="shared" si="44"/>
        <v/>
      </c>
      <c r="F46" s="247" t="str">
        <f t="shared" si="44"/>
        <v/>
      </c>
      <c r="G46" s="247" t="str">
        <f t="shared" si="44"/>
        <v/>
      </c>
      <c r="H46" s="247" t="str">
        <f t="shared" si="44"/>
        <v/>
      </c>
      <c r="I46" s="247" t="str">
        <f t="shared" si="44"/>
        <v/>
      </c>
      <c r="J46" s="247" t="str">
        <f t="shared" si="44"/>
        <v/>
      </c>
      <c r="K46" s="247" t="str">
        <f t="shared" si="44"/>
        <v/>
      </c>
      <c r="L46" s="247" t="str">
        <f t="shared" si="44"/>
        <v/>
      </c>
      <c r="M46" s="247" t="str">
        <f t="shared" si="44"/>
        <v/>
      </c>
      <c r="N46" s="247">
        <f t="shared" si="34"/>
        <v>0</v>
      </c>
    </row>
    <row r="47">
      <c r="A47" s="233"/>
      <c r="B47" s="247" t="str">
        <f t="shared" ref="B47:M47" si="45">if($M$2,IFERROR(INDIRECT("'"&amp;B$3&amp;"'!"&amp;$B$2&amp;match($A47,INDIRECT("'"&amp;B$3&amp;"'!B1:B"),0)),""),
IFERROR(INDIRECT("'"&amp;B$3&amp;"!"&amp;$B$2&amp;match($A47,INDIRECT("'"&amp;B$3&amp;"'!B:B"),0)),""))</f>
        <v/>
      </c>
      <c r="C47" s="247" t="str">
        <f t="shared" si="45"/>
        <v/>
      </c>
      <c r="D47" s="247" t="str">
        <f t="shared" si="45"/>
        <v/>
      </c>
      <c r="E47" s="247" t="str">
        <f t="shared" si="45"/>
        <v/>
      </c>
      <c r="F47" s="247" t="str">
        <f t="shared" si="45"/>
        <v/>
      </c>
      <c r="G47" s="247" t="str">
        <f t="shared" si="45"/>
        <v/>
      </c>
      <c r="H47" s="247" t="str">
        <f t="shared" si="45"/>
        <v/>
      </c>
      <c r="I47" s="247" t="str">
        <f t="shared" si="45"/>
        <v/>
      </c>
      <c r="J47" s="247" t="str">
        <f t="shared" si="45"/>
        <v/>
      </c>
      <c r="K47" s="247" t="str">
        <f t="shared" si="45"/>
        <v/>
      </c>
      <c r="L47" s="247" t="str">
        <f t="shared" si="45"/>
        <v/>
      </c>
      <c r="M47" s="247" t="str">
        <f t="shared" si="45"/>
        <v/>
      </c>
      <c r="N47" s="247">
        <f t="shared" si="34"/>
        <v>0</v>
      </c>
    </row>
    <row r="48">
      <c r="A48" s="233"/>
      <c r="B48" s="247" t="str">
        <f t="shared" ref="B48:M48" si="46">if($M$2,IFERROR(INDIRECT("'"&amp;B$3&amp;"'!"&amp;$B$2&amp;match($A48,INDIRECT("'"&amp;B$3&amp;"'!B1:B"),0)),""),
IFERROR(INDIRECT("'"&amp;B$3&amp;"!"&amp;$B$2&amp;match($A48,INDIRECT("'"&amp;B$3&amp;"'!B:B"),0)),""))</f>
        <v/>
      </c>
      <c r="C48" s="247" t="str">
        <f t="shared" si="46"/>
        <v/>
      </c>
      <c r="D48" s="247" t="str">
        <f t="shared" si="46"/>
        <v/>
      </c>
      <c r="E48" s="247" t="str">
        <f t="shared" si="46"/>
        <v/>
      </c>
      <c r="F48" s="247" t="str">
        <f t="shared" si="46"/>
        <v/>
      </c>
      <c r="G48" s="247" t="str">
        <f t="shared" si="46"/>
        <v/>
      </c>
      <c r="H48" s="247" t="str">
        <f t="shared" si="46"/>
        <v/>
      </c>
      <c r="I48" s="247" t="str">
        <f t="shared" si="46"/>
        <v/>
      </c>
      <c r="J48" s="247" t="str">
        <f t="shared" si="46"/>
        <v/>
      </c>
      <c r="K48" s="247" t="str">
        <f t="shared" si="46"/>
        <v/>
      </c>
      <c r="L48" s="247" t="str">
        <f t="shared" si="46"/>
        <v/>
      </c>
      <c r="M48" s="247" t="str">
        <f t="shared" si="46"/>
        <v/>
      </c>
      <c r="N48" s="247">
        <f t="shared" si="34"/>
        <v>0</v>
      </c>
    </row>
    <row r="49" collapsed="1">
      <c r="A49" s="233"/>
      <c r="B49" s="247" t="str">
        <f t="shared" ref="B49:M49" si="47">if($M$2,IFERROR(INDIRECT("'"&amp;B$3&amp;"'!"&amp;$B$2&amp;match($A49,INDIRECT("'"&amp;B$3&amp;"'!B1:B"),0)),""),
IFERROR(INDIRECT("'"&amp;B$3&amp;"!"&amp;$B$2&amp;match($A49,INDIRECT("'"&amp;B$3&amp;"'!B:B"),0)),""))</f>
        <v/>
      </c>
      <c r="C49" s="247" t="str">
        <f t="shared" si="47"/>
        <v/>
      </c>
      <c r="D49" s="247" t="str">
        <f t="shared" si="47"/>
        <v/>
      </c>
      <c r="E49" s="247" t="str">
        <f t="shared" si="47"/>
        <v/>
      </c>
      <c r="F49" s="247" t="str">
        <f t="shared" si="47"/>
        <v/>
      </c>
      <c r="G49" s="247" t="str">
        <f t="shared" si="47"/>
        <v/>
      </c>
      <c r="H49" s="247" t="str">
        <f t="shared" si="47"/>
        <v/>
      </c>
      <c r="I49" s="247" t="str">
        <f t="shared" si="47"/>
        <v/>
      </c>
      <c r="J49" s="247" t="str">
        <f t="shared" si="47"/>
        <v/>
      </c>
      <c r="K49" s="247" t="str">
        <f t="shared" si="47"/>
        <v/>
      </c>
      <c r="L49" s="247" t="str">
        <f t="shared" si="47"/>
        <v/>
      </c>
      <c r="M49" s="247" t="str">
        <f t="shared" si="47"/>
        <v/>
      </c>
      <c r="N49" s="247">
        <f t="shared" si="34"/>
        <v>0</v>
      </c>
    </row>
    <row r="50" hidden="1" outlineLevel="1">
      <c r="A50" s="233"/>
      <c r="B50" s="247" t="str">
        <f t="shared" ref="B50:M50" si="48">if($M$2,IFERROR(INDIRECT("'"&amp;B$3&amp;"'!"&amp;$B$2&amp;match($A50,INDIRECT("'"&amp;B$3&amp;"'!B1:B"),0)),""),
IFERROR(INDIRECT("'"&amp;B$3&amp;"!"&amp;$B$2&amp;match($A50,INDIRECT("'"&amp;B$3&amp;"'!B:B"),0)),""))</f>
        <v/>
      </c>
      <c r="C50" s="247" t="str">
        <f t="shared" si="48"/>
        <v/>
      </c>
      <c r="D50" s="247" t="str">
        <f t="shared" si="48"/>
        <v/>
      </c>
      <c r="E50" s="247" t="str">
        <f t="shared" si="48"/>
        <v/>
      </c>
      <c r="F50" s="247" t="str">
        <f t="shared" si="48"/>
        <v/>
      </c>
      <c r="G50" s="247" t="str">
        <f t="shared" si="48"/>
        <v/>
      </c>
      <c r="H50" s="247" t="str">
        <f t="shared" si="48"/>
        <v/>
      </c>
      <c r="I50" s="247" t="str">
        <f t="shared" si="48"/>
        <v/>
      </c>
      <c r="J50" s="247" t="str">
        <f t="shared" si="48"/>
        <v/>
      </c>
      <c r="K50" s="247" t="str">
        <f t="shared" si="48"/>
        <v/>
      </c>
      <c r="L50" s="247" t="str">
        <f t="shared" si="48"/>
        <v/>
      </c>
      <c r="M50" s="247" t="str">
        <f t="shared" si="48"/>
        <v/>
      </c>
      <c r="N50" s="247">
        <f t="shared" si="34"/>
        <v>0</v>
      </c>
    </row>
    <row r="51" hidden="1" outlineLevel="1">
      <c r="A51" s="233"/>
      <c r="B51" s="247" t="str">
        <f t="shared" ref="B51:M51" si="49">if($M$2,IFERROR(INDIRECT("'"&amp;B$3&amp;"'!"&amp;$B$2&amp;match($A51,INDIRECT("'"&amp;B$3&amp;"'!B1:B"),0)),""),
IFERROR(INDIRECT("'"&amp;B$3&amp;"!"&amp;$B$2&amp;match($A51,INDIRECT("'"&amp;B$3&amp;"'!B:B"),0)),""))</f>
        <v/>
      </c>
      <c r="C51" s="247" t="str">
        <f t="shared" si="49"/>
        <v/>
      </c>
      <c r="D51" s="247" t="str">
        <f t="shared" si="49"/>
        <v/>
      </c>
      <c r="E51" s="247" t="str">
        <f t="shared" si="49"/>
        <v/>
      </c>
      <c r="F51" s="247" t="str">
        <f t="shared" si="49"/>
        <v/>
      </c>
      <c r="G51" s="247" t="str">
        <f t="shared" si="49"/>
        <v/>
      </c>
      <c r="H51" s="247" t="str">
        <f t="shared" si="49"/>
        <v/>
      </c>
      <c r="I51" s="247" t="str">
        <f t="shared" si="49"/>
        <v/>
      </c>
      <c r="J51" s="247" t="str">
        <f t="shared" si="49"/>
        <v/>
      </c>
      <c r="K51" s="247" t="str">
        <f t="shared" si="49"/>
        <v/>
      </c>
      <c r="L51" s="247" t="str">
        <f t="shared" si="49"/>
        <v/>
      </c>
      <c r="M51" s="247" t="str">
        <f t="shared" si="49"/>
        <v/>
      </c>
      <c r="N51" s="247">
        <f t="shared" si="34"/>
        <v>0</v>
      </c>
    </row>
    <row r="52" hidden="1" outlineLevel="1">
      <c r="A52" s="233"/>
      <c r="B52" s="247" t="str">
        <f t="shared" ref="B52:M52" si="50">if($M$2,IFERROR(INDIRECT("'"&amp;B$3&amp;"'!"&amp;$B$2&amp;match($A52,INDIRECT("'"&amp;B$3&amp;"'!B1:B"),0)),""),
IFERROR(INDIRECT("'"&amp;B$3&amp;"!"&amp;$B$2&amp;match($A52,INDIRECT("'"&amp;B$3&amp;"'!B:B"),0)),""))</f>
        <v/>
      </c>
      <c r="C52" s="247" t="str">
        <f t="shared" si="50"/>
        <v/>
      </c>
      <c r="D52" s="247" t="str">
        <f t="shared" si="50"/>
        <v/>
      </c>
      <c r="E52" s="247" t="str">
        <f t="shared" si="50"/>
        <v/>
      </c>
      <c r="F52" s="247" t="str">
        <f t="shared" si="50"/>
        <v/>
      </c>
      <c r="G52" s="247" t="str">
        <f t="shared" si="50"/>
        <v/>
      </c>
      <c r="H52" s="247" t="str">
        <f t="shared" si="50"/>
        <v/>
      </c>
      <c r="I52" s="247" t="str">
        <f t="shared" si="50"/>
        <v/>
      </c>
      <c r="J52" s="247" t="str">
        <f t="shared" si="50"/>
        <v/>
      </c>
      <c r="K52" s="247" t="str">
        <f t="shared" si="50"/>
        <v/>
      </c>
      <c r="L52" s="247" t="str">
        <f t="shared" si="50"/>
        <v/>
      </c>
      <c r="M52" s="247" t="str">
        <f t="shared" si="50"/>
        <v/>
      </c>
      <c r="N52" s="247">
        <f t="shared" si="34"/>
        <v>0</v>
      </c>
    </row>
    <row r="53" hidden="1" outlineLevel="1">
      <c r="A53" s="233"/>
      <c r="B53" s="247" t="str">
        <f t="shared" ref="B53:M53" si="51">if($M$2,IFERROR(INDIRECT("'"&amp;B$3&amp;"'!"&amp;$B$2&amp;match($A53,INDIRECT("'"&amp;B$3&amp;"'!B1:B"),0)),""),
IFERROR(INDIRECT("'"&amp;B$3&amp;"!"&amp;$B$2&amp;match($A53,INDIRECT("'"&amp;B$3&amp;"'!B:B"),0)),""))</f>
        <v/>
      </c>
      <c r="C53" s="247" t="str">
        <f t="shared" si="51"/>
        <v/>
      </c>
      <c r="D53" s="247" t="str">
        <f t="shared" si="51"/>
        <v/>
      </c>
      <c r="E53" s="247" t="str">
        <f t="shared" si="51"/>
        <v/>
      </c>
      <c r="F53" s="247" t="str">
        <f t="shared" si="51"/>
        <v/>
      </c>
      <c r="G53" s="247" t="str">
        <f t="shared" si="51"/>
        <v/>
      </c>
      <c r="H53" s="247" t="str">
        <f t="shared" si="51"/>
        <v/>
      </c>
      <c r="I53" s="247" t="str">
        <f t="shared" si="51"/>
        <v/>
      </c>
      <c r="J53" s="247" t="str">
        <f t="shared" si="51"/>
        <v/>
      </c>
      <c r="K53" s="247" t="str">
        <f t="shared" si="51"/>
        <v/>
      </c>
      <c r="L53" s="247" t="str">
        <f t="shared" si="51"/>
        <v/>
      </c>
      <c r="M53" s="247" t="str">
        <f t="shared" si="51"/>
        <v/>
      </c>
      <c r="N53" s="247">
        <f t="shared" si="34"/>
        <v>0</v>
      </c>
    </row>
    <row r="54" hidden="1" outlineLevel="1">
      <c r="A54" s="233"/>
      <c r="B54" s="247" t="str">
        <f t="shared" ref="B54:M54" si="52">if($M$2,IFERROR(INDIRECT("'"&amp;B$3&amp;"'!"&amp;$B$2&amp;match($A54,INDIRECT("'"&amp;B$3&amp;"'!B1:B"),0)),""),
IFERROR(INDIRECT("'"&amp;B$3&amp;"!"&amp;$B$2&amp;match($A54,INDIRECT("'"&amp;B$3&amp;"'!B:B"),0)),""))</f>
        <v/>
      </c>
      <c r="C54" s="247" t="str">
        <f t="shared" si="52"/>
        <v/>
      </c>
      <c r="D54" s="247" t="str">
        <f t="shared" si="52"/>
        <v/>
      </c>
      <c r="E54" s="247" t="str">
        <f t="shared" si="52"/>
        <v/>
      </c>
      <c r="F54" s="247" t="str">
        <f t="shared" si="52"/>
        <v/>
      </c>
      <c r="G54" s="247" t="str">
        <f t="shared" si="52"/>
        <v/>
      </c>
      <c r="H54" s="247" t="str">
        <f t="shared" si="52"/>
        <v/>
      </c>
      <c r="I54" s="247" t="str">
        <f t="shared" si="52"/>
        <v/>
      </c>
      <c r="J54" s="247" t="str">
        <f t="shared" si="52"/>
        <v/>
      </c>
      <c r="K54" s="247" t="str">
        <f t="shared" si="52"/>
        <v/>
      </c>
      <c r="L54" s="247" t="str">
        <f t="shared" si="52"/>
        <v/>
      </c>
      <c r="M54" s="247" t="str">
        <f t="shared" si="52"/>
        <v/>
      </c>
      <c r="N54" s="247">
        <f t="shared" si="34"/>
        <v>0</v>
      </c>
    </row>
    <row r="55" hidden="1" outlineLevel="1">
      <c r="A55" s="233"/>
      <c r="B55" s="247" t="str">
        <f t="shared" ref="B55:M55" si="53">if($M$2,IFERROR(INDIRECT("'"&amp;B$3&amp;"'!"&amp;$B$2&amp;match($A55,INDIRECT("'"&amp;B$3&amp;"'!B1:B"),0)),""),
IFERROR(INDIRECT("'"&amp;B$3&amp;"!"&amp;$B$2&amp;match($A55,INDIRECT("'"&amp;B$3&amp;"'!B:B"),0)),""))</f>
        <v/>
      </c>
      <c r="C55" s="247" t="str">
        <f t="shared" si="53"/>
        <v/>
      </c>
      <c r="D55" s="247" t="str">
        <f t="shared" si="53"/>
        <v/>
      </c>
      <c r="E55" s="247" t="str">
        <f t="shared" si="53"/>
        <v/>
      </c>
      <c r="F55" s="247" t="str">
        <f t="shared" si="53"/>
        <v/>
      </c>
      <c r="G55" s="247" t="str">
        <f t="shared" si="53"/>
        <v/>
      </c>
      <c r="H55" s="247" t="str">
        <f t="shared" si="53"/>
        <v/>
      </c>
      <c r="I55" s="247" t="str">
        <f t="shared" si="53"/>
        <v/>
      </c>
      <c r="J55" s="247" t="str">
        <f t="shared" si="53"/>
        <v/>
      </c>
      <c r="K55" s="247" t="str">
        <f t="shared" si="53"/>
        <v/>
      </c>
      <c r="L55" s="247" t="str">
        <f t="shared" si="53"/>
        <v/>
      </c>
      <c r="M55" s="247" t="str">
        <f t="shared" si="53"/>
        <v/>
      </c>
      <c r="N55" s="247">
        <f t="shared" si="34"/>
        <v>0</v>
      </c>
    </row>
    <row r="56" hidden="1" outlineLevel="1">
      <c r="A56" s="233"/>
      <c r="B56" s="247" t="str">
        <f t="shared" ref="B56:M56" si="54">if($M$2,IFERROR(INDIRECT("'"&amp;B$3&amp;"'!"&amp;$B$2&amp;match($A56,INDIRECT("'"&amp;B$3&amp;"'!B1:B"),0)),""),
IFERROR(INDIRECT("'"&amp;B$3&amp;"!"&amp;$B$2&amp;match($A56,INDIRECT("'"&amp;B$3&amp;"'!B:B"),0)),""))</f>
        <v/>
      </c>
      <c r="C56" s="247" t="str">
        <f t="shared" si="54"/>
        <v/>
      </c>
      <c r="D56" s="247" t="str">
        <f t="shared" si="54"/>
        <v/>
      </c>
      <c r="E56" s="247" t="str">
        <f t="shared" si="54"/>
        <v/>
      </c>
      <c r="F56" s="247" t="str">
        <f t="shared" si="54"/>
        <v/>
      </c>
      <c r="G56" s="247" t="str">
        <f t="shared" si="54"/>
        <v/>
      </c>
      <c r="H56" s="247" t="str">
        <f t="shared" si="54"/>
        <v/>
      </c>
      <c r="I56" s="247" t="str">
        <f t="shared" si="54"/>
        <v/>
      </c>
      <c r="J56" s="247" t="str">
        <f t="shared" si="54"/>
        <v/>
      </c>
      <c r="K56" s="247" t="str">
        <f t="shared" si="54"/>
        <v/>
      </c>
      <c r="L56" s="247" t="str">
        <f t="shared" si="54"/>
        <v/>
      </c>
      <c r="M56" s="247" t="str">
        <f t="shared" si="54"/>
        <v/>
      </c>
      <c r="N56" s="247">
        <f t="shared" si="34"/>
        <v>0</v>
      </c>
    </row>
    <row r="57" hidden="1" outlineLevel="1">
      <c r="A57" s="233"/>
      <c r="B57" s="247" t="str">
        <f t="shared" ref="B57:M57" si="55">if($M$2,IFERROR(INDIRECT("'"&amp;B$3&amp;"'!"&amp;$B$2&amp;match($A57,INDIRECT("'"&amp;B$3&amp;"'!B1:B"),0)),""),
IFERROR(INDIRECT("'"&amp;B$3&amp;"!"&amp;$B$2&amp;match($A57,INDIRECT("'"&amp;B$3&amp;"'!B:B"),0)),""))</f>
        <v/>
      </c>
      <c r="C57" s="247" t="str">
        <f t="shared" si="55"/>
        <v/>
      </c>
      <c r="D57" s="247" t="str">
        <f t="shared" si="55"/>
        <v/>
      </c>
      <c r="E57" s="247" t="str">
        <f t="shared" si="55"/>
        <v/>
      </c>
      <c r="F57" s="247" t="str">
        <f t="shared" si="55"/>
        <v/>
      </c>
      <c r="G57" s="247" t="str">
        <f t="shared" si="55"/>
        <v/>
      </c>
      <c r="H57" s="247" t="str">
        <f t="shared" si="55"/>
        <v/>
      </c>
      <c r="I57" s="247" t="str">
        <f t="shared" si="55"/>
        <v/>
      </c>
      <c r="J57" s="247" t="str">
        <f t="shared" si="55"/>
        <v/>
      </c>
      <c r="K57" s="247" t="str">
        <f t="shared" si="55"/>
        <v/>
      </c>
      <c r="L57" s="247" t="str">
        <f t="shared" si="55"/>
        <v/>
      </c>
      <c r="M57" s="247" t="str">
        <f t="shared" si="55"/>
        <v/>
      </c>
      <c r="N57" s="247">
        <f t="shared" si="34"/>
        <v>0</v>
      </c>
    </row>
    <row r="58" hidden="1" outlineLevel="1">
      <c r="A58" s="233"/>
      <c r="B58" s="247" t="str">
        <f t="shared" ref="B58:M58" si="56">if($M$2,IFERROR(INDIRECT("'"&amp;B$3&amp;"'!"&amp;$B$2&amp;match($A58,INDIRECT("'"&amp;B$3&amp;"'!B1:B"),0)),""),
IFERROR(INDIRECT("'"&amp;B$3&amp;"!"&amp;$B$2&amp;match($A58,INDIRECT("'"&amp;B$3&amp;"'!B:B"),0)),""))</f>
        <v/>
      </c>
      <c r="C58" s="247" t="str">
        <f t="shared" si="56"/>
        <v/>
      </c>
      <c r="D58" s="247" t="str">
        <f t="shared" si="56"/>
        <v/>
      </c>
      <c r="E58" s="247" t="str">
        <f t="shared" si="56"/>
        <v/>
      </c>
      <c r="F58" s="247" t="str">
        <f t="shared" si="56"/>
        <v/>
      </c>
      <c r="G58" s="247" t="str">
        <f t="shared" si="56"/>
        <v/>
      </c>
      <c r="H58" s="247" t="str">
        <f t="shared" si="56"/>
        <v/>
      </c>
      <c r="I58" s="247" t="str">
        <f t="shared" si="56"/>
        <v/>
      </c>
      <c r="J58" s="247" t="str">
        <f t="shared" si="56"/>
        <v/>
      </c>
      <c r="K58" s="247" t="str">
        <f t="shared" si="56"/>
        <v/>
      </c>
      <c r="L58" s="247" t="str">
        <f t="shared" si="56"/>
        <v/>
      </c>
      <c r="M58" s="247" t="str">
        <f t="shared" si="56"/>
        <v/>
      </c>
      <c r="N58" s="247">
        <f t="shared" si="34"/>
        <v>0</v>
      </c>
    </row>
    <row r="59" hidden="1" outlineLevel="1">
      <c r="A59" s="233"/>
      <c r="B59" s="247" t="str">
        <f t="shared" ref="B59:M59" si="57">if($M$2,IFERROR(INDIRECT("'"&amp;B$3&amp;"'!"&amp;$B$2&amp;match($A59,INDIRECT("'"&amp;B$3&amp;"'!B1:B"),0)),""),
IFERROR(INDIRECT("'"&amp;B$3&amp;"!"&amp;$B$2&amp;match($A59,INDIRECT("'"&amp;B$3&amp;"'!B:B"),0)),""))</f>
        <v/>
      </c>
      <c r="C59" s="247" t="str">
        <f t="shared" si="57"/>
        <v/>
      </c>
      <c r="D59" s="247" t="str">
        <f t="shared" si="57"/>
        <v/>
      </c>
      <c r="E59" s="247" t="str">
        <f t="shared" si="57"/>
        <v/>
      </c>
      <c r="F59" s="247" t="str">
        <f t="shared" si="57"/>
        <v/>
      </c>
      <c r="G59" s="247" t="str">
        <f t="shared" si="57"/>
        <v/>
      </c>
      <c r="H59" s="247" t="str">
        <f t="shared" si="57"/>
        <v/>
      </c>
      <c r="I59" s="247" t="str">
        <f t="shared" si="57"/>
        <v/>
      </c>
      <c r="J59" s="247" t="str">
        <f t="shared" si="57"/>
        <v/>
      </c>
      <c r="K59" s="247" t="str">
        <f t="shared" si="57"/>
        <v/>
      </c>
      <c r="L59" s="247" t="str">
        <f t="shared" si="57"/>
        <v/>
      </c>
      <c r="M59" s="247" t="str">
        <f t="shared" si="57"/>
        <v/>
      </c>
      <c r="N59" s="247">
        <f t="shared" si="34"/>
        <v>0</v>
      </c>
    </row>
    <row r="60" hidden="1" outlineLevel="1">
      <c r="A60" s="233"/>
      <c r="B60" s="247" t="str">
        <f t="shared" ref="B60:M60" si="58">if($M$2,IFERROR(INDIRECT("'"&amp;B$3&amp;"'!"&amp;$B$2&amp;match($A60,INDIRECT("'"&amp;B$3&amp;"'!B1:B"),0)),""),
IFERROR(INDIRECT("'"&amp;B$3&amp;"!"&amp;$B$2&amp;match($A60,INDIRECT("'"&amp;B$3&amp;"'!B:B"),0)),""))</f>
        <v/>
      </c>
      <c r="C60" s="247" t="str">
        <f t="shared" si="58"/>
        <v/>
      </c>
      <c r="D60" s="247" t="str">
        <f t="shared" si="58"/>
        <v/>
      </c>
      <c r="E60" s="247" t="str">
        <f t="shared" si="58"/>
        <v/>
      </c>
      <c r="F60" s="247" t="str">
        <f t="shared" si="58"/>
        <v/>
      </c>
      <c r="G60" s="247" t="str">
        <f t="shared" si="58"/>
        <v/>
      </c>
      <c r="H60" s="247" t="str">
        <f t="shared" si="58"/>
        <v/>
      </c>
      <c r="I60" s="247" t="str">
        <f t="shared" si="58"/>
        <v/>
      </c>
      <c r="J60" s="247" t="str">
        <f t="shared" si="58"/>
        <v/>
      </c>
      <c r="K60" s="247" t="str">
        <f t="shared" si="58"/>
        <v/>
      </c>
      <c r="L60" s="247" t="str">
        <f t="shared" si="58"/>
        <v/>
      </c>
      <c r="M60" s="247" t="str">
        <f t="shared" si="58"/>
        <v/>
      </c>
      <c r="N60" s="247">
        <f t="shared" si="34"/>
        <v>0</v>
      </c>
    </row>
    <row r="61" hidden="1" outlineLevel="1">
      <c r="A61" s="233"/>
      <c r="B61" s="247" t="str">
        <f t="shared" ref="B61:M61" si="59">if($M$2,IFERROR(INDIRECT("'"&amp;B$3&amp;"'!"&amp;$B$2&amp;match($A61,INDIRECT("'"&amp;B$3&amp;"'!B1:B"),0)),""),
IFERROR(INDIRECT("'"&amp;B$3&amp;"!"&amp;$B$2&amp;match($A61,INDIRECT("'"&amp;B$3&amp;"'!B:B"),0)),""))</f>
        <v/>
      </c>
      <c r="C61" s="247" t="str">
        <f t="shared" si="59"/>
        <v/>
      </c>
      <c r="D61" s="247" t="str">
        <f t="shared" si="59"/>
        <v/>
      </c>
      <c r="E61" s="247" t="str">
        <f t="shared" si="59"/>
        <v/>
      </c>
      <c r="F61" s="247" t="str">
        <f t="shared" si="59"/>
        <v/>
      </c>
      <c r="G61" s="247" t="str">
        <f t="shared" si="59"/>
        <v/>
      </c>
      <c r="H61" s="247" t="str">
        <f t="shared" si="59"/>
        <v/>
      </c>
      <c r="I61" s="247" t="str">
        <f t="shared" si="59"/>
        <v/>
      </c>
      <c r="J61" s="247" t="str">
        <f t="shared" si="59"/>
        <v/>
      </c>
      <c r="K61" s="247" t="str">
        <f t="shared" si="59"/>
        <v/>
      </c>
      <c r="L61" s="247" t="str">
        <f t="shared" si="59"/>
        <v/>
      </c>
      <c r="M61" s="247" t="str">
        <f t="shared" si="59"/>
        <v/>
      </c>
      <c r="N61" s="247">
        <f t="shared" si="34"/>
        <v>0</v>
      </c>
    </row>
    <row r="62" hidden="1" outlineLevel="1">
      <c r="A62" s="233"/>
      <c r="B62" s="247" t="str">
        <f t="shared" ref="B62:M62" si="60">if($M$2,IFERROR(INDIRECT("'"&amp;B$3&amp;"'!"&amp;$B$2&amp;match($A62,INDIRECT("'"&amp;B$3&amp;"'!B1:B"),0)),""),
IFERROR(INDIRECT("'"&amp;B$3&amp;"!"&amp;$B$2&amp;match($A62,INDIRECT("'"&amp;B$3&amp;"'!B:B"),0)),""))</f>
        <v/>
      </c>
      <c r="C62" s="247" t="str">
        <f t="shared" si="60"/>
        <v/>
      </c>
      <c r="D62" s="247" t="str">
        <f t="shared" si="60"/>
        <v/>
      </c>
      <c r="E62" s="247" t="str">
        <f t="shared" si="60"/>
        <v/>
      </c>
      <c r="F62" s="247" t="str">
        <f t="shared" si="60"/>
        <v/>
      </c>
      <c r="G62" s="247" t="str">
        <f t="shared" si="60"/>
        <v/>
      </c>
      <c r="H62" s="247" t="str">
        <f t="shared" si="60"/>
        <v/>
      </c>
      <c r="I62" s="247" t="str">
        <f t="shared" si="60"/>
        <v/>
      </c>
      <c r="J62" s="247" t="str">
        <f t="shared" si="60"/>
        <v/>
      </c>
      <c r="K62" s="247" t="str">
        <f t="shared" si="60"/>
        <v/>
      </c>
      <c r="L62" s="247" t="str">
        <f t="shared" si="60"/>
        <v/>
      </c>
      <c r="M62" s="247" t="str">
        <f t="shared" si="60"/>
        <v/>
      </c>
      <c r="N62" s="247">
        <f t="shared" si="34"/>
        <v>0</v>
      </c>
    </row>
    <row r="63" hidden="1" outlineLevel="1">
      <c r="A63" s="233"/>
      <c r="B63" s="247" t="str">
        <f t="shared" ref="B63:M63" si="61">if($M$2,IFERROR(INDIRECT("'"&amp;B$3&amp;"'!"&amp;$B$2&amp;match($A63,INDIRECT("'"&amp;B$3&amp;"'!B1:B"),0)),""),
IFERROR(INDIRECT("'"&amp;B$3&amp;"!"&amp;$B$2&amp;match($A63,INDIRECT("'"&amp;B$3&amp;"'!B:B"),0)),""))</f>
        <v/>
      </c>
      <c r="C63" s="247" t="str">
        <f t="shared" si="61"/>
        <v/>
      </c>
      <c r="D63" s="247" t="str">
        <f t="shared" si="61"/>
        <v/>
      </c>
      <c r="E63" s="247" t="str">
        <f t="shared" si="61"/>
        <v/>
      </c>
      <c r="F63" s="247" t="str">
        <f t="shared" si="61"/>
        <v/>
      </c>
      <c r="G63" s="247" t="str">
        <f t="shared" si="61"/>
        <v/>
      </c>
      <c r="H63" s="247" t="str">
        <f t="shared" si="61"/>
        <v/>
      </c>
      <c r="I63" s="247" t="str">
        <f t="shared" si="61"/>
        <v/>
      </c>
      <c r="J63" s="247" t="str">
        <f t="shared" si="61"/>
        <v/>
      </c>
      <c r="K63" s="247" t="str">
        <f t="shared" si="61"/>
        <v/>
      </c>
      <c r="L63" s="247" t="str">
        <f t="shared" si="61"/>
        <v/>
      </c>
      <c r="M63" s="247" t="str">
        <f t="shared" si="61"/>
        <v/>
      </c>
      <c r="N63" s="247">
        <f t="shared" si="34"/>
        <v>0</v>
      </c>
    </row>
    <row r="64" hidden="1" outlineLevel="1">
      <c r="A64" s="233"/>
      <c r="B64" s="247" t="str">
        <f t="shared" ref="B64:M64" si="62">if($M$2,IFERROR(INDIRECT("'"&amp;B$3&amp;"'!"&amp;$B$2&amp;match($A64,INDIRECT("'"&amp;B$3&amp;"'!B1:B"),0)),""),
IFERROR(INDIRECT("'"&amp;B$3&amp;"!"&amp;$B$2&amp;match($A64,INDIRECT("'"&amp;B$3&amp;"'!B:B"),0)),""))</f>
        <v/>
      </c>
      <c r="C64" s="247" t="str">
        <f t="shared" si="62"/>
        <v/>
      </c>
      <c r="D64" s="247" t="str">
        <f t="shared" si="62"/>
        <v/>
      </c>
      <c r="E64" s="247" t="str">
        <f t="shared" si="62"/>
        <v/>
      </c>
      <c r="F64" s="247" t="str">
        <f t="shared" si="62"/>
        <v/>
      </c>
      <c r="G64" s="247" t="str">
        <f t="shared" si="62"/>
        <v/>
      </c>
      <c r="H64" s="247" t="str">
        <f t="shared" si="62"/>
        <v/>
      </c>
      <c r="I64" s="247" t="str">
        <f t="shared" si="62"/>
        <v/>
      </c>
      <c r="J64" s="247" t="str">
        <f t="shared" si="62"/>
        <v/>
      </c>
      <c r="K64" s="247" t="str">
        <f t="shared" si="62"/>
        <v/>
      </c>
      <c r="L64" s="247" t="str">
        <f t="shared" si="62"/>
        <v/>
      </c>
      <c r="M64" s="247" t="str">
        <f t="shared" si="62"/>
        <v/>
      </c>
      <c r="N64" s="247">
        <f t="shared" si="34"/>
        <v>0</v>
      </c>
    </row>
    <row r="65" hidden="1" outlineLevel="1">
      <c r="A65" s="233"/>
      <c r="B65" s="247" t="str">
        <f t="shared" ref="B65:M65" si="63">if($M$2,IFERROR(INDIRECT("'"&amp;B$3&amp;"'!"&amp;$B$2&amp;match($A65,INDIRECT("'"&amp;B$3&amp;"'!B1:B"),0)),""),
IFERROR(INDIRECT("'"&amp;B$3&amp;"!"&amp;$B$2&amp;match($A65,INDIRECT("'"&amp;B$3&amp;"'!B:B"),0)),""))</f>
        <v/>
      </c>
      <c r="C65" s="247" t="str">
        <f t="shared" si="63"/>
        <v/>
      </c>
      <c r="D65" s="247" t="str">
        <f t="shared" si="63"/>
        <v/>
      </c>
      <c r="E65" s="247" t="str">
        <f t="shared" si="63"/>
        <v/>
      </c>
      <c r="F65" s="247" t="str">
        <f t="shared" si="63"/>
        <v/>
      </c>
      <c r="G65" s="247" t="str">
        <f t="shared" si="63"/>
        <v/>
      </c>
      <c r="H65" s="247" t="str">
        <f t="shared" si="63"/>
        <v/>
      </c>
      <c r="I65" s="247" t="str">
        <f t="shared" si="63"/>
        <v/>
      </c>
      <c r="J65" s="247" t="str">
        <f t="shared" si="63"/>
        <v/>
      </c>
      <c r="K65" s="247" t="str">
        <f t="shared" si="63"/>
        <v/>
      </c>
      <c r="L65" s="247" t="str">
        <f t="shared" si="63"/>
        <v/>
      </c>
      <c r="M65" s="247" t="str">
        <f t="shared" si="63"/>
        <v/>
      </c>
      <c r="N65" s="247">
        <f t="shared" si="34"/>
        <v>0</v>
      </c>
    </row>
    <row r="66" hidden="1" outlineLevel="1">
      <c r="A66" s="233"/>
      <c r="B66" s="247" t="str">
        <f t="shared" ref="B66:M66" si="64">if($M$2,IFERROR(INDIRECT("'"&amp;B$3&amp;"'!"&amp;$B$2&amp;match($A66,INDIRECT("'"&amp;B$3&amp;"'!B1:B"),0)),""),
IFERROR(INDIRECT("'"&amp;B$3&amp;"!"&amp;$B$2&amp;match($A66,INDIRECT("'"&amp;B$3&amp;"'!B:B"),0)),""))</f>
        <v/>
      </c>
      <c r="C66" s="247" t="str">
        <f t="shared" si="64"/>
        <v/>
      </c>
      <c r="D66" s="247" t="str">
        <f t="shared" si="64"/>
        <v/>
      </c>
      <c r="E66" s="247" t="str">
        <f t="shared" si="64"/>
        <v/>
      </c>
      <c r="F66" s="247" t="str">
        <f t="shared" si="64"/>
        <v/>
      </c>
      <c r="G66" s="247" t="str">
        <f t="shared" si="64"/>
        <v/>
      </c>
      <c r="H66" s="247" t="str">
        <f t="shared" si="64"/>
        <v/>
      </c>
      <c r="I66" s="247" t="str">
        <f t="shared" si="64"/>
        <v/>
      </c>
      <c r="J66" s="247" t="str">
        <f t="shared" si="64"/>
        <v/>
      </c>
      <c r="K66" s="247" t="str">
        <f t="shared" si="64"/>
        <v/>
      </c>
      <c r="L66" s="247" t="str">
        <f t="shared" si="64"/>
        <v/>
      </c>
      <c r="M66" s="247" t="str">
        <f t="shared" si="64"/>
        <v/>
      </c>
      <c r="N66" s="247">
        <f t="shared" si="34"/>
        <v>0</v>
      </c>
    </row>
    <row r="67">
      <c r="A67" s="233"/>
      <c r="B67" s="247" t="str">
        <f t="shared" ref="B67:M67" si="65">if($M$2,IFERROR(INDIRECT("'"&amp;B$3&amp;"'!"&amp;$B$2&amp;match($A67,INDIRECT("'"&amp;B$3&amp;"'!B1:B"),0)),""),
IFERROR(INDIRECT("'"&amp;B$3&amp;"!"&amp;$B$2&amp;match($A67,INDIRECT("'"&amp;B$3&amp;"'!B:B"),0)),""))</f>
        <v/>
      </c>
      <c r="C67" s="247" t="str">
        <f t="shared" si="65"/>
        <v/>
      </c>
      <c r="D67" s="247" t="str">
        <f t="shared" si="65"/>
        <v/>
      </c>
      <c r="E67" s="247" t="str">
        <f t="shared" si="65"/>
        <v/>
      </c>
      <c r="F67" s="247" t="str">
        <f t="shared" si="65"/>
        <v/>
      </c>
      <c r="G67" s="247" t="str">
        <f t="shared" si="65"/>
        <v/>
      </c>
      <c r="H67" s="247" t="str">
        <f t="shared" si="65"/>
        <v/>
      </c>
      <c r="I67" s="247" t="str">
        <f t="shared" si="65"/>
        <v/>
      </c>
      <c r="J67" s="247" t="str">
        <f t="shared" si="65"/>
        <v/>
      </c>
      <c r="K67" s="247" t="str">
        <f t="shared" si="65"/>
        <v/>
      </c>
      <c r="L67" s="247" t="str">
        <f t="shared" si="65"/>
        <v/>
      </c>
      <c r="M67" s="247" t="str">
        <f t="shared" si="65"/>
        <v/>
      </c>
      <c r="N67" s="247">
        <f t="shared" si="34"/>
        <v>0</v>
      </c>
    </row>
    <row r="68">
      <c r="A68" s="257" t="s">
        <v>138</v>
      </c>
      <c r="B68" s="264">
        <f t="shared" ref="B68:M68" si="66">B33+B36</f>
        <v>165615</v>
      </c>
      <c r="C68" s="264">
        <f t="shared" si="66"/>
        <v>0</v>
      </c>
      <c r="D68" s="264">
        <f t="shared" si="66"/>
        <v>0</v>
      </c>
      <c r="E68" s="264">
        <f t="shared" si="66"/>
        <v>4</v>
      </c>
      <c r="F68" s="264">
        <f t="shared" si="66"/>
        <v>5</v>
      </c>
      <c r="G68" s="264">
        <f t="shared" si="66"/>
        <v>6</v>
      </c>
      <c r="H68" s="264">
        <f t="shared" si="66"/>
        <v>7</v>
      </c>
      <c r="I68" s="264">
        <f t="shared" si="66"/>
        <v>8</v>
      </c>
      <c r="J68" s="264">
        <f t="shared" si="66"/>
        <v>9</v>
      </c>
      <c r="K68" s="264">
        <f t="shared" si="66"/>
        <v>10</v>
      </c>
      <c r="L68" s="264">
        <f t="shared" si="66"/>
        <v>11</v>
      </c>
      <c r="M68" s="264">
        <f t="shared" si="66"/>
        <v>12</v>
      </c>
      <c r="N68" s="264">
        <f t="shared" si="34"/>
        <v>165687</v>
      </c>
    </row>
    <row r="69">
      <c r="A69" s="265" t="s">
        <v>162</v>
      </c>
      <c r="B69" s="260">
        <f t="shared" ref="B69:N69" si="67">IFERROR(B68/B$5,"")</f>
        <v>0.7276581722</v>
      </c>
      <c r="C69" s="260" t="str">
        <f t="shared" si="67"/>
        <v/>
      </c>
      <c r="D69" s="260" t="str">
        <f t="shared" si="67"/>
        <v/>
      </c>
      <c r="E69" s="260">
        <f t="shared" si="67"/>
        <v>1</v>
      </c>
      <c r="F69" s="260">
        <f t="shared" si="67"/>
        <v>1</v>
      </c>
      <c r="G69" s="260">
        <f t="shared" si="67"/>
        <v>1</v>
      </c>
      <c r="H69" s="260">
        <f t="shared" si="67"/>
        <v>1</v>
      </c>
      <c r="I69" s="260">
        <f t="shared" si="67"/>
        <v>1</v>
      </c>
      <c r="J69" s="260">
        <f t="shared" si="67"/>
        <v>1</v>
      </c>
      <c r="K69" s="260">
        <f t="shared" si="67"/>
        <v>1</v>
      </c>
      <c r="L69" s="260">
        <f t="shared" si="67"/>
        <v>1</v>
      </c>
      <c r="M69" s="260">
        <f t="shared" si="67"/>
        <v>1</v>
      </c>
      <c r="N69" s="260">
        <f t="shared" si="67"/>
        <v>0.7277442988</v>
      </c>
    </row>
    <row r="70">
      <c r="A70" s="233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>
        <f t="shared" ref="N70:N129" si="70">SUM(B70:M70)</f>
        <v>0</v>
      </c>
    </row>
    <row r="71" ht="30.75" customHeight="1">
      <c r="A71" s="248" t="s">
        <v>140</v>
      </c>
      <c r="B71" s="267">
        <f t="shared" ref="B71:K71" si="68">B85+B112+B72</f>
        <v>-22193</v>
      </c>
      <c r="C71" s="267">
        <f t="shared" si="68"/>
        <v>0</v>
      </c>
      <c r="D71" s="267">
        <f t="shared" si="68"/>
        <v>0</v>
      </c>
      <c r="E71" s="267">
        <f t="shared" si="68"/>
        <v>0</v>
      </c>
      <c r="F71" s="267">
        <f t="shared" si="68"/>
        <v>0</v>
      </c>
      <c r="G71" s="267">
        <f t="shared" si="68"/>
        <v>0</v>
      </c>
      <c r="H71" s="267">
        <f t="shared" si="68"/>
        <v>0</v>
      </c>
      <c r="I71" s="267">
        <f t="shared" si="68"/>
        <v>0</v>
      </c>
      <c r="J71" s="267">
        <f t="shared" si="68"/>
        <v>0</v>
      </c>
      <c r="K71" s="267">
        <f t="shared" si="68"/>
        <v>0</v>
      </c>
      <c r="L71" s="267">
        <f t="shared" ref="L71:M71" si="69">L85+L112</f>
        <v>0</v>
      </c>
      <c r="M71" s="267">
        <f t="shared" si="69"/>
        <v>0</v>
      </c>
      <c r="N71" s="267">
        <f t="shared" si="70"/>
        <v>-22193</v>
      </c>
    </row>
    <row r="72">
      <c r="A72" s="262" t="s">
        <v>141</v>
      </c>
      <c r="B72" s="251">
        <f t="shared" ref="B72:M72" si="71">SUM(B73:B84)</f>
        <v>0</v>
      </c>
      <c r="C72" s="251">
        <f t="shared" si="71"/>
        <v>0</v>
      </c>
      <c r="D72" s="251">
        <f t="shared" si="71"/>
        <v>0</v>
      </c>
      <c r="E72" s="251">
        <f t="shared" si="71"/>
        <v>0</v>
      </c>
      <c r="F72" s="251">
        <f t="shared" si="71"/>
        <v>0</v>
      </c>
      <c r="G72" s="251">
        <f t="shared" si="71"/>
        <v>0</v>
      </c>
      <c r="H72" s="251">
        <f t="shared" si="71"/>
        <v>0</v>
      </c>
      <c r="I72" s="251">
        <f t="shared" si="71"/>
        <v>0</v>
      </c>
      <c r="J72" s="251">
        <f t="shared" si="71"/>
        <v>0</v>
      </c>
      <c r="K72" s="251">
        <f t="shared" si="71"/>
        <v>0</v>
      </c>
      <c r="L72" s="251">
        <f t="shared" si="71"/>
        <v>0</v>
      </c>
      <c r="M72" s="251">
        <f t="shared" si="71"/>
        <v>0</v>
      </c>
      <c r="N72" s="251">
        <f t="shared" si="70"/>
        <v>0</v>
      </c>
    </row>
    <row r="73">
      <c r="A73" s="254" t="str">
        <f>IFERROR(__xludf.DUMMYFUNCTION("iferror(filter('Статьи'!$A$1:$A158,'Статьи'!$B$1:$B158=$A$72))"),"")</f>
        <v/>
      </c>
      <c r="B73" s="247" t="str">
        <f t="shared" ref="B73:M73" si="72">if($M$2,IFERROR(INDIRECT("'"&amp;B$3&amp;"'!"&amp;$B$2&amp;match($A73,INDIRECT("'"&amp;B$3&amp;"'!B1:B"),0)),""),
IFERROR(INDIRECT("'"&amp;B$3&amp;"!"&amp;$B$2&amp;match($A73,INDIRECT("'"&amp;B$3&amp;"'!B:B"),0)),""))</f>
        <v/>
      </c>
      <c r="C73" s="247" t="str">
        <f t="shared" si="72"/>
        <v/>
      </c>
      <c r="D73" s="247" t="str">
        <f t="shared" si="72"/>
        <v/>
      </c>
      <c r="E73" s="247" t="str">
        <f t="shared" si="72"/>
        <v/>
      </c>
      <c r="F73" s="247" t="str">
        <f t="shared" si="72"/>
        <v/>
      </c>
      <c r="G73" s="247" t="str">
        <f t="shared" si="72"/>
        <v/>
      </c>
      <c r="H73" s="247" t="str">
        <f t="shared" si="72"/>
        <v/>
      </c>
      <c r="I73" s="247" t="str">
        <f t="shared" si="72"/>
        <v/>
      </c>
      <c r="J73" s="247" t="str">
        <f t="shared" si="72"/>
        <v/>
      </c>
      <c r="K73" s="247" t="str">
        <f t="shared" si="72"/>
        <v/>
      </c>
      <c r="L73" s="247" t="str">
        <f t="shared" si="72"/>
        <v/>
      </c>
      <c r="M73" s="247" t="str">
        <f t="shared" si="72"/>
        <v/>
      </c>
      <c r="N73" s="247">
        <f t="shared" si="70"/>
        <v>0</v>
      </c>
    </row>
    <row r="74">
      <c r="A74" s="268"/>
      <c r="B74" s="247" t="str">
        <f t="shared" ref="B74:M74" si="73">if($M$2,IFERROR(INDIRECT("'"&amp;B$3&amp;"'!"&amp;$B$2&amp;match($A74,INDIRECT("'"&amp;B$3&amp;"'!B1:B"),0)),""),
IFERROR(INDIRECT("'"&amp;B$3&amp;"!"&amp;$B$2&amp;match($A74,INDIRECT("'"&amp;B$3&amp;"'!B:B"),0)),""))</f>
        <v/>
      </c>
      <c r="C74" s="247" t="str">
        <f t="shared" si="73"/>
        <v/>
      </c>
      <c r="D74" s="247" t="str">
        <f t="shared" si="73"/>
        <v/>
      </c>
      <c r="E74" s="247" t="str">
        <f t="shared" si="73"/>
        <v/>
      </c>
      <c r="F74" s="247" t="str">
        <f t="shared" si="73"/>
        <v/>
      </c>
      <c r="G74" s="247" t="str">
        <f t="shared" si="73"/>
        <v/>
      </c>
      <c r="H74" s="247" t="str">
        <f t="shared" si="73"/>
        <v/>
      </c>
      <c r="I74" s="247" t="str">
        <f t="shared" si="73"/>
        <v/>
      </c>
      <c r="J74" s="247" t="str">
        <f t="shared" si="73"/>
        <v/>
      </c>
      <c r="K74" s="247" t="str">
        <f t="shared" si="73"/>
        <v/>
      </c>
      <c r="L74" s="247" t="str">
        <f t="shared" si="73"/>
        <v/>
      </c>
      <c r="M74" s="247" t="str">
        <f t="shared" si="73"/>
        <v/>
      </c>
      <c r="N74" s="247">
        <f t="shared" si="70"/>
        <v>0</v>
      </c>
    </row>
    <row r="75">
      <c r="A75" s="268"/>
      <c r="B75" s="247" t="str">
        <f t="shared" ref="B75:M75" si="74">if($M$2,IFERROR(INDIRECT("'"&amp;B$3&amp;"'!"&amp;$B$2&amp;match($A75,INDIRECT("'"&amp;B$3&amp;"'!B1:B"),0)),""),
IFERROR(INDIRECT("'"&amp;B$3&amp;"!"&amp;$B$2&amp;match($A75,INDIRECT("'"&amp;B$3&amp;"'!B:B"),0)),""))</f>
        <v/>
      </c>
      <c r="C75" s="247" t="str">
        <f t="shared" si="74"/>
        <v/>
      </c>
      <c r="D75" s="247" t="str">
        <f t="shared" si="74"/>
        <v/>
      </c>
      <c r="E75" s="247" t="str">
        <f t="shared" si="74"/>
        <v/>
      </c>
      <c r="F75" s="247" t="str">
        <f t="shared" si="74"/>
        <v/>
      </c>
      <c r="G75" s="247" t="str">
        <f t="shared" si="74"/>
        <v/>
      </c>
      <c r="H75" s="247" t="str">
        <f t="shared" si="74"/>
        <v/>
      </c>
      <c r="I75" s="247" t="str">
        <f t="shared" si="74"/>
        <v/>
      </c>
      <c r="J75" s="247" t="str">
        <f t="shared" si="74"/>
        <v/>
      </c>
      <c r="K75" s="247" t="str">
        <f t="shared" si="74"/>
        <v/>
      </c>
      <c r="L75" s="247" t="str">
        <f t="shared" si="74"/>
        <v/>
      </c>
      <c r="M75" s="247" t="str">
        <f t="shared" si="74"/>
        <v/>
      </c>
      <c r="N75" s="247">
        <f t="shared" si="70"/>
        <v>0</v>
      </c>
    </row>
    <row r="76" collapsed="1">
      <c r="A76" s="268"/>
      <c r="B76" s="247" t="str">
        <f t="shared" ref="B76:M76" si="75">if($M$2,IFERROR(INDIRECT("'"&amp;B$3&amp;"'!"&amp;$B$2&amp;match($A76,INDIRECT("'"&amp;B$3&amp;"'!B1:B"),0)),""),
IFERROR(INDIRECT("'"&amp;B$3&amp;"!"&amp;$B$2&amp;match($A76,INDIRECT("'"&amp;B$3&amp;"'!B:B"),0)),""))</f>
        <v/>
      </c>
      <c r="C76" s="247" t="str">
        <f t="shared" si="75"/>
        <v/>
      </c>
      <c r="D76" s="247" t="str">
        <f t="shared" si="75"/>
        <v/>
      </c>
      <c r="E76" s="247" t="str">
        <f t="shared" si="75"/>
        <v/>
      </c>
      <c r="F76" s="247" t="str">
        <f t="shared" si="75"/>
        <v/>
      </c>
      <c r="G76" s="247" t="str">
        <f t="shared" si="75"/>
        <v/>
      </c>
      <c r="H76" s="247" t="str">
        <f t="shared" si="75"/>
        <v/>
      </c>
      <c r="I76" s="247" t="str">
        <f t="shared" si="75"/>
        <v/>
      </c>
      <c r="J76" s="247" t="str">
        <f t="shared" si="75"/>
        <v/>
      </c>
      <c r="K76" s="247" t="str">
        <f t="shared" si="75"/>
        <v/>
      </c>
      <c r="L76" s="247" t="str">
        <f t="shared" si="75"/>
        <v/>
      </c>
      <c r="M76" s="247" t="str">
        <f t="shared" si="75"/>
        <v/>
      </c>
      <c r="N76" s="247">
        <f t="shared" si="70"/>
        <v>0</v>
      </c>
    </row>
    <row r="77" hidden="1" outlineLevel="1">
      <c r="A77" s="268"/>
      <c r="B77" s="247" t="str">
        <f t="shared" ref="B77:M77" si="76">if($M$2,IFERROR(INDIRECT("'"&amp;B$3&amp;"'!"&amp;$B$2&amp;match($A77,INDIRECT("'"&amp;B$3&amp;"'!B1:B"),0)),""),
IFERROR(INDIRECT("'"&amp;B$3&amp;"!"&amp;$B$2&amp;match($A77,INDIRECT("'"&amp;B$3&amp;"'!B:B"),0)),""))</f>
        <v/>
      </c>
      <c r="C77" s="247" t="str">
        <f t="shared" si="76"/>
        <v/>
      </c>
      <c r="D77" s="247" t="str">
        <f t="shared" si="76"/>
        <v/>
      </c>
      <c r="E77" s="247" t="str">
        <f t="shared" si="76"/>
        <v/>
      </c>
      <c r="F77" s="247" t="str">
        <f t="shared" si="76"/>
        <v/>
      </c>
      <c r="G77" s="247" t="str">
        <f t="shared" si="76"/>
        <v/>
      </c>
      <c r="H77" s="247" t="str">
        <f t="shared" si="76"/>
        <v/>
      </c>
      <c r="I77" s="247" t="str">
        <f t="shared" si="76"/>
        <v/>
      </c>
      <c r="J77" s="247" t="str">
        <f t="shared" si="76"/>
        <v/>
      </c>
      <c r="K77" s="247" t="str">
        <f t="shared" si="76"/>
        <v/>
      </c>
      <c r="L77" s="247" t="str">
        <f t="shared" si="76"/>
        <v/>
      </c>
      <c r="M77" s="247" t="str">
        <f t="shared" si="76"/>
        <v/>
      </c>
      <c r="N77" s="247">
        <f t="shared" si="70"/>
        <v>0</v>
      </c>
    </row>
    <row r="78" hidden="1" outlineLevel="1">
      <c r="A78" s="268"/>
      <c r="B78" s="247" t="str">
        <f t="shared" ref="B78:M78" si="77">if($M$2,IFERROR(INDIRECT("'"&amp;B$3&amp;"'!"&amp;$B$2&amp;match($A78,INDIRECT("'"&amp;B$3&amp;"'!B1:B"),0)),""),
IFERROR(INDIRECT("'"&amp;B$3&amp;"!"&amp;$B$2&amp;match($A78,INDIRECT("'"&amp;B$3&amp;"'!B:B"),0)),""))</f>
        <v/>
      </c>
      <c r="C78" s="247" t="str">
        <f t="shared" si="77"/>
        <v/>
      </c>
      <c r="D78" s="247" t="str">
        <f t="shared" si="77"/>
        <v/>
      </c>
      <c r="E78" s="247" t="str">
        <f t="shared" si="77"/>
        <v/>
      </c>
      <c r="F78" s="247" t="str">
        <f t="shared" si="77"/>
        <v/>
      </c>
      <c r="G78" s="247" t="str">
        <f t="shared" si="77"/>
        <v/>
      </c>
      <c r="H78" s="247" t="str">
        <f t="shared" si="77"/>
        <v/>
      </c>
      <c r="I78" s="247" t="str">
        <f t="shared" si="77"/>
        <v/>
      </c>
      <c r="J78" s="247" t="str">
        <f t="shared" si="77"/>
        <v/>
      </c>
      <c r="K78" s="247" t="str">
        <f t="shared" si="77"/>
        <v/>
      </c>
      <c r="L78" s="247" t="str">
        <f t="shared" si="77"/>
        <v/>
      </c>
      <c r="M78" s="247" t="str">
        <f t="shared" si="77"/>
        <v/>
      </c>
      <c r="N78" s="247">
        <f t="shared" si="70"/>
        <v>0</v>
      </c>
    </row>
    <row r="79" hidden="1" outlineLevel="1">
      <c r="A79" s="268"/>
      <c r="B79" s="247" t="str">
        <f t="shared" ref="B79:M79" si="78">if($M$2,IFERROR(INDIRECT("'"&amp;B$3&amp;"'!"&amp;$B$2&amp;match($A79,INDIRECT("'"&amp;B$3&amp;"'!B1:B"),0)),""),
IFERROR(INDIRECT("'"&amp;B$3&amp;"!"&amp;$B$2&amp;match($A79,INDIRECT("'"&amp;B$3&amp;"'!B:B"),0)),""))</f>
        <v/>
      </c>
      <c r="C79" s="247" t="str">
        <f t="shared" si="78"/>
        <v/>
      </c>
      <c r="D79" s="247" t="str">
        <f t="shared" si="78"/>
        <v/>
      </c>
      <c r="E79" s="247" t="str">
        <f t="shared" si="78"/>
        <v/>
      </c>
      <c r="F79" s="247" t="str">
        <f t="shared" si="78"/>
        <v/>
      </c>
      <c r="G79" s="247" t="str">
        <f t="shared" si="78"/>
        <v/>
      </c>
      <c r="H79" s="247" t="str">
        <f t="shared" si="78"/>
        <v/>
      </c>
      <c r="I79" s="247" t="str">
        <f t="shared" si="78"/>
        <v/>
      </c>
      <c r="J79" s="247" t="str">
        <f t="shared" si="78"/>
        <v/>
      </c>
      <c r="K79" s="247" t="str">
        <f t="shared" si="78"/>
        <v/>
      </c>
      <c r="L79" s="247" t="str">
        <f t="shared" si="78"/>
        <v/>
      </c>
      <c r="M79" s="247" t="str">
        <f t="shared" si="78"/>
        <v/>
      </c>
      <c r="N79" s="247">
        <f t="shared" si="70"/>
        <v>0</v>
      </c>
    </row>
    <row r="80" hidden="1" outlineLevel="1">
      <c r="A80" s="268"/>
      <c r="B80" s="247" t="str">
        <f t="shared" ref="B80:M80" si="79">if($M$2,IFERROR(INDIRECT("'"&amp;B$3&amp;"'!"&amp;$B$2&amp;match($A80,INDIRECT("'"&amp;B$3&amp;"'!B1:B"),0)),""),
IFERROR(INDIRECT("'"&amp;B$3&amp;"!"&amp;$B$2&amp;match($A80,INDIRECT("'"&amp;B$3&amp;"'!B:B"),0)),""))</f>
        <v/>
      </c>
      <c r="C80" s="247" t="str">
        <f t="shared" si="79"/>
        <v/>
      </c>
      <c r="D80" s="247" t="str">
        <f t="shared" si="79"/>
        <v/>
      </c>
      <c r="E80" s="247" t="str">
        <f t="shared" si="79"/>
        <v/>
      </c>
      <c r="F80" s="247" t="str">
        <f t="shared" si="79"/>
        <v/>
      </c>
      <c r="G80" s="247" t="str">
        <f t="shared" si="79"/>
        <v/>
      </c>
      <c r="H80" s="247" t="str">
        <f t="shared" si="79"/>
        <v/>
      </c>
      <c r="I80" s="247" t="str">
        <f t="shared" si="79"/>
        <v/>
      </c>
      <c r="J80" s="247" t="str">
        <f t="shared" si="79"/>
        <v/>
      </c>
      <c r="K80" s="247" t="str">
        <f t="shared" si="79"/>
        <v/>
      </c>
      <c r="L80" s="247" t="str">
        <f t="shared" si="79"/>
        <v/>
      </c>
      <c r="M80" s="247" t="str">
        <f t="shared" si="79"/>
        <v/>
      </c>
      <c r="N80" s="247">
        <f t="shared" si="70"/>
        <v>0</v>
      </c>
    </row>
    <row r="81" hidden="1" outlineLevel="1">
      <c r="A81" s="268"/>
      <c r="B81" s="247" t="str">
        <f t="shared" ref="B81:M81" si="80">if($M$2,IFERROR(INDIRECT("'"&amp;B$3&amp;"'!"&amp;$B$2&amp;match($A81,INDIRECT("'"&amp;B$3&amp;"'!B1:B"),0)),""),
IFERROR(INDIRECT("'"&amp;B$3&amp;"!"&amp;$B$2&amp;match($A81,INDIRECT("'"&amp;B$3&amp;"'!B:B"),0)),""))</f>
        <v/>
      </c>
      <c r="C81" s="247" t="str">
        <f t="shared" si="80"/>
        <v/>
      </c>
      <c r="D81" s="247" t="str">
        <f t="shared" si="80"/>
        <v/>
      </c>
      <c r="E81" s="247" t="str">
        <f t="shared" si="80"/>
        <v/>
      </c>
      <c r="F81" s="247" t="str">
        <f t="shared" si="80"/>
        <v/>
      </c>
      <c r="G81" s="247" t="str">
        <f t="shared" si="80"/>
        <v/>
      </c>
      <c r="H81" s="247" t="str">
        <f t="shared" si="80"/>
        <v/>
      </c>
      <c r="I81" s="247" t="str">
        <f t="shared" si="80"/>
        <v/>
      </c>
      <c r="J81" s="247" t="str">
        <f t="shared" si="80"/>
        <v/>
      </c>
      <c r="K81" s="247" t="str">
        <f t="shared" si="80"/>
        <v/>
      </c>
      <c r="L81" s="247" t="str">
        <f t="shared" si="80"/>
        <v/>
      </c>
      <c r="M81" s="247" t="str">
        <f t="shared" si="80"/>
        <v/>
      </c>
      <c r="N81" s="247">
        <f t="shared" si="70"/>
        <v>0</v>
      </c>
    </row>
    <row r="82" hidden="1" outlineLevel="1">
      <c r="A82" s="268"/>
      <c r="B82" s="247" t="str">
        <f t="shared" ref="B82:M82" si="81">if($M$2,IFERROR(INDIRECT("'"&amp;B$3&amp;"'!"&amp;$B$2&amp;match($A82,INDIRECT("'"&amp;B$3&amp;"'!B1:B"),0)),""),
IFERROR(INDIRECT("'"&amp;B$3&amp;"!"&amp;$B$2&amp;match($A82,INDIRECT("'"&amp;B$3&amp;"'!B:B"),0)),""))</f>
        <v/>
      </c>
      <c r="C82" s="247" t="str">
        <f t="shared" si="81"/>
        <v/>
      </c>
      <c r="D82" s="247" t="str">
        <f t="shared" si="81"/>
        <v/>
      </c>
      <c r="E82" s="247" t="str">
        <f t="shared" si="81"/>
        <v/>
      </c>
      <c r="F82" s="247" t="str">
        <f t="shared" si="81"/>
        <v/>
      </c>
      <c r="G82" s="247" t="str">
        <f t="shared" si="81"/>
        <v/>
      </c>
      <c r="H82" s="247" t="str">
        <f t="shared" si="81"/>
        <v/>
      </c>
      <c r="I82" s="247" t="str">
        <f t="shared" si="81"/>
        <v/>
      </c>
      <c r="J82" s="247" t="str">
        <f t="shared" si="81"/>
        <v/>
      </c>
      <c r="K82" s="247" t="str">
        <f t="shared" si="81"/>
        <v/>
      </c>
      <c r="L82" s="247" t="str">
        <f t="shared" si="81"/>
        <v/>
      </c>
      <c r="M82" s="247" t="str">
        <f t="shared" si="81"/>
        <v/>
      </c>
      <c r="N82" s="247">
        <f t="shared" si="70"/>
        <v>0</v>
      </c>
    </row>
    <row r="83" hidden="1" outlineLevel="1">
      <c r="A83" s="268"/>
      <c r="B83" s="247" t="str">
        <f t="shared" ref="B83:M83" si="82">if($M$2,IFERROR(INDIRECT("'"&amp;B$3&amp;"'!"&amp;$B$2&amp;match($A83,INDIRECT("'"&amp;B$3&amp;"'!B1:B"),0)),""),
IFERROR(INDIRECT("'"&amp;B$3&amp;"!"&amp;$B$2&amp;match($A83,INDIRECT("'"&amp;B$3&amp;"'!B:B"),0)),""))</f>
        <v/>
      </c>
      <c r="C83" s="247" t="str">
        <f t="shared" si="82"/>
        <v/>
      </c>
      <c r="D83" s="247" t="str">
        <f t="shared" si="82"/>
        <v/>
      </c>
      <c r="E83" s="247" t="str">
        <f t="shared" si="82"/>
        <v/>
      </c>
      <c r="F83" s="247" t="str">
        <f t="shared" si="82"/>
        <v/>
      </c>
      <c r="G83" s="247" t="str">
        <f t="shared" si="82"/>
        <v/>
      </c>
      <c r="H83" s="247" t="str">
        <f t="shared" si="82"/>
        <v/>
      </c>
      <c r="I83" s="247" t="str">
        <f t="shared" si="82"/>
        <v/>
      </c>
      <c r="J83" s="247" t="str">
        <f t="shared" si="82"/>
        <v/>
      </c>
      <c r="K83" s="247" t="str">
        <f t="shared" si="82"/>
        <v/>
      </c>
      <c r="L83" s="247" t="str">
        <f t="shared" si="82"/>
        <v/>
      </c>
      <c r="M83" s="247" t="str">
        <f t="shared" si="82"/>
        <v/>
      </c>
      <c r="N83" s="247">
        <f t="shared" si="70"/>
        <v>0</v>
      </c>
    </row>
    <row r="84">
      <c r="A84" s="268"/>
      <c r="B84" s="247" t="str">
        <f t="shared" ref="B84:M84" si="83">if($M$2,IFERROR(INDIRECT("'"&amp;B$3&amp;"'!"&amp;$B$2&amp;match($A84,INDIRECT("'"&amp;B$3&amp;"'!B1:B"),0)),""),
IFERROR(INDIRECT("'"&amp;B$3&amp;"!"&amp;$B$2&amp;match($A84,INDIRECT("'"&amp;B$3&amp;"'!B:B"),0)),""))</f>
        <v/>
      </c>
      <c r="C84" s="247" t="str">
        <f t="shared" si="83"/>
        <v/>
      </c>
      <c r="D84" s="247" t="str">
        <f t="shared" si="83"/>
        <v/>
      </c>
      <c r="E84" s="247" t="str">
        <f t="shared" si="83"/>
        <v/>
      </c>
      <c r="F84" s="247" t="str">
        <f t="shared" si="83"/>
        <v/>
      </c>
      <c r="G84" s="247" t="str">
        <f t="shared" si="83"/>
        <v/>
      </c>
      <c r="H84" s="247" t="str">
        <f t="shared" si="83"/>
        <v/>
      </c>
      <c r="I84" s="247" t="str">
        <f t="shared" si="83"/>
        <v/>
      </c>
      <c r="J84" s="247" t="str">
        <f t="shared" si="83"/>
        <v/>
      </c>
      <c r="K84" s="247" t="str">
        <f t="shared" si="83"/>
        <v/>
      </c>
      <c r="L84" s="247" t="str">
        <f t="shared" si="83"/>
        <v/>
      </c>
      <c r="M84" s="247" t="str">
        <f t="shared" si="83"/>
        <v/>
      </c>
      <c r="N84" s="247">
        <f t="shared" si="70"/>
        <v>0</v>
      </c>
    </row>
    <row r="85">
      <c r="A85" s="250" t="s">
        <v>90</v>
      </c>
      <c r="B85" s="251">
        <f t="shared" ref="B85:M85" si="84">SUM(B86:B111)</f>
        <v>-22173</v>
      </c>
      <c r="C85" s="251">
        <f t="shared" si="84"/>
        <v>0</v>
      </c>
      <c r="D85" s="251">
        <f t="shared" si="84"/>
        <v>0</v>
      </c>
      <c r="E85" s="251">
        <f t="shared" si="84"/>
        <v>0</v>
      </c>
      <c r="F85" s="251">
        <f t="shared" si="84"/>
        <v>0</v>
      </c>
      <c r="G85" s="251">
        <f t="shared" si="84"/>
        <v>0</v>
      </c>
      <c r="H85" s="251">
        <f t="shared" si="84"/>
        <v>0</v>
      </c>
      <c r="I85" s="251">
        <f t="shared" si="84"/>
        <v>0</v>
      </c>
      <c r="J85" s="251">
        <f t="shared" si="84"/>
        <v>0</v>
      </c>
      <c r="K85" s="251">
        <f t="shared" si="84"/>
        <v>0</v>
      </c>
      <c r="L85" s="251">
        <f t="shared" si="84"/>
        <v>0</v>
      </c>
      <c r="M85" s="251">
        <f t="shared" si="84"/>
        <v>0</v>
      </c>
      <c r="N85" s="251">
        <f t="shared" si="70"/>
        <v>-22173</v>
      </c>
    </row>
    <row r="86">
      <c r="A86" s="254" t="str">
        <f>IFERROR(__xludf.DUMMYFUNCTION("iferror(filter('Статьи'!$A$1:$A158,'Статьи'!$B$1:$B158=$A$85))"),"Аренда, коммунальные услуги")</f>
        <v>Аренда, коммунальные услуги</v>
      </c>
      <c r="B86" s="247">
        <f t="shared" ref="B86:M86" si="85">if($M$2,IFERROR(INDIRECT("'"&amp;B$3&amp;"'!"&amp;$B$2&amp;match($A86,INDIRECT("'"&amp;B$3&amp;"'!B1:B"),0)),""),
IFERROR(INDIRECT("'"&amp;B$3&amp;"!"&amp;$B$2&amp;match($A86,INDIRECT("'"&amp;B$3&amp;"'!B:B"),0)),""))</f>
        <v>-5023</v>
      </c>
      <c r="C86" s="247">
        <f t="shared" si="85"/>
        <v>0</v>
      </c>
      <c r="D86" s="247">
        <f t="shared" si="85"/>
        <v>0</v>
      </c>
      <c r="E86" s="247">
        <f t="shared" si="85"/>
        <v>0</v>
      </c>
      <c r="F86" s="247">
        <f t="shared" si="85"/>
        <v>0</v>
      </c>
      <c r="G86" s="247">
        <f t="shared" si="85"/>
        <v>0</v>
      </c>
      <c r="H86" s="247">
        <f t="shared" si="85"/>
        <v>0</v>
      </c>
      <c r="I86" s="247">
        <f t="shared" si="85"/>
        <v>0</v>
      </c>
      <c r="J86" s="247">
        <f t="shared" si="85"/>
        <v>0</v>
      </c>
      <c r="K86" s="247">
        <f t="shared" si="85"/>
        <v>0</v>
      </c>
      <c r="L86" s="247">
        <f t="shared" si="85"/>
        <v>0</v>
      </c>
      <c r="M86" s="247">
        <f t="shared" si="85"/>
        <v>0</v>
      </c>
      <c r="N86" s="247">
        <f t="shared" si="70"/>
        <v>-5023</v>
      </c>
    </row>
    <row r="87">
      <c r="A87" s="269" t="str">
        <f>IFERROR(__xludf.DUMMYFUNCTION("""COMPUTED_VALUE"""),"Аутсорсинг и прочие услуги")</f>
        <v>Аутсорсинг и прочие услуги</v>
      </c>
      <c r="B87" s="247">
        <f t="shared" ref="B87:M87" si="86">if($M$2,IFERROR(INDIRECT("'"&amp;B$3&amp;"'!"&amp;$B$2&amp;match($A87,INDIRECT("'"&amp;B$3&amp;"'!B1:B"),0)),""),
IFERROR(INDIRECT("'"&amp;B$3&amp;"!"&amp;$B$2&amp;match($A87,INDIRECT("'"&amp;B$3&amp;"'!B:B"),0)),""))</f>
        <v>-1200</v>
      </c>
      <c r="C87" s="247">
        <f t="shared" si="86"/>
        <v>0</v>
      </c>
      <c r="D87" s="247">
        <f t="shared" si="86"/>
        <v>0</v>
      </c>
      <c r="E87" s="247">
        <f t="shared" si="86"/>
        <v>0</v>
      </c>
      <c r="F87" s="247">
        <f t="shared" si="86"/>
        <v>0</v>
      </c>
      <c r="G87" s="247">
        <f t="shared" si="86"/>
        <v>0</v>
      </c>
      <c r="H87" s="247">
        <f t="shared" si="86"/>
        <v>0</v>
      </c>
      <c r="I87" s="247">
        <f t="shared" si="86"/>
        <v>0</v>
      </c>
      <c r="J87" s="247">
        <f t="shared" si="86"/>
        <v>0</v>
      </c>
      <c r="K87" s="247">
        <f t="shared" si="86"/>
        <v>0</v>
      </c>
      <c r="L87" s="247">
        <f t="shared" si="86"/>
        <v>0</v>
      </c>
      <c r="M87" s="247">
        <f t="shared" si="86"/>
        <v>0</v>
      </c>
      <c r="N87" s="247">
        <f t="shared" si="70"/>
        <v>-1200</v>
      </c>
    </row>
    <row r="88">
      <c r="A88" s="269" t="str">
        <f>IFERROR(__xludf.DUMMYFUNCTION("""COMPUTED_VALUE"""),"Командировочные расходы")</f>
        <v>Командировочные расходы</v>
      </c>
      <c r="B88" s="247">
        <f t="shared" ref="B88:M88" si="87">if($M$2,IFERROR(INDIRECT("'"&amp;B$3&amp;"'!"&amp;$B$2&amp;match($A88,INDIRECT("'"&amp;B$3&amp;"'!B1:B"),0)),""),
IFERROR(INDIRECT("'"&amp;B$3&amp;"!"&amp;$B$2&amp;match($A88,INDIRECT("'"&amp;B$3&amp;"'!B:B"),0)),""))</f>
        <v>-2000</v>
      </c>
      <c r="C88" s="247">
        <f t="shared" si="87"/>
        <v>0</v>
      </c>
      <c r="D88" s="247">
        <f t="shared" si="87"/>
        <v>0</v>
      </c>
      <c r="E88" s="247">
        <f t="shared" si="87"/>
        <v>0</v>
      </c>
      <c r="F88" s="247">
        <f t="shared" si="87"/>
        <v>0</v>
      </c>
      <c r="G88" s="247">
        <f t="shared" si="87"/>
        <v>0</v>
      </c>
      <c r="H88" s="247">
        <f t="shared" si="87"/>
        <v>0</v>
      </c>
      <c r="I88" s="247">
        <f t="shared" si="87"/>
        <v>0</v>
      </c>
      <c r="J88" s="247">
        <f t="shared" si="87"/>
        <v>0</v>
      </c>
      <c r="K88" s="247">
        <f t="shared" si="87"/>
        <v>0</v>
      </c>
      <c r="L88" s="247">
        <f t="shared" si="87"/>
        <v>0</v>
      </c>
      <c r="M88" s="247">
        <f t="shared" si="87"/>
        <v>0</v>
      </c>
      <c r="N88" s="247">
        <f t="shared" si="70"/>
        <v>-2000</v>
      </c>
    </row>
    <row r="89">
      <c r="A89" s="269" t="str">
        <f>IFERROR(__xludf.DUMMYFUNCTION("""COMPUTED_VALUE"""),"Комиссии банка")</f>
        <v>Комиссии банка</v>
      </c>
      <c r="B89" s="247">
        <f t="shared" ref="B89:M89" si="88">if($M$2,IFERROR(INDIRECT("'"&amp;B$3&amp;"'!"&amp;$B$2&amp;match($A89,INDIRECT("'"&amp;B$3&amp;"'!B1:B"),0)),""),
IFERROR(INDIRECT("'"&amp;B$3&amp;"!"&amp;$B$2&amp;match($A89,INDIRECT("'"&amp;B$3&amp;"'!B:B"),0)),""))</f>
        <v>-100</v>
      </c>
      <c r="C89" s="247">
        <f t="shared" si="88"/>
        <v>0</v>
      </c>
      <c r="D89" s="247">
        <f t="shared" si="88"/>
        <v>0</v>
      </c>
      <c r="E89" s="247">
        <f t="shared" si="88"/>
        <v>0</v>
      </c>
      <c r="F89" s="247">
        <f t="shared" si="88"/>
        <v>0</v>
      </c>
      <c r="G89" s="247">
        <f t="shared" si="88"/>
        <v>0</v>
      </c>
      <c r="H89" s="247">
        <f t="shared" si="88"/>
        <v>0</v>
      </c>
      <c r="I89" s="247">
        <f t="shared" si="88"/>
        <v>0</v>
      </c>
      <c r="J89" s="247">
        <f t="shared" si="88"/>
        <v>0</v>
      </c>
      <c r="K89" s="247">
        <f t="shared" si="88"/>
        <v>0</v>
      </c>
      <c r="L89" s="247">
        <f t="shared" si="88"/>
        <v>0</v>
      </c>
      <c r="M89" s="247">
        <f t="shared" si="88"/>
        <v>0</v>
      </c>
      <c r="N89" s="247">
        <f t="shared" si="70"/>
        <v>-100</v>
      </c>
    </row>
    <row r="90">
      <c r="A90" s="269" t="str">
        <f>IFERROR(__xludf.DUMMYFUNCTION("""COMPUTED_VALUE"""),"Обучение сотрудников")</f>
        <v>Обучение сотрудников</v>
      </c>
      <c r="B90" s="247">
        <f t="shared" ref="B90:M90" si="89">if($M$2,IFERROR(INDIRECT("'"&amp;B$3&amp;"'!"&amp;$B$2&amp;match($A90,INDIRECT("'"&amp;B$3&amp;"'!B1:B"),0)),""),
IFERROR(INDIRECT("'"&amp;B$3&amp;"!"&amp;$B$2&amp;match($A90,INDIRECT("'"&amp;B$3&amp;"'!B:B"),0)),""))</f>
        <v>-8148</v>
      </c>
      <c r="C90" s="247">
        <f t="shared" si="89"/>
        <v>0</v>
      </c>
      <c r="D90" s="247">
        <f t="shared" si="89"/>
        <v>0</v>
      </c>
      <c r="E90" s="247">
        <f t="shared" si="89"/>
        <v>0</v>
      </c>
      <c r="F90" s="247">
        <f t="shared" si="89"/>
        <v>0</v>
      </c>
      <c r="G90" s="247">
        <f t="shared" si="89"/>
        <v>0</v>
      </c>
      <c r="H90" s="247">
        <f t="shared" si="89"/>
        <v>0</v>
      </c>
      <c r="I90" s="247">
        <f t="shared" si="89"/>
        <v>0</v>
      </c>
      <c r="J90" s="247">
        <f t="shared" si="89"/>
        <v>0</v>
      </c>
      <c r="K90" s="247">
        <f t="shared" si="89"/>
        <v>0</v>
      </c>
      <c r="L90" s="247">
        <f t="shared" si="89"/>
        <v>0</v>
      </c>
      <c r="M90" s="247">
        <f t="shared" si="89"/>
        <v>0</v>
      </c>
      <c r="N90" s="247">
        <f t="shared" si="70"/>
        <v>-8148</v>
      </c>
    </row>
    <row r="91">
      <c r="A91" s="269" t="str">
        <f>IFERROR(__xludf.DUMMYFUNCTION("""COMPUTED_VALUE"""),"Подбор персонала")</f>
        <v>Подбор персонала</v>
      </c>
      <c r="B91" s="247">
        <f t="shared" ref="B91:M91" si="90">if($M$2,IFERROR(INDIRECT("'"&amp;B$3&amp;"'!"&amp;$B$2&amp;match($A91,INDIRECT("'"&amp;B$3&amp;"'!B1:B"),0)),""),
IFERROR(INDIRECT("'"&amp;B$3&amp;"!"&amp;$B$2&amp;match($A91,INDIRECT("'"&amp;B$3&amp;"'!B:B"),0)),""))</f>
        <v>-4242</v>
      </c>
      <c r="C91" s="247">
        <f t="shared" si="90"/>
        <v>0</v>
      </c>
      <c r="D91" s="247">
        <f t="shared" si="90"/>
        <v>0</v>
      </c>
      <c r="E91" s="247">
        <f t="shared" si="90"/>
        <v>0</v>
      </c>
      <c r="F91" s="247">
        <f t="shared" si="90"/>
        <v>0</v>
      </c>
      <c r="G91" s="247">
        <f t="shared" si="90"/>
        <v>0</v>
      </c>
      <c r="H91" s="247">
        <f t="shared" si="90"/>
        <v>0</v>
      </c>
      <c r="I91" s="247">
        <f t="shared" si="90"/>
        <v>0</v>
      </c>
      <c r="J91" s="247">
        <f t="shared" si="90"/>
        <v>0</v>
      </c>
      <c r="K91" s="247">
        <f t="shared" si="90"/>
        <v>0</v>
      </c>
      <c r="L91" s="247">
        <f t="shared" si="90"/>
        <v>0</v>
      </c>
      <c r="M91" s="247">
        <f t="shared" si="90"/>
        <v>0</v>
      </c>
      <c r="N91" s="247">
        <f t="shared" si="70"/>
        <v>-4242</v>
      </c>
    </row>
    <row r="92">
      <c r="A92" s="269" t="str">
        <f>IFERROR(__xludf.DUMMYFUNCTION("""COMPUTED_VALUE"""),"Почтовые расходы")</f>
        <v>Почтовые расходы</v>
      </c>
      <c r="B92" s="247">
        <f t="shared" ref="B92:M92" si="91">if($M$2,IFERROR(INDIRECT("'"&amp;B$3&amp;"'!"&amp;$B$2&amp;match($A92,INDIRECT("'"&amp;B$3&amp;"'!B1:B"),0)),""),
IFERROR(INDIRECT("'"&amp;B$3&amp;"!"&amp;$B$2&amp;match($A92,INDIRECT("'"&amp;B$3&amp;"'!B:B"),0)),""))</f>
        <v>0</v>
      </c>
      <c r="C92" s="247">
        <f t="shared" si="91"/>
        <v>0</v>
      </c>
      <c r="D92" s="247">
        <f t="shared" si="91"/>
        <v>0</v>
      </c>
      <c r="E92" s="247">
        <f t="shared" si="91"/>
        <v>0</v>
      </c>
      <c r="F92" s="247">
        <f t="shared" si="91"/>
        <v>0</v>
      </c>
      <c r="G92" s="247">
        <f t="shared" si="91"/>
        <v>0</v>
      </c>
      <c r="H92" s="247">
        <f t="shared" si="91"/>
        <v>0</v>
      </c>
      <c r="I92" s="247">
        <f t="shared" si="91"/>
        <v>0</v>
      </c>
      <c r="J92" s="247">
        <f t="shared" si="91"/>
        <v>0</v>
      </c>
      <c r="K92" s="247">
        <f t="shared" si="91"/>
        <v>0</v>
      </c>
      <c r="L92" s="247">
        <f t="shared" si="91"/>
        <v>0</v>
      </c>
      <c r="M92" s="247">
        <f t="shared" si="91"/>
        <v>0</v>
      </c>
      <c r="N92" s="247">
        <f t="shared" si="70"/>
        <v>0</v>
      </c>
    </row>
    <row r="93">
      <c r="A93" s="270" t="str">
        <f>IFERROR(__xludf.DUMMYFUNCTION("""COMPUTED_VALUE"""),"Представительские расходы")</f>
        <v>Представительские расходы</v>
      </c>
      <c r="B93" s="247">
        <f t="shared" ref="B93:M93" si="92">if($M$2,IFERROR(INDIRECT("'"&amp;B$3&amp;"'!"&amp;$B$2&amp;match($A93,INDIRECT("'"&amp;B$3&amp;"'!B1:B"),0)),""),
IFERROR(INDIRECT("'"&amp;B$3&amp;"!"&amp;$B$2&amp;match($A93,INDIRECT("'"&amp;B$3&amp;"'!B:B"),0)),""))</f>
        <v>-960</v>
      </c>
      <c r="C93" s="247">
        <f t="shared" si="92"/>
        <v>0</v>
      </c>
      <c r="D93" s="247">
        <f t="shared" si="92"/>
        <v>0</v>
      </c>
      <c r="E93" s="247">
        <f t="shared" si="92"/>
        <v>0</v>
      </c>
      <c r="F93" s="247">
        <f t="shared" si="92"/>
        <v>0</v>
      </c>
      <c r="G93" s="247">
        <f t="shared" si="92"/>
        <v>0</v>
      </c>
      <c r="H93" s="247">
        <f t="shared" si="92"/>
        <v>0</v>
      </c>
      <c r="I93" s="247">
        <f t="shared" si="92"/>
        <v>0</v>
      </c>
      <c r="J93" s="247">
        <f t="shared" si="92"/>
        <v>0</v>
      </c>
      <c r="K93" s="247">
        <f t="shared" si="92"/>
        <v>0</v>
      </c>
      <c r="L93" s="247">
        <f t="shared" si="92"/>
        <v>0</v>
      </c>
      <c r="M93" s="247">
        <f t="shared" si="92"/>
        <v>0</v>
      </c>
      <c r="N93" s="247">
        <f t="shared" si="70"/>
        <v>-960</v>
      </c>
    </row>
    <row r="94">
      <c r="A94" s="271" t="str">
        <f>IFERROR(__xludf.DUMMYFUNCTION("""COMPUTED_VALUE"""),"Содержание офиса")</f>
        <v>Содержание офиса</v>
      </c>
      <c r="B94" s="247">
        <f t="shared" ref="B94:M94" si="93">if($M$2,IFERROR(INDIRECT("'"&amp;B$3&amp;"'!"&amp;$B$2&amp;match($A94,INDIRECT("'"&amp;B$3&amp;"'!B1:B"),0)),""),
IFERROR(INDIRECT("'"&amp;B$3&amp;"!"&amp;$B$2&amp;match($A94,INDIRECT("'"&amp;B$3&amp;"'!B:B"),0)),""))</f>
        <v>0</v>
      </c>
      <c r="C94" s="247">
        <f t="shared" si="93"/>
        <v>0</v>
      </c>
      <c r="D94" s="247">
        <f t="shared" si="93"/>
        <v>0</v>
      </c>
      <c r="E94" s="247">
        <f t="shared" si="93"/>
        <v>0</v>
      </c>
      <c r="F94" s="247">
        <f t="shared" si="93"/>
        <v>0</v>
      </c>
      <c r="G94" s="247">
        <f t="shared" si="93"/>
        <v>0</v>
      </c>
      <c r="H94" s="247">
        <f t="shared" si="93"/>
        <v>0</v>
      </c>
      <c r="I94" s="247">
        <f t="shared" si="93"/>
        <v>0</v>
      </c>
      <c r="J94" s="247">
        <f t="shared" si="93"/>
        <v>0</v>
      </c>
      <c r="K94" s="247">
        <f t="shared" si="93"/>
        <v>0</v>
      </c>
      <c r="L94" s="247">
        <f t="shared" si="93"/>
        <v>0</v>
      </c>
      <c r="M94" s="247">
        <f t="shared" si="93"/>
        <v>0</v>
      </c>
      <c r="N94" s="247">
        <f t="shared" si="70"/>
        <v>0</v>
      </c>
    </row>
    <row r="95">
      <c r="A95" s="269" t="str">
        <f>IFERROR(__xludf.DUMMYFUNCTION("""COMPUTED_VALUE"""),"Услуги связи + Интернет")</f>
        <v>Услуги связи + Интернет</v>
      </c>
      <c r="B95" s="247">
        <f t="shared" ref="B95:M95" si="94">if($M$2,IFERROR(INDIRECT("'"&amp;B$3&amp;"'!"&amp;$B$2&amp;match($A95,INDIRECT("'"&amp;B$3&amp;"'!B1:B"),0)),""),
IFERROR(INDIRECT("'"&amp;B$3&amp;"!"&amp;$B$2&amp;match($A95,INDIRECT("'"&amp;B$3&amp;"'!B:B"),0)),""))</f>
        <v>-500</v>
      </c>
      <c r="C95" s="247">
        <f t="shared" si="94"/>
        <v>0</v>
      </c>
      <c r="D95" s="247">
        <f t="shared" si="94"/>
        <v>0</v>
      </c>
      <c r="E95" s="247">
        <f t="shared" si="94"/>
        <v>0</v>
      </c>
      <c r="F95" s="247">
        <f t="shared" si="94"/>
        <v>0</v>
      </c>
      <c r="G95" s="247">
        <f t="shared" si="94"/>
        <v>0</v>
      </c>
      <c r="H95" s="247">
        <f t="shared" si="94"/>
        <v>0</v>
      </c>
      <c r="I95" s="247">
        <f t="shared" si="94"/>
        <v>0</v>
      </c>
      <c r="J95" s="247">
        <f t="shared" si="94"/>
        <v>0</v>
      </c>
      <c r="K95" s="247">
        <f t="shared" si="94"/>
        <v>0</v>
      </c>
      <c r="L95" s="247">
        <f t="shared" si="94"/>
        <v>0</v>
      </c>
      <c r="M95" s="247">
        <f t="shared" si="94"/>
        <v>0</v>
      </c>
      <c r="N95" s="247">
        <f t="shared" si="70"/>
        <v>-500</v>
      </c>
    </row>
    <row r="96">
      <c r="A96" s="269" t="str">
        <f>IFERROR(__xludf.DUMMYFUNCTION("""COMPUTED_VALUE"""),"Штрафы")</f>
        <v>Штрафы</v>
      </c>
      <c r="B96" s="247">
        <f t="shared" ref="B96:M96" si="95">if($M$2,IFERROR(INDIRECT("'"&amp;B$3&amp;"'!"&amp;$B$2&amp;match($A96,INDIRECT("'"&amp;B$3&amp;"'!B1:B"),0)),""),
IFERROR(INDIRECT("'"&amp;B$3&amp;"!"&amp;$B$2&amp;match($A96,INDIRECT("'"&amp;B$3&amp;"'!B:B"),0)),""))</f>
        <v>0</v>
      </c>
      <c r="C96" s="247">
        <f t="shared" si="95"/>
        <v>0</v>
      </c>
      <c r="D96" s="247">
        <f t="shared" si="95"/>
        <v>0</v>
      </c>
      <c r="E96" s="247">
        <f t="shared" si="95"/>
        <v>0</v>
      </c>
      <c r="F96" s="247">
        <f t="shared" si="95"/>
        <v>0</v>
      </c>
      <c r="G96" s="247">
        <f t="shared" si="95"/>
        <v>0</v>
      </c>
      <c r="H96" s="247">
        <f t="shared" si="95"/>
        <v>0</v>
      </c>
      <c r="I96" s="247">
        <f t="shared" si="95"/>
        <v>0</v>
      </c>
      <c r="J96" s="247">
        <f t="shared" si="95"/>
        <v>0</v>
      </c>
      <c r="K96" s="247">
        <f t="shared" si="95"/>
        <v>0</v>
      </c>
      <c r="L96" s="247">
        <f t="shared" si="95"/>
        <v>0</v>
      </c>
      <c r="M96" s="247">
        <f t="shared" si="95"/>
        <v>0</v>
      </c>
      <c r="N96" s="247">
        <f t="shared" si="70"/>
        <v>0</v>
      </c>
    </row>
    <row r="97">
      <c r="A97" s="269"/>
      <c r="B97" s="247" t="str">
        <f t="shared" ref="B97:M97" si="96">if($M$2,IFERROR(INDIRECT("'"&amp;B$3&amp;"'!"&amp;$B$2&amp;match($A97,INDIRECT("'"&amp;B$3&amp;"'!B1:B"),0)),""),
IFERROR(INDIRECT("'"&amp;B$3&amp;"!"&amp;$B$2&amp;match($A97,INDIRECT("'"&amp;B$3&amp;"'!B:B"),0)),""))</f>
        <v/>
      </c>
      <c r="C97" s="247" t="str">
        <f t="shared" si="96"/>
        <v/>
      </c>
      <c r="D97" s="247" t="str">
        <f t="shared" si="96"/>
        <v/>
      </c>
      <c r="E97" s="247" t="str">
        <f t="shared" si="96"/>
        <v/>
      </c>
      <c r="F97" s="247" t="str">
        <f t="shared" si="96"/>
        <v/>
      </c>
      <c r="G97" s="247" t="str">
        <f t="shared" si="96"/>
        <v/>
      </c>
      <c r="H97" s="247" t="str">
        <f t="shared" si="96"/>
        <v/>
      </c>
      <c r="I97" s="247" t="str">
        <f t="shared" si="96"/>
        <v/>
      </c>
      <c r="J97" s="247" t="str">
        <f t="shared" si="96"/>
        <v/>
      </c>
      <c r="K97" s="247" t="str">
        <f t="shared" si="96"/>
        <v/>
      </c>
      <c r="L97" s="247" t="str">
        <f t="shared" si="96"/>
        <v/>
      </c>
      <c r="M97" s="247" t="str">
        <f t="shared" si="96"/>
        <v/>
      </c>
      <c r="N97" s="247">
        <f t="shared" si="70"/>
        <v>0</v>
      </c>
    </row>
    <row r="98">
      <c r="A98" s="269"/>
      <c r="B98" s="247" t="str">
        <f t="shared" ref="B98:M98" si="97">if($M$2,IFERROR(INDIRECT("'"&amp;B$3&amp;"'!"&amp;$B$2&amp;match($A98,INDIRECT("'"&amp;B$3&amp;"'!B1:B"),0)),""),
IFERROR(INDIRECT("'"&amp;B$3&amp;"!"&amp;$B$2&amp;match($A98,INDIRECT("'"&amp;B$3&amp;"'!B:B"),0)),""))</f>
        <v/>
      </c>
      <c r="C98" s="247" t="str">
        <f t="shared" si="97"/>
        <v/>
      </c>
      <c r="D98" s="247" t="str">
        <f t="shared" si="97"/>
        <v/>
      </c>
      <c r="E98" s="247" t="str">
        <f t="shared" si="97"/>
        <v/>
      </c>
      <c r="F98" s="247" t="str">
        <f t="shared" si="97"/>
        <v/>
      </c>
      <c r="G98" s="247" t="str">
        <f t="shared" si="97"/>
        <v/>
      </c>
      <c r="H98" s="247" t="str">
        <f t="shared" si="97"/>
        <v/>
      </c>
      <c r="I98" s="247" t="str">
        <f t="shared" si="97"/>
        <v/>
      </c>
      <c r="J98" s="247" t="str">
        <f t="shared" si="97"/>
        <v/>
      </c>
      <c r="K98" s="247" t="str">
        <f t="shared" si="97"/>
        <v/>
      </c>
      <c r="L98" s="247" t="str">
        <f t="shared" si="97"/>
        <v/>
      </c>
      <c r="M98" s="247" t="str">
        <f t="shared" si="97"/>
        <v/>
      </c>
      <c r="N98" s="247">
        <f t="shared" si="70"/>
        <v>0</v>
      </c>
    </row>
    <row r="99">
      <c r="A99" s="269"/>
      <c r="B99" s="247" t="str">
        <f t="shared" ref="B99:M99" si="98">if($M$2,IFERROR(INDIRECT("'"&amp;B$3&amp;"'!"&amp;$B$2&amp;match($A99,INDIRECT("'"&amp;B$3&amp;"'!B1:B"),0)),""),
IFERROR(INDIRECT("'"&amp;B$3&amp;"!"&amp;$B$2&amp;match($A99,INDIRECT("'"&amp;B$3&amp;"'!B:B"),0)),""))</f>
        <v/>
      </c>
      <c r="C99" s="247" t="str">
        <f t="shared" si="98"/>
        <v/>
      </c>
      <c r="D99" s="247" t="str">
        <f t="shared" si="98"/>
        <v/>
      </c>
      <c r="E99" s="247" t="str">
        <f t="shared" si="98"/>
        <v/>
      </c>
      <c r="F99" s="247" t="str">
        <f t="shared" si="98"/>
        <v/>
      </c>
      <c r="G99" s="247" t="str">
        <f t="shared" si="98"/>
        <v/>
      </c>
      <c r="H99" s="247" t="str">
        <f t="shared" si="98"/>
        <v/>
      </c>
      <c r="I99" s="247" t="str">
        <f t="shared" si="98"/>
        <v/>
      </c>
      <c r="J99" s="247" t="str">
        <f t="shared" si="98"/>
        <v/>
      </c>
      <c r="K99" s="247" t="str">
        <f t="shared" si="98"/>
        <v/>
      </c>
      <c r="L99" s="247" t="str">
        <f t="shared" si="98"/>
        <v/>
      </c>
      <c r="M99" s="247" t="str">
        <f t="shared" si="98"/>
        <v/>
      </c>
      <c r="N99" s="247">
        <f t="shared" si="70"/>
        <v>0</v>
      </c>
    </row>
    <row r="100">
      <c r="A100" s="269"/>
      <c r="B100" s="247" t="str">
        <f t="shared" ref="B100:M100" si="99">if($M$2,IFERROR(INDIRECT("'"&amp;B$3&amp;"'!"&amp;$B$2&amp;match($A100,INDIRECT("'"&amp;B$3&amp;"'!B1:B"),0)),""),
IFERROR(INDIRECT("'"&amp;B$3&amp;"!"&amp;$B$2&amp;match($A100,INDIRECT("'"&amp;B$3&amp;"'!B:B"),0)),""))</f>
        <v/>
      </c>
      <c r="C100" s="247" t="str">
        <f t="shared" si="99"/>
        <v/>
      </c>
      <c r="D100" s="247" t="str">
        <f t="shared" si="99"/>
        <v/>
      </c>
      <c r="E100" s="247" t="str">
        <f t="shared" si="99"/>
        <v/>
      </c>
      <c r="F100" s="247" t="str">
        <f t="shared" si="99"/>
        <v/>
      </c>
      <c r="G100" s="247" t="str">
        <f t="shared" si="99"/>
        <v/>
      </c>
      <c r="H100" s="247" t="str">
        <f t="shared" si="99"/>
        <v/>
      </c>
      <c r="I100" s="247" t="str">
        <f t="shared" si="99"/>
        <v/>
      </c>
      <c r="J100" s="247" t="str">
        <f t="shared" si="99"/>
        <v/>
      </c>
      <c r="K100" s="247" t="str">
        <f t="shared" si="99"/>
        <v/>
      </c>
      <c r="L100" s="247" t="str">
        <f t="shared" si="99"/>
        <v/>
      </c>
      <c r="M100" s="247" t="str">
        <f t="shared" si="99"/>
        <v/>
      </c>
      <c r="N100" s="247">
        <f t="shared" si="70"/>
        <v>0</v>
      </c>
    </row>
    <row r="101">
      <c r="A101" s="269"/>
      <c r="B101" s="247" t="str">
        <f t="shared" ref="B101:M101" si="100">if($M$2,IFERROR(INDIRECT("'"&amp;B$3&amp;"'!"&amp;$B$2&amp;match($A101,INDIRECT("'"&amp;B$3&amp;"'!B1:B"),0)),""),
IFERROR(INDIRECT("'"&amp;B$3&amp;"!"&amp;$B$2&amp;match($A101,INDIRECT("'"&amp;B$3&amp;"'!B:B"),0)),""))</f>
        <v/>
      </c>
      <c r="C101" s="247" t="str">
        <f t="shared" si="100"/>
        <v/>
      </c>
      <c r="D101" s="247" t="str">
        <f t="shared" si="100"/>
        <v/>
      </c>
      <c r="E101" s="247" t="str">
        <f t="shared" si="100"/>
        <v/>
      </c>
      <c r="F101" s="247" t="str">
        <f t="shared" si="100"/>
        <v/>
      </c>
      <c r="G101" s="247" t="str">
        <f t="shared" si="100"/>
        <v/>
      </c>
      <c r="H101" s="247" t="str">
        <f t="shared" si="100"/>
        <v/>
      </c>
      <c r="I101" s="247" t="str">
        <f t="shared" si="100"/>
        <v/>
      </c>
      <c r="J101" s="247" t="str">
        <f t="shared" si="100"/>
        <v/>
      </c>
      <c r="K101" s="247" t="str">
        <f t="shared" si="100"/>
        <v/>
      </c>
      <c r="L101" s="247" t="str">
        <f t="shared" si="100"/>
        <v/>
      </c>
      <c r="M101" s="247" t="str">
        <f t="shared" si="100"/>
        <v/>
      </c>
      <c r="N101" s="247">
        <f t="shared" si="70"/>
        <v>0</v>
      </c>
    </row>
    <row r="102">
      <c r="A102" s="269"/>
      <c r="B102" s="247" t="str">
        <f t="shared" ref="B102:M102" si="101">if($M$2,IFERROR(INDIRECT("'"&amp;B$3&amp;"'!"&amp;$B$2&amp;match($A102,INDIRECT("'"&amp;B$3&amp;"'!B1:B"),0)),""),
IFERROR(INDIRECT("'"&amp;B$3&amp;"!"&amp;$B$2&amp;match($A102,INDIRECT("'"&amp;B$3&amp;"'!B:B"),0)),""))</f>
        <v/>
      </c>
      <c r="C102" s="247" t="str">
        <f t="shared" si="101"/>
        <v/>
      </c>
      <c r="D102" s="247" t="str">
        <f t="shared" si="101"/>
        <v/>
      </c>
      <c r="E102" s="247" t="str">
        <f t="shared" si="101"/>
        <v/>
      </c>
      <c r="F102" s="247" t="str">
        <f t="shared" si="101"/>
        <v/>
      </c>
      <c r="G102" s="247" t="str">
        <f t="shared" si="101"/>
        <v/>
      </c>
      <c r="H102" s="247" t="str">
        <f t="shared" si="101"/>
        <v/>
      </c>
      <c r="I102" s="247" t="str">
        <f t="shared" si="101"/>
        <v/>
      </c>
      <c r="J102" s="247" t="str">
        <f t="shared" si="101"/>
        <v/>
      </c>
      <c r="K102" s="247" t="str">
        <f t="shared" si="101"/>
        <v/>
      </c>
      <c r="L102" s="247" t="str">
        <f t="shared" si="101"/>
        <v/>
      </c>
      <c r="M102" s="247" t="str">
        <f t="shared" si="101"/>
        <v/>
      </c>
      <c r="N102" s="247">
        <f t="shared" si="70"/>
        <v>0</v>
      </c>
    </row>
    <row r="103">
      <c r="A103" s="269"/>
      <c r="B103" s="247" t="str">
        <f t="shared" ref="B103:M103" si="102">if($M$2,IFERROR(INDIRECT("'"&amp;B$3&amp;"'!"&amp;$B$2&amp;match($A103,INDIRECT("'"&amp;B$3&amp;"'!B1:B"),0)),""),
IFERROR(INDIRECT("'"&amp;B$3&amp;"!"&amp;$B$2&amp;match($A103,INDIRECT("'"&amp;B$3&amp;"'!B:B"),0)),""))</f>
        <v/>
      </c>
      <c r="C103" s="247" t="str">
        <f t="shared" si="102"/>
        <v/>
      </c>
      <c r="D103" s="247" t="str">
        <f t="shared" si="102"/>
        <v/>
      </c>
      <c r="E103" s="247" t="str">
        <f t="shared" si="102"/>
        <v/>
      </c>
      <c r="F103" s="247" t="str">
        <f t="shared" si="102"/>
        <v/>
      </c>
      <c r="G103" s="247" t="str">
        <f t="shared" si="102"/>
        <v/>
      </c>
      <c r="H103" s="247" t="str">
        <f t="shared" si="102"/>
        <v/>
      </c>
      <c r="I103" s="247" t="str">
        <f t="shared" si="102"/>
        <v/>
      </c>
      <c r="J103" s="247" t="str">
        <f t="shared" si="102"/>
        <v/>
      </c>
      <c r="K103" s="247" t="str">
        <f t="shared" si="102"/>
        <v/>
      </c>
      <c r="L103" s="247" t="str">
        <f t="shared" si="102"/>
        <v/>
      </c>
      <c r="M103" s="247" t="str">
        <f t="shared" si="102"/>
        <v/>
      </c>
      <c r="N103" s="247">
        <f t="shared" si="70"/>
        <v>0</v>
      </c>
    </row>
    <row r="104">
      <c r="A104" s="269"/>
      <c r="B104" s="247" t="str">
        <f t="shared" ref="B104:M104" si="103">if($M$2,IFERROR(INDIRECT("'"&amp;B$3&amp;"'!"&amp;$B$2&amp;match($A104,INDIRECT("'"&amp;B$3&amp;"'!B1:B"),0)),""),
IFERROR(INDIRECT("'"&amp;B$3&amp;"!"&amp;$B$2&amp;match($A104,INDIRECT("'"&amp;B$3&amp;"'!B:B"),0)),""))</f>
        <v/>
      </c>
      <c r="C104" s="247" t="str">
        <f t="shared" si="103"/>
        <v/>
      </c>
      <c r="D104" s="247" t="str">
        <f t="shared" si="103"/>
        <v/>
      </c>
      <c r="E104" s="247" t="str">
        <f t="shared" si="103"/>
        <v/>
      </c>
      <c r="F104" s="247" t="str">
        <f t="shared" si="103"/>
        <v/>
      </c>
      <c r="G104" s="247" t="str">
        <f t="shared" si="103"/>
        <v/>
      </c>
      <c r="H104" s="247" t="str">
        <f t="shared" si="103"/>
        <v/>
      </c>
      <c r="I104" s="247" t="str">
        <f t="shared" si="103"/>
        <v/>
      </c>
      <c r="J104" s="247" t="str">
        <f t="shared" si="103"/>
        <v/>
      </c>
      <c r="K104" s="247" t="str">
        <f t="shared" si="103"/>
        <v/>
      </c>
      <c r="L104" s="247" t="str">
        <f t="shared" si="103"/>
        <v/>
      </c>
      <c r="M104" s="247" t="str">
        <f t="shared" si="103"/>
        <v/>
      </c>
      <c r="N104" s="247">
        <f t="shared" si="70"/>
        <v>0</v>
      </c>
    </row>
    <row r="105">
      <c r="A105" s="269"/>
      <c r="B105" s="247" t="str">
        <f t="shared" ref="B105:M105" si="104">if($M$2,IFERROR(INDIRECT("'"&amp;B$3&amp;"'!"&amp;$B$2&amp;match($A105,INDIRECT("'"&amp;B$3&amp;"'!B1:B"),0)),""),
IFERROR(INDIRECT("'"&amp;B$3&amp;"!"&amp;$B$2&amp;match($A105,INDIRECT("'"&amp;B$3&amp;"'!B:B"),0)),""))</f>
        <v/>
      </c>
      <c r="C105" s="247" t="str">
        <f t="shared" si="104"/>
        <v/>
      </c>
      <c r="D105" s="247" t="str">
        <f t="shared" si="104"/>
        <v/>
      </c>
      <c r="E105" s="247" t="str">
        <f t="shared" si="104"/>
        <v/>
      </c>
      <c r="F105" s="247" t="str">
        <f t="shared" si="104"/>
        <v/>
      </c>
      <c r="G105" s="247" t="str">
        <f t="shared" si="104"/>
        <v/>
      </c>
      <c r="H105" s="247" t="str">
        <f t="shared" si="104"/>
        <v/>
      </c>
      <c r="I105" s="247" t="str">
        <f t="shared" si="104"/>
        <v/>
      </c>
      <c r="J105" s="247" t="str">
        <f t="shared" si="104"/>
        <v/>
      </c>
      <c r="K105" s="247" t="str">
        <f t="shared" si="104"/>
        <v/>
      </c>
      <c r="L105" s="247" t="str">
        <f t="shared" si="104"/>
        <v/>
      </c>
      <c r="M105" s="247" t="str">
        <f t="shared" si="104"/>
        <v/>
      </c>
      <c r="N105" s="247">
        <f t="shared" si="70"/>
        <v>0</v>
      </c>
    </row>
    <row r="106">
      <c r="A106" s="233"/>
      <c r="B106" s="247" t="str">
        <f t="shared" ref="B106:M106" si="105">if($M$2,IFERROR(INDIRECT("'"&amp;B$3&amp;"'!"&amp;$B$2&amp;match($A106,INDIRECT("'"&amp;B$3&amp;"'!B1:B"),0)),""),
IFERROR(INDIRECT("'"&amp;B$3&amp;"!"&amp;$B$2&amp;match($A106,INDIRECT("'"&amp;B$3&amp;"'!B:B"),0)),""))</f>
        <v/>
      </c>
      <c r="C106" s="247" t="str">
        <f t="shared" si="105"/>
        <v/>
      </c>
      <c r="D106" s="247" t="str">
        <f t="shared" si="105"/>
        <v/>
      </c>
      <c r="E106" s="247" t="str">
        <f t="shared" si="105"/>
        <v/>
      </c>
      <c r="F106" s="247" t="str">
        <f t="shared" si="105"/>
        <v/>
      </c>
      <c r="G106" s="247" t="str">
        <f t="shared" si="105"/>
        <v/>
      </c>
      <c r="H106" s="247" t="str">
        <f t="shared" si="105"/>
        <v/>
      </c>
      <c r="I106" s="247" t="str">
        <f t="shared" si="105"/>
        <v/>
      </c>
      <c r="J106" s="247" t="str">
        <f t="shared" si="105"/>
        <v/>
      </c>
      <c r="K106" s="247" t="str">
        <f t="shared" si="105"/>
        <v/>
      </c>
      <c r="L106" s="247" t="str">
        <f t="shared" si="105"/>
        <v/>
      </c>
      <c r="M106" s="247" t="str">
        <f t="shared" si="105"/>
        <v/>
      </c>
      <c r="N106" s="247">
        <f t="shared" si="70"/>
        <v>0</v>
      </c>
    </row>
    <row r="107">
      <c r="A107" s="233"/>
      <c r="B107" s="247" t="str">
        <f t="shared" ref="B107:M107" si="106">if($M$2,IFERROR(INDIRECT("'"&amp;B$3&amp;"'!"&amp;$B$2&amp;match($A107,INDIRECT("'"&amp;B$3&amp;"'!B1:B"),0)),""),
IFERROR(INDIRECT("'"&amp;B$3&amp;"!"&amp;$B$2&amp;match($A107,INDIRECT("'"&amp;B$3&amp;"'!B:B"),0)),""))</f>
        <v/>
      </c>
      <c r="C107" s="247" t="str">
        <f t="shared" si="106"/>
        <v/>
      </c>
      <c r="D107" s="247" t="str">
        <f t="shared" si="106"/>
        <v/>
      </c>
      <c r="E107" s="247" t="str">
        <f t="shared" si="106"/>
        <v/>
      </c>
      <c r="F107" s="247" t="str">
        <f t="shared" si="106"/>
        <v/>
      </c>
      <c r="G107" s="247" t="str">
        <f t="shared" si="106"/>
        <v/>
      </c>
      <c r="H107" s="247" t="str">
        <f t="shared" si="106"/>
        <v/>
      </c>
      <c r="I107" s="247" t="str">
        <f t="shared" si="106"/>
        <v/>
      </c>
      <c r="J107" s="247" t="str">
        <f t="shared" si="106"/>
        <v/>
      </c>
      <c r="K107" s="247" t="str">
        <f t="shared" si="106"/>
        <v/>
      </c>
      <c r="L107" s="247" t="str">
        <f t="shared" si="106"/>
        <v/>
      </c>
      <c r="M107" s="247" t="str">
        <f t="shared" si="106"/>
        <v/>
      </c>
      <c r="N107" s="247">
        <f t="shared" si="70"/>
        <v>0</v>
      </c>
    </row>
    <row r="108">
      <c r="A108" s="233"/>
      <c r="B108" s="247" t="str">
        <f t="shared" ref="B108:M108" si="107">if($M$2,IFERROR(INDIRECT("'"&amp;B$3&amp;"'!"&amp;$B$2&amp;match($A108,INDIRECT("'"&amp;B$3&amp;"'!B1:B"),0)),""),
IFERROR(INDIRECT("'"&amp;B$3&amp;"!"&amp;$B$2&amp;match($A108,INDIRECT("'"&amp;B$3&amp;"'!B:B"),0)),""))</f>
        <v/>
      </c>
      <c r="C108" s="247" t="str">
        <f t="shared" si="107"/>
        <v/>
      </c>
      <c r="D108" s="247" t="str">
        <f t="shared" si="107"/>
        <v/>
      </c>
      <c r="E108" s="247" t="str">
        <f t="shared" si="107"/>
        <v/>
      </c>
      <c r="F108" s="247" t="str">
        <f t="shared" si="107"/>
        <v/>
      </c>
      <c r="G108" s="247" t="str">
        <f t="shared" si="107"/>
        <v/>
      </c>
      <c r="H108" s="247" t="str">
        <f t="shared" si="107"/>
        <v/>
      </c>
      <c r="I108" s="247" t="str">
        <f t="shared" si="107"/>
        <v/>
      </c>
      <c r="J108" s="247" t="str">
        <f t="shared" si="107"/>
        <v/>
      </c>
      <c r="K108" s="247" t="str">
        <f t="shared" si="107"/>
        <v/>
      </c>
      <c r="L108" s="247" t="str">
        <f t="shared" si="107"/>
        <v/>
      </c>
      <c r="M108" s="247" t="str">
        <f t="shared" si="107"/>
        <v/>
      </c>
      <c r="N108" s="247">
        <f t="shared" si="70"/>
        <v>0</v>
      </c>
    </row>
    <row r="109">
      <c r="A109" s="233"/>
      <c r="B109" s="247" t="str">
        <f t="shared" ref="B109:M109" si="108">if($M$2,IFERROR(INDIRECT("'"&amp;B$3&amp;"'!"&amp;$B$2&amp;match($A109,INDIRECT("'"&amp;B$3&amp;"'!B1:B"),0)),""),
IFERROR(INDIRECT("'"&amp;B$3&amp;"!"&amp;$B$2&amp;match($A109,INDIRECT("'"&amp;B$3&amp;"'!B:B"),0)),""))</f>
        <v/>
      </c>
      <c r="C109" s="247" t="str">
        <f t="shared" si="108"/>
        <v/>
      </c>
      <c r="D109" s="247" t="str">
        <f t="shared" si="108"/>
        <v/>
      </c>
      <c r="E109" s="247" t="str">
        <f t="shared" si="108"/>
        <v/>
      </c>
      <c r="F109" s="247" t="str">
        <f t="shared" si="108"/>
        <v/>
      </c>
      <c r="G109" s="247" t="str">
        <f t="shared" si="108"/>
        <v/>
      </c>
      <c r="H109" s="247" t="str">
        <f t="shared" si="108"/>
        <v/>
      </c>
      <c r="I109" s="247" t="str">
        <f t="shared" si="108"/>
        <v/>
      </c>
      <c r="J109" s="247" t="str">
        <f t="shared" si="108"/>
        <v/>
      </c>
      <c r="K109" s="247" t="str">
        <f t="shared" si="108"/>
        <v/>
      </c>
      <c r="L109" s="247" t="str">
        <f t="shared" si="108"/>
        <v/>
      </c>
      <c r="M109" s="247" t="str">
        <f t="shared" si="108"/>
        <v/>
      </c>
      <c r="N109" s="247">
        <f t="shared" si="70"/>
        <v>0</v>
      </c>
    </row>
    <row r="110">
      <c r="A110" s="233"/>
      <c r="B110" s="247" t="str">
        <f t="shared" ref="B110:M110" si="109">if($M$2,IFERROR(INDIRECT("'"&amp;B$3&amp;"'!"&amp;$B$2&amp;match($A110,INDIRECT("'"&amp;B$3&amp;"'!B1:B"),0)),""),
IFERROR(INDIRECT("'"&amp;B$3&amp;"!"&amp;$B$2&amp;match($A110,INDIRECT("'"&amp;B$3&amp;"'!B:B"),0)),""))</f>
        <v/>
      </c>
      <c r="C110" s="247" t="str">
        <f t="shared" si="109"/>
        <v/>
      </c>
      <c r="D110" s="247" t="str">
        <f t="shared" si="109"/>
        <v/>
      </c>
      <c r="E110" s="247" t="str">
        <f t="shared" si="109"/>
        <v/>
      </c>
      <c r="F110" s="247" t="str">
        <f t="shared" si="109"/>
        <v/>
      </c>
      <c r="G110" s="247" t="str">
        <f t="shared" si="109"/>
        <v/>
      </c>
      <c r="H110" s="247" t="str">
        <f t="shared" si="109"/>
        <v/>
      </c>
      <c r="I110" s="247" t="str">
        <f t="shared" si="109"/>
        <v/>
      </c>
      <c r="J110" s="247" t="str">
        <f t="shared" si="109"/>
        <v/>
      </c>
      <c r="K110" s="247" t="str">
        <f t="shared" si="109"/>
        <v/>
      </c>
      <c r="L110" s="247" t="str">
        <f t="shared" si="109"/>
        <v/>
      </c>
      <c r="M110" s="247" t="str">
        <f t="shared" si="109"/>
        <v/>
      </c>
      <c r="N110" s="247">
        <f t="shared" si="70"/>
        <v>0</v>
      </c>
    </row>
    <row r="111">
      <c r="A111" s="233"/>
      <c r="B111" s="247" t="str">
        <f t="shared" ref="B111:M111" si="110">if($M$2,IFERROR(INDIRECT("'"&amp;B$3&amp;"'!"&amp;$B$2&amp;match($A111,INDIRECT("'"&amp;B$3&amp;"'!B1:B"),0)),""),
IFERROR(INDIRECT("'"&amp;B$3&amp;"!"&amp;$B$2&amp;match($A111,INDIRECT("'"&amp;B$3&amp;"'!B:B"),0)),""))</f>
        <v/>
      </c>
      <c r="C111" s="247" t="str">
        <f t="shared" si="110"/>
        <v/>
      </c>
      <c r="D111" s="247" t="str">
        <f t="shared" si="110"/>
        <v/>
      </c>
      <c r="E111" s="247" t="str">
        <f t="shared" si="110"/>
        <v/>
      </c>
      <c r="F111" s="247" t="str">
        <f t="shared" si="110"/>
        <v/>
      </c>
      <c r="G111" s="247" t="str">
        <f t="shared" si="110"/>
        <v/>
      </c>
      <c r="H111" s="247" t="str">
        <f t="shared" si="110"/>
        <v/>
      </c>
      <c r="I111" s="247" t="str">
        <f t="shared" si="110"/>
        <v/>
      </c>
      <c r="J111" s="247" t="str">
        <f t="shared" si="110"/>
        <v/>
      </c>
      <c r="K111" s="247" t="str">
        <f t="shared" si="110"/>
        <v/>
      </c>
      <c r="L111" s="247" t="str">
        <f t="shared" si="110"/>
        <v/>
      </c>
      <c r="M111" s="247" t="str">
        <f t="shared" si="110"/>
        <v/>
      </c>
      <c r="N111" s="247">
        <f t="shared" si="70"/>
        <v>0</v>
      </c>
    </row>
    <row r="112">
      <c r="A112" s="250" t="s">
        <v>107</v>
      </c>
      <c r="B112" s="251">
        <f t="shared" ref="B112:M112" si="111">SUM(B113:B128)</f>
        <v>-20</v>
      </c>
      <c r="C112" s="251">
        <f t="shared" si="111"/>
        <v>0</v>
      </c>
      <c r="D112" s="251">
        <f t="shared" si="111"/>
        <v>0</v>
      </c>
      <c r="E112" s="251">
        <f t="shared" si="111"/>
        <v>0</v>
      </c>
      <c r="F112" s="251">
        <f t="shared" si="111"/>
        <v>0</v>
      </c>
      <c r="G112" s="251">
        <f t="shared" si="111"/>
        <v>0</v>
      </c>
      <c r="H112" s="251">
        <f t="shared" si="111"/>
        <v>0</v>
      </c>
      <c r="I112" s="251">
        <f t="shared" si="111"/>
        <v>0</v>
      </c>
      <c r="J112" s="251">
        <f t="shared" si="111"/>
        <v>0</v>
      </c>
      <c r="K112" s="251">
        <f t="shared" si="111"/>
        <v>0</v>
      </c>
      <c r="L112" s="251">
        <f t="shared" si="111"/>
        <v>0</v>
      </c>
      <c r="M112" s="251">
        <f t="shared" si="111"/>
        <v>0</v>
      </c>
      <c r="N112" s="251">
        <f t="shared" si="70"/>
        <v>-20</v>
      </c>
    </row>
    <row r="113">
      <c r="A113" s="254" t="str">
        <f>IFERROR(__xludf.DUMMYFUNCTION("iferror(filter('Статьи'!$A$1:$A158,'Статьи'!$B$1:$B158=$A$112))"),"Подписка на сайты по поиску клиентов")</f>
        <v>Подписка на сайты по поиску клиентов</v>
      </c>
      <c r="B113" s="247">
        <f t="shared" ref="B113:M113" si="112">if($M$2,IFERROR(INDIRECT("'"&amp;B$3&amp;"'!"&amp;$B$2&amp;match($A113,INDIRECT("'"&amp;B$3&amp;"'!B1:B"),0)),""),
IFERROR(INDIRECT("'"&amp;B$3&amp;"!"&amp;$B$2&amp;match($A113,INDIRECT("'"&amp;B$3&amp;"'!B:B"),0)),""))</f>
        <v>-20</v>
      </c>
      <c r="C113" s="247">
        <f t="shared" si="112"/>
        <v>0</v>
      </c>
      <c r="D113" s="247">
        <f t="shared" si="112"/>
        <v>0</v>
      </c>
      <c r="E113" s="247">
        <f t="shared" si="112"/>
        <v>0</v>
      </c>
      <c r="F113" s="247">
        <f t="shared" si="112"/>
        <v>0</v>
      </c>
      <c r="G113" s="247">
        <f t="shared" si="112"/>
        <v>0</v>
      </c>
      <c r="H113" s="247">
        <f t="shared" si="112"/>
        <v>0</v>
      </c>
      <c r="I113" s="247">
        <f t="shared" si="112"/>
        <v>0</v>
      </c>
      <c r="J113" s="247">
        <f t="shared" si="112"/>
        <v>0</v>
      </c>
      <c r="K113" s="247">
        <f t="shared" si="112"/>
        <v>0</v>
      </c>
      <c r="L113" s="247">
        <f t="shared" si="112"/>
        <v>0</v>
      </c>
      <c r="M113" s="247">
        <f t="shared" si="112"/>
        <v>0</v>
      </c>
      <c r="N113" s="247">
        <f t="shared" si="70"/>
        <v>-20</v>
      </c>
    </row>
    <row r="114">
      <c r="A114" s="233"/>
      <c r="B114" s="247" t="str">
        <f t="shared" ref="B114:M114" si="113">if($M$2,IFERROR(INDIRECT("'"&amp;B$3&amp;"'!"&amp;$B$2&amp;match($A114,INDIRECT("'"&amp;B$3&amp;"'!B1:B"),0)),""),
IFERROR(INDIRECT("'"&amp;B$3&amp;"!"&amp;$B$2&amp;match($A114,INDIRECT("'"&amp;B$3&amp;"'!B:B"),0)),""))</f>
        <v/>
      </c>
      <c r="C114" s="247" t="str">
        <f t="shared" si="113"/>
        <v/>
      </c>
      <c r="D114" s="247" t="str">
        <f t="shared" si="113"/>
        <v/>
      </c>
      <c r="E114" s="247" t="str">
        <f t="shared" si="113"/>
        <v/>
      </c>
      <c r="F114" s="247" t="str">
        <f t="shared" si="113"/>
        <v/>
      </c>
      <c r="G114" s="247" t="str">
        <f t="shared" si="113"/>
        <v/>
      </c>
      <c r="H114" s="247" t="str">
        <f t="shared" si="113"/>
        <v/>
      </c>
      <c r="I114" s="247" t="str">
        <f t="shared" si="113"/>
        <v/>
      </c>
      <c r="J114" s="247" t="str">
        <f t="shared" si="113"/>
        <v/>
      </c>
      <c r="K114" s="247" t="str">
        <f t="shared" si="113"/>
        <v/>
      </c>
      <c r="L114" s="247" t="str">
        <f t="shared" si="113"/>
        <v/>
      </c>
      <c r="M114" s="247" t="str">
        <f t="shared" si="113"/>
        <v/>
      </c>
      <c r="N114" s="247">
        <f t="shared" si="70"/>
        <v>0</v>
      </c>
    </row>
    <row r="115">
      <c r="A115" s="233"/>
      <c r="B115" s="247" t="str">
        <f t="shared" ref="B115:M115" si="114">if($M$2,IFERROR(INDIRECT("'"&amp;B$3&amp;"'!"&amp;$B$2&amp;match($A115,INDIRECT("'"&amp;B$3&amp;"'!B1:B"),0)),""),
IFERROR(INDIRECT("'"&amp;B$3&amp;"!"&amp;$B$2&amp;match($A115,INDIRECT("'"&amp;B$3&amp;"'!B:B"),0)),""))</f>
        <v/>
      </c>
      <c r="C115" s="247" t="str">
        <f t="shared" si="114"/>
        <v/>
      </c>
      <c r="D115" s="247" t="str">
        <f t="shared" si="114"/>
        <v/>
      </c>
      <c r="E115" s="247" t="str">
        <f t="shared" si="114"/>
        <v/>
      </c>
      <c r="F115" s="247" t="str">
        <f t="shared" si="114"/>
        <v/>
      </c>
      <c r="G115" s="247" t="str">
        <f t="shared" si="114"/>
        <v/>
      </c>
      <c r="H115" s="247" t="str">
        <f t="shared" si="114"/>
        <v/>
      </c>
      <c r="I115" s="247" t="str">
        <f t="shared" si="114"/>
        <v/>
      </c>
      <c r="J115" s="247" t="str">
        <f t="shared" si="114"/>
        <v/>
      </c>
      <c r="K115" s="247" t="str">
        <f t="shared" si="114"/>
        <v/>
      </c>
      <c r="L115" s="247" t="str">
        <f t="shared" si="114"/>
        <v/>
      </c>
      <c r="M115" s="247" t="str">
        <f t="shared" si="114"/>
        <v/>
      </c>
      <c r="N115" s="247">
        <f t="shared" si="70"/>
        <v>0</v>
      </c>
    </row>
    <row r="116" collapsed="1">
      <c r="A116" s="233"/>
      <c r="B116" s="247" t="str">
        <f t="shared" ref="B116:M116" si="115">if($M$2,IFERROR(INDIRECT("'"&amp;B$3&amp;"'!"&amp;$B$2&amp;match($A116,INDIRECT("'"&amp;B$3&amp;"'!B1:B"),0)),""),
IFERROR(INDIRECT("'"&amp;B$3&amp;"!"&amp;$B$2&amp;match($A116,INDIRECT("'"&amp;B$3&amp;"'!B:B"),0)),""))</f>
        <v/>
      </c>
      <c r="C116" s="247" t="str">
        <f t="shared" si="115"/>
        <v/>
      </c>
      <c r="D116" s="247" t="str">
        <f t="shared" si="115"/>
        <v/>
      </c>
      <c r="E116" s="247" t="str">
        <f t="shared" si="115"/>
        <v/>
      </c>
      <c r="F116" s="247" t="str">
        <f t="shared" si="115"/>
        <v/>
      </c>
      <c r="G116" s="247" t="str">
        <f t="shared" si="115"/>
        <v/>
      </c>
      <c r="H116" s="247" t="str">
        <f t="shared" si="115"/>
        <v/>
      </c>
      <c r="I116" s="247" t="str">
        <f t="shared" si="115"/>
        <v/>
      </c>
      <c r="J116" s="247" t="str">
        <f t="shared" si="115"/>
        <v/>
      </c>
      <c r="K116" s="247" t="str">
        <f t="shared" si="115"/>
        <v/>
      </c>
      <c r="L116" s="247" t="str">
        <f t="shared" si="115"/>
        <v/>
      </c>
      <c r="M116" s="247" t="str">
        <f t="shared" si="115"/>
        <v/>
      </c>
      <c r="N116" s="247">
        <f t="shared" si="70"/>
        <v>0</v>
      </c>
    </row>
    <row r="117" hidden="1" outlineLevel="1">
      <c r="A117" s="233"/>
      <c r="B117" s="247" t="str">
        <f t="shared" ref="B117:M117" si="116">if($M$2,IFERROR(INDIRECT("'"&amp;B$3&amp;"'!"&amp;$B$2&amp;match($A117,INDIRECT("'"&amp;B$3&amp;"'!B1:B"),0)),""),
IFERROR(INDIRECT("'"&amp;B$3&amp;"!"&amp;$B$2&amp;match($A117,INDIRECT("'"&amp;B$3&amp;"'!B:B"),0)),""))</f>
        <v/>
      </c>
      <c r="C117" s="247" t="str">
        <f t="shared" si="116"/>
        <v/>
      </c>
      <c r="D117" s="247" t="str">
        <f t="shared" si="116"/>
        <v/>
      </c>
      <c r="E117" s="247" t="str">
        <f t="shared" si="116"/>
        <v/>
      </c>
      <c r="F117" s="247" t="str">
        <f t="shared" si="116"/>
        <v/>
      </c>
      <c r="G117" s="247" t="str">
        <f t="shared" si="116"/>
        <v/>
      </c>
      <c r="H117" s="247" t="str">
        <f t="shared" si="116"/>
        <v/>
      </c>
      <c r="I117" s="247" t="str">
        <f t="shared" si="116"/>
        <v/>
      </c>
      <c r="J117" s="247" t="str">
        <f t="shared" si="116"/>
        <v/>
      </c>
      <c r="K117" s="247" t="str">
        <f t="shared" si="116"/>
        <v/>
      </c>
      <c r="L117" s="247" t="str">
        <f t="shared" si="116"/>
        <v/>
      </c>
      <c r="M117" s="247" t="str">
        <f t="shared" si="116"/>
        <v/>
      </c>
      <c r="N117" s="247">
        <f t="shared" si="70"/>
        <v>0</v>
      </c>
    </row>
    <row r="118" hidden="1" outlineLevel="1">
      <c r="A118" s="233"/>
      <c r="B118" s="247" t="str">
        <f t="shared" ref="B118:M118" si="117">if($M$2,IFERROR(INDIRECT("'"&amp;B$3&amp;"'!"&amp;$B$2&amp;match($A118,INDIRECT("'"&amp;B$3&amp;"'!B1:B"),0)),""),
IFERROR(INDIRECT("'"&amp;B$3&amp;"!"&amp;$B$2&amp;match($A118,INDIRECT("'"&amp;B$3&amp;"'!B:B"),0)),""))</f>
        <v/>
      </c>
      <c r="C118" s="247" t="str">
        <f t="shared" si="117"/>
        <v/>
      </c>
      <c r="D118" s="247" t="str">
        <f t="shared" si="117"/>
        <v/>
      </c>
      <c r="E118" s="247" t="str">
        <f t="shared" si="117"/>
        <v/>
      </c>
      <c r="F118" s="247" t="str">
        <f t="shared" si="117"/>
        <v/>
      </c>
      <c r="G118" s="247" t="str">
        <f t="shared" si="117"/>
        <v/>
      </c>
      <c r="H118" s="247" t="str">
        <f t="shared" si="117"/>
        <v/>
      </c>
      <c r="I118" s="247" t="str">
        <f t="shared" si="117"/>
        <v/>
      </c>
      <c r="J118" s="247" t="str">
        <f t="shared" si="117"/>
        <v/>
      </c>
      <c r="K118" s="247" t="str">
        <f t="shared" si="117"/>
        <v/>
      </c>
      <c r="L118" s="247" t="str">
        <f t="shared" si="117"/>
        <v/>
      </c>
      <c r="M118" s="247" t="str">
        <f t="shared" si="117"/>
        <v/>
      </c>
      <c r="N118" s="247">
        <f t="shared" si="70"/>
        <v>0</v>
      </c>
    </row>
    <row r="119" hidden="1" outlineLevel="1">
      <c r="A119" s="233"/>
      <c r="B119" s="247" t="str">
        <f t="shared" ref="B119:M119" si="118">if($M$2,IFERROR(INDIRECT("'"&amp;B$3&amp;"'!"&amp;$B$2&amp;match($A119,INDIRECT("'"&amp;B$3&amp;"'!B1:B"),0)),""),
IFERROR(INDIRECT("'"&amp;B$3&amp;"!"&amp;$B$2&amp;match($A119,INDIRECT("'"&amp;B$3&amp;"'!B:B"),0)),""))</f>
        <v/>
      </c>
      <c r="C119" s="247" t="str">
        <f t="shared" si="118"/>
        <v/>
      </c>
      <c r="D119" s="247" t="str">
        <f t="shared" si="118"/>
        <v/>
      </c>
      <c r="E119" s="247" t="str">
        <f t="shared" si="118"/>
        <v/>
      </c>
      <c r="F119" s="247" t="str">
        <f t="shared" si="118"/>
        <v/>
      </c>
      <c r="G119" s="247" t="str">
        <f t="shared" si="118"/>
        <v/>
      </c>
      <c r="H119" s="247" t="str">
        <f t="shared" si="118"/>
        <v/>
      </c>
      <c r="I119" s="247" t="str">
        <f t="shared" si="118"/>
        <v/>
      </c>
      <c r="J119" s="247" t="str">
        <f t="shared" si="118"/>
        <v/>
      </c>
      <c r="K119" s="247" t="str">
        <f t="shared" si="118"/>
        <v/>
      </c>
      <c r="L119" s="247" t="str">
        <f t="shared" si="118"/>
        <v/>
      </c>
      <c r="M119" s="247" t="str">
        <f t="shared" si="118"/>
        <v/>
      </c>
      <c r="N119" s="247">
        <f t="shared" si="70"/>
        <v>0</v>
      </c>
    </row>
    <row r="120" hidden="1" outlineLevel="1">
      <c r="A120" s="233"/>
      <c r="B120" s="247" t="str">
        <f t="shared" ref="B120:M120" si="119">if($M$2,IFERROR(INDIRECT("'"&amp;B$3&amp;"'!"&amp;$B$2&amp;match($A120,INDIRECT("'"&amp;B$3&amp;"'!B1:B"),0)),""),
IFERROR(INDIRECT("'"&amp;B$3&amp;"!"&amp;$B$2&amp;match($A120,INDIRECT("'"&amp;B$3&amp;"'!B:B"),0)),""))</f>
        <v/>
      </c>
      <c r="C120" s="247" t="str">
        <f t="shared" si="119"/>
        <v/>
      </c>
      <c r="D120" s="247" t="str">
        <f t="shared" si="119"/>
        <v/>
      </c>
      <c r="E120" s="247" t="str">
        <f t="shared" si="119"/>
        <v/>
      </c>
      <c r="F120" s="247" t="str">
        <f t="shared" si="119"/>
        <v/>
      </c>
      <c r="G120" s="247" t="str">
        <f t="shared" si="119"/>
        <v/>
      </c>
      <c r="H120" s="247" t="str">
        <f t="shared" si="119"/>
        <v/>
      </c>
      <c r="I120" s="247" t="str">
        <f t="shared" si="119"/>
        <v/>
      </c>
      <c r="J120" s="247" t="str">
        <f t="shared" si="119"/>
        <v/>
      </c>
      <c r="K120" s="247" t="str">
        <f t="shared" si="119"/>
        <v/>
      </c>
      <c r="L120" s="247" t="str">
        <f t="shared" si="119"/>
        <v/>
      </c>
      <c r="M120" s="247" t="str">
        <f t="shared" si="119"/>
        <v/>
      </c>
      <c r="N120" s="247">
        <f t="shared" si="70"/>
        <v>0</v>
      </c>
    </row>
    <row r="121" hidden="1" outlineLevel="1">
      <c r="A121" s="233"/>
      <c r="B121" s="247" t="str">
        <f t="shared" ref="B121:M121" si="120">if($M$2,IFERROR(INDIRECT("'"&amp;B$3&amp;"'!"&amp;$B$2&amp;match($A121,INDIRECT("'"&amp;B$3&amp;"'!B1:B"),0)),""),
IFERROR(INDIRECT("'"&amp;B$3&amp;"!"&amp;$B$2&amp;match($A121,INDIRECT("'"&amp;B$3&amp;"'!B:B"),0)),""))</f>
        <v/>
      </c>
      <c r="C121" s="247" t="str">
        <f t="shared" si="120"/>
        <v/>
      </c>
      <c r="D121" s="247" t="str">
        <f t="shared" si="120"/>
        <v/>
      </c>
      <c r="E121" s="247" t="str">
        <f t="shared" si="120"/>
        <v/>
      </c>
      <c r="F121" s="247" t="str">
        <f t="shared" si="120"/>
        <v/>
      </c>
      <c r="G121" s="247" t="str">
        <f t="shared" si="120"/>
        <v/>
      </c>
      <c r="H121" s="247" t="str">
        <f t="shared" si="120"/>
        <v/>
      </c>
      <c r="I121" s="247" t="str">
        <f t="shared" si="120"/>
        <v/>
      </c>
      <c r="J121" s="247" t="str">
        <f t="shared" si="120"/>
        <v/>
      </c>
      <c r="K121" s="247" t="str">
        <f t="shared" si="120"/>
        <v/>
      </c>
      <c r="L121" s="247" t="str">
        <f t="shared" si="120"/>
        <v/>
      </c>
      <c r="M121" s="247" t="str">
        <f t="shared" si="120"/>
        <v/>
      </c>
      <c r="N121" s="247">
        <f t="shared" si="70"/>
        <v>0</v>
      </c>
    </row>
    <row r="122" hidden="1" outlineLevel="1">
      <c r="A122" s="233"/>
      <c r="B122" s="247" t="str">
        <f t="shared" ref="B122:M122" si="121">if($M$2,IFERROR(INDIRECT("'"&amp;B$3&amp;"'!"&amp;$B$2&amp;match($A122,INDIRECT("'"&amp;B$3&amp;"'!B1:B"),0)),""),
IFERROR(INDIRECT("'"&amp;B$3&amp;"!"&amp;$B$2&amp;match($A122,INDIRECT("'"&amp;B$3&amp;"'!B:B"),0)),""))</f>
        <v/>
      </c>
      <c r="C122" s="247" t="str">
        <f t="shared" si="121"/>
        <v/>
      </c>
      <c r="D122" s="247" t="str">
        <f t="shared" si="121"/>
        <v/>
      </c>
      <c r="E122" s="247" t="str">
        <f t="shared" si="121"/>
        <v/>
      </c>
      <c r="F122" s="247" t="str">
        <f t="shared" si="121"/>
        <v/>
      </c>
      <c r="G122" s="247" t="str">
        <f t="shared" si="121"/>
        <v/>
      </c>
      <c r="H122" s="247" t="str">
        <f t="shared" si="121"/>
        <v/>
      </c>
      <c r="I122" s="247" t="str">
        <f t="shared" si="121"/>
        <v/>
      </c>
      <c r="J122" s="247" t="str">
        <f t="shared" si="121"/>
        <v/>
      </c>
      <c r="K122" s="247" t="str">
        <f t="shared" si="121"/>
        <v/>
      </c>
      <c r="L122" s="247" t="str">
        <f t="shared" si="121"/>
        <v/>
      </c>
      <c r="M122" s="247" t="str">
        <f t="shared" si="121"/>
        <v/>
      </c>
      <c r="N122" s="247">
        <f t="shared" si="70"/>
        <v>0</v>
      </c>
    </row>
    <row r="123" hidden="1" outlineLevel="1">
      <c r="A123" s="233"/>
      <c r="B123" s="247" t="str">
        <f t="shared" ref="B123:M123" si="122">if($M$2,IFERROR(INDIRECT("'"&amp;B$3&amp;"'!"&amp;$B$2&amp;match($A123,INDIRECT("'"&amp;B$3&amp;"'!B1:B"),0)),""),
IFERROR(INDIRECT("'"&amp;B$3&amp;"!"&amp;$B$2&amp;match($A123,INDIRECT("'"&amp;B$3&amp;"'!B:B"),0)),""))</f>
        <v/>
      </c>
      <c r="C123" s="247" t="str">
        <f t="shared" si="122"/>
        <v/>
      </c>
      <c r="D123" s="247" t="str">
        <f t="shared" si="122"/>
        <v/>
      </c>
      <c r="E123" s="247" t="str">
        <f t="shared" si="122"/>
        <v/>
      </c>
      <c r="F123" s="247" t="str">
        <f t="shared" si="122"/>
        <v/>
      </c>
      <c r="G123" s="247" t="str">
        <f t="shared" si="122"/>
        <v/>
      </c>
      <c r="H123" s="247" t="str">
        <f t="shared" si="122"/>
        <v/>
      </c>
      <c r="I123" s="247" t="str">
        <f t="shared" si="122"/>
        <v/>
      </c>
      <c r="J123" s="247" t="str">
        <f t="shared" si="122"/>
        <v/>
      </c>
      <c r="K123" s="247" t="str">
        <f t="shared" si="122"/>
        <v/>
      </c>
      <c r="L123" s="247" t="str">
        <f t="shared" si="122"/>
        <v/>
      </c>
      <c r="M123" s="247" t="str">
        <f t="shared" si="122"/>
        <v/>
      </c>
      <c r="N123" s="247">
        <f t="shared" si="70"/>
        <v>0</v>
      </c>
    </row>
    <row r="124" hidden="1" outlineLevel="1">
      <c r="A124" s="233"/>
      <c r="B124" s="247" t="str">
        <f t="shared" ref="B124:M124" si="123">if($M$2,IFERROR(INDIRECT("'"&amp;B$3&amp;"'!"&amp;$B$2&amp;match($A124,INDIRECT("'"&amp;B$3&amp;"'!B1:B"),0)),""),
IFERROR(INDIRECT("'"&amp;B$3&amp;"!"&amp;$B$2&amp;match($A124,INDIRECT("'"&amp;B$3&amp;"'!B:B"),0)),""))</f>
        <v/>
      </c>
      <c r="C124" s="247" t="str">
        <f t="shared" si="123"/>
        <v/>
      </c>
      <c r="D124" s="247" t="str">
        <f t="shared" si="123"/>
        <v/>
      </c>
      <c r="E124" s="247" t="str">
        <f t="shared" si="123"/>
        <v/>
      </c>
      <c r="F124" s="247" t="str">
        <f t="shared" si="123"/>
        <v/>
      </c>
      <c r="G124" s="247" t="str">
        <f t="shared" si="123"/>
        <v/>
      </c>
      <c r="H124" s="247" t="str">
        <f t="shared" si="123"/>
        <v/>
      </c>
      <c r="I124" s="247" t="str">
        <f t="shared" si="123"/>
        <v/>
      </c>
      <c r="J124" s="247" t="str">
        <f t="shared" si="123"/>
        <v/>
      </c>
      <c r="K124" s="247" t="str">
        <f t="shared" si="123"/>
        <v/>
      </c>
      <c r="L124" s="247" t="str">
        <f t="shared" si="123"/>
        <v/>
      </c>
      <c r="M124" s="247" t="str">
        <f t="shared" si="123"/>
        <v/>
      </c>
      <c r="N124" s="247">
        <f t="shared" si="70"/>
        <v>0</v>
      </c>
    </row>
    <row r="125" hidden="1" outlineLevel="1">
      <c r="A125" s="233"/>
      <c r="B125" s="247" t="str">
        <f t="shared" ref="B125:M125" si="124">if($M$2,IFERROR(INDIRECT("'"&amp;B$3&amp;"'!"&amp;$B$2&amp;match($A125,INDIRECT("'"&amp;B$3&amp;"'!B1:B"),0)),""),
IFERROR(INDIRECT("'"&amp;B$3&amp;"!"&amp;$B$2&amp;match($A125,INDIRECT("'"&amp;B$3&amp;"'!B:B"),0)),""))</f>
        <v/>
      </c>
      <c r="C125" s="247" t="str">
        <f t="shared" si="124"/>
        <v/>
      </c>
      <c r="D125" s="247" t="str">
        <f t="shared" si="124"/>
        <v/>
      </c>
      <c r="E125" s="247" t="str">
        <f t="shared" si="124"/>
        <v/>
      </c>
      <c r="F125" s="247" t="str">
        <f t="shared" si="124"/>
        <v/>
      </c>
      <c r="G125" s="247" t="str">
        <f t="shared" si="124"/>
        <v/>
      </c>
      <c r="H125" s="247" t="str">
        <f t="shared" si="124"/>
        <v/>
      </c>
      <c r="I125" s="247" t="str">
        <f t="shared" si="124"/>
        <v/>
      </c>
      <c r="J125" s="247" t="str">
        <f t="shared" si="124"/>
        <v/>
      </c>
      <c r="K125" s="247" t="str">
        <f t="shared" si="124"/>
        <v/>
      </c>
      <c r="L125" s="247" t="str">
        <f t="shared" si="124"/>
        <v/>
      </c>
      <c r="M125" s="247" t="str">
        <f t="shared" si="124"/>
        <v/>
      </c>
      <c r="N125" s="247">
        <f t="shared" si="70"/>
        <v>0</v>
      </c>
    </row>
    <row r="126" hidden="1" outlineLevel="1">
      <c r="A126" s="233"/>
      <c r="B126" s="247" t="str">
        <f t="shared" ref="B126:M126" si="125">if($M$2,IFERROR(INDIRECT("'"&amp;B$3&amp;"'!"&amp;$B$2&amp;match($A126,INDIRECT("'"&amp;B$3&amp;"'!B1:B"),0)),""),
IFERROR(INDIRECT("'"&amp;B$3&amp;"!"&amp;$B$2&amp;match($A126,INDIRECT("'"&amp;B$3&amp;"'!B:B"),0)),""))</f>
        <v/>
      </c>
      <c r="C126" s="247" t="str">
        <f t="shared" si="125"/>
        <v/>
      </c>
      <c r="D126" s="247" t="str">
        <f t="shared" si="125"/>
        <v/>
      </c>
      <c r="E126" s="247" t="str">
        <f t="shared" si="125"/>
        <v/>
      </c>
      <c r="F126" s="247" t="str">
        <f t="shared" si="125"/>
        <v/>
      </c>
      <c r="G126" s="247" t="str">
        <f t="shared" si="125"/>
        <v/>
      </c>
      <c r="H126" s="247" t="str">
        <f t="shared" si="125"/>
        <v/>
      </c>
      <c r="I126" s="247" t="str">
        <f t="shared" si="125"/>
        <v/>
      </c>
      <c r="J126" s="247" t="str">
        <f t="shared" si="125"/>
        <v/>
      </c>
      <c r="K126" s="247" t="str">
        <f t="shared" si="125"/>
        <v/>
      </c>
      <c r="L126" s="247" t="str">
        <f t="shared" si="125"/>
        <v/>
      </c>
      <c r="M126" s="247" t="str">
        <f t="shared" si="125"/>
        <v/>
      </c>
      <c r="N126" s="247">
        <f t="shared" si="70"/>
        <v>0</v>
      </c>
    </row>
    <row r="127" hidden="1" outlineLevel="1">
      <c r="A127" s="233"/>
      <c r="B127" s="247" t="str">
        <f t="shared" ref="B127:M127" si="126">if($M$2,IFERROR(INDIRECT("'"&amp;B$3&amp;"'!"&amp;$B$2&amp;match($A127,INDIRECT("'"&amp;B$3&amp;"'!B1:B"),0)),""),
IFERROR(INDIRECT("'"&amp;B$3&amp;"!"&amp;$B$2&amp;match($A127,INDIRECT("'"&amp;B$3&amp;"'!B:B"),0)),""))</f>
        <v/>
      </c>
      <c r="C127" s="247" t="str">
        <f t="shared" si="126"/>
        <v/>
      </c>
      <c r="D127" s="247" t="str">
        <f t="shared" si="126"/>
        <v/>
      </c>
      <c r="E127" s="247" t="str">
        <f t="shared" si="126"/>
        <v/>
      </c>
      <c r="F127" s="247" t="str">
        <f t="shared" si="126"/>
        <v/>
      </c>
      <c r="G127" s="247" t="str">
        <f t="shared" si="126"/>
        <v/>
      </c>
      <c r="H127" s="247" t="str">
        <f t="shared" si="126"/>
        <v/>
      </c>
      <c r="I127" s="247" t="str">
        <f t="shared" si="126"/>
        <v/>
      </c>
      <c r="J127" s="247" t="str">
        <f t="shared" si="126"/>
        <v/>
      </c>
      <c r="K127" s="247" t="str">
        <f t="shared" si="126"/>
        <v/>
      </c>
      <c r="L127" s="247" t="str">
        <f t="shared" si="126"/>
        <v/>
      </c>
      <c r="M127" s="247" t="str">
        <f t="shared" si="126"/>
        <v/>
      </c>
      <c r="N127" s="247">
        <f t="shared" si="70"/>
        <v>0</v>
      </c>
    </row>
    <row r="128" hidden="1" outlineLevel="1">
      <c r="A128" s="233"/>
      <c r="B128" s="247" t="str">
        <f t="shared" ref="B128:M128" si="127">if($M$2,IFERROR(INDIRECT("'"&amp;B$3&amp;"'!"&amp;$B$2&amp;match($A128,INDIRECT("'"&amp;B$3&amp;"'!B1:B"),0)),""),
IFERROR(INDIRECT("'"&amp;B$3&amp;"!"&amp;$B$2&amp;match($A128,INDIRECT("'"&amp;B$3&amp;"'!B:B"),0)),""))</f>
        <v/>
      </c>
      <c r="C128" s="247" t="str">
        <f t="shared" si="127"/>
        <v/>
      </c>
      <c r="D128" s="247" t="str">
        <f t="shared" si="127"/>
        <v/>
      </c>
      <c r="E128" s="247" t="str">
        <f t="shared" si="127"/>
        <v/>
      </c>
      <c r="F128" s="247" t="str">
        <f t="shared" si="127"/>
        <v/>
      </c>
      <c r="G128" s="247" t="str">
        <f t="shared" si="127"/>
        <v/>
      </c>
      <c r="H128" s="247" t="str">
        <f t="shared" si="127"/>
        <v/>
      </c>
      <c r="I128" s="247" t="str">
        <f t="shared" si="127"/>
        <v/>
      </c>
      <c r="J128" s="247" t="str">
        <f t="shared" si="127"/>
        <v/>
      </c>
      <c r="K128" s="247" t="str">
        <f t="shared" si="127"/>
        <v/>
      </c>
      <c r="L128" s="247" t="str">
        <f t="shared" si="127"/>
        <v/>
      </c>
      <c r="M128" s="247" t="str">
        <f t="shared" si="127"/>
        <v/>
      </c>
      <c r="N128" s="247">
        <f t="shared" si="70"/>
        <v>0</v>
      </c>
    </row>
    <row r="129">
      <c r="A129" s="257" t="s">
        <v>163</v>
      </c>
      <c r="B129" s="258">
        <f t="shared" ref="B129:M129" si="128">B68+B71</f>
        <v>143422</v>
      </c>
      <c r="C129" s="258">
        <f t="shared" si="128"/>
        <v>0</v>
      </c>
      <c r="D129" s="258">
        <f t="shared" si="128"/>
        <v>0</v>
      </c>
      <c r="E129" s="258">
        <f t="shared" si="128"/>
        <v>4</v>
      </c>
      <c r="F129" s="258">
        <f t="shared" si="128"/>
        <v>5</v>
      </c>
      <c r="G129" s="258">
        <f t="shared" si="128"/>
        <v>6</v>
      </c>
      <c r="H129" s="258">
        <f t="shared" si="128"/>
        <v>7</v>
      </c>
      <c r="I129" s="258">
        <f t="shared" si="128"/>
        <v>8</v>
      </c>
      <c r="J129" s="258">
        <f t="shared" si="128"/>
        <v>9</v>
      </c>
      <c r="K129" s="258">
        <f t="shared" si="128"/>
        <v>10</v>
      </c>
      <c r="L129" s="258">
        <f t="shared" si="128"/>
        <v>11</v>
      </c>
      <c r="M129" s="258">
        <f t="shared" si="128"/>
        <v>12</v>
      </c>
      <c r="N129" s="258">
        <f t="shared" si="70"/>
        <v>143494</v>
      </c>
    </row>
    <row r="130">
      <c r="A130" s="272" t="s">
        <v>164</v>
      </c>
      <c r="B130" s="260">
        <f t="shared" ref="B130:N130" si="129">IFERROR(B129/B$5,"")</f>
        <v>0.6301493849</v>
      </c>
      <c r="C130" s="260" t="str">
        <f t="shared" si="129"/>
        <v/>
      </c>
      <c r="D130" s="260" t="str">
        <f t="shared" si="129"/>
        <v/>
      </c>
      <c r="E130" s="260">
        <f t="shared" si="129"/>
        <v>1</v>
      </c>
      <c r="F130" s="260">
        <f t="shared" si="129"/>
        <v>1</v>
      </c>
      <c r="G130" s="260">
        <f t="shared" si="129"/>
        <v>1</v>
      </c>
      <c r="H130" s="260">
        <f t="shared" si="129"/>
        <v>1</v>
      </c>
      <c r="I130" s="260">
        <f t="shared" si="129"/>
        <v>1</v>
      </c>
      <c r="J130" s="260">
        <f t="shared" si="129"/>
        <v>1</v>
      </c>
      <c r="K130" s="260">
        <f t="shared" si="129"/>
        <v>1</v>
      </c>
      <c r="L130" s="260">
        <f t="shared" si="129"/>
        <v>1</v>
      </c>
      <c r="M130" s="260">
        <f t="shared" si="129"/>
        <v>1</v>
      </c>
      <c r="N130" s="260">
        <f t="shared" si="129"/>
        <v>0.6302663481</v>
      </c>
    </row>
    <row r="131">
      <c r="A131" s="252"/>
      <c r="B131" s="261"/>
      <c r="C131" s="261"/>
      <c r="D131" s="261"/>
      <c r="E131" s="261"/>
      <c r="F131" s="261"/>
      <c r="G131" s="261"/>
      <c r="H131" s="261"/>
      <c r="I131" s="261"/>
      <c r="J131" s="261"/>
      <c r="K131" s="261"/>
      <c r="L131" s="261"/>
      <c r="M131" s="261"/>
      <c r="N131" s="261">
        <f t="shared" ref="N131:N152" si="131">SUM(B131:M131)</f>
        <v>0</v>
      </c>
    </row>
    <row r="132">
      <c r="A132" s="262" t="s">
        <v>111</v>
      </c>
      <c r="B132" s="251">
        <f t="shared" ref="B132:M132" si="130">SUM(B133:B141)</f>
        <v>3</v>
      </c>
      <c r="C132" s="251">
        <f t="shared" si="130"/>
        <v>0</v>
      </c>
      <c r="D132" s="251">
        <f t="shared" si="130"/>
        <v>0</v>
      </c>
      <c r="E132" s="251">
        <f t="shared" si="130"/>
        <v>0</v>
      </c>
      <c r="F132" s="251">
        <f t="shared" si="130"/>
        <v>0</v>
      </c>
      <c r="G132" s="251">
        <f t="shared" si="130"/>
        <v>0</v>
      </c>
      <c r="H132" s="251">
        <f t="shared" si="130"/>
        <v>0</v>
      </c>
      <c r="I132" s="251">
        <f t="shared" si="130"/>
        <v>0</v>
      </c>
      <c r="J132" s="251">
        <f t="shared" si="130"/>
        <v>0</v>
      </c>
      <c r="K132" s="251">
        <f t="shared" si="130"/>
        <v>0</v>
      </c>
      <c r="L132" s="251">
        <f t="shared" si="130"/>
        <v>0</v>
      </c>
      <c r="M132" s="251">
        <f t="shared" si="130"/>
        <v>0</v>
      </c>
      <c r="N132" s="251">
        <f t="shared" si="131"/>
        <v>3</v>
      </c>
    </row>
    <row r="133">
      <c r="A133" s="254" t="str">
        <f>IFERROR(__xludf.DUMMYFUNCTION("iferror(filter('Статьи'!$A$1:$A158,'Статьи'!$B$1:$B158=$A$132))"),"Поступления прочие")</f>
        <v>Поступления прочие</v>
      </c>
      <c r="B133" s="247">
        <f t="shared" ref="B133:M133" si="132">if($M$2,IFERROR(INDIRECT("'"&amp;B$3&amp;"'!"&amp;$B$2&amp;match($A133,INDIRECT("'"&amp;B$3&amp;"'!B1:B"),0)),""),
IFERROR(INDIRECT("'"&amp;B$3&amp;"!"&amp;$B$2&amp;match($A133,INDIRECT("'"&amp;B$3&amp;"'!B:B"),0)),""))</f>
        <v>3</v>
      </c>
      <c r="C133" s="247">
        <f t="shared" si="132"/>
        <v>0</v>
      </c>
      <c r="D133" s="247">
        <f t="shared" si="132"/>
        <v>0</v>
      </c>
      <c r="E133" s="247">
        <f t="shared" si="132"/>
        <v>0</v>
      </c>
      <c r="F133" s="247">
        <f t="shared" si="132"/>
        <v>0</v>
      </c>
      <c r="G133" s="247">
        <f t="shared" si="132"/>
        <v>0</v>
      </c>
      <c r="H133" s="247">
        <f t="shared" si="132"/>
        <v>0</v>
      </c>
      <c r="I133" s="247">
        <f t="shared" si="132"/>
        <v>0</v>
      </c>
      <c r="J133" s="247">
        <f t="shared" si="132"/>
        <v>0</v>
      </c>
      <c r="K133" s="247">
        <f t="shared" si="132"/>
        <v>0</v>
      </c>
      <c r="L133" s="247">
        <f t="shared" si="132"/>
        <v>0</v>
      </c>
      <c r="M133" s="247">
        <f t="shared" si="132"/>
        <v>0</v>
      </c>
      <c r="N133" s="247">
        <f t="shared" si="131"/>
        <v>3</v>
      </c>
    </row>
    <row r="134">
      <c r="A134" s="254" t="str">
        <f>IFERROR(__xludf.DUMMYFUNCTION("""COMPUTED_VALUE"""),"Поступления страховые выплаты")</f>
        <v>Поступления страховые выплаты</v>
      </c>
      <c r="B134" s="247">
        <f t="shared" ref="B134:M134" si="133">if($M$2,IFERROR(INDIRECT("'"&amp;B$3&amp;"'!"&amp;$B$2&amp;match($A134,INDIRECT("'"&amp;B$3&amp;"'!B1:B"),0)),""),
IFERROR(INDIRECT("'"&amp;B$3&amp;"!"&amp;$B$2&amp;match($A134,INDIRECT("'"&amp;B$3&amp;"'!B:B"),0)),""))</f>
        <v>0</v>
      </c>
      <c r="C134" s="247">
        <f t="shared" si="133"/>
        <v>0</v>
      </c>
      <c r="D134" s="247">
        <f t="shared" si="133"/>
        <v>0</v>
      </c>
      <c r="E134" s="247">
        <f t="shared" si="133"/>
        <v>0</v>
      </c>
      <c r="F134" s="247">
        <f t="shared" si="133"/>
        <v>0</v>
      </c>
      <c r="G134" s="247">
        <f t="shared" si="133"/>
        <v>0</v>
      </c>
      <c r="H134" s="247">
        <f t="shared" si="133"/>
        <v>0</v>
      </c>
      <c r="I134" s="247">
        <f t="shared" si="133"/>
        <v>0</v>
      </c>
      <c r="J134" s="247">
        <f t="shared" si="133"/>
        <v>0</v>
      </c>
      <c r="K134" s="247">
        <f t="shared" si="133"/>
        <v>0</v>
      </c>
      <c r="L134" s="247">
        <f t="shared" si="133"/>
        <v>0</v>
      </c>
      <c r="M134" s="247">
        <f t="shared" si="133"/>
        <v>0</v>
      </c>
      <c r="N134" s="247">
        <f t="shared" si="131"/>
        <v>0</v>
      </c>
    </row>
    <row r="135">
      <c r="A135" s="254" t="str">
        <f>IFERROR(__xludf.DUMMYFUNCTION("""COMPUTED_VALUE"""),"Продажа ОС")</f>
        <v>Продажа ОС</v>
      </c>
      <c r="B135" s="247">
        <f t="shared" ref="B135:M135" si="134">if($M$2,IFERROR(INDIRECT("'"&amp;B$3&amp;"'!"&amp;$B$2&amp;match($A135,INDIRECT("'"&amp;B$3&amp;"'!B1:B"),0)),""),
IFERROR(INDIRECT("'"&amp;B$3&amp;"!"&amp;$B$2&amp;match($A135,INDIRECT("'"&amp;B$3&amp;"'!B:B"),0)),""))</f>
        <v>0</v>
      </c>
      <c r="C135" s="247">
        <f t="shared" si="134"/>
        <v>0</v>
      </c>
      <c r="D135" s="247">
        <f t="shared" si="134"/>
        <v>0</v>
      </c>
      <c r="E135" s="247">
        <f t="shared" si="134"/>
        <v>0</v>
      </c>
      <c r="F135" s="247">
        <f t="shared" si="134"/>
        <v>0</v>
      </c>
      <c r="G135" s="247">
        <f t="shared" si="134"/>
        <v>0</v>
      </c>
      <c r="H135" s="247">
        <f t="shared" si="134"/>
        <v>0</v>
      </c>
      <c r="I135" s="247">
        <f t="shared" si="134"/>
        <v>0</v>
      </c>
      <c r="J135" s="247">
        <f t="shared" si="134"/>
        <v>0</v>
      </c>
      <c r="K135" s="247">
        <f t="shared" si="134"/>
        <v>0</v>
      </c>
      <c r="L135" s="247">
        <f t="shared" si="134"/>
        <v>0</v>
      </c>
      <c r="M135" s="247">
        <f t="shared" si="134"/>
        <v>0</v>
      </c>
      <c r="N135" s="247">
        <f t="shared" si="131"/>
        <v>0</v>
      </c>
    </row>
    <row r="136">
      <c r="A136" s="254" t="str">
        <f>IFERROR(__xludf.DUMMYFUNCTION("""COMPUTED_VALUE"""),"Прочие поступления от фин. операций")</f>
        <v>Прочие поступления от фин. операций</v>
      </c>
      <c r="B136" s="247">
        <f t="shared" ref="B136:M136" si="135">if($M$2,IFERROR(INDIRECT("'"&amp;B$3&amp;"'!"&amp;$B$2&amp;match($A136,INDIRECT("'"&amp;B$3&amp;"'!B1:B"),0)),""),
IFERROR(INDIRECT("'"&amp;B$3&amp;"!"&amp;$B$2&amp;match($A136,INDIRECT("'"&amp;B$3&amp;"'!B:B"),0)),""))</f>
        <v>0</v>
      </c>
      <c r="C136" s="263">
        <f t="shared" si="135"/>
        <v>0</v>
      </c>
      <c r="D136" s="263">
        <f t="shared" si="135"/>
        <v>0</v>
      </c>
      <c r="E136" s="247">
        <f t="shared" si="135"/>
        <v>0</v>
      </c>
      <c r="F136" s="247">
        <f t="shared" si="135"/>
        <v>0</v>
      </c>
      <c r="G136" s="247">
        <f t="shared" si="135"/>
        <v>0</v>
      </c>
      <c r="H136" s="247">
        <f t="shared" si="135"/>
        <v>0</v>
      </c>
      <c r="I136" s="247">
        <f t="shared" si="135"/>
        <v>0</v>
      </c>
      <c r="J136" s="247">
        <f t="shared" si="135"/>
        <v>0</v>
      </c>
      <c r="K136" s="247">
        <f t="shared" si="135"/>
        <v>0</v>
      </c>
      <c r="L136" s="247">
        <f t="shared" si="135"/>
        <v>0</v>
      </c>
      <c r="M136" s="247">
        <f t="shared" si="135"/>
        <v>0</v>
      </c>
      <c r="N136" s="247">
        <f t="shared" si="131"/>
        <v>0</v>
      </c>
    </row>
    <row r="137">
      <c r="A137" s="254"/>
      <c r="B137" s="247" t="str">
        <f t="shared" ref="B137:M137" si="136">if($M$2,IFERROR(INDIRECT("'"&amp;B$3&amp;"'!"&amp;$B$2&amp;match($A137,INDIRECT("'"&amp;B$3&amp;"'!B1:B"),0)),""),
IFERROR(INDIRECT("'"&amp;B$3&amp;"!"&amp;$B$2&amp;match($A137,INDIRECT("'"&amp;B$3&amp;"'!B:B"),0)),""))</f>
        <v/>
      </c>
      <c r="C137" s="247" t="str">
        <f t="shared" si="136"/>
        <v/>
      </c>
      <c r="D137" s="247" t="str">
        <f t="shared" si="136"/>
        <v/>
      </c>
      <c r="E137" s="247" t="str">
        <f t="shared" si="136"/>
        <v/>
      </c>
      <c r="F137" s="247" t="str">
        <f t="shared" si="136"/>
        <v/>
      </c>
      <c r="G137" s="247" t="str">
        <f t="shared" si="136"/>
        <v/>
      </c>
      <c r="H137" s="247" t="str">
        <f t="shared" si="136"/>
        <v/>
      </c>
      <c r="I137" s="247" t="str">
        <f t="shared" si="136"/>
        <v/>
      </c>
      <c r="J137" s="247" t="str">
        <f t="shared" si="136"/>
        <v/>
      </c>
      <c r="K137" s="247" t="str">
        <f t="shared" si="136"/>
        <v/>
      </c>
      <c r="L137" s="247" t="str">
        <f t="shared" si="136"/>
        <v/>
      </c>
      <c r="M137" s="247" t="str">
        <f t="shared" si="136"/>
        <v/>
      </c>
      <c r="N137" s="247">
        <f t="shared" si="131"/>
        <v>0</v>
      </c>
    </row>
    <row r="138">
      <c r="A138" s="254"/>
      <c r="B138" s="247" t="str">
        <f t="shared" ref="B138:M138" si="137">if($M$2,IFERROR(INDIRECT("'"&amp;B$3&amp;"'!"&amp;$B$2&amp;match($A138,INDIRECT("'"&amp;B$3&amp;"'!B1:B"),0)),""),
IFERROR(INDIRECT("'"&amp;B$3&amp;"!"&amp;$B$2&amp;match($A138,INDIRECT("'"&amp;B$3&amp;"'!B:B"),0)),""))</f>
        <v/>
      </c>
      <c r="C138" s="247" t="str">
        <f t="shared" si="137"/>
        <v/>
      </c>
      <c r="D138" s="247" t="str">
        <f t="shared" si="137"/>
        <v/>
      </c>
      <c r="E138" s="247" t="str">
        <f t="shared" si="137"/>
        <v/>
      </c>
      <c r="F138" s="247" t="str">
        <f t="shared" si="137"/>
        <v/>
      </c>
      <c r="G138" s="247" t="str">
        <f t="shared" si="137"/>
        <v/>
      </c>
      <c r="H138" s="247" t="str">
        <f t="shared" si="137"/>
        <v/>
      </c>
      <c r="I138" s="247" t="str">
        <f t="shared" si="137"/>
        <v/>
      </c>
      <c r="J138" s="247" t="str">
        <f t="shared" si="137"/>
        <v/>
      </c>
      <c r="K138" s="247" t="str">
        <f t="shared" si="137"/>
        <v/>
      </c>
      <c r="L138" s="247" t="str">
        <f t="shared" si="137"/>
        <v/>
      </c>
      <c r="M138" s="247" t="str">
        <f t="shared" si="137"/>
        <v/>
      </c>
      <c r="N138" s="247">
        <f t="shared" si="131"/>
        <v>0</v>
      </c>
    </row>
    <row r="139" outlineLevel="1">
      <c r="A139" s="254"/>
      <c r="B139" s="247" t="str">
        <f t="shared" ref="B139:M139" si="138">if($M$2,IFERROR(INDIRECT("'"&amp;B$3&amp;"'!"&amp;$B$2&amp;match($A139,INDIRECT("'"&amp;B$3&amp;"'!B1:B"),0)),""),
IFERROR(INDIRECT("'"&amp;B$3&amp;"!"&amp;$B$2&amp;match($A139,INDIRECT("'"&amp;B$3&amp;"'!B:B"),0)),""))</f>
        <v/>
      </c>
      <c r="C139" s="247" t="str">
        <f t="shared" si="138"/>
        <v/>
      </c>
      <c r="D139" s="247" t="str">
        <f t="shared" si="138"/>
        <v/>
      </c>
      <c r="E139" s="247" t="str">
        <f t="shared" si="138"/>
        <v/>
      </c>
      <c r="F139" s="247" t="str">
        <f t="shared" si="138"/>
        <v/>
      </c>
      <c r="G139" s="247" t="str">
        <f t="shared" si="138"/>
        <v/>
      </c>
      <c r="H139" s="247" t="str">
        <f t="shared" si="138"/>
        <v/>
      </c>
      <c r="I139" s="247" t="str">
        <f t="shared" si="138"/>
        <v/>
      </c>
      <c r="J139" s="247" t="str">
        <f t="shared" si="138"/>
        <v/>
      </c>
      <c r="K139" s="247" t="str">
        <f t="shared" si="138"/>
        <v/>
      </c>
      <c r="L139" s="247" t="str">
        <f t="shared" si="138"/>
        <v/>
      </c>
      <c r="M139" s="247" t="str">
        <f t="shared" si="138"/>
        <v/>
      </c>
      <c r="N139" s="247">
        <f t="shared" si="131"/>
        <v>0</v>
      </c>
    </row>
    <row r="140" outlineLevel="1">
      <c r="A140" s="254"/>
      <c r="B140" s="247" t="str">
        <f t="shared" ref="B140:M140" si="139">if($M$2,IFERROR(INDIRECT("'"&amp;B$3&amp;"'!"&amp;$B$2&amp;match($A140,INDIRECT("'"&amp;B$3&amp;"'!B1:B"),0)),""),
IFERROR(INDIRECT("'"&amp;B$3&amp;"!"&amp;$B$2&amp;match($A140,INDIRECT("'"&amp;B$3&amp;"'!B:B"),0)),""))</f>
        <v/>
      </c>
      <c r="C140" s="247" t="str">
        <f t="shared" si="139"/>
        <v/>
      </c>
      <c r="D140" s="247" t="str">
        <f t="shared" si="139"/>
        <v/>
      </c>
      <c r="E140" s="247" t="str">
        <f t="shared" si="139"/>
        <v/>
      </c>
      <c r="F140" s="247" t="str">
        <f t="shared" si="139"/>
        <v/>
      </c>
      <c r="G140" s="247" t="str">
        <f t="shared" si="139"/>
        <v/>
      </c>
      <c r="H140" s="247" t="str">
        <f t="shared" si="139"/>
        <v/>
      </c>
      <c r="I140" s="247" t="str">
        <f t="shared" si="139"/>
        <v/>
      </c>
      <c r="J140" s="247" t="str">
        <f t="shared" si="139"/>
        <v/>
      </c>
      <c r="K140" s="247" t="str">
        <f t="shared" si="139"/>
        <v/>
      </c>
      <c r="L140" s="247" t="str">
        <f t="shared" si="139"/>
        <v/>
      </c>
      <c r="M140" s="247" t="str">
        <f t="shared" si="139"/>
        <v/>
      </c>
      <c r="N140" s="247">
        <f t="shared" si="131"/>
        <v>0</v>
      </c>
    </row>
    <row r="141">
      <c r="A141" s="254"/>
      <c r="B141" s="247" t="str">
        <f t="shared" ref="B141:M141" si="140">if($M$2,IFERROR(INDIRECT("'"&amp;B$3&amp;"'!"&amp;$B$2&amp;match($A141,INDIRECT("'"&amp;B$3&amp;"'!B1:B"),0)),""),
IFERROR(INDIRECT("'"&amp;B$3&amp;"!"&amp;$B$2&amp;match($A141,INDIRECT("'"&amp;B$3&amp;"'!B:B"),0)),""))</f>
        <v/>
      </c>
      <c r="C141" s="247" t="str">
        <f t="shared" si="140"/>
        <v/>
      </c>
      <c r="D141" s="247" t="str">
        <f t="shared" si="140"/>
        <v/>
      </c>
      <c r="E141" s="247" t="str">
        <f t="shared" si="140"/>
        <v/>
      </c>
      <c r="F141" s="247" t="str">
        <f t="shared" si="140"/>
        <v/>
      </c>
      <c r="G141" s="247" t="str">
        <f t="shared" si="140"/>
        <v/>
      </c>
      <c r="H141" s="247" t="str">
        <f t="shared" si="140"/>
        <v/>
      </c>
      <c r="I141" s="247" t="str">
        <f t="shared" si="140"/>
        <v/>
      </c>
      <c r="J141" s="247" t="str">
        <f t="shared" si="140"/>
        <v/>
      </c>
      <c r="K141" s="247" t="str">
        <f t="shared" si="140"/>
        <v/>
      </c>
      <c r="L141" s="247" t="str">
        <f t="shared" si="140"/>
        <v/>
      </c>
      <c r="M141" s="247" t="str">
        <f t="shared" si="140"/>
        <v/>
      </c>
      <c r="N141" s="247">
        <f t="shared" si="131"/>
        <v>0</v>
      </c>
    </row>
    <row r="142">
      <c r="A142" s="250" t="s">
        <v>101</v>
      </c>
      <c r="B142" s="251">
        <f t="shared" ref="B142:M142" si="141">SUM(B143:B150)</f>
        <v>-45100</v>
      </c>
      <c r="C142" s="251">
        <f t="shared" si="141"/>
        <v>0</v>
      </c>
      <c r="D142" s="251">
        <f t="shared" si="141"/>
        <v>0</v>
      </c>
      <c r="E142" s="251">
        <f t="shared" si="141"/>
        <v>0</v>
      </c>
      <c r="F142" s="251">
        <f t="shared" si="141"/>
        <v>0</v>
      </c>
      <c r="G142" s="251">
        <f t="shared" si="141"/>
        <v>0</v>
      </c>
      <c r="H142" s="251">
        <f t="shared" si="141"/>
        <v>0</v>
      </c>
      <c r="I142" s="251">
        <f t="shared" si="141"/>
        <v>0</v>
      </c>
      <c r="J142" s="251">
        <f t="shared" si="141"/>
        <v>0</v>
      </c>
      <c r="K142" s="251">
        <f t="shared" si="141"/>
        <v>0</v>
      </c>
      <c r="L142" s="251">
        <f t="shared" si="141"/>
        <v>0</v>
      </c>
      <c r="M142" s="251">
        <f t="shared" si="141"/>
        <v>0</v>
      </c>
      <c r="N142" s="251">
        <f t="shared" si="131"/>
        <v>-45100</v>
      </c>
    </row>
    <row r="143">
      <c r="A143" s="254" t="str">
        <f>IFERROR(__xludf.DUMMYFUNCTION("iferror(filter('Статьи'!$A$1:$A158,'Статьи'!$B$1:$B158=$A$142))"),"Курсовые разницы")</f>
        <v>Курсовые разницы</v>
      </c>
      <c r="B143" s="247">
        <f t="shared" ref="B143:M143" si="142">if($M$2,IFERROR(INDIRECT("'"&amp;B$3&amp;"'!"&amp;$B$2&amp;match($A143,INDIRECT("'"&amp;B$3&amp;"'!B1:B"),0)),""),
IFERROR(INDIRECT("'"&amp;B$3&amp;"!"&amp;$B$2&amp;match($A143,INDIRECT("'"&amp;B$3&amp;"'!B:B"),0)),""))</f>
        <v>0</v>
      </c>
      <c r="C143" s="247">
        <f t="shared" si="142"/>
        <v>0</v>
      </c>
      <c r="D143" s="247">
        <f t="shared" si="142"/>
        <v>0</v>
      </c>
      <c r="E143" s="247">
        <f t="shared" si="142"/>
        <v>0</v>
      </c>
      <c r="F143" s="247">
        <f t="shared" si="142"/>
        <v>0</v>
      </c>
      <c r="G143" s="247">
        <f t="shared" si="142"/>
        <v>0</v>
      </c>
      <c r="H143" s="247">
        <f t="shared" si="142"/>
        <v>0</v>
      </c>
      <c r="I143" s="247">
        <f t="shared" si="142"/>
        <v>0</v>
      </c>
      <c r="J143" s="247">
        <f t="shared" si="142"/>
        <v>0</v>
      </c>
      <c r="K143" s="247">
        <f t="shared" si="142"/>
        <v>0</v>
      </c>
      <c r="L143" s="247">
        <f t="shared" si="142"/>
        <v>0</v>
      </c>
      <c r="M143" s="247">
        <f t="shared" si="142"/>
        <v>0</v>
      </c>
      <c r="N143" s="247">
        <f t="shared" si="131"/>
        <v>0</v>
      </c>
    </row>
    <row r="144">
      <c r="A144" s="254" t="str">
        <f>IFERROR(__xludf.DUMMYFUNCTION("""COMPUTED_VALUE"""),"Налог  на прибыль УСН 6%")</f>
        <v>Налог  на прибыль УСН 6%</v>
      </c>
      <c r="B144" s="247">
        <f t="shared" ref="B144:M144" si="143">if($M$2,IFERROR(INDIRECT("'"&amp;B$3&amp;"'!"&amp;$B$2&amp;match($A144,INDIRECT("'"&amp;B$3&amp;"'!B1:B"),0)),""),
IFERROR(INDIRECT("'"&amp;B$3&amp;"!"&amp;$B$2&amp;match($A144,INDIRECT("'"&amp;B$3&amp;"'!B:B"),0)),""))</f>
        <v>-5900</v>
      </c>
      <c r="C144" s="247">
        <f t="shared" si="143"/>
        <v>0</v>
      </c>
      <c r="D144" s="247">
        <f t="shared" si="143"/>
        <v>0</v>
      </c>
      <c r="E144" s="247">
        <f t="shared" si="143"/>
        <v>0</v>
      </c>
      <c r="F144" s="247">
        <f t="shared" si="143"/>
        <v>0</v>
      </c>
      <c r="G144" s="247">
        <f t="shared" si="143"/>
        <v>0</v>
      </c>
      <c r="H144" s="247">
        <f t="shared" si="143"/>
        <v>0</v>
      </c>
      <c r="I144" s="247">
        <f t="shared" si="143"/>
        <v>0</v>
      </c>
      <c r="J144" s="247">
        <f t="shared" si="143"/>
        <v>0</v>
      </c>
      <c r="K144" s="247">
        <f t="shared" si="143"/>
        <v>0</v>
      </c>
      <c r="L144" s="247">
        <f t="shared" si="143"/>
        <v>0</v>
      </c>
      <c r="M144" s="247">
        <f t="shared" si="143"/>
        <v>0</v>
      </c>
      <c r="N144" s="247">
        <f t="shared" si="131"/>
        <v>-5900</v>
      </c>
    </row>
    <row r="145">
      <c r="A145" s="254" t="str">
        <f>IFERROR(__xludf.DUMMYFUNCTION("""COMPUTED_VALUE"""),"Налог на прибыль 20%")</f>
        <v>Налог на прибыль 20%</v>
      </c>
      <c r="B145" s="247">
        <f t="shared" ref="B145:M145" si="144">if($M$2,IFERROR(INDIRECT("'"&amp;B$3&amp;"'!"&amp;$B$2&amp;match($A145,INDIRECT("'"&amp;B$3&amp;"'!B1:B"),0)),""),
IFERROR(INDIRECT("'"&amp;B$3&amp;"!"&amp;$B$2&amp;match($A145,INDIRECT("'"&amp;B$3&amp;"'!B:B"),0)),""))</f>
        <v>0</v>
      </c>
      <c r="C145" s="247">
        <f t="shared" si="144"/>
        <v>0</v>
      </c>
      <c r="D145" s="247">
        <f t="shared" si="144"/>
        <v>0</v>
      </c>
      <c r="E145" s="247">
        <f t="shared" si="144"/>
        <v>0</v>
      </c>
      <c r="F145" s="247">
        <f t="shared" si="144"/>
        <v>0</v>
      </c>
      <c r="G145" s="247">
        <f t="shared" si="144"/>
        <v>0</v>
      </c>
      <c r="H145" s="247">
        <f t="shared" si="144"/>
        <v>0</v>
      </c>
      <c r="I145" s="247">
        <f t="shared" si="144"/>
        <v>0</v>
      </c>
      <c r="J145" s="247">
        <f t="shared" si="144"/>
        <v>0</v>
      </c>
      <c r="K145" s="247">
        <f t="shared" si="144"/>
        <v>0</v>
      </c>
      <c r="L145" s="247">
        <f t="shared" si="144"/>
        <v>0</v>
      </c>
      <c r="M145" s="247">
        <f t="shared" si="144"/>
        <v>0</v>
      </c>
      <c r="N145" s="247">
        <f t="shared" si="131"/>
        <v>0</v>
      </c>
    </row>
    <row r="146">
      <c r="A146" s="254" t="str">
        <f>IFERROR(__xludf.DUMMYFUNCTION("""COMPUTED_VALUE"""),"Амортизация ОС")</f>
        <v>Амортизация ОС</v>
      </c>
      <c r="B146" s="247">
        <f t="shared" ref="B146:M146" si="145">if($M$2,IFERROR(INDIRECT("'"&amp;B$3&amp;"'!"&amp;$B$2&amp;match($A146,INDIRECT("'"&amp;B$3&amp;"'!B1:B"),0)),""),
IFERROR(INDIRECT("'"&amp;B$3&amp;"!"&amp;$B$2&amp;match($A146,INDIRECT("'"&amp;B$3&amp;"'!B:B"),0)),""))</f>
        <v>-36000</v>
      </c>
      <c r="C146" s="247">
        <f t="shared" si="145"/>
        <v>0</v>
      </c>
      <c r="D146" s="247">
        <f t="shared" si="145"/>
        <v>0</v>
      </c>
      <c r="E146" s="247">
        <f t="shared" si="145"/>
        <v>0</v>
      </c>
      <c r="F146" s="247">
        <f t="shared" si="145"/>
        <v>0</v>
      </c>
      <c r="G146" s="247">
        <f t="shared" si="145"/>
        <v>0</v>
      </c>
      <c r="H146" s="247">
        <f t="shared" si="145"/>
        <v>0</v>
      </c>
      <c r="I146" s="247">
        <f t="shared" si="145"/>
        <v>0</v>
      </c>
      <c r="J146" s="247">
        <f t="shared" si="145"/>
        <v>0</v>
      </c>
      <c r="K146" s="247">
        <f t="shared" si="145"/>
        <v>0</v>
      </c>
      <c r="L146" s="247">
        <f t="shared" si="145"/>
        <v>0</v>
      </c>
      <c r="M146" s="247">
        <f t="shared" si="145"/>
        <v>0</v>
      </c>
      <c r="N146" s="247">
        <f t="shared" si="131"/>
        <v>-36000</v>
      </c>
    </row>
    <row r="147">
      <c r="A147" s="254" t="str">
        <f>IFERROR(__xludf.DUMMYFUNCTION("""COMPUTED_VALUE"""),"Прочие расходы")</f>
        <v>Прочие расходы</v>
      </c>
      <c r="B147" s="247">
        <f t="shared" ref="B147:M147" si="146">if($M$2,IFERROR(INDIRECT("'"&amp;B$3&amp;"'!"&amp;$B$2&amp;match($A147,INDIRECT("'"&amp;B$3&amp;"'!B1:B"),0)),""),
IFERROR(INDIRECT("'"&amp;B$3&amp;"!"&amp;$B$2&amp;match($A147,INDIRECT("'"&amp;B$3&amp;"'!B:B"),0)),""))</f>
        <v>0</v>
      </c>
      <c r="C147" s="247">
        <f t="shared" si="146"/>
        <v>0</v>
      </c>
      <c r="D147" s="247">
        <f t="shared" si="146"/>
        <v>0</v>
      </c>
      <c r="E147" s="247">
        <f t="shared" si="146"/>
        <v>0</v>
      </c>
      <c r="F147" s="247">
        <f t="shared" si="146"/>
        <v>0</v>
      </c>
      <c r="G147" s="247">
        <f t="shared" si="146"/>
        <v>0</v>
      </c>
      <c r="H147" s="247">
        <f t="shared" si="146"/>
        <v>0</v>
      </c>
      <c r="I147" s="247">
        <f t="shared" si="146"/>
        <v>0</v>
      </c>
      <c r="J147" s="247">
        <f t="shared" si="146"/>
        <v>0</v>
      </c>
      <c r="K147" s="247">
        <f t="shared" si="146"/>
        <v>0</v>
      </c>
      <c r="L147" s="247">
        <f t="shared" si="146"/>
        <v>0</v>
      </c>
      <c r="M147" s="247">
        <f t="shared" si="146"/>
        <v>0</v>
      </c>
      <c r="N147" s="247">
        <f t="shared" si="131"/>
        <v>0</v>
      </c>
    </row>
    <row r="148">
      <c r="A148" s="254" t="str">
        <f>IFERROR(__xludf.DUMMYFUNCTION("""COMPUTED_VALUE"""),"Ремонт ОС")</f>
        <v>Ремонт ОС</v>
      </c>
      <c r="B148" s="247">
        <f t="shared" ref="B148:M148" si="147">if($M$2,IFERROR(INDIRECT("'"&amp;B$3&amp;"'!"&amp;$B$2&amp;match($A148,INDIRECT("'"&amp;B$3&amp;"'!B1:B"),0)),""),
IFERROR(INDIRECT("'"&amp;B$3&amp;"!"&amp;$B$2&amp;match($A148,INDIRECT("'"&amp;B$3&amp;"'!B:B"),0)),""))</f>
        <v>0</v>
      </c>
      <c r="C148" s="247">
        <f t="shared" si="147"/>
        <v>0</v>
      </c>
      <c r="D148" s="247">
        <f t="shared" si="147"/>
        <v>0</v>
      </c>
      <c r="E148" s="247">
        <f t="shared" si="147"/>
        <v>0</v>
      </c>
      <c r="F148" s="247">
        <f t="shared" si="147"/>
        <v>0</v>
      </c>
      <c r="G148" s="247">
        <f t="shared" si="147"/>
        <v>0</v>
      </c>
      <c r="H148" s="247">
        <f t="shared" si="147"/>
        <v>0</v>
      </c>
      <c r="I148" s="247">
        <f t="shared" si="147"/>
        <v>0</v>
      </c>
      <c r="J148" s="247">
        <f t="shared" si="147"/>
        <v>0</v>
      </c>
      <c r="K148" s="247">
        <f t="shared" si="147"/>
        <v>0</v>
      </c>
      <c r="L148" s="247">
        <f t="shared" si="147"/>
        <v>0</v>
      </c>
      <c r="M148" s="247">
        <f t="shared" si="147"/>
        <v>0</v>
      </c>
      <c r="N148" s="247">
        <f t="shared" si="131"/>
        <v>0</v>
      </c>
    </row>
    <row r="149">
      <c r="A149" s="254" t="str">
        <f>IFERROR(__xludf.DUMMYFUNCTION("""COMPUTED_VALUE"""),"Оплаты %  кредиты")</f>
        <v>Оплаты %  кредиты</v>
      </c>
      <c r="B149" s="247">
        <f t="shared" ref="B149:M149" si="148">if($M$2,IFERROR(INDIRECT("'"&amp;B$3&amp;"'!"&amp;$B$2&amp;match($A149,INDIRECT("'"&amp;B$3&amp;"'!B1:B"),0)),""),
IFERROR(INDIRECT("'"&amp;B$3&amp;"!"&amp;$B$2&amp;match($A149,INDIRECT("'"&amp;B$3&amp;"'!B:B"),0)),""))</f>
        <v>-3200</v>
      </c>
      <c r="C149" s="247">
        <f t="shared" si="148"/>
        <v>0</v>
      </c>
      <c r="D149" s="247">
        <f t="shared" si="148"/>
        <v>0</v>
      </c>
      <c r="E149" s="247">
        <f t="shared" si="148"/>
        <v>0</v>
      </c>
      <c r="F149" s="247">
        <f t="shared" si="148"/>
        <v>0</v>
      </c>
      <c r="G149" s="247">
        <f t="shared" si="148"/>
        <v>0</v>
      </c>
      <c r="H149" s="247">
        <f t="shared" si="148"/>
        <v>0</v>
      </c>
      <c r="I149" s="247">
        <f t="shared" si="148"/>
        <v>0</v>
      </c>
      <c r="J149" s="247">
        <f t="shared" si="148"/>
        <v>0</v>
      </c>
      <c r="K149" s="247">
        <f t="shared" si="148"/>
        <v>0</v>
      </c>
      <c r="L149" s="247">
        <f t="shared" si="148"/>
        <v>0</v>
      </c>
      <c r="M149" s="247">
        <f t="shared" si="148"/>
        <v>0</v>
      </c>
      <c r="N149" s="247">
        <f t="shared" si="131"/>
        <v>-3200</v>
      </c>
    </row>
    <row r="150">
      <c r="A150" s="252"/>
      <c r="B150" s="247" t="str">
        <f t="shared" ref="B150:M150" si="149">if($M$2,IFERROR(INDIRECT("'"&amp;B$3&amp;"'!"&amp;$B$2&amp;match($A150,INDIRECT("'"&amp;B$3&amp;"'!B1:B"),0)),""),
IFERROR(INDIRECT("'"&amp;B$3&amp;"!"&amp;$B$2&amp;match($A150,INDIRECT("'"&amp;B$3&amp;"'!B:B"),0)),""))</f>
        <v/>
      </c>
      <c r="C150" s="247" t="str">
        <f t="shared" si="149"/>
        <v/>
      </c>
      <c r="D150" s="247" t="str">
        <f t="shared" si="149"/>
        <v/>
      </c>
      <c r="E150" s="247" t="str">
        <f t="shared" si="149"/>
        <v/>
      </c>
      <c r="F150" s="247" t="str">
        <f t="shared" si="149"/>
        <v/>
      </c>
      <c r="G150" s="247" t="str">
        <f t="shared" si="149"/>
        <v/>
      </c>
      <c r="H150" s="247" t="str">
        <f t="shared" si="149"/>
        <v/>
      </c>
      <c r="I150" s="247" t="str">
        <f t="shared" si="149"/>
        <v/>
      </c>
      <c r="J150" s="247" t="str">
        <f t="shared" si="149"/>
        <v/>
      </c>
      <c r="K150" s="247" t="str">
        <f t="shared" si="149"/>
        <v/>
      </c>
      <c r="L150" s="247" t="str">
        <f t="shared" si="149"/>
        <v/>
      </c>
      <c r="M150" s="247" t="str">
        <f t="shared" si="149"/>
        <v/>
      </c>
      <c r="N150" s="247">
        <f t="shared" si="131"/>
        <v>0</v>
      </c>
    </row>
    <row r="151">
      <c r="A151" s="273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>
        <f t="shared" si="131"/>
        <v>0</v>
      </c>
    </row>
    <row r="152">
      <c r="A152" s="257" t="s">
        <v>144</v>
      </c>
      <c r="B152" s="258">
        <f t="shared" ref="B152:M152" si="150">B129+B142+B132</f>
        <v>98325</v>
      </c>
      <c r="C152" s="258">
        <f t="shared" si="150"/>
        <v>0</v>
      </c>
      <c r="D152" s="258">
        <f t="shared" si="150"/>
        <v>0</v>
      </c>
      <c r="E152" s="258">
        <f t="shared" si="150"/>
        <v>4</v>
      </c>
      <c r="F152" s="258">
        <f t="shared" si="150"/>
        <v>5</v>
      </c>
      <c r="G152" s="258">
        <f t="shared" si="150"/>
        <v>6</v>
      </c>
      <c r="H152" s="258">
        <f t="shared" si="150"/>
        <v>7</v>
      </c>
      <c r="I152" s="258">
        <f t="shared" si="150"/>
        <v>8</v>
      </c>
      <c r="J152" s="258">
        <f t="shared" si="150"/>
        <v>9</v>
      </c>
      <c r="K152" s="258">
        <f t="shared" si="150"/>
        <v>10</v>
      </c>
      <c r="L152" s="258">
        <f t="shared" si="150"/>
        <v>11</v>
      </c>
      <c r="M152" s="258">
        <f t="shared" si="150"/>
        <v>12</v>
      </c>
      <c r="N152" s="258">
        <f t="shared" si="131"/>
        <v>98397</v>
      </c>
    </row>
    <row r="153">
      <c r="A153" s="252" t="s">
        <v>145</v>
      </c>
      <c r="B153" s="260">
        <f t="shared" ref="B153:N153" si="151">IFERROR(B152/B$5,"")</f>
        <v>0.4320079086</v>
      </c>
      <c r="C153" s="260" t="str">
        <f t="shared" si="151"/>
        <v/>
      </c>
      <c r="D153" s="260" t="str">
        <f t="shared" si="151"/>
        <v/>
      </c>
      <c r="E153" s="260">
        <f t="shared" si="151"/>
        <v>1</v>
      </c>
      <c r="F153" s="260">
        <f t="shared" si="151"/>
        <v>1</v>
      </c>
      <c r="G153" s="260">
        <f t="shared" si="151"/>
        <v>1</v>
      </c>
      <c r="H153" s="260">
        <f t="shared" si="151"/>
        <v>1</v>
      </c>
      <c r="I153" s="260">
        <f t="shared" si="151"/>
        <v>1</v>
      </c>
      <c r="J153" s="260">
        <f t="shared" si="151"/>
        <v>1</v>
      </c>
      <c r="K153" s="260">
        <f t="shared" si="151"/>
        <v>1</v>
      </c>
      <c r="L153" s="260">
        <f t="shared" si="151"/>
        <v>1</v>
      </c>
      <c r="M153" s="260">
        <f t="shared" si="151"/>
        <v>1</v>
      </c>
      <c r="N153" s="260">
        <f t="shared" si="151"/>
        <v>0.4321875329</v>
      </c>
    </row>
    <row r="154">
      <c r="A154" s="252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</row>
    <row r="155">
      <c r="A155" s="256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6"/>
      <c r="M155" s="276"/>
      <c r="N155" s="276"/>
    </row>
    <row r="156">
      <c r="A156" s="256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6"/>
      <c r="M156" s="276"/>
      <c r="N156" s="276"/>
    </row>
    <row r="157">
      <c r="A157" s="256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6"/>
      <c r="M157" s="276"/>
      <c r="N157" s="276"/>
    </row>
    <row r="158">
      <c r="A158" s="256"/>
      <c r="B158" s="276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 outlineLevelRow="1"/>
  <cols>
    <col customWidth="1" min="1" max="1" width="24.5"/>
    <col customWidth="1" min="9" max="9" width="14.25"/>
  </cols>
  <sheetData>
    <row r="1">
      <c r="A1" s="230" t="s">
        <v>155</v>
      </c>
      <c r="B1" s="231" t="s">
        <v>165</v>
      </c>
      <c r="C1" s="232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</row>
    <row r="2">
      <c r="A2" s="234" t="s">
        <v>156</v>
      </c>
      <c r="B2" s="235" t="s">
        <v>166</v>
      </c>
      <c r="C2" s="232"/>
      <c r="D2" s="233"/>
      <c r="E2" s="233"/>
      <c r="F2" s="233"/>
      <c r="G2" s="233"/>
      <c r="H2" s="233"/>
      <c r="I2" s="233"/>
      <c r="J2" s="233"/>
      <c r="K2" s="233"/>
      <c r="L2" s="233"/>
      <c r="M2" s="236" t="b">
        <v>1</v>
      </c>
      <c r="N2" s="233"/>
    </row>
    <row r="3">
      <c r="A3" s="237" t="s">
        <v>158</v>
      </c>
      <c r="B3" s="238">
        <v>1.0</v>
      </c>
      <c r="C3" s="239">
        <v>2.0</v>
      </c>
      <c r="D3" s="239">
        <v>3.0</v>
      </c>
      <c r="E3" s="239">
        <v>4.0</v>
      </c>
      <c r="F3" s="239">
        <v>5.0</v>
      </c>
      <c r="G3" s="239">
        <v>6.0</v>
      </c>
      <c r="H3" s="239">
        <v>7.0</v>
      </c>
      <c r="I3" s="239">
        <v>8.0</v>
      </c>
      <c r="J3" s="239">
        <v>9.0</v>
      </c>
      <c r="K3" s="239">
        <v>10.0</v>
      </c>
      <c r="L3" s="239">
        <v>11.0</v>
      </c>
      <c r="M3" s="239">
        <v>12.0</v>
      </c>
      <c r="N3" s="240" t="s">
        <v>165</v>
      </c>
    </row>
    <row r="4">
      <c r="A4" s="241" t="s">
        <v>159</v>
      </c>
      <c r="B4" s="242">
        <f t="shared" ref="B4:M4" si="1">iferror(-(B36+B71)/B34,"")</f>
        <v>37121.39691</v>
      </c>
      <c r="C4" s="242" t="str">
        <f t="shared" si="1"/>
        <v/>
      </c>
      <c r="D4" s="242" t="str">
        <f t="shared" si="1"/>
        <v/>
      </c>
      <c r="E4" s="242" t="str">
        <f t="shared" si="1"/>
        <v/>
      </c>
      <c r="F4" s="242" t="str">
        <f t="shared" si="1"/>
        <v/>
      </c>
      <c r="G4" s="242" t="str">
        <f t="shared" si="1"/>
        <v/>
      </c>
      <c r="H4" s="242" t="str">
        <f t="shared" si="1"/>
        <v/>
      </c>
      <c r="I4" s="242" t="str">
        <f t="shared" si="1"/>
        <v/>
      </c>
      <c r="J4" s="242" t="str">
        <f t="shared" si="1"/>
        <v/>
      </c>
      <c r="K4" s="242" t="str">
        <f t="shared" si="1"/>
        <v/>
      </c>
      <c r="L4" s="242" t="str">
        <f t="shared" si="1"/>
        <v/>
      </c>
      <c r="M4" s="242" t="str">
        <f t="shared" si="1"/>
        <v/>
      </c>
      <c r="N4" s="243" t="s">
        <v>160</v>
      </c>
    </row>
    <row r="5">
      <c r="A5" s="244" t="s">
        <v>86</v>
      </c>
      <c r="B5" s="245">
        <f t="shared" ref="B5:M5" si="2">SUM(B6:B10)</f>
        <v>230400</v>
      </c>
      <c r="C5" s="245">
        <f t="shared" si="2"/>
        <v>0</v>
      </c>
      <c r="D5" s="245">
        <f t="shared" si="2"/>
        <v>0</v>
      </c>
      <c r="E5" s="245">
        <f t="shared" si="2"/>
        <v>0</v>
      </c>
      <c r="F5" s="245">
        <f t="shared" si="2"/>
        <v>0</v>
      </c>
      <c r="G5" s="245">
        <f t="shared" si="2"/>
        <v>0</v>
      </c>
      <c r="H5" s="245">
        <f t="shared" si="2"/>
        <v>0</v>
      </c>
      <c r="I5" s="245">
        <f t="shared" si="2"/>
        <v>0</v>
      </c>
      <c r="J5" s="245">
        <f t="shared" si="2"/>
        <v>0</v>
      </c>
      <c r="K5" s="245">
        <f t="shared" si="2"/>
        <v>0</v>
      </c>
      <c r="L5" s="245">
        <f t="shared" si="2"/>
        <v>0</v>
      </c>
      <c r="M5" s="245">
        <f t="shared" si="2"/>
        <v>0</v>
      </c>
      <c r="N5" s="245">
        <f t="shared" ref="N5:N33" si="4">SUM(B5:M5)</f>
        <v>230400</v>
      </c>
    </row>
    <row r="6">
      <c r="A6" s="246" t="str">
        <f>IFERROR(__xludf.DUMMYFUNCTION("iferror(filter('Статьи'!$A$1:$A158,'Статьи'!$B$1:$B158=$A$5))"),"Выручка от аренды машиноместа")</f>
        <v>Выручка от аренды машиноместа</v>
      </c>
      <c r="B6" s="247">
        <f t="shared" ref="B6:M6" si="3">if($M$2,IFERROR(INDIRECT("'"&amp;B$3&amp;"'!"&amp;$B$2&amp;match($A6,INDIRECT("'"&amp;B$3&amp;"'!B1:B"),0)),""),
IFERROR(INDIRECT("'"&amp;B$3&amp;"!"&amp;$B$2&amp;match($A6,INDIRECT("'"&amp;B$3&amp;"'!B:B"),0)),""))</f>
        <v>400</v>
      </c>
      <c r="C6" s="247">
        <f t="shared" si="3"/>
        <v>0</v>
      </c>
      <c r="D6" s="247">
        <f t="shared" si="3"/>
        <v>0</v>
      </c>
      <c r="E6" s="247">
        <f t="shared" si="3"/>
        <v>0</v>
      </c>
      <c r="F6" s="247">
        <f t="shared" si="3"/>
        <v>0</v>
      </c>
      <c r="G6" s="247">
        <f t="shared" si="3"/>
        <v>0</v>
      </c>
      <c r="H6" s="247">
        <f t="shared" si="3"/>
        <v>0</v>
      </c>
      <c r="I6" s="247">
        <f t="shared" si="3"/>
        <v>0</v>
      </c>
      <c r="J6" s="247">
        <f t="shared" si="3"/>
        <v>0</v>
      </c>
      <c r="K6" s="247">
        <f t="shared" si="3"/>
        <v>0</v>
      </c>
      <c r="L6" s="247">
        <f t="shared" si="3"/>
        <v>0</v>
      </c>
      <c r="M6" s="247">
        <f t="shared" si="3"/>
        <v>0</v>
      </c>
      <c r="N6" s="247">
        <f t="shared" si="4"/>
        <v>400</v>
      </c>
    </row>
    <row r="7">
      <c r="A7" s="246" t="str">
        <f>IFERROR(__xludf.DUMMYFUNCTION("""COMPUTED_VALUE"""),"Выручка за грузоперевозки")</f>
        <v>Выручка за грузоперевозки</v>
      </c>
      <c r="B7" s="247">
        <f t="shared" ref="B7:M7" si="5">if($M$2,IFERROR(INDIRECT("'"&amp;B$3&amp;"'!"&amp;$B$2&amp;match($A7,INDIRECT("'"&amp;B$3&amp;"'!B1:B"),0)),""),
IFERROR(INDIRECT("'"&amp;B$3&amp;"!"&amp;$B$2&amp;match($A7,INDIRECT("'"&amp;B$3&amp;"'!B:B"),0)),""))</f>
        <v>230000</v>
      </c>
      <c r="C7" s="247">
        <f t="shared" si="5"/>
        <v>0</v>
      </c>
      <c r="D7" s="247">
        <f t="shared" si="5"/>
        <v>0</v>
      </c>
      <c r="E7" s="247">
        <f t="shared" si="5"/>
        <v>0</v>
      </c>
      <c r="F7" s="247">
        <f t="shared" si="5"/>
        <v>0</v>
      </c>
      <c r="G7" s="247">
        <f t="shared" si="5"/>
        <v>0</v>
      </c>
      <c r="H7" s="247">
        <f t="shared" si="5"/>
        <v>0</v>
      </c>
      <c r="I7" s="247">
        <f t="shared" si="5"/>
        <v>0</v>
      </c>
      <c r="J7" s="247">
        <f t="shared" si="5"/>
        <v>0</v>
      </c>
      <c r="K7" s="247">
        <f t="shared" si="5"/>
        <v>0</v>
      </c>
      <c r="L7" s="247">
        <f t="shared" si="5"/>
        <v>0</v>
      </c>
      <c r="M7" s="247">
        <f t="shared" si="5"/>
        <v>0</v>
      </c>
      <c r="N7" s="247">
        <f t="shared" si="4"/>
        <v>230000</v>
      </c>
    </row>
    <row r="8" collapsed="1">
      <c r="A8" s="246"/>
      <c r="B8" s="247" t="str">
        <f t="shared" ref="B8:M8" si="6">if($M$2,IFERROR(INDIRECT("'"&amp;B$3&amp;"'!"&amp;$B$2&amp;match($A8,INDIRECT("'"&amp;B$3&amp;"'!B1:B"),0)),""),
IFERROR(INDIRECT("'"&amp;B$3&amp;"!"&amp;$B$2&amp;match($A8,INDIRECT("'"&amp;B$3&amp;"'!B:B"),0)),""))</f>
        <v/>
      </c>
      <c r="C8" s="247" t="str">
        <f t="shared" si="6"/>
        <v/>
      </c>
      <c r="D8" s="247" t="str">
        <f t="shared" si="6"/>
        <v/>
      </c>
      <c r="E8" s="247" t="str">
        <f t="shared" si="6"/>
        <v/>
      </c>
      <c r="F8" s="247" t="str">
        <f t="shared" si="6"/>
        <v/>
      </c>
      <c r="G8" s="247" t="str">
        <f t="shared" si="6"/>
        <v/>
      </c>
      <c r="H8" s="247" t="str">
        <f t="shared" si="6"/>
        <v/>
      </c>
      <c r="I8" s="247" t="str">
        <f t="shared" si="6"/>
        <v/>
      </c>
      <c r="J8" s="247" t="str">
        <f t="shared" si="6"/>
        <v/>
      </c>
      <c r="K8" s="247" t="str">
        <f t="shared" si="6"/>
        <v/>
      </c>
      <c r="L8" s="247" t="str">
        <f t="shared" si="6"/>
        <v/>
      </c>
      <c r="M8" s="247" t="str">
        <f t="shared" si="6"/>
        <v/>
      </c>
      <c r="N8" s="247">
        <f t="shared" si="4"/>
        <v>0</v>
      </c>
    </row>
    <row r="9" hidden="1" outlineLevel="1">
      <c r="A9" s="246"/>
      <c r="B9" s="247" t="str">
        <f t="shared" ref="B9:M9" si="7">if($M$2,IFERROR(INDIRECT("'"&amp;B$3&amp;"'!"&amp;$B$2&amp;match($A9,INDIRECT("'"&amp;B$3&amp;"'!B1:B"),0)),""),
IFERROR(INDIRECT("'"&amp;B$3&amp;"!"&amp;$B$2&amp;match($A9,INDIRECT("'"&amp;B$3&amp;"'!B:B"),0)),""))</f>
        <v/>
      </c>
      <c r="C9" s="247" t="str">
        <f t="shared" si="7"/>
        <v/>
      </c>
      <c r="D9" s="247" t="str">
        <f t="shared" si="7"/>
        <v/>
      </c>
      <c r="E9" s="247" t="str">
        <f t="shared" si="7"/>
        <v/>
      </c>
      <c r="F9" s="247" t="str">
        <f t="shared" si="7"/>
        <v/>
      </c>
      <c r="G9" s="247" t="str">
        <f t="shared" si="7"/>
        <v/>
      </c>
      <c r="H9" s="247" t="str">
        <f t="shared" si="7"/>
        <v/>
      </c>
      <c r="I9" s="247" t="str">
        <f t="shared" si="7"/>
        <v/>
      </c>
      <c r="J9" s="247" t="str">
        <f t="shared" si="7"/>
        <v/>
      </c>
      <c r="K9" s="247" t="str">
        <f t="shared" si="7"/>
        <v/>
      </c>
      <c r="L9" s="247" t="str">
        <f t="shared" si="7"/>
        <v/>
      </c>
      <c r="M9" s="247" t="str">
        <f t="shared" si="7"/>
        <v/>
      </c>
      <c r="N9" s="247">
        <f t="shared" si="4"/>
        <v>0</v>
      </c>
    </row>
    <row r="10" hidden="1" outlineLevel="1">
      <c r="A10" s="246"/>
      <c r="B10" s="247" t="str">
        <f t="shared" ref="B10:M10" si="8">if($M$2,IFERROR(INDIRECT("'"&amp;B$3&amp;"'!"&amp;$B$2&amp;match($A10,INDIRECT("'"&amp;B$3&amp;"'!B1:B"),0)),""),
IFERROR(INDIRECT("'"&amp;B$3&amp;"!"&amp;$B$2&amp;match($A10,INDIRECT("'"&amp;B$3&amp;"'!B:B"),0)),""))</f>
        <v/>
      </c>
      <c r="C10" s="247" t="str">
        <f t="shared" si="8"/>
        <v/>
      </c>
      <c r="D10" s="247" t="str">
        <f t="shared" si="8"/>
        <v/>
      </c>
      <c r="E10" s="247" t="str">
        <f t="shared" si="8"/>
        <v/>
      </c>
      <c r="F10" s="247" t="str">
        <f t="shared" si="8"/>
        <v/>
      </c>
      <c r="G10" s="247" t="str">
        <f t="shared" si="8"/>
        <v/>
      </c>
      <c r="H10" s="247" t="str">
        <f t="shared" si="8"/>
        <v/>
      </c>
      <c r="I10" s="247" t="str">
        <f t="shared" si="8"/>
        <v/>
      </c>
      <c r="J10" s="247" t="str">
        <f t="shared" si="8"/>
        <v/>
      </c>
      <c r="K10" s="247" t="str">
        <f t="shared" si="8"/>
        <v/>
      </c>
      <c r="L10" s="247" t="str">
        <f t="shared" si="8"/>
        <v/>
      </c>
      <c r="M10" s="247" t="str">
        <f t="shared" si="8"/>
        <v/>
      </c>
      <c r="N10" s="247">
        <f t="shared" si="4"/>
        <v>0</v>
      </c>
    </row>
    <row r="11" hidden="1" outlineLevel="1">
      <c r="A11" s="246"/>
      <c r="B11" s="247" t="str">
        <f t="shared" ref="B11:M11" si="9">if($M$2,IFERROR(INDIRECT("'"&amp;B$3&amp;"'!"&amp;$B$2&amp;match($A11,INDIRECT("'"&amp;B$3&amp;"'!B1:B"),0)),""),
IFERROR(INDIRECT("'"&amp;B$3&amp;"!"&amp;$B$2&amp;match($A11,INDIRECT("'"&amp;B$3&amp;"'!B:B"),0)),""))</f>
        <v/>
      </c>
      <c r="C11" s="247" t="str">
        <f t="shared" si="9"/>
        <v/>
      </c>
      <c r="D11" s="247" t="str">
        <f t="shared" si="9"/>
        <v/>
      </c>
      <c r="E11" s="247" t="str">
        <f t="shared" si="9"/>
        <v/>
      </c>
      <c r="F11" s="247" t="str">
        <f t="shared" si="9"/>
        <v/>
      </c>
      <c r="G11" s="247" t="str">
        <f t="shared" si="9"/>
        <v/>
      </c>
      <c r="H11" s="247" t="str">
        <f t="shared" si="9"/>
        <v/>
      </c>
      <c r="I11" s="247" t="str">
        <f t="shared" si="9"/>
        <v/>
      </c>
      <c r="J11" s="247" t="str">
        <f t="shared" si="9"/>
        <v/>
      </c>
      <c r="K11" s="247" t="str">
        <f t="shared" si="9"/>
        <v/>
      </c>
      <c r="L11" s="247" t="str">
        <f t="shared" si="9"/>
        <v/>
      </c>
      <c r="M11" s="247" t="str">
        <f t="shared" si="9"/>
        <v/>
      </c>
      <c r="N11" s="247">
        <f t="shared" si="4"/>
        <v>0</v>
      </c>
    </row>
    <row r="12" hidden="1" outlineLevel="1">
      <c r="A12" s="246"/>
      <c r="B12" s="247" t="str">
        <f t="shared" ref="B12:M12" si="10">if($M$2,IFERROR(INDIRECT("'"&amp;B$3&amp;"'!"&amp;$B$2&amp;match($A12,INDIRECT("'"&amp;B$3&amp;"'!B1:B"),0)),""),
IFERROR(INDIRECT("'"&amp;B$3&amp;"!"&amp;$B$2&amp;match($A12,INDIRECT("'"&amp;B$3&amp;"'!B:B"),0)),""))</f>
        <v/>
      </c>
      <c r="C12" s="247" t="str">
        <f t="shared" si="10"/>
        <v/>
      </c>
      <c r="D12" s="247" t="str">
        <f t="shared" si="10"/>
        <v/>
      </c>
      <c r="E12" s="247" t="str">
        <f t="shared" si="10"/>
        <v/>
      </c>
      <c r="F12" s="247" t="str">
        <f t="shared" si="10"/>
        <v/>
      </c>
      <c r="G12" s="247" t="str">
        <f t="shared" si="10"/>
        <v/>
      </c>
      <c r="H12" s="247" t="str">
        <f t="shared" si="10"/>
        <v/>
      </c>
      <c r="I12" s="247" t="str">
        <f t="shared" si="10"/>
        <v/>
      </c>
      <c r="J12" s="247" t="str">
        <f t="shared" si="10"/>
        <v/>
      </c>
      <c r="K12" s="247" t="str">
        <f t="shared" si="10"/>
        <v/>
      </c>
      <c r="L12" s="247" t="str">
        <f t="shared" si="10"/>
        <v/>
      </c>
      <c r="M12" s="247" t="str">
        <f t="shared" si="10"/>
        <v/>
      </c>
      <c r="N12" s="247">
        <f t="shared" si="4"/>
        <v>0</v>
      </c>
    </row>
    <row r="13" hidden="1" outlineLevel="1">
      <c r="A13" s="246"/>
      <c r="B13" s="247" t="str">
        <f t="shared" ref="B13:M13" si="11">if($M$2,IFERROR(INDIRECT("'"&amp;B$3&amp;"'!"&amp;$B$2&amp;match($A13,INDIRECT("'"&amp;B$3&amp;"'!B1:B"),0)),""),
IFERROR(INDIRECT("'"&amp;B$3&amp;"!"&amp;$B$2&amp;match($A13,INDIRECT("'"&amp;B$3&amp;"'!B:B"),0)),""))</f>
        <v/>
      </c>
      <c r="C13" s="247" t="str">
        <f t="shared" si="11"/>
        <v/>
      </c>
      <c r="D13" s="247" t="str">
        <f t="shared" si="11"/>
        <v/>
      </c>
      <c r="E13" s="247" t="str">
        <f t="shared" si="11"/>
        <v/>
      </c>
      <c r="F13" s="247" t="str">
        <f t="shared" si="11"/>
        <v/>
      </c>
      <c r="G13" s="247" t="str">
        <f t="shared" si="11"/>
        <v/>
      </c>
      <c r="H13" s="247" t="str">
        <f t="shared" si="11"/>
        <v/>
      </c>
      <c r="I13" s="247" t="str">
        <f t="shared" si="11"/>
        <v/>
      </c>
      <c r="J13" s="247" t="str">
        <f t="shared" si="11"/>
        <v/>
      </c>
      <c r="K13" s="247" t="str">
        <f t="shared" si="11"/>
        <v/>
      </c>
      <c r="L13" s="247" t="str">
        <f t="shared" si="11"/>
        <v/>
      </c>
      <c r="M13" s="247" t="str">
        <f t="shared" si="11"/>
        <v/>
      </c>
      <c r="N13" s="247">
        <f t="shared" si="4"/>
        <v>0</v>
      </c>
    </row>
    <row r="14">
      <c r="A14" s="248" t="s">
        <v>135</v>
      </c>
      <c r="B14" s="249">
        <f t="shared" ref="B14:M14" si="12">B15+B36</f>
        <v>-73525</v>
      </c>
      <c r="C14" s="249">
        <f t="shared" si="12"/>
        <v>0</v>
      </c>
      <c r="D14" s="249">
        <f t="shared" si="12"/>
        <v>0</v>
      </c>
      <c r="E14" s="249">
        <f t="shared" si="12"/>
        <v>0</v>
      </c>
      <c r="F14" s="249">
        <f t="shared" si="12"/>
        <v>0</v>
      </c>
      <c r="G14" s="249">
        <f t="shared" si="12"/>
        <v>0</v>
      </c>
      <c r="H14" s="249">
        <f t="shared" si="12"/>
        <v>0</v>
      </c>
      <c r="I14" s="249">
        <f t="shared" si="12"/>
        <v>0</v>
      </c>
      <c r="J14" s="249">
        <f t="shared" si="12"/>
        <v>0</v>
      </c>
      <c r="K14" s="249">
        <f t="shared" si="12"/>
        <v>0</v>
      </c>
      <c r="L14" s="249">
        <f t="shared" si="12"/>
        <v>0</v>
      </c>
      <c r="M14" s="249">
        <f t="shared" si="12"/>
        <v>0</v>
      </c>
      <c r="N14" s="249">
        <f t="shared" si="4"/>
        <v>-73525</v>
      </c>
    </row>
    <row r="15">
      <c r="A15" s="250" t="s">
        <v>99</v>
      </c>
      <c r="B15" s="251">
        <f t="shared" ref="B15:M15" si="13">SUM(B16:B32)</f>
        <v>-61250</v>
      </c>
      <c r="C15" s="251">
        <f t="shared" si="13"/>
        <v>0</v>
      </c>
      <c r="D15" s="251">
        <f t="shared" si="13"/>
        <v>0</v>
      </c>
      <c r="E15" s="251">
        <f t="shared" si="13"/>
        <v>0</v>
      </c>
      <c r="F15" s="251">
        <f t="shared" si="13"/>
        <v>0</v>
      </c>
      <c r="G15" s="251">
        <f t="shared" si="13"/>
        <v>0</v>
      </c>
      <c r="H15" s="251">
        <f t="shared" si="13"/>
        <v>0</v>
      </c>
      <c r="I15" s="251">
        <f t="shared" si="13"/>
        <v>0</v>
      </c>
      <c r="J15" s="251">
        <f t="shared" si="13"/>
        <v>0</v>
      </c>
      <c r="K15" s="251">
        <f t="shared" si="13"/>
        <v>0</v>
      </c>
      <c r="L15" s="251">
        <f t="shared" si="13"/>
        <v>0</v>
      </c>
      <c r="M15" s="251">
        <f t="shared" si="13"/>
        <v>0</v>
      </c>
      <c r="N15" s="251">
        <f t="shared" si="4"/>
        <v>-61250</v>
      </c>
    </row>
    <row r="16">
      <c r="A16" s="252" t="str">
        <f>IFERROR(__xludf.DUMMYFUNCTION("iferror(filter('Статьи'!$A$1:$A158,'Статьи'!$B$1:$B158=$A$15))"),"Комиссия топливных компаний")</f>
        <v>Комиссия топливных компаний</v>
      </c>
      <c r="B16" s="253">
        <f t="shared" ref="B16:M16" si="14">if($M$2,IFERROR(INDIRECT("'"&amp;B$3&amp;"'!"&amp;$B$2&amp;match($A16,INDIRECT("'"&amp;B$3&amp;"'!B1:B"),0)),""),
IFERROR(INDIRECT("'"&amp;B$3&amp;"!"&amp;$B$2&amp;match($A16,INDIRECT("'"&amp;B$3&amp;"'!B:B"),0)),""))</f>
        <v>-250</v>
      </c>
      <c r="C16" s="253">
        <f t="shared" si="14"/>
        <v>0</v>
      </c>
      <c r="D16" s="253">
        <f t="shared" si="14"/>
        <v>0</v>
      </c>
      <c r="E16" s="253">
        <f t="shared" si="14"/>
        <v>0</v>
      </c>
      <c r="F16" s="253">
        <f t="shared" si="14"/>
        <v>0</v>
      </c>
      <c r="G16" s="253">
        <f t="shared" si="14"/>
        <v>0</v>
      </c>
      <c r="H16" s="253">
        <f t="shared" si="14"/>
        <v>0</v>
      </c>
      <c r="I16" s="253">
        <f t="shared" si="14"/>
        <v>0</v>
      </c>
      <c r="J16" s="253">
        <f t="shared" si="14"/>
        <v>0</v>
      </c>
      <c r="K16" s="253">
        <f t="shared" si="14"/>
        <v>0</v>
      </c>
      <c r="L16" s="253">
        <f t="shared" si="14"/>
        <v>0</v>
      </c>
      <c r="M16" s="253">
        <f t="shared" si="14"/>
        <v>0</v>
      </c>
      <c r="N16" s="253">
        <f t="shared" si="4"/>
        <v>-250</v>
      </c>
    </row>
    <row r="17">
      <c r="A17" s="254" t="str">
        <f>IFERROR(__xludf.DUMMYFUNCTION("""COMPUTED_VALUE"""),"Топливо для грузовых авто ")</f>
        <v>Топливо для грузовых авто </v>
      </c>
      <c r="B17" s="253">
        <f t="shared" ref="B17:M17" si="15">if($M$2,IFERROR(INDIRECT("'"&amp;B$3&amp;"'!"&amp;$B$2&amp;match($A17,INDIRECT("'"&amp;B$3&amp;"'!B1:B"),0)),""),
IFERROR(INDIRECT("'"&amp;B$3&amp;"!"&amp;$B$2&amp;match($A17,INDIRECT("'"&amp;B$3&amp;"'!B:B"),0)),""))</f>
        <v>-61000</v>
      </c>
      <c r="C17" s="253">
        <f t="shared" si="15"/>
        <v>0</v>
      </c>
      <c r="D17" s="253">
        <f t="shared" si="15"/>
        <v>0</v>
      </c>
      <c r="E17" s="253">
        <f t="shared" si="15"/>
        <v>0</v>
      </c>
      <c r="F17" s="253">
        <f t="shared" si="15"/>
        <v>0</v>
      </c>
      <c r="G17" s="253">
        <f t="shared" si="15"/>
        <v>0</v>
      </c>
      <c r="H17" s="253">
        <f t="shared" si="15"/>
        <v>0</v>
      </c>
      <c r="I17" s="253">
        <f t="shared" si="15"/>
        <v>0</v>
      </c>
      <c r="J17" s="253">
        <f t="shared" si="15"/>
        <v>0</v>
      </c>
      <c r="K17" s="253">
        <f t="shared" si="15"/>
        <v>0</v>
      </c>
      <c r="L17" s="253">
        <f t="shared" si="15"/>
        <v>0</v>
      </c>
      <c r="M17" s="253">
        <f t="shared" si="15"/>
        <v>0</v>
      </c>
      <c r="N17" s="253">
        <f t="shared" si="4"/>
        <v>-61000</v>
      </c>
    </row>
    <row r="18">
      <c r="A18" s="255"/>
      <c r="B18" s="253" t="str">
        <f t="shared" ref="B18:M18" si="16">if($M$2,IFERROR(INDIRECT("'"&amp;B$3&amp;"'!"&amp;$B$2&amp;match($A18,INDIRECT("'"&amp;B$3&amp;"'!B1:B"),0)),""),
IFERROR(INDIRECT("'"&amp;B$3&amp;"!"&amp;$B$2&amp;match($A18,INDIRECT("'"&amp;B$3&amp;"'!B:B"),0)),""))</f>
        <v/>
      </c>
      <c r="C18" s="253" t="str">
        <f t="shared" si="16"/>
        <v/>
      </c>
      <c r="D18" s="253" t="str">
        <f t="shared" si="16"/>
        <v/>
      </c>
      <c r="E18" s="253" t="str">
        <f t="shared" si="16"/>
        <v/>
      </c>
      <c r="F18" s="253" t="str">
        <f t="shared" si="16"/>
        <v/>
      </c>
      <c r="G18" s="253" t="str">
        <f t="shared" si="16"/>
        <v/>
      </c>
      <c r="H18" s="253" t="str">
        <f t="shared" si="16"/>
        <v/>
      </c>
      <c r="I18" s="253" t="str">
        <f t="shared" si="16"/>
        <v/>
      </c>
      <c r="J18" s="253" t="str">
        <f t="shared" si="16"/>
        <v/>
      </c>
      <c r="K18" s="253" t="str">
        <f t="shared" si="16"/>
        <v/>
      </c>
      <c r="L18" s="253" t="str">
        <f t="shared" si="16"/>
        <v/>
      </c>
      <c r="M18" s="253" t="str">
        <f t="shared" si="16"/>
        <v/>
      </c>
      <c r="N18" s="253">
        <f t="shared" si="4"/>
        <v>0</v>
      </c>
    </row>
    <row r="19">
      <c r="A19" s="255"/>
      <c r="B19" s="253" t="str">
        <f t="shared" ref="B19:M19" si="17">if($M$2,IFERROR(INDIRECT("'"&amp;B$3&amp;"'!"&amp;$B$2&amp;match($A19,INDIRECT("'"&amp;B$3&amp;"'!B1:B"),0)),""),
IFERROR(INDIRECT("'"&amp;B$3&amp;"!"&amp;$B$2&amp;match($A19,INDIRECT("'"&amp;B$3&amp;"'!B:B"),0)),""))</f>
        <v/>
      </c>
      <c r="C19" s="253" t="str">
        <f t="shared" si="17"/>
        <v/>
      </c>
      <c r="D19" s="253" t="str">
        <f t="shared" si="17"/>
        <v/>
      </c>
      <c r="E19" s="253" t="str">
        <f t="shared" si="17"/>
        <v/>
      </c>
      <c r="F19" s="253" t="str">
        <f t="shared" si="17"/>
        <v/>
      </c>
      <c r="G19" s="253" t="str">
        <f t="shared" si="17"/>
        <v/>
      </c>
      <c r="H19" s="253" t="str">
        <f t="shared" si="17"/>
        <v/>
      </c>
      <c r="I19" s="253" t="str">
        <f t="shared" si="17"/>
        <v/>
      </c>
      <c r="J19" s="253" t="str">
        <f t="shared" si="17"/>
        <v/>
      </c>
      <c r="K19" s="253" t="str">
        <f t="shared" si="17"/>
        <v/>
      </c>
      <c r="L19" s="253" t="str">
        <f t="shared" si="17"/>
        <v/>
      </c>
      <c r="M19" s="253" t="str">
        <f t="shared" si="17"/>
        <v/>
      </c>
      <c r="N19" s="253">
        <f t="shared" si="4"/>
        <v>0</v>
      </c>
    </row>
    <row r="20" collapsed="1">
      <c r="A20" s="255"/>
      <c r="B20" s="253" t="str">
        <f t="shared" ref="B20:M20" si="18">if($M$2,IFERROR(INDIRECT("'"&amp;B$3&amp;"'!"&amp;$B$2&amp;match($A20,INDIRECT("'"&amp;B$3&amp;"'!B1:B"),0)),""),
IFERROR(INDIRECT("'"&amp;B$3&amp;"!"&amp;$B$2&amp;match($A20,INDIRECT("'"&amp;B$3&amp;"'!B:B"),0)),""))</f>
        <v/>
      </c>
      <c r="C20" s="253" t="str">
        <f t="shared" si="18"/>
        <v/>
      </c>
      <c r="D20" s="253" t="str">
        <f t="shared" si="18"/>
        <v/>
      </c>
      <c r="E20" s="253" t="str">
        <f t="shared" si="18"/>
        <v/>
      </c>
      <c r="F20" s="253" t="str">
        <f t="shared" si="18"/>
        <v/>
      </c>
      <c r="G20" s="253" t="str">
        <f t="shared" si="18"/>
        <v/>
      </c>
      <c r="H20" s="253" t="str">
        <f t="shared" si="18"/>
        <v/>
      </c>
      <c r="I20" s="253" t="str">
        <f t="shared" si="18"/>
        <v/>
      </c>
      <c r="J20" s="253" t="str">
        <f t="shared" si="18"/>
        <v/>
      </c>
      <c r="K20" s="253" t="str">
        <f t="shared" si="18"/>
        <v/>
      </c>
      <c r="L20" s="253" t="str">
        <f t="shared" si="18"/>
        <v/>
      </c>
      <c r="M20" s="253" t="str">
        <f t="shared" si="18"/>
        <v/>
      </c>
      <c r="N20" s="253">
        <f t="shared" si="4"/>
        <v>0</v>
      </c>
    </row>
    <row r="21" hidden="1" outlineLevel="1">
      <c r="A21" s="255"/>
      <c r="B21" s="253" t="str">
        <f t="shared" ref="B21:M21" si="19">if($M$2,IFERROR(INDIRECT("'"&amp;B$3&amp;"'!"&amp;$B$2&amp;match($A21,INDIRECT("'"&amp;B$3&amp;"'!B1:B"),0)),""),
IFERROR(INDIRECT("'"&amp;B$3&amp;"!"&amp;$B$2&amp;match($A21,INDIRECT("'"&amp;B$3&amp;"'!B:B"),0)),""))</f>
        <v/>
      </c>
      <c r="C21" s="253" t="str">
        <f t="shared" si="19"/>
        <v/>
      </c>
      <c r="D21" s="253" t="str">
        <f t="shared" si="19"/>
        <v/>
      </c>
      <c r="E21" s="253" t="str">
        <f t="shared" si="19"/>
        <v/>
      </c>
      <c r="F21" s="253" t="str">
        <f t="shared" si="19"/>
        <v/>
      </c>
      <c r="G21" s="253" t="str">
        <f t="shared" si="19"/>
        <v/>
      </c>
      <c r="H21" s="253" t="str">
        <f t="shared" si="19"/>
        <v/>
      </c>
      <c r="I21" s="253" t="str">
        <f t="shared" si="19"/>
        <v/>
      </c>
      <c r="J21" s="253" t="str">
        <f t="shared" si="19"/>
        <v/>
      </c>
      <c r="K21" s="253" t="str">
        <f t="shared" si="19"/>
        <v/>
      </c>
      <c r="L21" s="253" t="str">
        <f t="shared" si="19"/>
        <v/>
      </c>
      <c r="M21" s="253" t="str">
        <f t="shared" si="19"/>
        <v/>
      </c>
      <c r="N21" s="253">
        <f t="shared" si="4"/>
        <v>0</v>
      </c>
    </row>
    <row r="22" hidden="1" outlineLevel="1">
      <c r="A22" s="255"/>
      <c r="B22" s="253" t="str">
        <f t="shared" ref="B22:M22" si="20">if($M$2,IFERROR(INDIRECT("'"&amp;B$3&amp;"'!"&amp;$B$2&amp;match($A22,INDIRECT("'"&amp;B$3&amp;"'!B1:B"),0)),""),
IFERROR(INDIRECT("'"&amp;B$3&amp;"!"&amp;$B$2&amp;match($A22,INDIRECT("'"&amp;B$3&amp;"'!B:B"),0)),""))</f>
        <v/>
      </c>
      <c r="C22" s="253" t="str">
        <f t="shared" si="20"/>
        <v/>
      </c>
      <c r="D22" s="253" t="str">
        <f t="shared" si="20"/>
        <v/>
      </c>
      <c r="E22" s="253" t="str">
        <f t="shared" si="20"/>
        <v/>
      </c>
      <c r="F22" s="253" t="str">
        <f t="shared" si="20"/>
        <v/>
      </c>
      <c r="G22" s="253" t="str">
        <f t="shared" si="20"/>
        <v/>
      </c>
      <c r="H22" s="253" t="str">
        <f t="shared" si="20"/>
        <v/>
      </c>
      <c r="I22" s="253" t="str">
        <f t="shared" si="20"/>
        <v/>
      </c>
      <c r="J22" s="253" t="str">
        <f t="shared" si="20"/>
        <v/>
      </c>
      <c r="K22" s="253" t="str">
        <f t="shared" si="20"/>
        <v/>
      </c>
      <c r="L22" s="253" t="str">
        <f t="shared" si="20"/>
        <v/>
      </c>
      <c r="M22" s="253" t="str">
        <f t="shared" si="20"/>
        <v/>
      </c>
      <c r="N22" s="253">
        <f t="shared" si="4"/>
        <v>0</v>
      </c>
    </row>
    <row r="23" hidden="1" outlineLevel="1">
      <c r="A23" s="255"/>
      <c r="B23" s="253" t="str">
        <f t="shared" ref="B23:M23" si="21">if($M$2,IFERROR(INDIRECT("'"&amp;B$3&amp;"'!"&amp;$B$2&amp;match($A23,INDIRECT("'"&amp;B$3&amp;"'!B1:B"),0)),""),
IFERROR(INDIRECT("'"&amp;B$3&amp;"!"&amp;$B$2&amp;match($A23,INDIRECT("'"&amp;B$3&amp;"'!B:B"),0)),""))</f>
        <v/>
      </c>
      <c r="C23" s="253" t="str">
        <f t="shared" si="21"/>
        <v/>
      </c>
      <c r="D23" s="253" t="str">
        <f t="shared" si="21"/>
        <v/>
      </c>
      <c r="E23" s="253" t="str">
        <f t="shared" si="21"/>
        <v/>
      </c>
      <c r="F23" s="253" t="str">
        <f t="shared" si="21"/>
        <v/>
      </c>
      <c r="G23" s="253" t="str">
        <f t="shared" si="21"/>
        <v/>
      </c>
      <c r="H23" s="253" t="str">
        <f t="shared" si="21"/>
        <v/>
      </c>
      <c r="I23" s="253" t="str">
        <f t="shared" si="21"/>
        <v/>
      </c>
      <c r="J23" s="253" t="str">
        <f t="shared" si="21"/>
        <v/>
      </c>
      <c r="K23" s="253" t="str">
        <f t="shared" si="21"/>
        <v/>
      </c>
      <c r="L23" s="253" t="str">
        <f t="shared" si="21"/>
        <v/>
      </c>
      <c r="M23" s="253" t="str">
        <f t="shared" si="21"/>
        <v/>
      </c>
      <c r="N23" s="253">
        <f t="shared" si="4"/>
        <v>0</v>
      </c>
    </row>
    <row r="24" hidden="1" outlineLevel="1">
      <c r="A24" s="255"/>
      <c r="B24" s="253" t="str">
        <f t="shared" ref="B24:M24" si="22">if($M$2,IFERROR(INDIRECT("'"&amp;B$3&amp;"'!"&amp;$B$2&amp;match($A24,INDIRECT("'"&amp;B$3&amp;"'!B1:B"),0)),""),
IFERROR(INDIRECT("'"&amp;B$3&amp;"!"&amp;$B$2&amp;match($A24,INDIRECT("'"&amp;B$3&amp;"'!B:B"),0)),""))</f>
        <v/>
      </c>
      <c r="C24" s="253" t="str">
        <f t="shared" si="22"/>
        <v/>
      </c>
      <c r="D24" s="253" t="str">
        <f t="shared" si="22"/>
        <v/>
      </c>
      <c r="E24" s="253" t="str">
        <f t="shared" si="22"/>
        <v/>
      </c>
      <c r="F24" s="253" t="str">
        <f t="shared" si="22"/>
        <v/>
      </c>
      <c r="G24" s="253" t="str">
        <f t="shared" si="22"/>
        <v/>
      </c>
      <c r="H24" s="253" t="str">
        <f t="shared" si="22"/>
        <v/>
      </c>
      <c r="I24" s="253" t="str">
        <f t="shared" si="22"/>
        <v/>
      </c>
      <c r="J24" s="253" t="str">
        <f t="shared" si="22"/>
        <v/>
      </c>
      <c r="K24" s="253" t="str">
        <f t="shared" si="22"/>
        <v/>
      </c>
      <c r="L24" s="253" t="str">
        <f t="shared" si="22"/>
        <v/>
      </c>
      <c r="M24" s="253" t="str">
        <f t="shared" si="22"/>
        <v/>
      </c>
      <c r="N24" s="253">
        <f t="shared" si="4"/>
        <v>0</v>
      </c>
    </row>
    <row r="25" hidden="1" outlineLevel="1">
      <c r="A25" s="255"/>
      <c r="B25" s="253" t="str">
        <f t="shared" ref="B25:M25" si="23">if($M$2,IFERROR(INDIRECT("'"&amp;B$3&amp;"'!"&amp;$B$2&amp;match($A25,INDIRECT("'"&amp;B$3&amp;"'!B1:B"),0)),""),
IFERROR(INDIRECT("'"&amp;B$3&amp;"!"&amp;$B$2&amp;match($A25,INDIRECT("'"&amp;B$3&amp;"'!B:B"),0)),""))</f>
        <v/>
      </c>
      <c r="C25" s="253" t="str">
        <f t="shared" si="23"/>
        <v/>
      </c>
      <c r="D25" s="253" t="str">
        <f t="shared" si="23"/>
        <v/>
      </c>
      <c r="E25" s="253" t="str">
        <f t="shared" si="23"/>
        <v/>
      </c>
      <c r="F25" s="253" t="str">
        <f t="shared" si="23"/>
        <v/>
      </c>
      <c r="G25" s="253" t="str">
        <f t="shared" si="23"/>
        <v/>
      </c>
      <c r="H25" s="253" t="str">
        <f t="shared" si="23"/>
        <v/>
      </c>
      <c r="I25" s="253" t="str">
        <f t="shared" si="23"/>
        <v/>
      </c>
      <c r="J25" s="253" t="str">
        <f t="shared" si="23"/>
        <v/>
      </c>
      <c r="K25" s="253" t="str">
        <f t="shared" si="23"/>
        <v/>
      </c>
      <c r="L25" s="253" t="str">
        <f t="shared" si="23"/>
        <v/>
      </c>
      <c r="M25" s="253" t="str">
        <f t="shared" si="23"/>
        <v/>
      </c>
      <c r="N25" s="253">
        <f t="shared" si="4"/>
        <v>0</v>
      </c>
    </row>
    <row r="26" hidden="1" outlineLevel="1">
      <c r="A26" s="255"/>
      <c r="B26" s="247" t="str">
        <f t="shared" ref="B26:M26" si="24">if($M$2,IFERROR(INDIRECT("'"&amp;B$3&amp;"'!"&amp;$B$2&amp;match($A26,INDIRECT("'"&amp;B$3&amp;"'!B1:B"),0)),""),
IFERROR(INDIRECT("'"&amp;B$3&amp;"!"&amp;$B$2&amp;match($A26,INDIRECT("'"&amp;B$3&amp;"'!B:B"),0)),""))</f>
        <v/>
      </c>
      <c r="C26" s="247" t="str">
        <f t="shared" si="24"/>
        <v/>
      </c>
      <c r="D26" s="247" t="str">
        <f t="shared" si="24"/>
        <v/>
      </c>
      <c r="E26" s="247" t="str">
        <f t="shared" si="24"/>
        <v/>
      </c>
      <c r="F26" s="247" t="str">
        <f t="shared" si="24"/>
        <v/>
      </c>
      <c r="G26" s="247" t="str">
        <f t="shared" si="24"/>
        <v/>
      </c>
      <c r="H26" s="247" t="str">
        <f t="shared" si="24"/>
        <v/>
      </c>
      <c r="I26" s="247" t="str">
        <f t="shared" si="24"/>
        <v/>
      </c>
      <c r="J26" s="247" t="str">
        <f t="shared" si="24"/>
        <v/>
      </c>
      <c r="K26" s="247" t="str">
        <f t="shared" si="24"/>
        <v/>
      </c>
      <c r="L26" s="247" t="str">
        <f t="shared" si="24"/>
        <v/>
      </c>
      <c r="M26" s="247" t="str">
        <f t="shared" si="24"/>
        <v/>
      </c>
      <c r="N26" s="247">
        <f t="shared" si="4"/>
        <v>0</v>
      </c>
    </row>
    <row r="27" hidden="1" outlineLevel="1">
      <c r="A27" s="255"/>
      <c r="B27" s="247" t="str">
        <f t="shared" ref="B27:M27" si="25">if($M$2,IFERROR(INDIRECT("'"&amp;B$3&amp;"'!"&amp;$B$2&amp;match($A27,INDIRECT("'"&amp;B$3&amp;"'!B1:B"),0)),""),
IFERROR(INDIRECT("'"&amp;B$3&amp;"!"&amp;$B$2&amp;match($A27,INDIRECT("'"&amp;B$3&amp;"'!B:B"),0)),""))</f>
        <v/>
      </c>
      <c r="C27" s="247" t="str">
        <f t="shared" si="25"/>
        <v/>
      </c>
      <c r="D27" s="247" t="str">
        <f t="shared" si="25"/>
        <v/>
      </c>
      <c r="E27" s="247" t="str">
        <f t="shared" si="25"/>
        <v/>
      </c>
      <c r="F27" s="247" t="str">
        <f t="shared" si="25"/>
        <v/>
      </c>
      <c r="G27" s="247" t="str">
        <f t="shared" si="25"/>
        <v/>
      </c>
      <c r="H27" s="247" t="str">
        <f t="shared" si="25"/>
        <v/>
      </c>
      <c r="I27" s="247" t="str">
        <f t="shared" si="25"/>
        <v/>
      </c>
      <c r="J27" s="247" t="str">
        <f t="shared" si="25"/>
        <v/>
      </c>
      <c r="K27" s="247" t="str">
        <f t="shared" si="25"/>
        <v/>
      </c>
      <c r="L27" s="247" t="str">
        <f t="shared" si="25"/>
        <v/>
      </c>
      <c r="M27" s="247" t="str">
        <f t="shared" si="25"/>
        <v/>
      </c>
      <c r="N27" s="247">
        <f t="shared" si="4"/>
        <v>0</v>
      </c>
    </row>
    <row r="28" hidden="1" outlineLevel="1">
      <c r="A28" s="254"/>
      <c r="B28" s="247" t="str">
        <f t="shared" ref="B28:M28" si="26">if($M$2,IFERROR(INDIRECT("'"&amp;B$3&amp;"'!"&amp;$B$2&amp;match($A28,INDIRECT("'"&amp;B$3&amp;"'!B1:B"),0)),""),
IFERROR(INDIRECT("'"&amp;B$3&amp;"!"&amp;$B$2&amp;match($A28,INDIRECT("'"&amp;B$3&amp;"'!B:B"),0)),""))</f>
        <v/>
      </c>
      <c r="C28" s="247" t="str">
        <f t="shared" si="26"/>
        <v/>
      </c>
      <c r="D28" s="247" t="str">
        <f t="shared" si="26"/>
        <v/>
      </c>
      <c r="E28" s="247" t="str">
        <f t="shared" si="26"/>
        <v/>
      </c>
      <c r="F28" s="247" t="str">
        <f t="shared" si="26"/>
        <v/>
      </c>
      <c r="G28" s="247" t="str">
        <f t="shared" si="26"/>
        <v/>
      </c>
      <c r="H28" s="247" t="str">
        <f t="shared" si="26"/>
        <v/>
      </c>
      <c r="I28" s="247" t="str">
        <f t="shared" si="26"/>
        <v/>
      </c>
      <c r="J28" s="247" t="str">
        <f t="shared" si="26"/>
        <v/>
      </c>
      <c r="K28" s="247" t="str">
        <f t="shared" si="26"/>
        <v/>
      </c>
      <c r="L28" s="247" t="str">
        <f t="shared" si="26"/>
        <v/>
      </c>
      <c r="M28" s="247" t="str">
        <f t="shared" si="26"/>
        <v/>
      </c>
      <c r="N28" s="247">
        <f t="shared" si="4"/>
        <v>0</v>
      </c>
    </row>
    <row r="29" hidden="1" outlineLevel="1">
      <c r="A29" s="256"/>
      <c r="B29" s="247" t="str">
        <f t="shared" ref="B29:M29" si="27">if($M$2,IFERROR(INDIRECT("'"&amp;B$3&amp;"'!"&amp;$B$2&amp;match($A29,INDIRECT("'"&amp;B$3&amp;"'!B1:B"),0)),""),
IFERROR(INDIRECT("'"&amp;B$3&amp;"!"&amp;$B$2&amp;match($A29,INDIRECT("'"&amp;B$3&amp;"'!B:B"),0)),""))</f>
        <v/>
      </c>
      <c r="C29" s="247" t="str">
        <f t="shared" si="27"/>
        <v/>
      </c>
      <c r="D29" s="247" t="str">
        <f t="shared" si="27"/>
        <v/>
      </c>
      <c r="E29" s="247" t="str">
        <f t="shared" si="27"/>
        <v/>
      </c>
      <c r="F29" s="247" t="str">
        <f t="shared" si="27"/>
        <v/>
      </c>
      <c r="G29" s="247" t="str">
        <f t="shared" si="27"/>
        <v/>
      </c>
      <c r="H29" s="247" t="str">
        <f t="shared" si="27"/>
        <v/>
      </c>
      <c r="I29" s="247" t="str">
        <f t="shared" si="27"/>
        <v/>
      </c>
      <c r="J29" s="247" t="str">
        <f t="shared" si="27"/>
        <v/>
      </c>
      <c r="K29" s="247" t="str">
        <f t="shared" si="27"/>
        <v/>
      </c>
      <c r="L29" s="247" t="str">
        <f t="shared" si="27"/>
        <v/>
      </c>
      <c r="M29" s="247" t="str">
        <f t="shared" si="27"/>
        <v/>
      </c>
      <c r="N29" s="247">
        <f t="shared" si="4"/>
        <v>0</v>
      </c>
    </row>
    <row r="30" hidden="1" outlineLevel="1">
      <c r="A30" s="256"/>
      <c r="B30" s="247" t="str">
        <f t="shared" ref="B30:M30" si="28">if($M$2,IFERROR(INDIRECT("'"&amp;B$3&amp;"'!"&amp;$B$2&amp;match($A30,INDIRECT("'"&amp;B$3&amp;"'!B1:B"),0)),""),
IFERROR(INDIRECT("'"&amp;B$3&amp;"!"&amp;$B$2&amp;match($A30,INDIRECT("'"&amp;B$3&amp;"'!B:B"),0)),""))</f>
        <v/>
      </c>
      <c r="C30" s="247" t="str">
        <f t="shared" si="28"/>
        <v/>
      </c>
      <c r="D30" s="247" t="str">
        <f t="shared" si="28"/>
        <v/>
      </c>
      <c r="E30" s="247" t="str">
        <f t="shared" si="28"/>
        <v/>
      </c>
      <c r="F30" s="247" t="str">
        <f t="shared" si="28"/>
        <v/>
      </c>
      <c r="G30" s="247" t="str">
        <f t="shared" si="28"/>
        <v/>
      </c>
      <c r="H30" s="247" t="str">
        <f t="shared" si="28"/>
        <v/>
      </c>
      <c r="I30" s="247" t="str">
        <f t="shared" si="28"/>
        <v/>
      </c>
      <c r="J30" s="247" t="str">
        <f t="shared" si="28"/>
        <v/>
      </c>
      <c r="K30" s="247" t="str">
        <f t="shared" si="28"/>
        <v/>
      </c>
      <c r="L30" s="247" t="str">
        <f t="shared" si="28"/>
        <v/>
      </c>
      <c r="M30" s="247" t="str">
        <f t="shared" si="28"/>
        <v/>
      </c>
      <c r="N30" s="247">
        <f t="shared" si="4"/>
        <v>0</v>
      </c>
    </row>
    <row r="31" hidden="1" outlineLevel="1">
      <c r="A31" s="256"/>
      <c r="B31" s="247" t="str">
        <f t="shared" ref="B31:M31" si="29">if($M$2,IFERROR(INDIRECT("'"&amp;B$3&amp;"'!"&amp;$B$2&amp;match($A31,INDIRECT("'"&amp;B$3&amp;"'!B1:B"),0)),""),
IFERROR(INDIRECT("'"&amp;B$3&amp;"!"&amp;$B$2&amp;match($A31,INDIRECT("'"&amp;B$3&amp;"'!B:B"),0)),""))</f>
        <v/>
      </c>
      <c r="C31" s="247" t="str">
        <f t="shared" si="29"/>
        <v/>
      </c>
      <c r="D31" s="247" t="str">
        <f t="shared" si="29"/>
        <v/>
      </c>
      <c r="E31" s="247" t="str">
        <f t="shared" si="29"/>
        <v/>
      </c>
      <c r="F31" s="247" t="str">
        <f t="shared" si="29"/>
        <v/>
      </c>
      <c r="G31" s="247" t="str">
        <f t="shared" si="29"/>
        <v/>
      </c>
      <c r="H31" s="247" t="str">
        <f t="shared" si="29"/>
        <v/>
      </c>
      <c r="I31" s="247" t="str">
        <f t="shared" si="29"/>
        <v/>
      </c>
      <c r="J31" s="247" t="str">
        <f t="shared" si="29"/>
        <v/>
      </c>
      <c r="K31" s="247" t="str">
        <f t="shared" si="29"/>
        <v/>
      </c>
      <c r="L31" s="247" t="str">
        <f t="shared" si="29"/>
        <v/>
      </c>
      <c r="M31" s="247" t="str">
        <f t="shared" si="29"/>
        <v/>
      </c>
      <c r="N31" s="247">
        <f t="shared" si="4"/>
        <v>0</v>
      </c>
    </row>
    <row r="32">
      <c r="A32" s="256"/>
      <c r="B32" s="247" t="str">
        <f t="shared" ref="B32:M32" si="30">if($M$2,IFERROR(INDIRECT("'"&amp;B$3&amp;"'!"&amp;$B$2&amp;match($A32,INDIRECT("'"&amp;B$3&amp;"'!B1:B"),0)),""),
IFERROR(INDIRECT("'"&amp;B$3&amp;"!"&amp;$B$2&amp;match($A32,INDIRECT("'"&amp;B$3&amp;"'!B:B"),0)),""))</f>
        <v/>
      </c>
      <c r="C32" s="247" t="str">
        <f t="shared" si="30"/>
        <v/>
      </c>
      <c r="D32" s="247" t="str">
        <f t="shared" si="30"/>
        <v/>
      </c>
      <c r="E32" s="247" t="str">
        <f t="shared" si="30"/>
        <v/>
      </c>
      <c r="F32" s="247" t="str">
        <f t="shared" si="30"/>
        <v/>
      </c>
      <c r="G32" s="247" t="str">
        <f t="shared" si="30"/>
        <v/>
      </c>
      <c r="H32" s="247" t="str">
        <f t="shared" si="30"/>
        <v/>
      </c>
      <c r="I32" s="247" t="str">
        <f t="shared" si="30"/>
        <v/>
      </c>
      <c r="J32" s="247" t="str">
        <f t="shared" si="30"/>
        <v/>
      </c>
      <c r="K32" s="247" t="str">
        <f t="shared" si="30"/>
        <v/>
      </c>
      <c r="L32" s="247" t="str">
        <f t="shared" si="30"/>
        <v/>
      </c>
      <c r="M32" s="247" t="str">
        <f t="shared" si="30"/>
        <v/>
      </c>
      <c r="N32" s="247">
        <f t="shared" si="4"/>
        <v>0</v>
      </c>
    </row>
    <row r="33">
      <c r="A33" s="257" t="s">
        <v>136</v>
      </c>
      <c r="B33" s="258">
        <f t="shared" ref="B33:M33" si="31">B5+B15</f>
        <v>169150</v>
      </c>
      <c r="C33" s="258">
        <f t="shared" si="31"/>
        <v>0</v>
      </c>
      <c r="D33" s="258">
        <f t="shared" si="31"/>
        <v>0</v>
      </c>
      <c r="E33" s="258">
        <f t="shared" si="31"/>
        <v>0</v>
      </c>
      <c r="F33" s="258">
        <f t="shared" si="31"/>
        <v>0</v>
      </c>
      <c r="G33" s="258">
        <f t="shared" si="31"/>
        <v>0</v>
      </c>
      <c r="H33" s="258">
        <f t="shared" si="31"/>
        <v>0</v>
      </c>
      <c r="I33" s="258">
        <f t="shared" si="31"/>
        <v>0</v>
      </c>
      <c r="J33" s="258">
        <f t="shared" si="31"/>
        <v>0</v>
      </c>
      <c r="K33" s="258">
        <f t="shared" si="31"/>
        <v>0</v>
      </c>
      <c r="L33" s="258">
        <f t="shared" si="31"/>
        <v>0</v>
      </c>
      <c r="M33" s="258">
        <f t="shared" si="31"/>
        <v>0</v>
      </c>
      <c r="N33" s="258">
        <f t="shared" si="4"/>
        <v>169150</v>
      </c>
    </row>
    <row r="34">
      <c r="A34" s="259" t="s">
        <v>161</v>
      </c>
      <c r="B34" s="260">
        <f t="shared" ref="B34:N34" si="32">IFERROR(B33/B$5,"")</f>
        <v>0.7341579861</v>
      </c>
      <c r="C34" s="260" t="str">
        <f t="shared" si="32"/>
        <v/>
      </c>
      <c r="D34" s="260" t="str">
        <f t="shared" si="32"/>
        <v/>
      </c>
      <c r="E34" s="260" t="str">
        <f t="shared" si="32"/>
        <v/>
      </c>
      <c r="F34" s="260" t="str">
        <f t="shared" si="32"/>
        <v/>
      </c>
      <c r="G34" s="260" t="str">
        <f t="shared" si="32"/>
        <v/>
      </c>
      <c r="H34" s="260" t="str">
        <f t="shared" si="32"/>
        <v/>
      </c>
      <c r="I34" s="260" t="str">
        <f t="shared" si="32"/>
        <v/>
      </c>
      <c r="J34" s="260" t="str">
        <f t="shared" si="32"/>
        <v/>
      </c>
      <c r="K34" s="260" t="str">
        <f t="shared" si="32"/>
        <v/>
      </c>
      <c r="L34" s="260" t="str">
        <f t="shared" si="32"/>
        <v/>
      </c>
      <c r="M34" s="260" t="str">
        <f t="shared" si="32"/>
        <v/>
      </c>
      <c r="N34" s="260">
        <f t="shared" si="32"/>
        <v>0.7341579861</v>
      </c>
    </row>
    <row r="35">
      <c r="A35" s="252"/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>
        <f t="shared" ref="N35:N68" si="34">SUM(B35:M35)</f>
        <v>0</v>
      </c>
    </row>
    <row r="36">
      <c r="A36" s="262" t="s">
        <v>94</v>
      </c>
      <c r="B36" s="251">
        <f t="shared" ref="B36:M36" si="33">SUM(B37:B67)</f>
        <v>-12275</v>
      </c>
      <c r="C36" s="251">
        <f t="shared" si="33"/>
        <v>0</v>
      </c>
      <c r="D36" s="251">
        <f t="shared" si="33"/>
        <v>0</v>
      </c>
      <c r="E36" s="251">
        <f t="shared" si="33"/>
        <v>0</v>
      </c>
      <c r="F36" s="251">
        <f t="shared" si="33"/>
        <v>0</v>
      </c>
      <c r="G36" s="251">
        <f t="shared" si="33"/>
        <v>0</v>
      </c>
      <c r="H36" s="251">
        <f t="shared" si="33"/>
        <v>0</v>
      </c>
      <c r="I36" s="251">
        <f t="shared" si="33"/>
        <v>0</v>
      </c>
      <c r="J36" s="251">
        <f t="shared" si="33"/>
        <v>0</v>
      </c>
      <c r="K36" s="251">
        <f t="shared" si="33"/>
        <v>0</v>
      </c>
      <c r="L36" s="251">
        <f t="shared" si="33"/>
        <v>0</v>
      </c>
      <c r="M36" s="251">
        <f t="shared" si="33"/>
        <v>0</v>
      </c>
      <c r="N36" s="251">
        <f t="shared" si="34"/>
        <v>-12275</v>
      </c>
    </row>
    <row r="37">
      <c r="A37" s="254" t="str">
        <f>IFERROR(__xludf.DUMMYFUNCTION("iferror(filter('Статьи'!$A$1:$A158,'Статьи'!$B$1:$B158=$A$36))"),"Зарплата производственного персонала")</f>
        <v>Зарплата производственного персонала</v>
      </c>
      <c r="B37" s="247">
        <f t="shared" ref="B37:M37" si="35">if($M$2,IFERROR(INDIRECT("'"&amp;B$3&amp;"'!"&amp;$B$2&amp;match($A37,INDIRECT("'"&amp;B$3&amp;"'!B1:B"),0)),""),
IFERROR(INDIRECT("'"&amp;B$3&amp;"!"&amp;$B$2&amp;match($A37,INDIRECT("'"&amp;B$3&amp;"'!B:B"),0)),""))</f>
        <v>-55</v>
      </c>
      <c r="C37" s="247">
        <f t="shared" si="35"/>
        <v>0</v>
      </c>
      <c r="D37" s="247">
        <f t="shared" si="35"/>
        <v>0</v>
      </c>
      <c r="E37" s="247">
        <f t="shared" si="35"/>
        <v>0</v>
      </c>
      <c r="F37" s="247">
        <f t="shared" si="35"/>
        <v>0</v>
      </c>
      <c r="G37" s="247">
        <f t="shared" si="35"/>
        <v>0</v>
      </c>
      <c r="H37" s="247">
        <f t="shared" si="35"/>
        <v>0</v>
      </c>
      <c r="I37" s="247">
        <f t="shared" si="35"/>
        <v>0</v>
      </c>
      <c r="J37" s="247">
        <f t="shared" si="35"/>
        <v>0</v>
      </c>
      <c r="K37" s="247">
        <f t="shared" si="35"/>
        <v>0</v>
      </c>
      <c r="L37" s="247">
        <f t="shared" si="35"/>
        <v>0</v>
      </c>
      <c r="M37" s="247">
        <f t="shared" si="35"/>
        <v>0</v>
      </c>
      <c r="N37" s="247">
        <f t="shared" si="34"/>
        <v>-55</v>
      </c>
    </row>
    <row r="38">
      <c r="A38" s="254" t="str">
        <f>IFERROR(__xludf.DUMMYFUNCTION("""COMPUTED_VALUE"""),"Таможенные расходы")</f>
        <v>Таможенные расходы</v>
      </c>
      <c r="B38" s="247">
        <f t="shared" ref="B38:M38" si="36">if($M$2,IFERROR(INDIRECT("'"&amp;B$3&amp;"'!"&amp;$B$2&amp;match($A38,INDIRECT("'"&amp;B$3&amp;"'!B1:B"),0)),""),
IFERROR(INDIRECT("'"&amp;B$3&amp;"!"&amp;$B$2&amp;match($A38,INDIRECT("'"&amp;B$3&amp;"'!B:B"),0)),""))</f>
        <v>-12220</v>
      </c>
      <c r="C38" s="247">
        <f t="shared" si="36"/>
        <v>0</v>
      </c>
      <c r="D38" s="247">
        <f t="shared" si="36"/>
        <v>0</v>
      </c>
      <c r="E38" s="247">
        <f t="shared" si="36"/>
        <v>0</v>
      </c>
      <c r="F38" s="247">
        <f t="shared" si="36"/>
        <v>0</v>
      </c>
      <c r="G38" s="247">
        <f t="shared" si="36"/>
        <v>0</v>
      </c>
      <c r="H38" s="247">
        <f t="shared" si="36"/>
        <v>0</v>
      </c>
      <c r="I38" s="247">
        <f t="shared" si="36"/>
        <v>0</v>
      </c>
      <c r="J38" s="247">
        <f t="shared" si="36"/>
        <v>0</v>
      </c>
      <c r="K38" s="247">
        <f t="shared" si="36"/>
        <v>0</v>
      </c>
      <c r="L38" s="247">
        <f t="shared" si="36"/>
        <v>0</v>
      </c>
      <c r="M38" s="247">
        <f t="shared" si="36"/>
        <v>0</v>
      </c>
      <c r="N38" s="247">
        <f t="shared" si="34"/>
        <v>-12220</v>
      </c>
    </row>
    <row r="39">
      <c r="A39" s="254"/>
      <c r="B39" s="247" t="str">
        <f t="shared" ref="B39:M39" si="37">if($M$2,IFERROR(INDIRECT("'"&amp;B$3&amp;"'!"&amp;$B$2&amp;match($A39,INDIRECT("'"&amp;B$3&amp;"'!B1:B"),0)),""),
IFERROR(INDIRECT("'"&amp;B$3&amp;"!"&amp;$B$2&amp;match($A39,INDIRECT("'"&amp;B$3&amp;"'!B:B"),0)),""))</f>
        <v/>
      </c>
      <c r="C39" s="263" t="str">
        <f t="shared" si="37"/>
        <v/>
      </c>
      <c r="D39" s="263" t="str">
        <f t="shared" si="37"/>
        <v/>
      </c>
      <c r="E39" s="263" t="str">
        <f t="shared" si="37"/>
        <v/>
      </c>
      <c r="F39" s="247" t="str">
        <f t="shared" si="37"/>
        <v/>
      </c>
      <c r="G39" s="247" t="str">
        <f t="shared" si="37"/>
        <v/>
      </c>
      <c r="H39" s="247" t="str">
        <f t="shared" si="37"/>
        <v/>
      </c>
      <c r="I39" s="247" t="str">
        <f t="shared" si="37"/>
        <v/>
      </c>
      <c r="J39" s="247" t="str">
        <f t="shared" si="37"/>
        <v/>
      </c>
      <c r="K39" s="247" t="str">
        <f t="shared" si="37"/>
        <v/>
      </c>
      <c r="L39" s="247" t="str">
        <f t="shared" si="37"/>
        <v/>
      </c>
      <c r="M39" s="247" t="str">
        <f t="shared" si="37"/>
        <v/>
      </c>
      <c r="N39" s="247">
        <f t="shared" si="34"/>
        <v>0</v>
      </c>
    </row>
    <row r="40" ht="18.0" customHeight="1">
      <c r="A40" s="254"/>
      <c r="B40" s="247" t="str">
        <f t="shared" ref="B40:M40" si="38">if($M$2,IFERROR(INDIRECT("'"&amp;B$3&amp;"'!"&amp;$B$2&amp;match($A40,INDIRECT("'"&amp;B$3&amp;"'!B1:B"),0)),""),
IFERROR(INDIRECT("'"&amp;B$3&amp;"!"&amp;$B$2&amp;match($A40,INDIRECT("'"&amp;B$3&amp;"'!B:B"),0)),""))</f>
        <v/>
      </c>
      <c r="C40" s="263" t="str">
        <f t="shared" si="38"/>
        <v/>
      </c>
      <c r="D40" s="263" t="str">
        <f t="shared" si="38"/>
        <v/>
      </c>
      <c r="E40" s="263" t="str">
        <f t="shared" si="38"/>
        <v/>
      </c>
      <c r="F40" s="247" t="str">
        <f t="shared" si="38"/>
        <v/>
      </c>
      <c r="G40" s="247" t="str">
        <f t="shared" si="38"/>
        <v/>
      </c>
      <c r="H40" s="247" t="str">
        <f t="shared" si="38"/>
        <v/>
      </c>
      <c r="I40" s="247" t="str">
        <f t="shared" si="38"/>
        <v/>
      </c>
      <c r="J40" s="247" t="str">
        <f t="shared" si="38"/>
        <v/>
      </c>
      <c r="K40" s="247" t="str">
        <f t="shared" si="38"/>
        <v/>
      </c>
      <c r="L40" s="247" t="str">
        <f t="shared" si="38"/>
        <v/>
      </c>
      <c r="M40" s="247" t="str">
        <f t="shared" si="38"/>
        <v/>
      </c>
      <c r="N40" s="247">
        <f t="shared" si="34"/>
        <v>0</v>
      </c>
    </row>
    <row r="41">
      <c r="A41" s="255"/>
      <c r="B41" s="247" t="str">
        <f t="shared" ref="B41:M41" si="39">if($M$2,IFERROR(INDIRECT("'"&amp;B$3&amp;"'!"&amp;$B$2&amp;match($A41,INDIRECT("'"&amp;B$3&amp;"'!B1:B"),0)),""),
IFERROR(INDIRECT("'"&amp;B$3&amp;"!"&amp;$B$2&amp;match($A41,INDIRECT("'"&amp;B$3&amp;"'!B:B"),0)),""))</f>
        <v/>
      </c>
      <c r="C41" s="247" t="str">
        <f t="shared" si="39"/>
        <v/>
      </c>
      <c r="D41" s="247" t="str">
        <f t="shared" si="39"/>
        <v/>
      </c>
      <c r="E41" s="247" t="str">
        <f t="shared" si="39"/>
        <v/>
      </c>
      <c r="F41" s="247" t="str">
        <f t="shared" si="39"/>
        <v/>
      </c>
      <c r="G41" s="247" t="str">
        <f t="shared" si="39"/>
        <v/>
      </c>
      <c r="H41" s="247" t="str">
        <f t="shared" si="39"/>
        <v/>
      </c>
      <c r="I41" s="247" t="str">
        <f t="shared" si="39"/>
        <v/>
      </c>
      <c r="J41" s="247" t="str">
        <f t="shared" si="39"/>
        <v/>
      </c>
      <c r="K41" s="247" t="str">
        <f t="shared" si="39"/>
        <v/>
      </c>
      <c r="L41" s="247" t="str">
        <f t="shared" si="39"/>
        <v/>
      </c>
      <c r="M41" s="247" t="str">
        <f t="shared" si="39"/>
        <v/>
      </c>
      <c r="N41" s="247">
        <f t="shared" si="34"/>
        <v>0</v>
      </c>
    </row>
    <row r="42">
      <c r="A42" s="233"/>
      <c r="B42" s="247" t="str">
        <f t="shared" ref="B42:M42" si="40">if($M$2,IFERROR(INDIRECT("'"&amp;B$3&amp;"'!"&amp;$B$2&amp;match($A42,INDIRECT("'"&amp;B$3&amp;"'!B1:B"),0)),""),
IFERROR(INDIRECT("'"&amp;B$3&amp;"!"&amp;$B$2&amp;match($A42,INDIRECT("'"&amp;B$3&amp;"'!B:B"),0)),""))</f>
        <v/>
      </c>
      <c r="C42" s="247" t="str">
        <f t="shared" si="40"/>
        <v/>
      </c>
      <c r="D42" s="247" t="str">
        <f t="shared" si="40"/>
        <v/>
      </c>
      <c r="E42" s="247" t="str">
        <f t="shared" si="40"/>
        <v/>
      </c>
      <c r="F42" s="247" t="str">
        <f t="shared" si="40"/>
        <v/>
      </c>
      <c r="G42" s="247" t="str">
        <f t="shared" si="40"/>
        <v/>
      </c>
      <c r="H42" s="247" t="str">
        <f t="shared" si="40"/>
        <v/>
      </c>
      <c r="I42" s="247" t="str">
        <f t="shared" si="40"/>
        <v/>
      </c>
      <c r="J42" s="247" t="str">
        <f t="shared" si="40"/>
        <v/>
      </c>
      <c r="K42" s="247" t="str">
        <f t="shared" si="40"/>
        <v/>
      </c>
      <c r="L42" s="247" t="str">
        <f t="shared" si="40"/>
        <v/>
      </c>
      <c r="M42" s="247" t="str">
        <f t="shared" si="40"/>
        <v/>
      </c>
      <c r="N42" s="247">
        <f t="shared" si="34"/>
        <v>0</v>
      </c>
    </row>
    <row r="43">
      <c r="A43" s="233"/>
      <c r="B43" s="247" t="str">
        <f t="shared" ref="B43:M43" si="41">if($M$2,IFERROR(INDIRECT("'"&amp;B$3&amp;"'!"&amp;$B$2&amp;match($A43,INDIRECT("'"&amp;B$3&amp;"'!B1:B"),0)),""),
IFERROR(INDIRECT("'"&amp;B$3&amp;"!"&amp;$B$2&amp;match($A43,INDIRECT("'"&amp;B$3&amp;"'!B:B"),0)),""))</f>
        <v/>
      </c>
      <c r="C43" s="247" t="str">
        <f t="shared" si="41"/>
        <v/>
      </c>
      <c r="D43" s="247" t="str">
        <f t="shared" si="41"/>
        <v/>
      </c>
      <c r="E43" s="247" t="str">
        <f t="shared" si="41"/>
        <v/>
      </c>
      <c r="F43" s="247" t="str">
        <f t="shared" si="41"/>
        <v/>
      </c>
      <c r="G43" s="247" t="str">
        <f t="shared" si="41"/>
        <v/>
      </c>
      <c r="H43" s="247" t="str">
        <f t="shared" si="41"/>
        <v/>
      </c>
      <c r="I43" s="247" t="str">
        <f t="shared" si="41"/>
        <v/>
      </c>
      <c r="J43" s="247" t="str">
        <f t="shared" si="41"/>
        <v/>
      </c>
      <c r="K43" s="247" t="str">
        <f t="shared" si="41"/>
        <v/>
      </c>
      <c r="L43" s="247" t="str">
        <f t="shared" si="41"/>
        <v/>
      </c>
      <c r="M43" s="247" t="str">
        <f t="shared" si="41"/>
        <v/>
      </c>
      <c r="N43" s="247">
        <f t="shared" si="34"/>
        <v>0</v>
      </c>
    </row>
    <row r="44">
      <c r="A44" s="233"/>
      <c r="B44" s="247" t="str">
        <f t="shared" ref="B44:M44" si="42">if($M$2,IFERROR(INDIRECT("'"&amp;B$3&amp;"'!"&amp;$B$2&amp;match($A44,INDIRECT("'"&amp;B$3&amp;"'!B1:B"),0)),""),
IFERROR(INDIRECT("'"&amp;B$3&amp;"!"&amp;$B$2&amp;match($A44,INDIRECT("'"&amp;B$3&amp;"'!B:B"),0)),""))</f>
        <v/>
      </c>
      <c r="C44" s="247" t="str">
        <f t="shared" si="42"/>
        <v/>
      </c>
      <c r="D44" s="247" t="str">
        <f t="shared" si="42"/>
        <v/>
      </c>
      <c r="E44" s="247" t="str">
        <f t="shared" si="42"/>
        <v/>
      </c>
      <c r="F44" s="247" t="str">
        <f t="shared" si="42"/>
        <v/>
      </c>
      <c r="G44" s="247" t="str">
        <f t="shared" si="42"/>
        <v/>
      </c>
      <c r="H44" s="247" t="str">
        <f t="shared" si="42"/>
        <v/>
      </c>
      <c r="I44" s="247" t="str">
        <f t="shared" si="42"/>
        <v/>
      </c>
      <c r="J44" s="247" t="str">
        <f t="shared" si="42"/>
        <v/>
      </c>
      <c r="K44" s="247" t="str">
        <f t="shared" si="42"/>
        <v/>
      </c>
      <c r="L44" s="247" t="str">
        <f t="shared" si="42"/>
        <v/>
      </c>
      <c r="M44" s="247" t="str">
        <f t="shared" si="42"/>
        <v/>
      </c>
      <c r="N44" s="247">
        <f t="shared" si="34"/>
        <v>0</v>
      </c>
    </row>
    <row r="45">
      <c r="A45" s="233"/>
      <c r="B45" s="247" t="str">
        <f t="shared" ref="B45:M45" si="43">if($M$2,IFERROR(INDIRECT("'"&amp;B$3&amp;"'!"&amp;$B$2&amp;match($A45,INDIRECT("'"&amp;B$3&amp;"'!B1:B"),0)),""),
IFERROR(INDIRECT("'"&amp;B$3&amp;"!"&amp;$B$2&amp;match($A45,INDIRECT("'"&amp;B$3&amp;"'!B:B"),0)),""))</f>
        <v/>
      </c>
      <c r="C45" s="247" t="str">
        <f t="shared" si="43"/>
        <v/>
      </c>
      <c r="D45" s="247" t="str">
        <f t="shared" si="43"/>
        <v/>
      </c>
      <c r="E45" s="247" t="str">
        <f t="shared" si="43"/>
        <v/>
      </c>
      <c r="F45" s="247" t="str">
        <f t="shared" si="43"/>
        <v/>
      </c>
      <c r="G45" s="247" t="str">
        <f t="shared" si="43"/>
        <v/>
      </c>
      <c r="H45" s="247" t="str">
        <f t="shared" si="43"/>
        <v/>
      </c>
      <c r="I45" s="247" t="str">
        <f t="shared" si="43"/>
        <v/>
      </c>
      <c r="J45" s="247" t="str">
        <f t="shared" si="43"/>
        <v/>
      </c>
      <c r="K45" s="247" t="str">
        <f t="shared" si="43"/>
        <v/>
      </c>
      <c r="L45" s="247" t="str">
        <f t="shared" si="43"/>
        <v/>
      </c>
      <c r="M45" s="247" t="str">
        <f t="shared" si="43"/>
        <v/>
      </c>
      <c r="N45" s="247">
        <f t="shared" si="34"/>
        <v>0</v>
      </c>
    </row>
    <row r="46">
      <c r="A46" s="233"/>
      <c r="B46" s="247" t="str">
        <f t="shared" ref="B46:M46" si="44">if($M$2,IFERROR(INDIRECT("'"&amp;B$3&amp;"'!"&amp;$B$2&amp;match($A46,INDIRECT("'"&amp;B$3&amp;"'!B1:B"),0)),""),
IFERROR(INDIRECT("'"&amp;B$3&amp;"!"&amp;$B$2&amp;match($A46,INDIRECT("'"&amp;B$3&amp;"'!B:B"),0)),""))</f>
        <v/>
      </c>
      <c r="C46" s="247" t="str">
        <f t="shared" si="44"/>
        <v/>
      </c>
      <c r="D46" s="247" t="str">
        <f t="shared" si="44"/>
        <v/>
      </c>
      <c r="E46" s="247" t="str">
        <f t="shared" si="44"/>
        <v/>
      </c>
      <c r="F46" s="247" t="str">
        <f t="shared" si="44"/>
        <v/>
      </c>
      <c r="G46" s="247" t="str">
        <f t="shared" si="44"/>
        <v/>
      </c>
      <c r="H46" s="247" t="str">
        <f t="shared" si="44"/>
        <v/>
      </c>
      <c r="I46" s="247" t="str">
        <f t="shared" si="44"/>
        <v/>
      </c>
      <c r="J46" s="247" t="str">
        <f t="shared" si="44"/>
        <v/>
      </c>
      <c r="K46" s="247" t="str">
        <f t="shared" si="44"/>
        <v/>
      </c>
      <c r="L46" s="247" t="str">
        <f t="shared" si="44"/>
        <v/>
      </c>
      <c r="M46" s="247" t="str">
        <f t="shared" si="44"/>
        <v/>
      </c>
      <c r="N46" s="247">
        <f t="shared" si="34"/>
        <v>0</v>
      </c>
    </row>
    <row r="47">
      <c r="A47" s="233"/>
      <c r="B47" s="247" t="str">
        <f t="shared" ref="B47:M47" si="45">if($M$2,IFERROR(INDIRECT("'"&amp;B$3&amp;"'!"&amp;$B$2&amp;match($A47,INDIRECT("'"&amp;B$3&amp;"'!B1:B"),0)),""),
IFERROR(INDIRECT("'"&amp;B$3&amp;"!"&amp;$B$2&amp;match($A47,INDIRECT("'"&amp;B$3&amp;"'!B:B"),0)),""))</f>
        <v/>
      </c>
      <c r="C47" s="247" t="str">
        <f t="shared" si="45"/>
        <v/>
      </c>
      <c r="D47" s="247" t="str">
        <f t="shared" si="45"/>
        <v/>
      </c>
      <c r="E47" s="247" t="str">
        <f t="shared" si="45"/>
        <v/>
      </c>
      <c r="F47" s="247" t="str">
        <f t="shared" si="45"/>
        <v/>
      </c>
      <c r="G47" s="247" t="str">
        <f t="shared" si="45"/>
        <v/>
      </c>
      <c r="H47" s="247" t="str">
        <f t="shared" si="45"/>
        <v/>
      </c>
      <c r="I47" s="247" t="str">
        <f t="shared" si="45"/>
        <v/>
      </c>
      <c r="J47" s="247" t="str">
        <f t="shared" si="45"/>
        <v/>
      </c>
      <c r="K47" s="247" t="str">
        <f t="shared" si="45"/>
        <v/>
      </c>
      <c r="L47" s="247" t="str">
        <f t="shared" si="45"/>
        <v/>
      </c>
      <c r="M47" s="247" t="str">
        <f t="shared" si="45"/>
        <v/>
      </c>
      <c r="N47" s="247">
        <f t="shared" si="34"/>
        <v>0</v>
      </c>
    </row>
    <row r="48">
      <c r="A48" s="233"/>
      <c r="B48" s="247" t="str">
        <f t="shared" ref="B48:M48" si="46">if($M$2,IFERROR(INDIRECT("'"&amp;B$3&amp;"'!"&amp;$B$2&amp;match($A48,INDIRECT("'"&amp;B$3&amp;"'!B1:B"),0)),""),
IFERROR(INDIRECT("'"&amp;B$3&amp;"!"&amp;$B$2&amp;match($A48,INDIRECT("'"&amp;B$3&amp;"'!B:B"),0)),""))</f>
        <v/>
      </c>
      <c r="C48" s="247" t="str">
        <f t="shared" si="46"/>
        <v/>
      </c>
      <c r="D48" s="247" t="str">
        <f t="shared" si="46"/>
        <v/>
      </c>
      <c r="E48" s="247" t="str">
        <f t="shared" si="46"/>
        <v/>
      </c>
      <c r="F48" s="247" t="str">
        <f t="shared" si="46"/>
        <v/>
      </c>
      <c r="G48" s="247" t="str">
        <f t="shared" si="46"/>
        <v/>
      </c>
      <c r="H48" s="247" t="str">
        <f t="shared" si="46"/>
        <v/>
      </c>
      <c r="I48" s="247" t="str">
        <f t="shared" si="46"/>
        <v/>
      </c>
      <c r="J48" s="247" t="str">
        <f t="shared" si="46"/>
        <v/>
      </c>
      <c r="K48" s="247" t="str">
        <f t="shared" si="46"/>
        <v/>
      </c>
      <c r="L48" s="247" t="str">
        <f t="shared" si="46"/>
        <v/>
      </c>
      <c r="M48" s="247" t="str">
        <f t="shared" si="46"/>
        <v/>
      </c>
      <c r="N48" s="247">
        <f t="shared" si="34"/>
        <v>0</v>
      </c>
    </row>
    <row r="49" collapsed="1">
      <c r="A49" s="233"/>
      <c r="B49" s="247" t="str">
        <f t="shared" ref="B49:M49" si="47">if($M$2,IFERROR(INDIRECT("'"&amp;B$3&amp;"'!"&amp;$B$2&amp;match($A49,INDIRECT("'"&amp;B$3&amp;"'!B1:B"),0)),""),
IFERROR(INDIRECT("'"&amp;B$3&amp;"!"&amp;$B$2&amp;match($A49,INDIRECT("'"&amp;B$3&amp;"'!B:B"),0)),""))</f>
        <v/>
      </c>
      <c r="C49" s="247" t="str">
        <f t="shared" si="47"/>
        <v/>
      </c>
      <c r="D49" s="247" t="str">
        <f t="shared" si="47"/>
        <v/>
      </c>
      <c r="E49" s="247" t="str">
        <f t="shared" si="47"/>
        <v/>
      </c>
      <c r="F49" s="247" t="str">
        <f t="shared" si="47"/>
        <v/>
      </c>
      <c r="G49" s="247" t="str">
        <f t="shared" si="47"/>
        <v/>
      </c>
      <c r="H49" s="247" t="str">
        <f t="shared" si="47"/>
        <v/>
      </c>
      <c r="I49" s="247" t="str">
        <f t="shared" si="47"/>
        <v/>
      </c>
      <c r="J49" s="247" t="str">
        <f t="shared" si="47"/>
        <v/>
      </c>
      <c r="K49" s="247" t="str">
        <f t="shared" si="47"/>
        <v/>
      </c>
      <c r="L49" s="247" t="str">
        <f t="shared" si="47"/>
        <v/>
      </c>
      <c r="M49" s="247" t="str">
        <f t="shared" si="47"/>
        <v/>
      </c>
      <c r="N49" s="247">
        <f t="shared" si="34"/>
        <v>0</v>
      </c>
    </row>
    <row r="50" hidden="1" outlineLevel="1">
      <c r="A50" s="233"/>
      <c r="B50" s="247" t="str">
        <f t="shared" ref="B50:M50" si="48">if($M$2,IFERROR(INDIRECT("'"&amp;B$3&amp;"'!"&amp;$B$2&amp;match($A50,INDIRECT("'"&amp;B$3&amp;"'!B1:B"),0)),""),
IFERROR(INDIRECT("'"&amp;B$3&amp;"!"&amp;$B$2&amp;match($A50,INDIRECT("'"&amp;B$3&amp;"'!B:B"),0)),""))</f>
        <v/>
      </c>
      <c r="C50" s="247" t="str">
        <f t="shared" si="48"/>
        <v/>
      </c>
      <c r="D50" s="247" t="str">
        <f t="shared" si="48"/>
        <v/>
      </c>
      <c r="E50" s="247" t="str">
        <f t="shared" si="48"/>
        <v/>
      </c>
      <c r="F50" s="247" t="str">
        <f t="shared" si="48"/>
        <v/>
      </c>
      <c r="G50" s="247" t="str">
        <f t="shared" si="48"/>
        <v/>
      </c>
      <c r="H50" s="247" t="str">
        <f t="shared" si="48"/>
        <v/>
      </c>
      <c r="I50" s="247" t="str">
        <f t="shared" si="48"/>
        <v/>
      </c>
      <c r="J50" s="247" t="str">
        <f t="shared" si="48"/>
        <v/>
      </c>
      <c r="K50" s="247" t="str">
        <f t="shared" si="48"/>
        <v/>
      </c>
      <c r="L50" s="247" t="str">
        <f t="shared" si="48"/>
        <v/>
      </c>
      <c r="M50" s="247" t="str">
        <f t="shared" si="48"/>
        <v/>
      </c>
      <c r="N50" s="247">
        <f t="shared" si="34"/>
        <v>0</v>
      </c>
    </row>
    <row r="51" hidden="1" outlineLevel="1">
      <c r="A51" s="233"/>
      <c r="B51" s="247" t="str">
        <f t="shared" ref="B51:M51" si="49">if($M$2,IFERROR(INDIRECT("'"&amp;B$3&amp;"'!"&amp;$B$2&amp;match($A51,INDIRECT("'"&amp;B$3&amp;"'!B1:B"),0)),""),
IFERROR(INDIRECT("'"&amp;B$3&amp;"!"&amp;$B$2&amp;match($A51,INDIRECT("'"&amp;B$3&amp;"'!B:B"),0)),""))</f>
        <v/>
      </c>
      <c r="C51" s="247" t="str">
        <f t="shared" si="49"/>
        <v/>
      </c>
      <c r="D51" s="247" t="str">
        <f t="shared" si="49"/>
        <v/>
      </c>
      <c r="E51" s="247" t="str">
        <f t="shared" si="49"/>
        <v/>
      </c>
      <c r="F51" s="247" t="str">
        <f t="shared" si="49"/>
        <v/>
      </c>
      <c r="G51" s="247" t="str">
        <f t="shared" si="49"/>
        <v/>
      </c>
      <c r="H51" s="247" t="str">
        <f t="shared" si="49"/>
        <v/>
      </c>
      <c r="I51" s="247" t="str">
        <f t="shared" si="49"/>
        <v/>
      </c>
      <c r="J51" s="247" t="str">
        <f t="shared" si="49"/>
        <v/>
      </c>
      <c r="K51" s="247" t="str">
        <f t="shared" si="49"/>
        <v/>
      </c>
      <c r="L51" s="247" t="str">
        <f t="shared" si="49"/>
        <v/>
      </c>
      <c r="M51" s="247" t="str">
        <f t="shared" si="49"/>
        <v/>
      </c>
      <c r="N51" s="247">
        <f t="shared" si="34"/>
        <v>0</v>
      </c>
    </row>
    <row r="52" hidden="1" outlineLevel="1">
      <c r="A52" s="233"/>
      <c r="B52" s="247" t="str">
        <f t="shared" ref="B52:M52" si="50">if($M$2,IFERROR(INDIRECT("'"&amp;B$3&amp;"'!"&amp;$B$2&amp;match($A52,INDIRECT("'"&amp;B$3&amp;"'!B1:B"),0)),""),
IFERROR(INDIRECT("'"&amp;B$3&amp;"!"&amp;$B$2&amp;match($A52,INDIRECT("'"&amp;B$3&amp;"'!B:B"),0)),""))</f>
        <v/>
      </c>
      <c r="C52" s="247" t="str">
        <f t="shared" si="50"/>
        <v/>
      </c>
      <c r="D52" s="247" t="str">
        <f t="shared" si="50"/>
        <v/>
      </c>
      <c r="E52" s="247" t="str">
        <f t="shared" si="50"/>
        <v/>
      </c>
      <c r="F52" s="247" t="str">
        <f t="shared" si="50"/>
        <v/>
      </c>
      <c r="G52" s="247" t="str">
        <f t="shared" si="50"/>
        <v/>
      </c>
      <c r="H52" s="247" t="str">
        <f t="shared" si="50"/>
        <v/>
      </c>
      <c r="I52" s="247" t="str">
        <f t="shared" si="50"/>
        <v/>
      </c>
      <c r="J52" s="247" t="str">
        <f t="shared" si="50"/>
        <v/>
      </c>
      <c r="K52" s="247" t="str">
        <f t="shared" si="50"/>
        <v/>
      </c>
      <c r="L52" s="247" t="str">
        <f t="shared" si="50"/>
        <v/>
      </c>
      <c r="M52" s="247" t="str">
        <f t="shared" si="50"/>
        <v/>
      </c>
      <c r="N52" s="247">
        <f t="shared" si="34"/>
        <v>0</v>
      </c>
    </row>
    <row r="53" hidden="1" outlineLevel="1">
      <c r="A53" s="233"/>
      <c r="B53" s="247" t="str">
        <f t="shared" ref="B53:M53" si="51">if($M$2,IFERROR(INDIRECT("'"&amp;B$3&amp;"'!"&amp;$B$2&amp;match($A53,INDIRECT("'"&amp;B$3&amp;"'!B1:B"),0)),""),
IFERROR(INDIRECT("'"&amp;B$3&amp;"!"&amp;$B$2&amp;match($A53,INDIRECT("'"&amp;B$3&amp;"'!B:B"),0)),""))</f>
        <v/>
      </c>
      <c r="C53" s="247" t="str">
        <f t="shared" si="51"/>
        <v/>
      </c>
      <c r="D53" s="247" t="str">
        <f t="shared" si="51"/>
        <v/>
      </c>
      <c r="E53" s="247" t="str">
        <f t="shared" si="51"/>
        <v/>
      </c>
      <c r="F53" s="247" t="str">
        <f t="shared" si="51"/>
        <v/>
      </c>
      <c r="G53" s="247" t="str">
        <f t="shared" si="51"/>
        <v/>
      </c>
      <c r="H53" s="247" t="str">
        <f t="shared" si="51"/>
        <v/>
      </c>
      <c r="I53" s="247" t="str">
        <f t="shared" si="51"/>
        <v/>
      </c>
      <c r="J53" s="247" t="str">
        <f t="shared" si="51"/>
        <v/>
      </c>
      <c r="K53" s="247" t="str">
        <f t="shared" si="51"/>
        <v/>
      </c>
      <c r="L53" s="247" t="str">
        <f t="shared" si="51"/>
        <v/>
      </c>
      <c r="M53" s="247" t="str">
        <f t="shared" si="51"/>
        <v/>
      </c>
      <c r="N53" s="247">
        <f t="shared" si="34"/>
        <v>0</v>
      </c>
    </row>
    <row r="54" hidden="1" outlineLevel="1">
      <c r="A54" s="233"/>
      <c r="B54" s="247" t="str">
        <f t="shared" ref="B54:M54" si="52">if($M$2,IFERROR(INDIRECT("'"&amp;B$3&amp;"'!"&amp;$B$2&amp;match($A54,INDIRECT("'"&amp;B$3&amp;"'!B1:B"),0)),""),
IFERROR(INDIRECT("'"&amp;B$3&amp;"!"&amp;$B$2&amp;match($A54,INDIRECT("'"&amp;B$3&amp;"'!B:B"),0)),""))</f>
        <v/>
      </c>
      <c r="C54" s="247" t="str">
        <f t="shared" si="52"/>
        <v/>
      </c>
      <c r="D54" s="247" t="str">
        <f t="shared" si="52"/>
        <v/>
      </c>
      <c r="E54" s="247" t="str">
        <f t="shared" si="52"/>
        <v/>
      </c>
      <c r="F54" s="247" t="str">
        <f t="shared" si="52"/>
        <v/>
      </c>
      <c r="G54" s="247" t="str">
        <f t="shared" si="52"/>
        <v/>
      </c>
      <c r="H54" s="247" t="str">
        <f t="shared" si="52"/>
        <v/>
      </c>
      <c r="I54" s="247" t="str">
        <f t="shared" si="52"/>
        <v/>
      </c>
      <c r="J54" s="247" t="str">
        <f t="shared" si="52"/>
        <v/>
      </c>
      <c r="K54" s="247" t="str">
        <f t="shared" si="52"/>
        <v/>
      </c>
      <c r="L54" s="247" t="str">
        <f t="shared" si="52"/>
        <v/>
      </c>
      <c r="M54" s="247" t="str">
        <f t="shared" si="52"/>
        <v/>
      </c>
      <c r="N54" s="247">
        <f t="shared" si="34"/>
        <v>0</v>
      </c>
    </row>
    <row r="55" hidden="1" outlineLevel="1">
      <c r="A55" s="233"/>
      <c r="B55" s="247" t="str">
        <f t="shared" ref="B55:M55" si="53">if($M$2,IFERROR(INDIRECT("'"&amp;B$3&amp;"'!"&amp;$B$2&amp;match($A55,INDIRECT("'"&amp;B$3&amp;"'!B1:B"),0)),""),
IFERROR(INDIRECT("'"&amp;B$3&amp;"!"&amp;$B$2&amp;match($A55,INDIRECT("'"&amp;B$3&amp;"'!B:B"),0)),""))</f>
        <v/>
      </c>
      <c r="C55" s="247" t="str">
        <f t="shared" si="53"/>
        <v/>
      </c>
      <c r="D55" s="247" t="str">
        <f t="shared" si="53"/>
        <v/>
      </c>
      <c r="E55" s="247" t="str">
        <f t="shared" si="53"/>
        <v/>
      </c>
      <c r="F55" s="247" t="str">
        <f t="shared" si="53"/>
        <v/>
      </c>
      <c r="G55" s="247" t="str">
        <f t="shared" si="53"/>
        <v/>
      </c>
      <c r="H55" s="247" t="str">
        <f t="shared" si="53"/>
        <v/>
      </c>
      <c r="I55" s="247" t="str">
        <f t="shared" si="53"/>
        <v/>
      </c>
      <c r="J55" s="247" t="str">
        <f t="shared" si="53"/>
        <v/>
      </c>
      <c r="K55" s="247" t="str">
        <f t="shared" si="53"/>
        <v/>
      </c>
      <c r="L55" s="247" t="str">
        <f t="shared" si="53"/>
        <v/>
      </c>
      <c r="M55" s="247" t="str">
        <f t="shared" si="53"/>
        <v/>
      </c>
      <c r="N55" s="247">
        <f t="shared" si="34"/>
        <v>0</v>
      </c>
    </row>
    <row r="56" hidden="1" outlineLevel="1">
      <c r="A56" s="233"/>
      <c r="B56" s="247" t="str">
        <f t="shared" ref="B56:M56" si="54">if($M$2,IFERROR(INDIRECT("'"&amp;B$3&amp;"'!"&amp;$B$2&amp;match($A56,INDIRECT("'"&amp;B$3&amp;"'!B1:B"),0)),""),
IFERROR(INDIRECT("'"&amp;B$3&amp;"!"&amp;$B$2&amp;match($A56,INDIRECT("'"&amp;B$3&amp;"'!B:B"),0)),""))</f>
        <v/>
      </c>
      <c r="C56" s="247" t="str">
        <f t="shared" si="54"/>
        <v/>
      </c>
      <c r="D56" s="247" t="str">
        <f t="shared" si="54"/>
        <v/>
      </c>
      <c r="E56" s="247" t="str">
        <f t="shared" si="54"/>
        <v/>
      </c>
      <c r="F56" s="247" t="str">
        <f t="shared" si="54"/>
        <v/>
      </c>
      <c r="G56" s="247" t="str">
        <f t="shared" si="54"/>
        <v/>
      </c>
      <c r="H56" s="247" t="str">
        <f t="shared" si="54"/>
        <v/>
      </c>
      <c r="I56" s="247" t="str">
        <f t="shared" si="54"/>
        <v/>
      </c>
      <c r="J56" s="247" t="str">
        <f t="shared" si="54"/>
        <v/>
      </c>
      <c r="K56" s="247" t="str">
        <f t="shared" si="54"/>
        <v/>
      </c>
      <c r="L56" s="247" t="str">
        <f t="shared" si="54"/>
        <v/>
      </c>
      <c r="M56" s="247" t="str">
        <f t="shared" si="54"/>
        <v/>
      </c>
      <c r="N56" s="247">
        <f t="shared" si="34"/>
        <v>0</v>
      </c>
    </row>
    <row r="57" hidden="1" outlineLevel="1">
      <c r="A57" s="233"/>
      <c r="B57" s="247" t="str">
        <f t="shared" ref="B57:M57" si="55">if($M$2,IFERROR(INDIRECT("'"&amp;B$3&amp;"'!"&amp;$B$2&amp;match($A57,INDIRECT("'"&amp;B$3&amp;"'!B1:B"),0)),""),
IFERROR(INDIRECT("'"&amp;B$3&amp;"!"&amp;$B$2&amp;match($A57,INDIRECT("'"&amp;B$3&amp;"'!B:B"),0)),""))</f>
        <v/>
      </c>
      <c r="C57" s="247" t="str">
        <f t="shared" si="55"/>
        <v/>
      </c>
      <c r="D57" s="247" t="str">
        <f t="shared" si="55"/>
        <v/>
      </c>
      <c r="E57" s="247" t="str">
        <f t="shared" si="55"/>
        <v/>
      </c>
      <c r="F57" s="247" t="str">
        <f t="shared" si="55"/>
        <v/>
      </c>
      <c r="G57" s="247" t="str">
        <f t="shared" si="55"/>
        <v/>
      </c>
      <c r="H57" s="247" t="str">
        <f t="shared" si="55"/>
        <v/>
      </c>
      <c r="I57" s="247" t="str">
        <f t="shared" si="55"/>
        <v/>
      </c>
      <c r="J57" s="247" t="str">
        <f t="shared" si="55"/>
        <v/>
      </c>
      <c r="K57" s="247" t="str">
        <f t="shared" si="55"/>
        <v/>
      </c>
      <c r="L57" s="247" t="str">
        <f t="shared" si="55"/>
        <v/>
      </c>
      <c r="M57" s="247" t="str">
        <f t="shared" si="55"/>
        <v/>
      </c>
      <c r="N57" s="247">
        <f t="shared" si="34"/>
        <v>0</v>
      </c>
    </row>
    <row r="58" hidden="1" outlineLevel="1">
      <c r="A58" s="233"/>
      <c r="B58" s="247" t="str">
        <f t="shared" ref="B58:M58" si="56">if($M$2,IFERROR(INDIRECT("'"&amp;B$3&amp;"'!"&amp;$B$2&amp;match($A58,INDIRECT("'"&amp;B$3&amp;"'!B1:B"),0)),""),
IFERROR(INDIRECT("'"&amp;B$3&amp;"!"&amp;$B$2&amp;match($A58,INDIRECT("'"&amp;B$3&amp;"'!B:B"),0)),""))</f>
        <v/>
      </c>
      <c r="C58" s="247" t="str">
        <f t="shared" si="56"/>
        <v/>
      </c>
      <c r="D58" s="247" t="str">
        <f t="shared" si="56"/>
        <v/>
      </c>
      <c r="E58" s="247" t="str">
        <f t="shared" si="56"/>
        <v/>
      </c>
      <c r="F58" s="247" t="str">
        <f t="shared" si="56"/>
        <v/>
      </c>
      <c r="G58" s="247" t="str">
        <f t="shared" si="56"/>
        <v/>
      </c>
      <c r="H58" s="247" t="str">
        <f t="shared" si="56"/>
        <v/>
      </c>
      <c r="I58" s="247" t="str">
        <f t="shared" si="56"/>
        <v/>
      </c>
      <c r="J58" s="247" t="str">
        <f t="shared" si="56"/>
        <v/>
      </c>
      <c r="K58" s="247" t="str">
        <f t="shared" si="56"/>
        <v/>
      </c>
      <c r="L58" s="247" t="str">
        <f t="shared" si="56"/>
        <v/>
      </c>
      <c r="M58" s="247" t="str">
        <f t="shared" si="56"/>
        <v/>
      </c>
      <c r="N58" s="247">
        <f t="shared" si="34"/>
        <v>0</v>
      </c>
    </row>
    <row r="59" hidden="1" outlineLevel="1">
      <c r="A59" s="233"/>
      <c r="B59" s="247" t="str">
        <f t="shared" ref="B59:M59" si="57">if($M$2,IFERROR(INDIRECT("'"&amp;B$3&amp;"'!"&amp;$B$2&amp;match($A59,INDIRECT("'"&amp;B$3&amp;"'!B1:B"),0)),""),
IFERROR(INDIRECT("'"&amp;B$3&amp;"!"&amp;$B$2&amp;match($A59,INDIRECT("'"&amp;B$3&amp;"'!B:B"),0)),""))</f>
        <v/>
      </c>
      <c r="C59" s="247" t="str">
        <f t="shared" si="57"/>
        <v/>
      </c>
      <c r="D59" s="247" t="str">
        <f t="shared" si="57"/>
        <v/>
      </c>
      <c r="E59" s="247" t="str">
        <f t="shared" si="57"/>
        <v/>
      </c>
      <c r="F59" s="247" t="str">
        <f t="shared" si="57"/>
        <v/>
      </c>
      <c r="G59" s="247" t="str">
        <f t="shared" si="57"/>
        <v/>
      </c>
      <c r="H59" s="247" t="str">
        <f t="shared" si="57"/>
        <v/>
      </c>
      <c r="I59" s="247" t="str">
        <f t="shared" si="57"/>
        <v/>
      </c>
      <c r="J59" s="247" t="str">
        <f t="shared" si="57"/>
        <v/>
      </c>
      <c r="K59" s="247" t="str">
        <f t="shared" si="57"/>
        <v/>
      </c>
      <c r="L59" s="247" t="str">
        <f t="shared" si="57"/>
        <v/>
      </c>
      <c r="M59" s="247" t="str">
        <f t="shared" si="57"/>
        <v/>
      </c>
      <c r="N59" s="247">
        <f t="shared" si="34"/>
        <v>0</v>
      </c>
    </row>
    <row r="60" hidden="1" outlineLevel="1">
      <c r="A60" s="233"/>
      <c r="B60" s="247" t="str">
        <f t="shared" ref="B60:M60" si="58">if($M$2,IFERROR(INDIRECT("'"&amp;B$3&amp;"'!"&amp;$B$2&amp;match($A60,INDIRECT("'"&amp;B$3&amp;"'!B1:B"),0)),""),
IFERROR(INDIRECT("'"&amp;B$3&amp;"!"&amp;$B$2&amp;match($A60,INDIRECT("'"&amp;B$3&amp;"'!B:B"),0)),""))</f>
        <v/>
      </c>
      <c r="C60" s="247" t="str">
        <f t="shared" si="58"/>
        <v/>
      </c>
      <c r="D60" s="247" t="str">
        <f t="shared" si="58"/>
        <v/>
      </c>
      <c r="E60" s="247" t="str">
        <f t="shared" si="58"/>
        <v/>
      </c>
      <c r="F60" s="247" t="str">
        <f t="shared" si="58"/>
        <v/>
      </c>
      <c r="G60" s="247" t="str">
        <f t="shared" si="58"/>
        <v/>
      </c>
      <c r="H60" s="247" t="str">
        <f t="shared" si="58"/>
        <v/>
      </c>
      <c r="I60" s="247" t="str">
        <f t="shared" si="58"/>
        <v/>
      </c>
      <c r="J60" s="247" t="str">
        <f t="shared" si="58"/>
        <v/>
      </c>
      <c r="K60" s="247" t="str">
        <f t="shared" si="58"/>
        <v/>
      </c>
      <c r="L60" s="247" t="str">
        <f t="shared" si="58"/>
        <v/>
      </c>
      <c r="M60" s="247" t="str">
        <f t="shared" si="58"/>
        <v/>
      </c>
      <c r="N60" s="247">
        <f t="shared" si="34"/>
        <v>0</v>
      </c>
    </row>
    <row r="61" hidden="1" outlineLevel="1">
      <c r="A61" s="233"/>
      <c r="B61" s="247" t="str">
        <f t="shared" ref="B61:M61" si="59">if($M$2,IFERROR(INDIRECT("'"&amp;B$3&amp;"'!"&amp;$B$2&amp;match($A61,INDIRECT("'"&amp;B$3&amp;"'!B1:B"),0)),""),
IFERROR(INDIRECT("'"&amp;B$3&amp;"!"&amp;$B$2&amp;match($A61,INDIRECT("'"&amp;B$3&amp;"'!B:B"),0)),""))</f>
        <v/>
      </c>
      <c r="C61" s="247" t="str">
        <f t="shared" si="59"/>
        <v/>
      </c>
      <c r="D61" s="247" t="str">
        <f t="shared" si="59"/>
        <v/>
      </c>
      <c r="E61" s="247" t="str">
        <f t="shared" si="59"/>
        <v/>
      </c>
      <c r="F61" s="247" t="str">
        <f t="shared" si="59"/>
        <v/>
      </c>
      <c r="G61" s="247" t="str">
        <f t="shared" si="59"/>
        <v/>
      </c>
      <c r="H61" s="247" t="str">
        <f t="shared" si="59"/>
        <v/>
      </c>
      <c r="I61" s="247" t="str">
        <f t="shared" si="59"/>
        <v/>
      </c>
      <c r="J61" s="247" t="str">
        <f t="shared" si="59"/>
        <v/>
      </c>
      <c r="K61" s="247" t="str">
        <f t="shared" si="59"/>
        <v/>
      </c>
      <c r="L61" s="247" t="str">
        <f t="shared" si="59"/>
        <v/>
      </c>
      <c r="M61" s="247" t="str">
        <f t="shared" si="59"/>
        <v/>
      </c>
      <c r="N61" s="247">
        <f t="shared" si="34"/>
        <v>0</v>
      </c>
    </row>
    <row r="62" hidden="1" outlineLevel="1">
      <c r="A62" s="233"/>
      <c r="B62" s="247" t="str">
        <f t="shared" ref="B62:M62" si="60">if($M$2,IFERROR(INDIRECT("'"&amp;B$3&amp;"'!"&amp;$B$2&amp;match($A62,INDIRECT("'"&amp;B$3&amp;"'!B1:B"),0)),""),
IFERROR(INDIRECT("'"&amp;B$3&amp;"!"&amp;$B$2&amp;match($A62,INDIRECT("'"&amp;B$3&amp;"'!B:B"),0)),""))</f>
        <v/>
      </c>
      <c r="C62" s="247" t="str">
        <f t="shared" si="60"/>
        <v/>
      </c>
      <c r="D62" s="247" t="str">
        <f t="shared" si="60"/>
        <v/>
      </c>
      <c r="E62" s="247" t="str">
        <f t="shared" si="60"/>
        <v/>
      </c>
      <c r="F62" s="247" t="str">
        <f t="shared" si="60"/>
        <v/>
      </c>
      <c r="G62" s="247" t="str">
        <f t="shared" si="60"/>
        <v/>
      </c>
      <c r="H62" s="247" t="str">
        <f t="shared" si="60"/>
        <v/>
      </c>
      <c r="I62" s="247" t="str">
        <f t="shared" si="60"/>
        <v/>
      </c>
      <c r="J62" s="247" t="str">
        <f t="shared" si="60"/>
        <v/>
      </c>
      <c r="K62" s="247" t="str">
        <f t="shared" si="60"/>
        <v/>
      </c>
      <c r="L62" s="247" t="str">
        <f t="shared" si="60"/>
        <v/>
      </c>
      <c r="M62" s="247" t="str">
        <f t="shared" si="60"/>
        <v/>
      </c>
      <c r="N62" s="247">
        <f t="shared" si="34"/>
        <v>0</v>
      </c>
    </row>
    <row r="63" hidden="1" outlineLevel="1">
      <c r="A63" s="233"/>
      <c r="B63" s="247" t="str">
        <f t="shared" ref="B63:M63" si="61">if($M$2,IFERROR(INDIRECT("'"&amp;B$3&amp;"'!"&amp;$B$2&amp;match($A63,INDIRECT("'"&amp;B$3&amp;"'!B1:B"),0)),""),
IFERROR(INDIRECT("'"&amp;B$3&amp;"!"&amp;$B$2&amp;match($A63,INDIRECT("'"&amp;B$3&amp;"'!B:B"),0)),""))</f>
        <v/>
      </c>
      <c r="C63" s="247" t="str">
        <f t="shared" si="61"/>
        <v/>
      </c>
      <c r="D63" s="247" t="str">
        <f t="shared" si="61"/>
        <v/>
      </c>
      <c r="E63" s="247" t="str">
        <f t="shared" si="61"/>
        <v/>
      </c>
      <c r="F63" s="247" t="str">
        <f t="shared" si="61"/>
        <v/>
      </c>
      <c r="G63" s="247" t="str">
        <f t="shared" si="61"/>
        <v/>
      </c>
      <c r="H63" s="247" t="str">
        <f t="shared" si="61"/>
        <v/>
      </c>
      <c r="I63" s="247" t="str">
        <f t="shared" si="61"/>
        <v/>
      </c>
      <c r="J63" s="247" t="str">
        <f t="shared" si="61"/>
        <v/>
      </c>
      <c r="K63" s="247" t="str">
        <f t="shared" si="61"/>
        <v/>
      </c>
      <c r="L63" s="247" t="str">
        <f t="shared" si="61"/>
        <v/>
      </c>
      <c r="M63" s="247" t="str">
        <f t="shared" si="61"/>
        <v/>
      </c>
      <c r="N63" s="247">
        <f t="shared" si="34"/>
        <v>0</v>
      </c>
    </row>
    <row r="64" hidden="1" outlineLevel="1">
      <c r="A64" s="233"/>
      <c r="B64" s="247" t="str">
        <f t="shared" ref="B64:M64" si="62">if($M$2,IFERROR(INDIRECT("'"&amp;B$3&amp;"'!"&amp;$B$2&amp;match($A64,INDIRECT("'"&amp;B$3&amp;"'!B1:B"),0)),""),
IFERROR(INDIRECT("'"&amp;B$3&amp;"!"&amp;$B$2&amp;match($A64,INDIRECT("'"&amp;B$3&amp;"'!B:B"),0)),""))</f>
        <v/>
      </c>
      <c r="C64" s="247" t="str">
        <f t="shared" si="62"/>
        <v/>
      </c>
      <c r="D64" s="247" t="str">
        <f t="shared" si="62"/>
        <v/>
      </c>
      <c r="E64" s="247" t="str">
        <f t="shared" si="62"/>
        <v/>
      </c>
      <c r="F64" s="247" t="str">
        <f t="shared" si="62"/>
        <v/>
      </c>
      <c r="G64" s="247" t="str">
        <f t="shared" si="62"/>
        <v/>
      </c>
      <c r="H64" s="247" t="str">
        <f t="shared" si="62"/>
        <v/>
      </c>
      <c r="I64" s="247" t="str">
        <f t="shared" si="62"/>
        <v/>
      </c>
      <c r="J64" s="247" t="str">
        <f t="shared" si="62"/>
        <v/>
      </c>
      <c r="K64" s="247" t="str">
        <f t="shared" si="62"/>
        <v/>
      </c>
      <c r="L64" s="247" t="str">
        <f t="shared" si="62"/>
        <v/>
      </c>
      <c r="M64" s="247" t="str">
        <f t="shared" si="62"/>
        <v/>
      </c>
      <c r="N64" s="247">
        <f t="shared" si="34"/>
        <v>0</v>
      </c>
    </row>
    <row r="65" hidden="1" outlineLevel="1">
      <c r="A65" s="233"/>
      <c r="B65" s="247" t="str">
        <f t="shared" ref="B65:M65" si="63">if($M$2,IFERROR(INDIRECT("'"&amp;B$3&amp;"'!"&amp;$B$2&amp;match($A65,INDIRECT("'"&amp;B$3&amp;"'!B1:B"),0)),""),
IFERROR(INDIRECT("'"&amp;B$3&amp;"!"&amp;$B$2&amp;match($A65,INDIRECT("'"&amp;B$3&amp;"'!B:B"),0)),""))</f>
        <v/>
      </c>
      <c r="C65" s="247" t="str">
        <f t="shared" si="63"/>
        <v/>
      </c>
      <c r="D65" s="247" t="str">
        <f t="shared" si="63"/>
        <v/>
      </c>
      <c r="E65" s="247" t="str">
        <f t="shared" si="63"/>
        <v/>
      </c>
      <c r="F65" s="247" t="str">
        <f t="shared" si="63"/>
        <v/>
      </c>
      <c r="G65" s="247" t="str">
        <f t="shared" si="63"/>
        <v/>
      </c>
      <c r="H65" s="247" t="str">
        <f t="shared" si="63"/>
        <v/>
      </c>
      <c r="I65" s="247" t="str">
        <f t="shared" si="63"/>
        <v/>
      </c>
      <c r="J65" s="247" t="str">
        <f t="shared" si="63"/>
        <v/>
      </c>
      <c r="K65" s="247" t="str">
        <f t="shared" si="63"/>
        <v/>
      </c>
      <c r="L65" s="247" t="str">
        <f t="shared" si="63"/>
        <v/>
      </c>
      <c r="M65" s="247" t="str">
        <f t="shared" si="63"/>
        <v/>
      </c>
      <c r="N65" s="247">
        <f t="shared" si="34"/>
        <v>0</v>
      </c>
    </row>
    <row r="66" hidden="1" outlineLevel="1">
      <c r="A66" s="233"/>
      <c r="B66" s="247" t="str">
        <f t="shared" ref="B66:M66" si="64">if($M$2,IFERROR(INDIRECT("'"&amp;B$3&amp;"'!"&amp;$B$2&amp;match($A66,INDIRECT("'"&amp;B$3&amp;"'!B1:B"),0)),""),
IFERROR(INDIRECT("'"&amp;B$3&amp;"!"&amp;$B$2&amp;match($A66,INDIRECT("'"&amp;B$3&amp;"'!B:B"),0)),""))</f>
        <v/>
      </c>
      <c r="C66" s="247" t="str">
        <f t="shared" si="64"/>
        <v/>
      </c>
      <c r="D66" s="247" t="str">
        <f t="shared" si="64"/>
        <v/>
      </c>
      <c r="E66" s="247" t="str">
        <f t="shared" si="64"/>
        <v/>
      </c>
      <c r="F66" s="247" t="str">
        <f t="shared" si="64"/>
        <v/>
      </c>
      <c r="G66" s="247" t="str">
        <f t="shared" si="64"/>
        <v/>
      </c>
      <c r="H66" s="247" t="str">
        <f t="shared" si="64"/>
        <v/>
      </c>
      <c r="I66" s="247" t="str">
        <f t="shared" si="64"/>
        <v/>
      </c>
      <c r="J66" s="247" t="str">
        <f t="shared" si="64"/>
        <v/>
      </c>
      <c r="K66" s="247" t="str">
        <f t="shared" si="64"/>
        <v/>
      </c>
      <c r="L66" s="247" t="str">
        <f t="shared" si="64"/>
        <v/>
      </c>
      <c r="M66" s="247" t="str">
        <f t="shared" si="64"/>
        <v/>
      </c>
      <c r="N66" s="247">
        <f t="shared" si="34"/>
        <v>0</v>
      </c>
    </row>
    <row r="67">
      <c r="A67" s="233"/>
      <c r="B67" s="247" t="str">
        <f t="shared" ref="B67:M67" si="65">if($M$2,IFERROR(INDIRECT("'"&amp;B$3&amp;"'!"&amp;$B$2&amp;match($A67,INDIRECT("'"&amp;B$3&amp;"'!B1:B"),0)),""),
IFERROR(INDIRECT("'"&amp;B$3&amp;"!"&amp;$B$2&amp;match($A67,INDIRECT("'"&amp;B$3&amp;"'!B:B"),0)),""))</f>
        <v/>
      </c>
      <c r="C67" s="247" t="str">
        <f t="shared" si="65"/>
        <v/>
      </c>
      <c r="D67" s="247" t="str">
        <f t="shared" si="65"/>
        <v/>
      </c>
      <c r="E67" s="247" t="str">
        <f t="shared" si="65"/>
        <v/>
      </c>
      <c r="F67" s="247" t="str">
        <f t="shared" si="65"/>
        <v/>
      </c>
      <c r="G67" s="247" t="str">
        <f t="shared" si="65"/>
        <v/>
      </c>
      <c r="H67" s="247" t="str">
        <f t="shared" si="65"/>
        <v/>
      </c>
      <c r="I67" s="247" t="str">
        <f t="shared" si="65"/>
        <v/>
      </c>
      <c r="J67" s="247" t="str">
        <f t="shared" si="65"/>
        <v/>
      </c>
      <c r="K67" s="247" t="str">
        <f t="shared" si="65"/>
        <v/>
      </c>
      <c r="L67" s="247" t="str">
        <f t="shared" si="65"/>
        <v/>
      </c>
      <c r="M67" s="247" t="str">
        <f t="shared" si="65"/>
        <v/>
      </c>
      <c r="N67" s="247">
        <f t="shared" si="34"/>
        <v>0</v>
      </c>
    </row>
    <row r="68">
      <c r="A68" s="257" t="s">
        <v>138</v>
      </c>
      <c r="B68" s="264">
        <f t="shared" ref="B68:M68" si="66">B33+B36</f>
        <v>156875</v>
      </c>
      <c r="C68" s="264">
        <f t="shared" si="66"/>
        <v>0</v>
      </c>
      <c r="D68" s="264">
        <f t="shared" si="66"/>
        <v>0</v>
      </c>
      <c r="E68" s="264">
        <f t="shared" si="66"/>
        <v>0</v>
      </c>
      <c r="F68" s="264">
        <f t="shared" si="66"/>
        <v>0</v>
      </c>
      <c r="G68" s="264">
        <f t="shared" si="66"/>
        <v>0</v>
      </c>
      <c r="H68" s="264">
        <f t="shared" si="66"/>
        <v>0</v>
      </c>
      <c r="I68" s="264">
        <f t="shared" si="66"/>
        <v>0</v>
      </c>
      <c r="J68" s="264">
        <f t="shared" si="66"/>
        <v>0</v>
      </c>
      <c r="K68" s="264">
        <f t="shared" si="66"/>
        <v>0</v>
      </c>
      <c r="L68" s="264">
        <f t="shared" si="66"/>
        <v>0</v>
      </c>
      <c r="M68" s="264">
        <f t="shared" si="66"/>
        <v>0</v>
      </c>
      <c r="N68" s="264">
        <f t="shared" si="34"/>
        <v>156875</v>
      </c>
    </row>
    <row r="69">
      <c r="A69" s="265" t="s">
        <v>162</v>
      </c>
      <c r="B69" s="260">
        <f t="shared" ref="B69:N69" si="67">IFERROR(B68/B$5,"")</f>
        <v>0.6808810764</v>
      </c>
      <c r="C69" s="260" t="str">
        <f t="shared" si="67"/>
        <v/>
      </c>
      <c r="D69" s="260" t="str">
        <f t="shared" si="67"/>
        <v/>
      </c>
      <c r="E69" s="260" t="str">
        <f t="shared" si="67"/>
        <v/>
      </c>
      <c r="F69" s="260" t="str">
        <f t="shared" si="67"/>
        <v/>
      </c>
      <c r="G69" s="260" t="str">
        <f t="shared" si="67"/>
        <v/>
      </c>
      <c r="H69" s="260" t="str">
        <f t="shared" si="67"/>
        <v/>
      </c>
      <c r="I69" s="260" t="str">
        <f t="shared" si="67"/>
        <v/>
      </c>
      <c r="J69" s="260" t="str">
        <f t="shared" si="67"/>
        <v/>
      </c>
      <c r="K69" s="260" t="str">
        <f t="shared" si="67"/>
        <v/>
      </c>
      <c r="L69" s="260" t="str">
        <f t="shared" si="67"/>
        <v/>
      </c>
      <c r="M69" s="260" t="str">
        <f t="shared" si="67"/>
        <v/>
      </c>
      <c r="N69" s="260">
        <f t="shared" si="67"/>
        <v>0.6808810764</v>
      </c>
    </row>
    <row r="70">
      <c r="A70" s="233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>
        <f t="shared" ref="N70:N129" si="70">SUM(B70:M70)</f>
        <v>0</v>
      </c>
    </row>
    <row r="71" ht="30.75" customHeight="1">
      <c r="A71" s="248" t="s">
        <v>140</v>
      </c>
      <c r="B71" s="267">
        <f t="shared" ref="B71:K71" si="68">B85+B112+B72</f>
        <v>-14977.97</v>
      </c>
      <c r="C71" s="267">
        <f t="shared" si="68"/>
        <v>0</v>
      </c>
      <c r="D71" s="267">
        <f t="shared" si="68"/>
        <v>0</v>
      </c>
      <c r="E71" s="267">
        <f t="shared" si="68"/>
        <v>0</v>
      </c>
      <c r="F71" s="267">
        <f t="shared" si="68"/>
        <v>0</v>
      </c>
      <c r="G71" s="267">
        <f t="shared" si="68"/>
        <v>0</v>
      </c>
      <c r="H71" s="267">
        <f t="shared" si="68"/>
        <v>0</v>
      </c>
      <c r="I71" s="267">
        <f t="shared" si="68"/>
        <v>0</v>
      </c>
      <c r="J71" s="267">
        <f t="shared" si="68"/>
        <v>0</v>
      </c>
      <c r="K71" s="267">
        <f t="shared" si="68"/>
        <v>0</v>
      </c>
      <c r="L71" s="267">
        <f t="shared" ref="L71:M71" si="69">L85+L112</f>
        <v>0</v>
      </c>
      <c r="M71" s="267">
        <f t="shared" si="69"/>
        <v>0</v>
      </c>
      <c r="N71" s="267">
        <f t="shared" si="70"/>
        <v>-14977.97</v>
      </c>
    </row>
    <row r="72">
      <c r="A72" s="262" t="s">
        <v>141</v>
      </c>
      <c r="B72" s="251">
        <f t="shared" ref="B72:M72" si="71">SUM(B73:B84)</f>
        <v>0</v>
      </c>
      <c r="C72" s="251">
        <f t="shared" si="71"/>
        <v>0</v>
      </c>
      <c r="D72" s="251">
        <f t="shared" si="71"/>
        <v>0</v>
      </c>
      <c r="E72" s="251">
        <f t="shared" si="71"/>
        <v>0</v>
      </c>
      <c r="F72" s="251">
        <f t="shared" si="71"/>
        <v>0</v>
      </c>
      <c r="G72" s="251">
        <f t="shared" si="71"/>
        <v>0</v>
      </c>
      <c r="H72" s="251">
        <f t="shared" si="71"/>
        <v>0</v>
      </c>
      <c r="I72" s="251">
        <f t="shared" si="71"/>
        <v>0</v>
      </c>
      <c r="J72" s="251">
        <f t="shared" si="71"/>
        <v>0</v>
      </c>
      <c r="K72" s="251">
        <f t="shared" si="71"/>
        <v>0</v>
      </c>
      <c r="L72" s="251">
        <f t="shared" si="71"/>
        <v>0</v>
      </c>
      <c r="M72" s="251">
        <f t="shared" si="71"/>
        <v>0</v>
      </c>
      <c r="N72" s="251">
        <f t="shared" si="70"/>
        <v>0</v>
      </c>
    </row>
    <row r="73">
      <c r="A73" s="254" t="str">
        <f>IFERROR(__xludf.DUMMYFUNCTION("iferror(filter('Статьи'!$A$1:$A158,'Статьи'!$B$1:$B158=$A$72))"),"")</f>
        <v/>
      </c>
      <c r="B73" s="247" t="str">
        <f t="shared" ref="B73:M73" si="72">if($M$2,IFERROR(INDIRECT("'"&amp;B$3&amp;"'!"&amp;$B$2&amp;match($A73,INDIRECT("'"&amp;B$3&amp;"'!B1:B"),0)),""),
IFERROR(INDIRECT("'"&amp;B$3&amp;"!"&amp;$B$2&amp;match($A73,INDIRECT("'"&amp;B$3&amp;"'!B:B"),0)),""))</f>
        <v/>
      </c>
      <c r="C73" s="247" t="str">
        <f t="shared" si="72"/>
        <v/>
      </c>
      <c r="D73" s="247" t="str">
        <f t="shared" si="72"/>
        <v/>
      </c>
      <c r="E73" s="247" t="str">
        <f t="shared" si="72"/>
        <v/>
      </c>
      <c r="F73" s="247" t="str">
        <f t="shared" si="72"/>
        <v/>
      </c>
      <c r="G73" s="247" t="str">
        <f t="shared" si="72"/>
        <v/>
      </c>
      <c r="H73" s="247" t="str">
        <f t="shared" si="72"/>
        <v/>
      </c>
      <c r="I73" s="247" t="str">
        <f t="shared" si="72"/>
        <v/>
      </c>
      <c r="J73" s="247" t="str">
        <f t="shared" si="72"/>
        <v/>
      </c>
      <c r="K73" s="247" t="str">
        <f t="shared" si="72"/>
        <v/>
      </c>
      <c r="L73" s="247" t="str">
        <f t="shared" si="72"/>
        <v/>
      </c>
      <c r="M73" s="247" t="str">
        <f t="shared" si="72"/>
        <v/>
      </c>
      <c r="N73" s="247">
        <f t="shared" si="70"/>
        <v>0</v>
      </c>
    </row>
    <row r="74">
      <c r="A74" s="268"/>
      <c r="B74" s="247" t="str">
        <f t="shared" ref="B74:M74" si="73">if($M$2,IFERROR(INDIRECT("'"&amp;B$3&amp;"'!"&amp;$B$2&amp;match($A74,INDIRECT("'"&amp;B$3&amp;"'!B1:B"),0)),""),
IFERROR(INDIRECT("'"&amp;B$3&amp;"!"&amp;$B$2&amp;match($A74,INDIRECT("'"&amp;B$3&amp;"'!B:B"),0)),""))</f>
        <v/>
      </c>
      <c r="C74" s="247" t="str">
        <f t="shared" si="73"/>
        <v/>
      </c>
      <c r="D74" s="247" t="str">
        <f t="shared" si="73"/>
        <v/>
      </c>
      <c r="E74" s="247" t="str">
        <f t="shared" si="73"/>
        <v/>
      </c>
      <c r="F74" s="247" t="str">
        <f t="shared" si="73"/>
        <v/>
      </c>
      <c r="G74" s="247" t="str">
        <f t="shared" si="73"/>
        <v/>
      </c>
      <c r="H74" s="247" t="str">
        <f t="shared" si="73"/>
        <v/>
      </c>
      <c r="I74" s="247" t="str">
        <f t="shared" si="73"/>
        <v/>
      </c>
      <c r="J74" s="247" t="str">
        <f t="shared" si="73"/>
        <v/>
      </c>
      <c r="K74" s="247" t="str">
        <f t="shared" si="73"/>
        <v/>
      </c>
      <c r="L74" s="247" t="str">
        <f t="shared" si="73"/>
        <v/>
      </c>
      <c r="M74" s="247" t="str">
        <f t="shared" si="73"/>
        <v/>
      </c>
      <c r="N74" s="247">
        <f t="shared" si="70"/>
        <v>0</v>
      </c>
    </row>
    <row r="75">
      <c r="A75" s="268"/>
      <c r="B75" s="247" t="str">
        <f t="shared" ref="B75:M75" si="74">if($M$2,IFERROR(INDIRECT("'"&amp;B$3&amp;"'!"&amp;$B$2&amp;match($A75,INDIRECT("'"&amp;B$3&amp;"'!B1:B"),0)),""),
IFERROR(INDIRECT("'"&amp;B$3&amp;"!"&amp;$B$2&amp;match($A75,INDIRECT("'"&amp;B$3&amp;"'!B:B"),0)),""))</f>
        <v/>
      </c>
      <c r="C75" s="247" t="str">
        <f t="shared" si="74"/>
        <v/>
      </c>
      <c r="D75" s="247" t="str">
        <f t="shared" si="74"/>
        <v/>
      </c>
      <c r="E75" s="247" t="str">
        <f t="shared" si="74"/>
        <v/>
      </c>
      <c r="F75" s="247" t="str">
        <f t="shared" si="74"/>
        <v/>
      </c>
      <c r="G75" s="247" t="str">
        <f t="shared" si="74"/>
        <v/>
      </c>
      <c r="H75" s="247" t="str">
        <f t="shared" si="74"/>
        <v/>
      </c>
      <c r="I75" s="247" t="str">
        <f t="shared" si="74"/>
        <v/>
      </c>
      <c r="J75" s="247" t="str">
        <f t="shared" si="74"/>
        <v/>
      </c>
      <c r="K75" s="247" t="str">
        <f t="shared" si="74"/>
        <v/>
      </c>
      <c r="L75" s="247" t="str">
        <f t="shared" si="74"/>
        <v/>
      </c>
      <c r="M75" s="247" t="str">
        <f t="shared" si="74"/>
        <v/>
      </c>
      <c r="N75" s="247">
        <f t="shared" si="70"/>
        <v>0</v>
      </c>
    </row>
    <row r="76" collapsed="1">
      <c r="A76" s="268"/>
      <c r="B76" s="247" t="str">
        <f t="shared" ref="B76:M76" si="75">if($M$2,IFERROR(INDIRECT("'"&amp;B$3&amp;"'!"&amp;$B$2&amp;match($A76,INDIRECT("'"&amp;B$3&amp;"'!B1:B"),0)),""),
IFERROR(INDIRECT("'"&amp;B$3&amp;"!"&amp;$B$2&amp;match($A76,INDIRECT("'"&amp;B$3&amp;"'!B:B"),0)),""))</f>
        <v/>
      </c>
      <c r="C76" s="247" t="str">
        <f t="shared" si="75"/>
        <v/>
      </c>
      <c r="D76" s="247" t="str">
        <f t="shared" si="75"/>
        <v/>
      </c>
      <c r="E76" s="247" t="str">
        <f t="shared" si="75"/>
        <v/>
      </c>
      <c r="F76" s="247" t="str">
        <f t="shared" si="75"/>
        <v/>
      </c>
      <c r="G76" s="247" t="str">
        <f t="shared" si="75"/>
        <v/>
      </c>
      <c r="H76" s="247" t="str">
        <f t="shared" si="75"/>
        <v/>
      </c>
      <c r="I76" s="247" t="str">
        <f t="shared" si="75"/>
        <v/>
      </c>
      <c r="J76" s="247" t="str">
        <f t="shared" si="75"/>
        <v/>
      </c>
      <c r="K76" s="247" t="str">
        <f t="shared" si="75"/>
        <v/>
      </c>
      <c r="L76" s="247" t="str">
        <f t="shared" si="75"/>
        <v/>
      </c>
      <c r="M76" s="247" t="str">
        <f t="shared" si="75"/>
        <v/>
      </c>
      <c r="N76" s="247">
        <f t="shared" si="70"/>
        <v>0</v>
      </c>
    </row>
    <row r="77" hidden="1" outlineLevel="1">
      <c r="A77" s="268"/>
      <c r="B77" s="247" t="str">
        <f t="shared" ref="B77:M77" si="76">if($M$2,IFERROR(INDIRECT("'"&amp;B$3&amp;"'!"&amp;$B$2&amp;match($A77,INDIRECT("'"&amp;B$3&amp;"'!B1:B"),0)),""),
IFERROR(INDIRECT("'"&amp;B$3&amp;"!"&amp;$B$2&amp;match($A77,INDIRECT("'"&amp;B$3&amp;"'!B:B"),0)),""))</f>
        <v/>
      </c>
      <c r="C77" s="247" t="str">
        <f t="shared" si="76"/>
        <v/>
      </c>
      <c r="D77" s="247" t="str">
        <f t="shared" si="76"/>
        <v/>
      </c>
      <c r="E77" s="247" t="str">
        <f t="shared" si="76"/>
        <v/>
      </c>
      <c r="F77" s="247" t="str">
        <f t="shared" si="76"/>
        <v/>
      </c>
      <c r="G77" s="247" t="str">
        <f t="shared" si="76"/>
        <v/>
      </c>
      <c r="H77" s="247" t="str">
        <f t="shared" si="76"/>
        <v/>
      </c>
      <c r="I77" s="247" t="str">
        <f t="shared" si="76"/>
        <v/>
      </c>
      <c r="J77" s="247" t="str">
        <f t="shared" si="76"/>
        <v/>
      </c>
      <c r="K77" s="247" t="str">
        <f t="shared" si="76"/>
        <v/>
      </c>
      <c r="L77" s="247" t="str">
        <f t="shared" si="76"/>
        <v/>
      </c>
      <c r="M77" s="247" t="str">
        <f t="shared" si="76"/>
        <v/>
      </c>
      <c r="N77" s="247">
        <f t="shared" si="70"/>
        <v>0</v>
      </c>
    </row>
    <row r="78" hidden="1" outlineLevel="1">
      <c r="A78" s="268"/>
      <c r="B78" s="247" t="str">
        <f t="shared" ref="B78:M78" si="77">if($M$2,IFERROR(INDIRECT("'"&amp;B$3&amp;"'!"&amp;$B$2&amp;match($A78,INDIRECT("'"&amp;B$3&amp;"'!B1:B"),0)),""),
IFERROR(INDIRECT("'"&amp;B$3&amp;"!"&amp;$B$2&amp;match($A78,INDIRECT("'"&amp;B$3&amp;"'!B:B"),0)),""))</f>
        <v/>
      </c>
      <c r="C78" s="247" t="str">
        <f t="shared" si="77"/>
        <v/>
      </c>
      <c r="D78" s="247" t="str">
        <f t="shared" si="77"/>
        <v/>
      </c>
      <c r="E78" s="247" t="str">
        <f t="shared" si="77"/>
        <v/>
      </c>
      <c r="F78" s="247" t="str">
        <f t="shared" si="77"/>
        <v/>
      </c>
      <c r="G78" s="247" t="str">
        <f t="shared" si="77"/>
        <v/>
      </c>
      <c r="H78" s="247" t="str">
        <f t="shared" si="77"/>
        <v/>
      </c>
      <c r="I78" s="247" t="str">
        <f t="shared" si="77"/>
        <v/>
      </c>
      <c r="J78" s="247" t="str">
        <f t="shared" si="77"/>
        <v/>
      </c>
      <c r="K78" s="247" t="str">
        <f t="shared" si="77"/>
        <v/>
      </c>
      <c r="L78" s="247" t="str">
        <f t="shared" si="77"/>
        <v/>
      </c>
      <c r="M78" s="247" t="str">
        <f t="shared" si="77"/>
        <v/>
      </c>
      <c r="N78" s="247">
        <f t="shared" si="70"/>
        <v>0</v>
      </c>
    </row>
    <row r="79" hidden="1" outlineLevel="1">
      <c r="A79" s="268"/>
      <c r="B79" s="247" t="str">
        <f t="shared" ref="B79:M79" si="78">if($M$2,IFERROR(INDIRECT("'"&amp;B$3&amp;"'!"&amp;$B$2&amp;match($A79,INDIRECT("'"&amp;B$3&amp;"'!B1:B"),0)),""),
IFERROR(INDIRECT("'"&amp;B$3&amp;"!"&amp;$B$2&amp;match($A79,INDIRECT("'"&amp;B$3&amp;"'!B:B"),0)),""))</f>
        <v/>
      </c>
      <c r="C79" s="247" t="str">
        <f t="shared" si="78"/>
        <v/>
      </c>
      <c r="D79" s="247" t="str">
        <f t="shared" si="78"/>
        <v/>
      </c>
      <c r="E79" s="247" t="str">
        <f t="shared" si="78"/>
        <v/>
      </c>
      <c r="F79" s="247" t="str">
        <f t="shared" si="78"/>
        <v/>
      </c>
      <c r="G79" s="247" t="str">
        <f t="shared" si="78"/>
        <v/>
      </c>
      <c r="H79" s="247" t="str">
        <f t="shared" si="78"/>
        <v/>
      </c>
      <c r="I79" s="247" t="str">
        <f t="shared" si="78"/>
        <v/>
      </c>
      <c r="J79" s="247" t="str">
        <f t="shared" si="78"/>
        <v/>
      </c>
      <c r="K79" s="247" t="str">
        <f t="shared" si="78"/>
        <v/>
      </c>
      <c r="L79" s="247" t="str">
        <f t="shared" si="78"/>
        <v/>
      </c>
      <c r="M79" s="247" t="str">
        <f t="shared" si="78"/>
        <v/>
      </c>
      <c r="N79" s="247">
        <f t="shared" si="70"/>
        <v>0</v>
      </c>
    </row>
    <row r="80" hidden="1" outlineLevel="1">
      <c r="A80" s="268"/>
      <c r="B80" s="247" t="str">
        <f t="shared" ref="B80:M80" si="79">if($M$2,IFERROR(INDIRECT("'"&amp;B$3&amp;"'!"&amp;$B$2&amp;match($A80,INDIRECT("'"&amp;B$3&amp;"'!B1:B"),0)),""),
IFERROR(INDIRECT("'"&amp;B$3&amp;"!"&amp;$B$2&amp;match($A80,INDIRECT("'"&amp;B$3&amp;"'!B:B"),0)),""))</f>
        <v/>
      </c>
      <c r="C80" s="247" t="str">
        <f t="shared" si="79"/>
        <v/>
      </c>
      <c r="D80" s="247" t="str">
        <f t="shared" si="79"/>
        <v/>
      </c>
      <c r="E80" s="247" t="str">
        <f t="shared" si="79"/>
        <v/>
      </c>
      <c r="F80" s="247" t="str">
        <f t="shared" si="79"/>
        <v/>
      </c>
      <c r="G80" s="247" t="str">
        <f t="shared" si="79"/>
        <v/>
      </c>
      <c r="H80" s="247" t="str">
        <f t="shared" si="79"/>
        <v/>
      </c>
      <c r="I80" s="247" t="str">
        <f t="shared" si="79"/>
        <v/>
      </c>
      <c r="J80" s="247" t="str">
        <f t="shared" si="79"/>
        <v/>
      </c>
      <c r="K80" s="247" t="str">
        <f t="shared" si="79"/>
        <v/>
      </c>
      <c r="L80" s="247" t="str">
        <f t="shared" si="79"/>
        <v/>
      </c>
      <c r="M80" s="247" t="str">
        <f t="shared" si="79"/>
        <v/>
      </c>
      <c r="N80" s="247">
        <f t="shared" si="70"/>
        <v>0</v>
      </c>
    </row>
    <row r="81" hidden="1" outlineLevel="1">
      <c r="A81" s="268"/>
      <c r="B81" s="247" t="str">
        <f t="shared" ref="B81:M81" si="80">if($M$2,IFERROR(INDIRECT("'"&amp;B$3&amp;"'!"&amp;$B$2&amp;match($A81,INDIRECT("'"&amp;B$3&amp;"'!B1:B"),0)),""),
IFERROR(INDIRECT("'"&amp;B$3&amp;"!"&amp;$B$2&amp;match($A81,INDIRECT("'"&amp;B$3&amp;"'!B:B"),0)),""))</f>
        <v/>
      </c>
      <c r="C81" s="247" t="str">
        <f t="shared" si="80"/>
        <v/>
      </c>
      <c r="D81" s="247" t="str">
        <f t="shared" si="80"/>
        <v/>
      </c>
      <c r="E81" s="247" t="str">
        <f t="shared" si="80"/>
        <v/>
      </c>
      <c r="F81" s="247" t="str">
        <f t="shared" si="80"/>
        <v/>
      </c>
      <c r="G81" s="247" t="str">
        <f t="shared" si="80"/>
        <v/>
      </c>
      <c r="H81" s="247" t="str">
        <f t="shared" si="80"/>
        <v/>
      </c>
      <c r="I81" s="247" t="str">
        <f t="shared" si="80"/>
        <v/>
      </c>
      <c r="J81" s="247" t="str">
        <f t="shared" si="80"/>
        <v/>
      </c>
      <c r="K81" s="247" t="str">
        <f t="shared" si="80"/>
        <v/>
      </c>
      <c r="L81" s="247" t="str">
        <f t="shared" si="80"/>
        <v/>
      </c>
      <c r="M81" s="247" t="str">
        <f t="shared" si="80"/>
        <v/>
      </c>
      <c r="N81" s="247">
        <f t="shared" si="70"/>
        <v>0</v>
      </c>
    </row>
    <row r="82" hidden="1" outlineLevel="1">
      <c r="A82" s="268"/>
      <c r="B82" s="247" t="str">
        <f t="shared" ref="B82:M82" si="81">if($M$2,IFERROR(INDIRECT("'"&amp;B$3&amp;"'!"&amp;$B$2&amp;match($A82,INDIRECT("'"&amp;B$3&amp;"'!B1:B"),0)),""),
IFERROR(INDIRECT("'"&amp;B$3&amp;"!"&amp;$B$2&amp;match($A82,INDIRECT("'"&amp;B$3&amp;"'!B:B"),0)),""))</f>
        <v/>
      </c>
      <c r="C82" s="247" t="str">
        <f t="shared" si="81"/>
        <v/>
      </c>
      <c r="D82" s="247" t="str">
        <f t="shared" si="81"/>
        <v/>
      </c>
      <c r="E82" s="247" t="str">
        <f t="shared" si="81"/>
        <v/>
      </c>
      <c r="F82" s="247" t="str">
        <f t="shared" si="81"/>
        <v/>
      </c>
      <c r="G82" s="247" t="str">
        <f t="shared" si="81"/>
        <v/>
      </c>
      <c r="H82" s="247" t="str">
        <f t="shared" si="81"/>
        <v/>
      </c>
      <c r="I82" s="247" t="str">
        <f t="shared" si="81"/>
        <v/>
      </c>
      <c r="J82" s="247" t="str">
        <f t="shared" si="81"/>
        <v/>
      </c>
      <c r="K82" s="247" t="str">
        <f t="shared" si="81"/>
        <v/>
      </c>
      <c r="L82" s="247" t="str">
        <f t="shared" si="81"/>
        <v/>
      </c>
      <c r="M82" s="247" t="str">
        <f t="shared" si="81"/>
        <v/>
      </c>
      <c r="N82" s="247">
        <f t="shared" si="70"/>
        <v>0</v>
      </c>
    </row>
    <row r="83" hidden="1" outlineLevel="1">
      <c r="A83" s="268"/>
      <c r="B83" s="247" t="str">
        <f t="shared" ref="B83:M83" si="82">if($M$2,IFERROR(INDIRECT("'"&amp;B$3&amp;"'!"&amp;$B$2&amp;match($A83,INDIRECT("'"&amp;B$3&amp;"'!B1:B"),0)),""),
IFERROR(INDIRECT("'"&amp;B$3&amp;"!"&amp;$B$2&amp;match($A83,INDIRECT("'"&amp;B$3&amp;"'!B:B"),0)),""))</f>
        <v/>
      </c>
      <c r="C83" s="247" t="str">
        <f t="shared" si="82"/>
        <v/>
      </c>
      <c r="D83" s="247" t="str">
        <f t="shared" si="82"/>
        <v/>
      </c>
      <c r="E83" s="247" t="str">
        <f t="shared" si="82"/>
        <v/>
      </c>
      <c r="F83" s="247" t="str">
        <f t="shared" si="82"/>
        <v/>
      </c>
      <c r="G83" s="247" t="str">
        <f t="shared" si="82"/>
        <v/>
      </c>
      <c r="H83" s="247" t="str">
        <f t="shared" si="82"/>
        <v/>
      </c>
      <c r="I83" s="247" t="str">
        <f t="shared" si="82"/>
        <v/>
      </c>
      <c r="J83" s="247" t="str">
        <f t="shared" si="82"/>
        <v/>
      </c>
      <c r="K83" s="247" t="str">
        <f t="shared" si="82"/>
        <v/>
      </c>
      <c r="L83" s="247" t="str">
        <f t="shared" si="82"/>
        <v/>
      </c>
      <c r="M83" s="247" t="str">
        <f t="shared" si="82"/>
        <v/>
      </c>
      <c r="N83" s="247">
        <f t="shared" si="70"/>
        <v>0</v>
      </c>
    </row>
    <row r="84">
      <c r="A84" s="268"/>
      <c r="B84" s="247" t="str">
        <f t="shared" ref="B84:M84" si="83">if($M$2,IFERROR(INDIRECT("'"&amp;B$3&amp;"'!"&amp;$B$2&amp;match($A84,INDIRECT("'"&amp;B$3&amp;"'!B1:B"),0)),""),
IFERROR(INDIRECT("'"&amp;B$3&amp;"!"&amp;$B$2&amp;match($A84,INDIRECT("'"&amp;B$3&amp;"'!B:B"),0)),""))</f>
        <v/>
      </c>
      <c r="C84" s="247" t="str">
        <f t="shared" si="83"/>
        <v/>
      </c>
      <c r="D84" s="247" t="str">
        <f t="shared" si="83"/>
        <v/>
      </c>
      <c r="E84" s="247" t="str">
        <f t="shared" si="83"/>
        <v/>
      </c>
      <c r="F84" s="247" t="str">
        <f t="shared" si="83"/>
        <v/>
      </c>
      <c r="G84" s="247" t="str">
        <f t="shared" si="83"/>
        <v/>
      </c>
      <c r="H84" s="247" t="str">
        <f t="shared" si="83"/>
        <v/>
      </c>
      <c r="I84" s="247" t="str">
        <f t="shared" si="83"/>
        <v/>
      </c>
      <c r="J84" s="247" t="str">
        <f t="shared" si="83"/>
        <v/>
      </c>
      <c r="K84" s="247" t="str">
        <f t="shared" si="83"/>
        <v/>
      </c>
      <c r="L84" s="247" t="str">
        <f t="shared" si="83"/>
        <v/>
      </c>
      <c r="M84" s="247" t="str">
        <f t="shared" si="83"/>
        <v/>
      </c>
      <c r="N84" s="247">
        <f t="shared" si="70"/>
        <v>0</v>
      </c>
    </row>
    <row r="85">
      <c r="A85" s="250" t="s">
        <v>90</v>
      </c>
      <c r="B85" s="251">
        <f t="shared" ref="B85:M85" si="84">SUM(B86:B111)</f>
        <v>-14937.97</v>
      </c>
      <c r="C85" s="251">
        <f t="shared" si="84"/>
        <v>0</v>
      </c>
      <c r="D85" s="251">
        <f t="shared" si="84"/>
        <v>0</v>
      </c>
      <c r="E85" s="251">
        <f t="shared" si="84"/>
        <v>0</v>
      </c>
      <c r="F85" s="251">
        <f t="shared" si="84"/>
        <v>0</v>
      </c>
      <c r="G85" s="251">
        <f t="shared" si="84"/>
        <v>0</v>
      </c>
      <c r="H85" s="251">
        <f t="shared" si="84"/>
        <v>0</v>
      </c>
      <c r="I85" s="251">
        <f t="shared" si="84"/>
        <v>0</v>
      </c>
      <c r="J85" s="251">
        <f t="shared" si="84"/>
        <v>0</v>
      </c>
      <c r="K85" s="251">
        <f t="shared" si="84"/>
        <v>0</v>
      </c>
      <c r="L85" s="251">
        <f t="shared" si="84"/>
        <v>0</v>
      </c>
      <c r="M85" s="251">
        <f t="shared" si="84"/>
        <v>0</v>
      </c>
      <c r="N85" s="251">
        <f t="shared" si="70"/>
        <v>-14937.97</v>
      </c>
    </row>
    <row r="86">
      <c r="A86" s="254" t="str">
        <f>IFERROR(__xludf.DUMMYFUNCTION("iferror(filter('Статьи'!$A$1:$A158,'Статьи'!$B$1:$B158=$A$85))"),"Аренда, коммунальные услуги")</f>
        <v>Аренда, коммунальные услуги</v>
      </c>
      <c r="B86" s="247">
        <f t="shared" ref="B86:M86" si="85">if($M$2,IFERROR(INDIRECT("'"&amp;B$3&amp;"'!"&amp;$B$2&amp;match($A86,INDIRECT("'"&amp;B$3&amp;"'!B1:B"),0)),""),
IFERROR(INDIRECT("'"&amp;B$3&amp;"!"&amp;$B$2&amp;match($A86,INDIRECT("'"&amp;B$3&amp;"'!B:B"),0)),""))</f>
        <v>-4500</v>
      </c>
      <c r="C86" s="247">
        <f t="shared" si="85"/>
        <v>0</v>
      </c>
      <c r="D86" s="247">
        <f t="shared" si="85"/>
        <v>0</v>
      </c>
      <c r="E86" s="247">
        <f t="shared" si="85"/>
        <v>0</v>
      </c>
      <c r="F86" s="247">
        <f t="shared" si="85"/>
        <v>0</v>
      </c>
      <c r="G86" s="247">
        <f t="shared" si="85"/>
        <v>0</v>
      </c>
      <c r="H86" s="247">
        <f t="shared" si="85"/>
        <v>0</v>
      </c>
      <c r="I86" s="247">
        <f t="shared" si="85"/>
        <v>0</v>
      </c>
      <c r="J86" s="247">
        <f t="shared" si="85"/>
        <v>0</v>
      </c>
      <c r="K86" s="247">
        <f t="shared" si="85"/>
        <v>0</v>
      </c>
      <c r="L86" s="247">
        <f t="shared" si="85"/>
        <v>0</v>
      </c>
      <c r="M86" s="247">
        <f t="shared" si="85"/>
        <v>0</v>
      </c>
      <c r="N86" s="247">
        <f t="shared" si="70"/>
        <v>-4500</v>
      </c>
    </row>
    <row r="87">
      <c r="A87" s="269" t="str">
        <f>IFERROR(__xludf.DUMMYFUNCTION("""COMPUTED_VALUE"""),"Аутсорсинг и прочие услуги")</f>
        <v>Аутсорсинг и прочие услуги</v>
      </c>
      <c r="B87" s="247">
        <f t="shared" ref="B87:M87" si="86">if($M$2,IFERROR(INDIRECT("'"&amp;B$3&amp;"'!"&amp;$B$2&amp;match($A87,INDIRECT("'"&amp;B$3&amp;"'!B1:B"),0)),""),
IFERROR(INDIRECT("'"&amp;B$3&amp;"!"&amp;$B$2&amp;match($A87,INDIRECT("'"&amp;B$3&amp;"'!B:B"),0)),""))</f>
        <v>-2147</v>
      </c>
      <c r="C87" s="247">
        <f t="shared" si="86"/>
        <v>0</v>
      </c>
      <c r="D87" s="247">
        <f t="shared" si="86"/>
        <v>0</v>
      </c>
      <c r="E87" s="247">
        <f t="shared" si="86"/>
        <v>0</v>
      </c>
      <c r="F87" s="247">
        <f t="shared" si="86"/>
        <v>0</v>
      </c>
      <c r="G87" s="247">
        <f t="shared" si="86"/>
        <v>0</v>
      </c>
      <c r="H87" s="247">
        <f t="shared" si="86"/>
        <v>0</v>
      </c>
      <c r="I87" s="247">
        <f t="shared" si="86"/>
        <v>0</v>
      </c>
      <c r="J87" s="247">
        <f t="shared" si="86"/>
        <v>0</v>
      </c>
      <c r="K87" s="247">
        <f t="shared" si="86"/>
        <v>0</v>
      </c>
      <c r="L87" s="247">
        <f t="shared" si="86"/>
        <v>0</v>
      </c>
      <c r="M87" s="247">
        <f t="shared" si="86"/>
        <v>0</v>
      </c>
      <c r="N87" s="247">
        <f t="shared" si="70"/>
        <v>-2147</v>
      </c>
    </row>
    <row r="88">
      <c r="A88" s="269" t="str">
        <f>IFERROR(__xludf.DUMMYFUNCTION("""COMPUTED_VALUE"""),"Командировочные расходы")</f>
        <v>Командировочные расходы</v>
      </c>
      <c r="B88" s="247">
        <f t="shared" ref="B88:M88" si="87">if($M$2,IFERROR(INDIRECT("'"&amp;B$3&amp;"'!"&amp;$B$2&amp;match($A88,INDIRECT("'"&amp;B$3&amp;"'!B1:B"),0)),""),
IFERROR(INDIRECT("'"&amp;B$3&amp;"!"&amp;$B$2&amp;match($A88,INDIRECT("'"&amp;B$3&amp;"'!B:B"),0)),""))</f>
        <v>-1800</v>
      </c>
      <c r="C88" s="247">
        <f t="shared" si="87"/>
        <v>0</v>
      </c>
      <c r="D88" s="247">
        <f t="shared" si="87"/>
        <v>0</v>
      </c>
      <c r="E88" s="247">
        <f t="shared" si="87"/>
        <v>0</v>
      </c>
      <c r="F88" s="247">
        <f t="shared" si="87"/>
        <v>0</v>
      </c>
      <c r="G88" s="247">
        <f t="shared" si="87"/>
        <v>0</v>
      </c>
      <c r="H88" s="247">
        <f t="shared" si="87"/>
        <v>0</v>
      </c>
      <c r="I88" s="247">
        <f t="shared" si="87"/>
        <v>0</v>
      </c>
      <c r="J88" s="247">
        <f t="shared" si="87"/>
        <v>0</v>
      </c>
      <c r="K88" s="247">
        <f t="shared" si="87"/>
        <v>0</v>
      </c>
      <c r="L88" s="247">
        <f t="shared" si="87"/>
        <v>0</v>
      </c>
      <c r="M88" s="247">
        <f t="shared" si="87"/>
        <v>0</v>
      </c>
      <c r="N88" s="247">
        <f t="shared" si="70"/>
        <v>-1800</v>
      </c>
    </row>
    <row r="89">
      <c r="A89" s="269" t="str">
        <f>IFERROR(__xludf.DUMMYFUNCTION("""COMPUTED_VALUE"""),"Комиссии банка")</f>
        <v>Комиссии банка</v>
      </c>
      <c r="B89" s="247">
        <f t="shared" ref="B89:M89" si="88">if($M$2,IFERROR(INDIRECT("'"&amp;B$3&amp;"'!"&amp;$B$2&amp;match($A89,INDIRECT("'"&amp;B$3&amp;"'!B1:B"),0)),""),
IFERROR(INDIRECT("'"&amp;B$3&amp;"!"&amp;$B$2&amp;match($A89,INDIRECT("'"&amp;B$3&amp;"'!B:B"),0)),""))</f>
        <v>-100</v>
      </c>
      <c r="C89" s="247">
        <f t="shared" si="88"/>
        <v>0</v>
      </c>
      <c r="D89" s="247">
        <f t="shared" si="88"/>
        <v>0</v>
      </c>
      <c r="E89" s="247">
        <f t="shared" si="88"/>
        <v>0</v>
      </c>
      <c r="F89" s="247">
        <f t="shared" si="88"/>
        <v>0</v>
      </c>
      <c r="G89" s="247">
        <f t="shared" si="88"/>
        <v>0</v>
      </c>
      <c r="H89" s="247">
        <f t="shared" si="88"/>
        <v>0</v>
      </c>
      <c r="I89" s="247">
        <f t="shared" si="88"/>
        <v>0</v>
      </c>
      <c r="J89" s="247">
        <f t="shared" si="88"/>
        <v>0</v>
      </c>
      <c r="K89" s="247">
        <f t="shared" si="88"/>
        <v>0</v>
      </c>
      <c r="L89" s="247">
        <f t="shared" si="88"/>
        <v>0</v>
      </c>
      <c r="M89" s="247">
        <f t="shared" si="88"/>
        <v>0</v>
      </c>
      <c r="N89" s="247">
        <f t="shared" si="70"/>
        <v>-100</v>
      </c>
    </row>
    <row r="90">
      <c r="A90" s="269" t="str">
        <f>IFERROR(__xludf.DUMMYFUNCTION("""COMPUTED_VALUE"""),"Обучение сотрудников")</f>
        <v>Обучение сотрудников</v>
      </c>
      <c r="B90" s="247">
        <f t="shared" ref="B90:M90" si="89">if($M$2,IFERROR(INDIRECT("'"&amp;B$3&amp;"'!"&amp;$B$2&amp;match($A90,INDIRECT("'"&amp;B$3&amp;"'!B1:B"),0)),""),
IFERROR(INDIRECT("'"&amp;B$3&amp;"!"&amp;$B$2&amp;match($A90,INDIRECT("'"&amp;B$3&amp;"'!B:B"),0)),""))</f>
        <v>-5000</v>
      </c>
      <c r="C90" s="247">
        <f t="shared" si="89"/>
        <v>0</v>
      </c>
      <c r="D90" s="247">
        <f t="shared" si="89"/>
        <v>0</v>
      </c>
      <c r="E90" s="247">
        <f t="shared" si="89"/>
        <v>0</v>
      </c>
      <c r="F90" s="247">
        <f t="shared" si="89"/>
        <v>0</v>
      </c>
      <c r="G90" s="247">
        <f t="shared" si="89"/>
        <v>0</v>
      </c>
      <c r="H90" s="247">
        <f t="shared" si="89"/>
        <v>0</v>
      </c>
      <c r="I90" s="247">
        <f t="shared" si="89"/>
        <v>0</v>
      </c>
      <c r="J90" s="247">
        <f t="shared" si="89"/>
        <v>0</v>
      </c>
      <c r="K90" s="247">
        <f t="shared" si="89"/>
        <v>0</v>
      </c>
      <c r="L90" s="247">
        <f t="shared" si="89"/>
        <v>0</v>
      </c>
      <c r="M90" s="247">
        <f t="shared" si="89"/>
        <v>0</v>
      </c>
      <c r="N90" s="247">
        <f t="shared" si="70"/>
        <v>-5000</v>
      </c>
    </row>
    <row r="91">
      <c r="A91" s="269" t="str">
        <f>IFERROR(__xludf.DUMMYFUNCTION("""COMPUTED_VALUE"""),"Подбор персонала")</f>
        <v>Подбор персонала</v>
      </c>
      <c r="B91" s="247">
        <f t="shared" ref="B91:M91" si="90">if($M$2,IFERROR(INDIRECT("'"&amp;B$3&amp;"'!"&amp;$B$2&amp;match($A91,INDIRECT("'"&amp;B$3&amp;"'!B1:B"),0)),""),
IFERROR(INDIRECT("'"&amp;B$3&amp;"!"&amp;$B$2&amp;match($A91,INDIRECT("'"&amp;B$3&amp;"'!B:B"),0)),""))</f>
        <v>0</v>
      </c>
      <c r="C91" s="247">
        <f t="shared" si="90"/>
        <v>0</v>
      </c>
      <c r="D91" s="247">
        <f t="shared" si="90"/>
        <v>0</v>
      </c>
      <c r="E91" s="247">
        <f t="shared" si="90"/>
        <v>0</v>
      </c>
      <c r="F91" s="247">
        <f t="shared" si="90"/>
        <v>0</v>
      </c>
      <c r="G91" s="247">
        <f t="shared" si="90"/>
        <v>0</v>
      </c>
      <c r="H91" s="247">
        <f t="shared" si="90"/>
        <v>0</v>
      </c>
      <c r="I91" s="247">
        <f t="shared" si="90"/>
        <v>0</v>
      </c>
      <c r="J91" s="247">
        <f t="shared" si="90"/>
        <v>0</v>
      </c>
      <c r="K91" s="247">
        <f t="shared" si="90"/>
        <v>0</v>
      </c>
      <c r="L91" s="247">
        <f t="shared" si="90"/>
        <v>0</v>
      </c>
      <c r="M91" s="247">
        <f t="shared" si="90"/>
        <v>0</v>
      </c>
      <c r="N91" s="247">
        <f t="shared" si="70"/>
        <v>0</v>
      </c>
    </row>
    <row r="92">
      <c r="A92" s="269" t="str">
        <f>IFERROR(__xludf.DUMMYFUNCTION("""COMPUTED_VALUE"""),"Почтовые расходы")</f>
        <v>Почтовые расходы</v>
      </c>
      <c r="B92" s="247">
        <f t="shared" ref="B92:M92" si="91">if($M$2,IFERROR(INDIRECT("'"&amp;B$3&amp;"'!"&amp;$B$2&amp;match($A92,INDIRECT("'"&amp;B$3&amp;"'!B1:B"),0)),""),
IFERROR(INDIRECT("'"&amp;B$3&amp;"!"&amp;$B$2&amp;match($A92,INDIRECT("'"&amp;B$3&amp;"'!B:B"),0)),""))</f>
        <v>-400</v>
      </c>
      <c r="C92" s="247">
        <f t="shared" si="91"/>
        <v>0</v>
      </c>
      <c r="D92" s="247">
        <f t="shared" si="91"/>
        <v>0</v>
      </c>
      <c r="E92" s="247">
        <f t="shared" si="91"/>
        <v>0</v>
      </c>
      <c r="F92" s="247">
        <f t="shared" si="91"/>
        <v>0</v>
      </c>
      <c r="G92" s="247">
        <f t="shared" si="91"/>
        <v>0</v>
      </c>
      <c r="H92" s="247">
        <f t="shared" si="91"/>
        <v>0</v>
      </c>
      <c r="I92" s="247">
        <f t="shared" si="91"/>
        <v>0</v>
      </c>
      <c r="J92" s="247">
        <f t="shared" si="91"/>
        <v>0</v>
      </c>
      <c r="K92" s="247">
        <f t="shared" si="91"/>
        <v>0</v>
      </c>
      <c r="L92" s="247">
        <f t="shared" si="91"/>
        <v>0</v>
      </c>
      <c r="M92" s="247">
        <f t="shared" si="91"/>
        <v>0</v>
      </c>
      <c r="N92" s="247">
        <f t="shared" si="70"/>
        <v>-400</v>
      </c>
    </row>
    <row r="93">
      <c r="A93" s="270" t="str">
        <f>IFERROR(__xludf.DUMMYFUNCTION("""COMPUTED_VALUE"""),"Представительские расходы")</f>
        <v>Представительские расходы</v>
      </c>
      <c r="B93" s="247">
        <f t="shared" ref="B93:M93" si="92">if($M$2,IFERROR(INDIRECT("'"&amp;B$3&amp;"'!"&amp;$B$2&amp;match($A93,INDIRECT("'"&amp;B$3&amp;"'!B1:B"),0)),""),
IFERROR(INDIRECT("'"&amp;B$3&amp;"!"&amp;$B$2&amp;match($A93,INDIRECT("'"&amp;B$3&amp;"'!B:B"),0)),""))</f>
        <v>-500</v>
      </c>
      <c r="C93" s="247">
        <f t="shared" si="92"/>
        <v>0</v>
      </c>
      <c r="D93" s="247">
        <f t="shared" si="92"/>
        <v>0</v>
      </c>
      <c r="E93" s="247">
        <f t="shared" si="92"/>
        <v>0</v>
      </c>
      <c r="F93" s="247">
        <f t="shared" si="92"/>
        <v>0</v>
      </c>
      <c r="G93" s="247">
        <f t="shared" si="92"/>
        <v>0</v>
      </c>
      <c r="H93" s="247">
        <f t="shared" si="92"/>
        <v>0</v>
      </c>
      <c r="I93" s="247">
        <f t="shared" si="92"/>
        <v>0</v>
      </c>
      <c r="J93" s="247">
        <f t="shared" si="92"/>
        <v>0</v>
      </c>
      <c r="K93" s="247">
        <f t="shared" si="92"/>
        <v>0</v>
      </c>
      <c r="L93" s="247">
        <f t="shared" si="92"/>
        <v>0</v>
      </c>
      <c r="M93" s="247">
        <f t="shared" si="92"/>
        <v>0</v>
      </c>
      <c r="N93" s="247">
        <f t="shared" si="70"/>
        <v>-500</v>
      </c>
    </row>
    <row r="94">
      <c r="A94" s="271" t="str">
        <f>IFERROR(__xludf.DUMMYFUNCTION("""COMPUTED_VALUE"""),"Содержание офиса")</f>
        <v>Содержание офиса</v>
      </c>
      <c r="B94" s="247">
        <f t="shared" ref="B94:M94" si="93">if($M$2,IFERROR(INDIRECT("'"&amp;B$3&amp;"'!"&amp;$B$2&amp;match($A94,INDIRECT("'"&amp;B$3&amp;"'!B1:B"),0)),""),
IFERROR(INDIRECT("'"&amp;B$3&amp;"!"&amp;$B$2&amp;match($A94,INDIRECT("'"&amp;B$3&amp;"'!B:B"),0)),""))</f>
        <v>0</v>
      </c>
      <c r="C94" s="247">
        <f t="shared" si="93"/>
        <v>0</v>
      </c>
      <c r="D94" s="247">
        <f t="shared" si="93"/>
        <v>0</v>
      </c>
      <c r="E94" s="247">
        <f t="shared" si="93"/>
        <v>0</v>
      </c>
      <c r="F94" s="247">
        <f t="shared" si="93"/>
        <v>0</v>
      </c>
      <c r="G94" s="247">
        <f t="shared" si="93"/>
        <v>0</v>
      </c>
      <c r="H94" s="247">
        <f t="shared" si="93"/>
        <v>0</v>
      </c>
      <c r="I94" s="247">
        <f t="shared" si="93"/>
        <v>0</v>
      </c>
      <c r="J94" s="247">
        <f t="shared" si="93"/>
        <v>0</v>
      </c>
      <c r="K94" s="247">
        <f t="shared" si="93"/>
        <v>0</v>
      </c>
      <c r="L94" s="247">
        <f t="shared" si="93"/>
        <v>0</v>
      </c>
      <c r="M94" s="247">
        <f t="shared" si="93"/>
        <v>0</v>
      </c>
      <c r="N94" s="247">
        <f t="shared" si="70"/>
        <v>0</v>
      </c>
    </row>
    <row r="95">
      <c r="A95" s="269" t="str">
        <f>IFERROR(__xludf.DUMMYFUNCTION("""COMPUTED_VALUE"""),"Услуги связи + Интернет")</f>
        <v>Услуги связи + Интернет</v>
      </c>
      <c r="B95" s="247">
        <f t="shared" ref="B95:M95" si="94">if($M$2,IFERROR(INDIRECT("'"&amp;B$3&amp;"'!"&amp;$B$2&amp;match($A95,INDIRECT("'"&amp;B$3&amp;"'!B1:B"),0)),""),
IFERROR(INDIRECT("'"&amp;B$3&amp;"!"&amp;$B$2&amp;match($A95,INDIRECT("'"&amp;B$3&amp;"'!B:B"),0)),""))</f>
        <v>-490.97</v>
      </c>
      <c r="C95" s="247">
        <f t="shared" si="94"/>
        <v>0</v>
      </c>
      <c r="D95" s="247">
        <f t="shared" si="94"/>
        <v>0</v>
      </c>
      <c r="E95" s="247">
        <f t="shared" si="94"/>
        <v>0</v>
      </c>
      <c r="F95" s="247">
        <f t="shared" si="94"/>
        <v>0</v>
      </c>
      <c r="G95" s="247">
        <f t="shared" si="94"/>
        <v>0</v>
      </c>
      <c r="H95" s="247">
        <f t="shared" si="94"/>
        <v>0</v>
      </c>
      <c r="I95" s="247">
        <f t="shared" si="94"/>
        <v>0</v>
      </c>
      <c r="J95" s="247">
        <f t="shared" si="94"/>
        <v>0</v>
      </c>
      <c r="K95" s="247">
        <f t="shared" si="94"/>
        <v>0</v>
      </c>
      <c r="L95" s="247">
        <f t="shared" si="94"/>
        <v>0</v>
      </c>
      <c r="M95" s="247">
        <f t="shared" si="94"/>
        <v>0</v>
      </c>
      <c r="N95" s="247">
        <f t="shared" si="70"/>
        <v>-490.97</v>
      </c>
    </row>
    <row r="96">
      <c r="A96" s="269" t="str">
        <f>IFERROR(__xludf.DUMMYFUNCTION("""COMPUTED_VALUE"""),"Штрафы")</f>
        <v>Штрафы</v>
      </c>
      <c r="B96" s="247">
        <f t="shared" ref="B96:M96" si="95">if($M$2,IFERROR(INDIRECT("'"&amp;B$3&amp;"'!"&amp;$B$2&amp;match($A96,INDIRECT("'"&amp;B$3&amp;"'!B1:B"),0)),""),
IFERROR(INDIRECT("'"&amp;B$3&amp;"!"&amp;$B$2&amp;match($A96,INDIRECT("'"&amp;B$3&amp;"'!B:B"),0)),""))</f>
        <v>0</v>
      </c>
      <c r="C96" s="247">
        <f t="shared" si="95"/>
        <v>0</v>
      </c>
      <c r="D96" s="247">
        <f t="shared" si="95"/>
        <v>0</v>
      </c>
      <c r="E96" s="247">
        <f t="shared" si="95"/>
        <v>0</v>
      </c>
      <c r="F96" s="247">
        <f t="shared" si="95"/>
        <v>0</v>
      </c>
      <c r="G96" s="247">
        <f t="shared" si="95"/>
        <v>0</v>
      </c>
      <c r="H96" s="247">
        <f t="shared" si="95"/>
        <v>0</v>
      </c>
      <c r="I96" s="247">
        <f t="shared" si="95"/>
        <v>0</v>
      </c>
      <c r="J96" s="247">
        <f t="shared" si="95"/>
        <v>0</v>
      </c>
      <c r="K96" s="247">
        <f t="shared" si="95"/>
        <v>0</v>
      </c>
      <c r="L96" s="247">
        <f t="shared" si="95"/>
        <v>0</v>
      </c>
      <c r="M96" s="247">
        <f t="shared" si="95"/>
        <v>0</v>
      </c>
      <c r="N96" s="247">
        <f t="shared" si="70"/>
        <v>0</v>
      </c>
    </row>
    <row r="97">
      <c r="A97" s="269"/>
      <c r="B97" s="247" t="str">
        <f t="shared" ref="B97:M97" si="96">if($M$2,IFERROR(INDIRECT("'"&amp;B$3&amp;"'!"&amp;$B$2&amp;match($A97,INDIRECT("'"&amp;B$3&amp;"'!B1:B"),0)),""),
IFERROR(INDIRECT("'"&amp;B$3&amp;"!"&amp;$B$2&amp;match($A97,INDIRECT("'"&amp;B$3&amp;"'!B:B"),0)),""))</f>
        <v/>
      </c>
      <c r="C97" s="247" t="str">
        <f t="shared" si="96"/>
        <v/>
      </c>
      <c r="D97" s="247" t="str">
        <f t="shared" si="96"/>
        <v/>
      </c>
      <c r="E97" s="247" t="str">
        <f t="shared" si="96"/>
        <v/>
      </c>
      <c r="F97" s="247" t="str">
        <f t="shared" si="96"/>
        <v/>
      </c>
      <c r="G97" s="247" t="str">
        <f t="shared" si="96"/>
        <v/>
      </c>
      <c r="H97" s="247" t="str">
        <f t="shared" si="96"/>
        <v/>
      </c>
      <c r="I97" s="247" t="str">
        <f t="shared" si="96"/>
        <v/>
      </c>
      <c r="J97" s="247" t="str">
        <f t="shared" si="96"/>
        <v/>
      </c>
      <c r="K97" s="247" t="str">
        <f t="shared" si="96"/>
        <v/>
      </c>
      <c r="L97" s="247" t="str">
        <f t="shared" si="96"/>
        <v/>
      </c>
      <c r="M97" s="247" t="str">
        <f t="shared" si="96"/>
        <v/>
      </c>
      <c r="N97" s="247">
        <f t="shared" si="70"/>
        <v>0</v>
      </c>
    </row>
    <row r="98">
      <c r="A98" s="269"/>
      <c r="B98" s="247" t="str">
        <f t="shared" ref="B98:M98" si="97">if($M$2,IFERROR(INDIRECT("'"&amp;B$3&amp;"'!"&amp;$B$2&amp;match($A98,INDIRECT("'"&amp;B$3&amp;"'!B1:B"),0)),""),
IFERROR(INDIRECT("'"&amp;B$3&amp;"!"&amp;$B$2&amp;match($A98,INDIRECT("'"&amp;B$3&amp;"'!B:B"),0)),""))</f>
        <v/>
      </c>
      <c r="C98" s="247" t="str">
        <f t="shared" si="97"/>
        <v/>
      </c>
      <c r="D98" s="247" t="str">
        <f t="shared" si="97"/>
        <v/>
      </c>
      <c r="E98" s="247" t="str">
        <f t="shared" si="97"/>
        <v/>
      </c>
      <c r="F98" s="247" t="str">
        <f t="shared" si="97"/>
        <v/>
      </c>
      <c r="G98" s="247" t="str">
        <f t="shared" si="97"/>
        <v/>
      </c>
      <c r="H98" s="247" t="str">
        <f t="shared" si="97"/>
        <v/>
      </c>
      <c r="I98" s="247" t="str">
        <f t="shared" si="97"/>
        <v/>
      </c>
      <c r="J98" s="247" t="str">
        <f t="shared" si="97"/>
        <v/>
      </c>
      <c r="K98" s="247" t="str">
        <f t="shared" si="97"/>
        <v/>
      </c>
      <c r="L98" s="247" t="str">
        <f t="shared" si="97"/>
        <v/>
      </c>
      <c r="M98" s="247" t="str">
        <f t="shared" si="97"/>
        <v/>
      </c>
      <c r="N98" s="247">
        <f t="shared" si="70"/>
        <v>0</v>
      </c>
    </row>
    <row r="99">
      <c r="A99" s="269"/>
      <c r="B99" s="247" t="str">
        <f t="shared" ref="B99:M99" si="98">if($M$2,IFERROR(INDIRECT("'"&amp;B$3&amp;"'!"&amp;$B$2&amp;match($A99,INDIRECT("'"&amp;B$3&amp;"'!B1:B"),0)),""),
IFERROR(INDIRECT("'"&amp;B$3&amp;"!"&amp;$B$2&amp;match($A99,INDIRECT("'"&amp;B$3&amp;"'!B:B"),0)),""))</f>
        <v/>
      </c>
      <c r="C99" s="247" t="str">
        <f t="shared" si="98"/>
        <v/>
      </c>
      <c r="D99" s="247" t="str">
        <f t="shared" si="98"/>
        <v/>
      </c>
      <c r="E99" s="247" t="str">
        <f t="shared" si="98"/>
        <v/>
      </c>
      <c r="F99" s="247" t="str">
        <f t="shared" si="98"/>
        <v/>
      </c>
      <c r="G99" s="247" t="str">
        <f t="shared" si="98"/>
        <v/>
      </c>
      <c r="H99" s="247" t="str">
        <f t="shared" si="98"/>
        <v/>
      </c>
      <c r="I99" s="247" t="str">
        <f t="shared" si="98"/>
        <v/>
      </c>
      <c r="J99" s="247" t="str">
        <f t="shared" si="98"/>
        <v/>
      </c>
      <c r="K99" s="247" t="str">
        <f t="shared" si="98"/>
        <v/>
      </c>
      <c r="L99" s="247" t="str">
        <f t="shared" si="98"/>
        <v/>
      </c>
      <c r="M99" s="247" t="str">
        <f t="shared" si="98"/>
        <v/>
      </c>
      <c r="N99" s="247">
        <f t="shared" si="70"/>
        <v>0</v>
      </c>
    </row>
    <row r="100">
      <c r="A100" s="269"/>
      <c r="B100" s="247" t="str">
        <f t="shared" ref="B100:M100" si="99">if($M$2,IFERROR(INDIRECT("'"&amp;B$3&amp;"'!"&amp;$B$2&amp;match($A100,INDIRECT("'"&amp;B$3&amp;"'!B1:B"),0)),""),
IFERROR(INDIRECT("'"&amp;B$3&amp;"!"&amp;$B$2&amp;match($A100,INDIRECT("'"&amp;B$3&amp;"'!B:B"),0)),""))</f>
        <v/>
      </c>
      <c r="C100" s="247" t="str">
        <f t="shared" si="99"/>
        <v/>
      </c>
      <c r="D100" s="247" t="str">
        <f t="shared" si="99"/>
        <v/>
      </c>
      <c r="E100" s="247" t="str">
        <f t="shared" si="99"/>
        <v/>
      </c>
      <c r="F100" s="247" t="str">
        <f t="shared" si="99"/>
        <v/>
      </c>
      <c r="G100" s="247" t="str">
        <f t="shared" si="99"/>
        <v/>
      </c>
      <c r="H100" s="247" t="str">
        <f t="shared" si="99"/>
        <v/>
      </c>
      <c r="I100" s="247" t="str">
        <f t="shared" si="99"/>
        <v/>
      </c>
      <c r="J100" s="247" t="str">
        <f t="shared" si="99"/>
        <v/>
      </c>
      <c r="K100" s="247" t="str">
        <f t="shared" si="99"/>
        <v/>
      </c>
      <c r="L100" s="247" t="str">
        <f t="shared" si="99"/>
        <v/>
      </c>
      <c r="M100" s="247" t="str">
        <f t="shared" si="99"/>
        <v/>
      </c>
      <c r="N100" s="247">
        <f t="shared" si="70"/>
        <v>0</v>
      </c>
    </row>
    <row r="101">
      <c r="A101" s="269"/>
      <c r="B101" s="247" t="str">
        <f t="shared" ref="B101:M101" si="100">if($M$2,IFERROR(INDIRECT("'"&amp;B$3&amp;"'!"&amp;$B$2&amp;match($A101,INDIRECT("'"&amp;B$3&amp;"'!B1:B"),0)),""),
IFERROR(INDIRECT("'"&amp;B$3&amp;"!"&amp;$B$2&amp;match($A101,INDIRECT("'"&amp;B$3&amp;"'!B:B"),0)),""))</f>
        <v/>
      </c>
      <c r="C101" s="247" t="str">
        <f t="shared" si="100"/>
        <v/>
      </c>
      <c r="D101" s="247" t="str">
        <f t="shared" si="100"/>
        <v/>
      </c>
      <c r="E101" s="247" t="str">
        <f t="shared" si="100"/>
        <v/>
      </c>
      <c r="F101" s="247" t="str">
        <f t="shared" si="100"/>
        <v/>
      </c>
      <c r="G101" s="247" t="str">
        <f t="shared" si="100"/>
        <v/>
      </c>
      <c r="H101" s="247" t="str">
        <f t="shared" si="100"/>
        <v/>
      </c>
      <c r="I101" s="247" t="str">
        <f t="shared" si="100"/>
        <v/>
      </c>
      <c r="J101" s="247" t="str">
        <f t="shared" si="100"/>
        <v/>
      </c>
      <c r="K101" s="247" t="str">
        <f t="shared" si="100"/>
        <v/>
      </c>
      <c r="L101" s="247" t="str">
        <f t="shared" si="100"/>
        <v/>
      </c>
      <c r="M101" s="247" t="str">
        <f t="shared" si="100"/>
        <v/>
      </c>
      <c r="N101" s="247">
        <f t="shared" si="70"/>
        <v>0</v>
      </c>
    </row>
    <row r="102">
      <c r="A102" s="269"/>
      <c r="B102" s="247" t="str">
        <f t="shared" ref="B102:M102" si="101">if($M$2,IFERROR(INDIRECT("'"&amp;B$3&amp;"'!"&amp;$B$2&amp;match($A102,INDIRECT("'"&amp;B$3&amp;"'!B1:B"),0)),""),
IFERROR(INDIRECT("'"&amp;B$3&amp;"!"&amp;$B$2&amp;match($A102,INDIRECT("'"&amp;B$3&amp;"'!B:B"),0)),""))</f>
        <v/>
      </c>
      <c r="C102" s="247" t="str">
        <f t="shared" si="101"/>
        <v/>
      </c>
      <c r="D102" s="247" t="str">
        <f t="shared" si="101"/>
        <v/>
      </c>
      <c r="E102" s="247" t="str">
        <f t="shared" si="101"/>
        <v/>
      </c>
      <c r="F102" s="247" t="str">
        <f t="shared" si="101"/>
        <v/>
      </c>
      <c r="G102" s="247" t="str">
        <f t="shared" si="101"/>
        <v/>
      </c>
      <c r="H102" s="247" t="str">
        <f t="shared" si="101"/>
        <v/>
      </c>
      <c r="I102" s="247" t="str">
        <f t="shared" si="101"/>
        <v/>
      </c>
      <c r="J102" s="247" t="str">
        <f t="shared" si="101"/>
        <v/>
      </c>
      <c r="K102" s="247" t="str">
        <f t="shared" si="101"/>
        <v/>
      </c>
      <c r="L102" s="247" t="str">
        <f t="shared" si="101"/>
        <v/>
      </c>
      <c r="M102" s="247" t="str">
        <f t="shared" si="101"/>
        <v/>
      </c>
      <c r="N102" s="247">
        <f t="shared" si="70"/>
        <v>0</v>
      </c>
    </row>
    <row r="103">
      <c r="A103" s="269"/>
      <c r="B103" s="247" t="str">
        <f t="shared" ref="B103:M103" si="102">if($M$2,IFERROR(INDIRECT("'"&amp;B$3&amp;"'!"&amp;$B$2&amp;match($A103,INDIRECT("'"&amp;B$3&amp;"'!B1:B"),0)),""),
IFERROR(INDIRECT("'"&amp;B$3&amp;"!"&amp;$B$2&amp;match($A103,INDIRECT("'"&amp;B$3&amp;"'!B:B"),0)),""))</f>
        <v/>
      </c>
      <c r="C103" s="247" t="str">
        <f t="shared" si="102"/>
        <v/>
      </c>
      <c r="D103" s="247" t="str">
        <f t="shared" si="102"/>
        <v/>
      </c>
      <c r="E103" s="247" t="str">
        <f t="shared" si="102"/>
        <v/>
      </c>
      <c r="F103" s="247" t="str">
        <f t="shared" si="102"/>
        <v/>
      </c>
      <c r="G103" s="247" t="str">
        <f t="shared" si="102"/>
        <v/>
      </c>
      <c r="H103" s="247" t="str">
        <f t="shared" si="102"/>
        <v/>
      </c>
      <c r="I103" s="247" t="str">
        <f t="shared" si="102"/>
        <v/>
      </c>
      <c r="J103" s="247" t="str">
        <f t="shared" si="102"/>
        <v/>
      </c>
      <c r="K103" s="247" t="str">
        <f t="shared" si="102"/>
        <v/>
      </c>
      <c r="L103" s="247" t="str">
        <f t="shared" si="102"/>
        <v/>
      </c>
      <c r="M103" s="247" t="str">
        <f t="shared" si="102"/>
        <v/>
      </c>
      <c r="N103" s="247">
        <f t="shared" si="70"/>
        <v>0</v>
      </c>
    </row>
    <row r="104">
      <c r="A104" s="269"/>
      <c r="B104" s="247" t="str">
        <f t="shared" ref="B104:M104" si="103">if($M$2,IFERROR(INDIRECT("'"&amp;B$3&amp;"'!"&amp;$B$2&amp;match($A104,INDIRECT("'"&amp;B$3&amp;"'!B1:B"),0)),""),
IFERROR(INDIRECT("'"&amp;B$3&amp;"!"&amp;$B$2&amp;match($A104,INDIRECT("'"&amp;B$3&amp;"'!B:B"),0)),""))</f>
        <v/>
      </c>
      <c r="C104" s="247" t="str">
        <f t="shared" si="103"/>
        <v/>
      </c>
      <c r="D104" s="247" t="str">
        <f t="shared" si="103"/>
        <v/>
      </c>
      <c r="E104" s="247" t="str">
        <f t="shared" si="103"/>
        <v/>
      </c>
      <c r="F104" s="247" t="str">
        <f t="shared" si="103"/>
        <v/>
      </c>
      <c r="G104" s="247" t="str">
        <f t="shared" si="103"/>
        <v/>
      </c>
      <c r="H104" s="247" t="str">
        <f t="shared" si="103"/>
        <v/>
      </c>
      <c r="I104" s="247" t="str">
        <f t="shared" si="103"/>
        <v/>
      </c>
      <c r="J104" s="247" t="str">
        <f t="shared" si="103"/>
        <v/>
      </c>
      <c r="K104" s="247" t="str">
        <f t="shared" si="103"/>
        <v/>
      </c>
      <c r="L104" s="247" t="str">
        <f t="shared" si="103"/>
        <v/>
      </c>
      <c r="M104" s="247" t="str">
        <f t="shared" si="103"/>
        <v/>
      </c>
      <c r="N104" s="247">
        <f t="shared" si="70"/>
        <v>0</v>
      </c>
    </row>
    <row r="105">
      <c r="A105" s="269"/>
      <c r="B105" s="247" t="str">
        <f t="shared" ref="B105:M105" si="104">if($M$2,IFERROR(INDIRECT("'"&amp;B$3&amp;"'!"&amp;$B$2&amp;match($A105,INDIRECT("'"&amp;B$3&amp;"'!B1:B"),0)),""),
IFERROR(INDIRECT("'"&amp;B$3&amp;"!"&amp;$B$2&amp;match($A105,INDIRECT("'"&amp;B$3&amp;"'!B:B"),0)),""))</f>
        <v/>
      </c>
      <c r="C105" s="247" t="str">
        <f t="shared" si="104"/>
        <v/>
      </c>
      <c r="D105" s="247" t="str">
        <f t="shared" si="104"/>
        <v/>
      </c>
      <c r="E105" s="247" t="str">
        <f t="shared" si="104"/>
        <v/>
      </c>
      <c r="F105" s="247" t="str">
        <f t="shared" si="104"/>
        <v/>
      </c>
      <c r="G105" s="247" t="str">
        <f t="shared" si="104"/>
        <v/>
      </c>
      <c r="H105" s="247" t="str">
        <f t="shared" si="104"/>
        <v/>
      </c>
      <c r="I105" s="247" t="str">
        <f t="shared" si="104"/>
        <v/>
      </c>
      <c r="J105" s="247" t="str">
        <f t="shared" si="104"/>
        <v/>
      </c>
      <c r="K105" s="247" t="str">
        <f t="shared" si="104"/>
        <v/>
      </c>
      <c r="L105" s="247" t="str">
        <f t="shared" si="104"/>
        <v/>
      </c>
      <c r="M105" s="247" t="str">
        <f t="shared" si="104"/>
        <v/>
      </c>
      <c r="N105" s="247">
        <f t="shared" si="70"/>
        <v>0</v>
      </c>
    </row>
    <row r="106">
      <c r="A106" s="233"/>
      <c r="B106" s="247" t="str">
        <f t="shared" ref="B106:M106" si="105">if($M$2,IFERROR(INDIRECT("'"&amp;B$3&amp;"'!"&amp;$B$2&amp;match($A106,INDIRECT("'"&amp;B$3&amp;"'!B1:B"),0)),""),
IFERROR(INDIRECT("'"&amp;B$3&amp;"!"&amp;$B$2&amp;match($A106,INDIRECT("'"&amp;B$3&amp;"'!B:B"),0)),""))</f>
        <v/>
      </c>
      <c r="C106" s="247" t="str">
        <f t="shared" si="105"/>
        <v/>
      </c>
      <c r="D106" s="247" t="str">
        <f t="shared" si="105"/>
        <v/>
      </c>
      <c r="E106" s="247" t="str">
        <f t="shared" si="105"/>
        <v/>
      </c>
      <c r="F106" s="247" t="str">
        <f t="shared" si="105"/>
        <v/>
      </c>
      <c r="G106" s="247" t="str">
        <f t="shared" si="105"/>
        <v/>
      </c>
      <c r="H106" s="247" t="str">
        <f t="shared" si="105"/>
        <v/>
      </c>
      <c r="I106" s="247" t="str">
        <f t="shared" si="105"/>
        <v/>
      </c>
      <c r="J106" s="247" t="str">
        <f t="shared" si="105"/>
        <v/>
      </c>
      <c r="K106" s="247" t="str">
        <f t="shared" si="105"/>
        <v/>
      </c>
      <c r="L106" s="247" t="str">
        <f t="shared" si="105"/>
        <v/>
      </c>
      <c r="M106" s="247" t="str">
        <f t="shared" si="105"/>
        <v/>
      </c>
      <c r="N106" s="247">
        <f t="shared" si="70"/>
        <v>0</v>
      </c>
    </row>
    <row r="107">
      <c r="A107" s="233"/>
      <c r="B107" s="247" t="str">
        <f t="shared" ref="B107:M107" si="106">if($M$2,IFERROR(INDIRECT("'"&amp;B$3&amp;"'!"&amp;$B$2&amp;match($A107,INDIRECT("'"&amp;B$3&amp;"'!B1:B"),0)),""),
IFERROR(INDIRECT("'"&amp;B$3&amp;"!"&amp;$B$2&amp;match($A107,INDIRECT("'"&amp;B$3&amp;"'!B:B"),0)),""))</f>
        <v/>
      </c>
      <c r="C107" s="247" t="str">
        <f t="shared" si="106"/>
        <v/>
      </c>
      <c r="D107" s="247" t="str">
        <f t="shared" si="106"/>
        <v/>
      </c>
      <c r="E107" s="247" t="str">
        <f t="shared" si="106"/>
        <v/>
      </c>
      <c r="F107" s="247" t="str">
        <f t="shared" si="106"/>
        <v/>
      </c>
      <c r="G107" s="247" t="str">
        <f t="shared" si="106"/>
        <v/>
      </c>
      <c r="H107" s="247" t="str">
        <f t="shared" si="106"/>
        <v/>
      </c>
      <c r="I107" s="247" t="str">
        <f t="shared" si="106"/>
        <v/>
      </c>
      <c r="J107" s="247" t="str">
        <f t="shared" si="106"/>
        <v/>
      </c>
      <c r="K107" s="247" t="str">
        <f t="shared" si="106"/>
        <v/>
      </c>
      <c r="L107" s="247" t="str">
        <f t="shared" si="106"/>
        <v/>
      </c>
      <c r="M107" s="247" t="str">
        <f t="shared" si="106"/>
        <v/>
      </c>
      <c r="N107" s="247">
        <f t="shared" si="70"/>
        <v>0</v>
      </c>
    </row>
    <row r="108">
      <c r="A108" s="233"/>
      <c r="B108" s="247" t="str">
        <f t="shared" ref="B108:M108" si="107">if($M$2,IFERROR(INDIRECT("'"&amp;B$3&amp;"'!"&amp;$B$2&amp;match($A108,INDIRECT("'"&amp;B$3&amp;"'!B1:B"),0)),""),
IFERROR(INDIRECT("'"&amp;B$3&amp;"!"&amp;$B$2&amp;match($A108,INDIRECT("'"&amp;B$3&amp;"'!B:B"),0)),""))</f>
        <v/>
      </c>
      <c r="C108" s="247" t="str">
        <f t="shared" si="107"/>
        <v/>
      </c>
      <c r="D108" s="247" t="str">
        <f t="shared" si="107"/>
        <v/>
      </c>
      <c r="E108" s="247" t="str">
        <f t="shared" si="107"/>
        <v/>
      </c>
      <c r="F108" s="247" t="str">
        <f t="shared" si="107"/>
        <v/>
      </c>
      <c r="G108" s="247" t="str">
        <f t="shared" si="107"/>
        <v/>
      </c>
      <c r="H108" s="247" t="str">
        <f t="shared" si="107"/>
        <v/>
      </c>
      <c r="I108" s="247" t="str">
        <f t="shared" si="107"/>
        <v/>
      </c>
      <c r="J108" s="247" t="str">
        <f t="shared" si="107"/>
        <v/>
      </c>
      <c r="K108" s="247" t="str">
        <f t="shared" si="107"/>
        <v/>
      </c>
      <c r="L108" s="247" t="str">
        <f t="shared" si="107"/>
        <v/>
      </c>
      <c r="M108" s="247" t="str">
        <f t="shared" si="107"/>
        <v/>
      </c>
      <c r="N108" s="247">
        <f t="shared" si="70"/>
        <v>0</v>
      </c>
    </row>
    <row r="109">
      <c r="A109" s="233"/>
      <c r="B109" s="247" t="str">
        <f t="shared" ref="B109:M109" si="108">if($M$2,IFERROR(INDIRECT("'"&amp;B$3&amp;"'!"&amp;$B$2&amp;match($A109,INDIRECT("'"&amp;B$3&amp;"'!B1:B"),0)),""),
IFERROR(INDIRECT("'"&amp;B$3&amp;"!"&amp;$B$2&amp;match($A109,INDIRECT("'"&amp;B$3&amp;"'!B:B"),0)),""))</f>
        <v/>
      </c>
      <c r="C109" s="247" t="str">
        <f t="shared" si="108"/>
        <v/>
      </c>
      <c r="D109" s="247" t="str">
        <f t="shared" si="108"/>
        <v/>
      </c>
      <c r="E109" s="247" t="str">
        <f t="shared" si="108"/>
        <v/>
      </c>
      <c r="F109" s="247" t="str">
        <f t="shared" si="108"/>
        <v/>
      </c>
      <c r="G109" s="247" t="str">
        <f t="shared" si="108"/>
        <v/>
      </c>
      <c r="H109" s="247" t="str">
        <f t="shared" si="108"/>
        <v/>
      </c>
      <c r="I109" s="247" t="str">
        <f t="shared" si="108"/>
        <v/>
      </c>
      <c r="J109" s="247" t="str">
        <f t="shared" si="108"/>
        <v/>
      </c>
      <c r="K109" s="247" t="str">
        <f t="shared" si="108"/>
        <v/>
      </c>
      <c r="L109" s="247" t="str">
        <f t="shared" si="108"/>
        <v/>
      </c>
      <c r="M109" s="247" t="str">
        <f t="shared" si="108"/>
        <v/>
      </c>
      <c r="N109" s="247">
        <f t="shared" si="70"/>
        <v>0</v>
      </c>
    </row>
    <row r="110">
      <c r="A110" s="233"/>
      <c r="B110" s="247" t="str">
        <f t="shared" ref="B110:M110" si="109">if($M$2,IFERROR(INDIRECT("'"&amp;B$3&amp;"'!"&amp;$B$2&amp;match($A110,INDIRECT("'"&amp;B$3&amp;"'!B1:B"),0)),""),
IFERROR(INDIRECT("'"&amp;B$3&amp;"!"&amp;$B$2&amp;match($A110,INDIRECT("'"&amp;B$3&amp;"'!B:B"),0)),""))</f>
        <v/>
      </c>
      <c r="C110" s="247" t="str">
        <f t="shared" si="109"/>
        <v/>
      </c>
      <c r="D110" s="247" t="str">
        <f t="shared" si="109"/>
        <v/>
      </c>
      <c r="E110" s="247" t="str">
        <f t="shared" si="109"/>
        <v/>
      </c>
      <c r="F110" s="247" t="str">
        <f t="shared" si="109"/>
        <v/>
      </c>
      <c r="G110" s="247" t="str">
        <f t="shared" si="109"/>
        <v/>
      </c>
      <c r="H110" s="247" t="str">
        <f t="shared" si="109"/>
        <v/>
      </c>
      <c r="I110" s="247" t="str">
        <f t="shared" si="109"/>
        <v/>
      </c>
      <c r="J110" s="247" t="str">
        <f t="shared" si="109"/>
        <v/>
      </c>
      <c r="K110" s="247" t="str">
        <f t="shared" si="109"/>
        <v/>
      </c>
      <c r="L110" s="247" t="str">
        <f t="shared" si="109"/>
        <v/>
      </c>
      <c r="M110" s="247" t="str">
        <f t="shared" si="109"/>
        <v/>
      </c>
      <c r="N110" s="247">
        <f t="shared" si="70"/>
        <v>0</v>
      </c>
    </row>
    <row r="111">
      <c r="A111" s="233"/>
      <c r="B111" s="247" t="str">
        <f t="shared" ref="B111:M111" si="110">if($M$2,IFERROR(INDIRECT("'"&amp;B$3&amp;"'!"&amp;$B$2&amp;match($A111,INDIRECT("'"&amp;B$3&amp;"'!B1:B"),0)),""),
IFERROR(INDIRECT("'"&amp;B$3&amp;"!"&amp;$B$2&amp;match($A111,INDIRECT("'"&amp;B$3&amp;"'!B:B"),0)),""))</f>
        <v/>
      </c>
      <c r="C111" s="247" t="str">
        <f t="shared" si="110"/>
        <v/>
      </c>
      <c r="D111" s="247" t="str">
        <f t="shared" si="110"/>
        <v/>
      </c>
      <c r="E111" s="247" t="str">
        <f t="shared" si="110"/>
        <v/>
      </c>
      <c r="F111" s="247" t="str">
        <f t="shared" si="110"/>
        <v/>
      </c>
      <c r="G111" s="247" t="str">
        <f t="shared" si="110"/>
        <v/>
      </c>
      <c r="H111" s="247" t="str">
        <f t="shared" si="110"/>
        <v/>
      </c>
      <c r="I111" s="247" t="str">
        <f t="shared" si="110"/>
        <v/>
      </c>
      <c r="J111" s="247" t="str">
        <f t="shared" si="110"/>
        <v/>
      </c>
      <c r="K111" s="247" t="str">
        <f t="shared" si="110"/>
        <v/>
      </c>
      <c r="L111" s="247" t="str">
        <f t="shared" si="110"/>
        <v/>
      </c>
      <c r="M111" s="247" t="str">
        <f t="shared" si="110"/>
        <v/>
      </c>
      <c r="N111" s="247">
        <f t="shared" si="70"/>
        <v>0</v>
      </c>
    </row>
    <row r="112">
      <c r="A112" s="250" t="s">
        <v>107</v>
      </c>
      <c r="B112" s="251">
        <f t="shared" ref="B112:M112" si="111">SUM(B113:B128)</f>
        <v>-40</v>
      </c>
      <c r="C112" s="251">
        <f t="shared" si="111"/>
        <v>0</v>
      </c>
      <c r="D112" s="251">
        <f t="shared" si="111"/>
        <v>0</v>
      </c>
      <c r="E112" s="251">
        <f t="shared" si="111"/>
        <v>0</v>
      </c>
      <c r="F112" s="251">
        <f t="shared" si="111"/>
        <v>0</v>
      </c>
      <c r="G112" s="251">
        <f t="shared" si="111"/>
        <v>0</v>
      </c>
      <c r="H112" s="251">
        <f t="shared" si="111"/>
        <v>0</v>
      </c>
      <c r="I112" s="251">
        <f t="shared" si="111"/>
        <v>0</v>
      </c>
      <c r="J112" s="251">
        <f t="shared" si="111"/>
        <v>0</v>
      </c>
      <c r="K112" s="251">
        <f t="shared" si="111"/>
        <v>0</v>
      </c>
      <c r="L112" s="251">
        <f t="shared" si="111"/>
        <v>0</v>
      </c>
      <c r="M112" s="251">
        <f t="shared" si="111"/>
        <v>0</v>
      </c>
      <c r="N112" s="251">
        <f t="shared" si="70"/>
        <v>-40</v>
      </c>
    </row>
    <row r="113">
      <c r="A113" s="254" t="str">
        <f>IFERROR(__xludf.DUMMYFUNCTION("iferror(filter('Статьи'!$A$1:$A158,'Статьи'!$B$1:$B158=$A$112))"),"Подписка на сайты по поиску клиентов")</f>
        <v>Подписка на сайты по поиску клиентов</v>
      </c>
      <c r="B113" s="247">
        <f t="shared" ref="B113:M113" si="112">if($M$2,IFERROR(INDIRECT("'"&amp;B$3&amp;"'!"&amp;$B$2&amp;match($A113,INDIRECT("'"&amp;B$3&amp;"'!B1:B"),0)),""),
IFERROR(INDIRECT("'"&amp;B$3&amp;"!"&amp;$B$2&amp;match($A113,INDIRECT("'"&amp;B$3&amp;"'!B:B"),0)),""))</f>
        <v>-40</v>
      </c>
      <c r="C113" s="247">
        <f t="shared" si="112"/>
        <v>0</v>
      </c>
      <c r="D113" s="247">
        <f t="shared" si="112"/>
        <v>0</v>
      </c>
      <c r="E113" s="247">
        <f t="shared" si="112"/>
        <v>0</v>
      </c>
      <c r="F113" s="247">
        <f t="shared" si="112"/>
        <v>0</v>
      </c>
      <c r="G113" s="247">
        <f t="shared" si="112"/>
        <v>0</v>
      </c>
      <c r="H113" s="247">
        <f t="shared" si="112"/>
        <v>0</v>
      </c>
      <c r="I113" s="247">
        <f t="shared" si="112"/>
        <v>0</v>
      </c>
      <c r="J113" s="247">
        <f t="shared" si="112"/>
        <v>0</v>
      </c>
      <c r="K113" s="247">
        <f t="shared" si="112"/>
        <v>0</v>
      </c>
      <c r="L113" s="247">
        <f t="shared" si="112"/>
        <v>0</v>
      </c>
      <c r="M113" s="247">
        <f t="shared" si="112"/>
        <v>0</v>
      </c>
      <c r="N113" s="247">
        <f t="shared" si="70"/>
        <v>-40</v>
      </c>
    </row>
    <row r="114">
      <c r="A114" s="233"/>
      <c r="B114" s="247" t="str">
        <f t="shared" ref="B114:M114" si="113">if($M$2,IFERROR(INDIRECT("'"&amp;B$3&amp;"'!"&amp;$B$2&amp;match($A114,INDIRECT("'"&amp;B$3&amp;"'!B1:B"),0)),""),
IFERROR(INDIRECT("'"&amp;B$3&amp;"!"&amp;$B$2&amp;match($A114,INDIRECT("'"&amp;B$3&amp;"'!B:B"),0)),""))</f>
        <v/>
      </c>
      <c r="C114" s="247" t="str">
        <f t="shared" si="113"/>
        <v/>
      </c>
      <c r="D114" s="247" t="str">
        <f t="shared" si="113"/>
        <v/>
      </c>
      <c r="E114" s="247" t="str">
        <f t="shared" si="113"/>
        <v/>
      </c>
      <c r="F114" s="247" t="str">
        <f t="shared" si="113"/>
        <v/>
      </c>
      <c r="G114" s="247" t="str">
        <f t="shared" si="113"/>
        <v/>
      </c>
      <c r="H114" s="247" t="str">
        <f t="shared" si="113"/>
        <v/>
      </c>
      <c r="I114" s="247" t="str">
        <f t="shared" si="113"/>
        <v/>
      </c>
      <c r="J114" s="247" t="str">
        <f t="shared" si="113"/>
        <v/>
      </c>
      <c r="K114" s="247" t="str">
        <f t="shared" si="113"/>
        <v/>
      </c>
      <c r="L114" s="247" t="str">
        <f t="shared" si="113"/>
        <v/>
      </c>
      <c r="M114" s="247" t="str">
        <f t="shared" si="113"/>
        <v/>
      </c>
      <c r="N114" s="247">
        <f t="shared" si="70"/>
        <v>0</v>
      </c>
    </row>
    <row r="115">
      <c r="A115" s="233"/>
      <c r="B115" s="247" t="str">
        <f t="shared" ref="B115:M115" si="114">if($M$2,IFERROR(INDIRECT("'"&amp;B$3&amp;"'!"&amp;$B$2&amp;match($A115,INDIRECT("'"&amp;B$3&amp;"'!B1:B"),0)),""),
IFERROR(INDIRECT("'"&amp;B$3&amp;"!"&amp;$B$2&amp;match($A115,INDIRECT("'"&amp;B$3&amp;"'!B:B"),0)),""))</f>
        <v/>
      </c>
      <c r="C115" s="247" t="str">
        <f t="shared" si="114"/>
        <v/>
      </c>
      <c r="D115" s="247" t="str">
        <f t="shared" si="114"/>
        <v/>
      </c>
      <c r="E115" s="247" t="str">
        <f t="shared" si="114"/>
        <v/>
      </c>
      <c r="F115" s="247" t="str">
        <f t="shared" si="114"/>
        <v/>
      </c>
      <c r="G115" s="247" t="str">
        <f t="shared" si="114"/>
        <v/>
      </c>
      <c r="H115" s="247" t="str">
        <f t="shared" si="114"/>
        <v/>
      </c>
      <c r="I115" s="247" t="str">
        <f t="shared" si="114"/>
        <v/>
      </c>
      <c r="J115" s="247" t="str">
        <f t="shared" si="114"/>
        <v/>
      </c>
      <c r="K115" s="247" t="str">
        <f t="shared" si="114"/>
        <v/>
      </c>
      <c r="L115" s="247" t="str">
        <f t="shared" si="114"/>
        <v/>
      </c>
      <c r="M115" s="247" t="str">
        <f t="shared" si="114"/>
        <v/>
      </c>
      <c r="N115" s="247">
        <f t="shared" si="70"/>
        <v>0</v>
      </c>
    </row>
    <row r="116" collapsed="1">
      <c r="A116" s="233"/>
      <c r="B116" s="247" t="str">
        <f t="shared" ref="B116:M116" si="115">if($M$2,IFERROR(INDIRECT("'"&amp;B$3&amp;"'!"&amp;$B$2&amp;match($A116,INDIRECT("'"&amp;B$3&amp;"'!B1:B"),0)),""),
IFERROR(INDIRECT("'"&amp;B$3&amp;"!"&amp;$B$2&amp;match($A116,INDIRECT("'"&amp;B$3&amp;"'!B:B"),0)),""))</f>
        <v/>
      </c>
      <c r="C116" s="247" t="str">
        <f t="shared" si="115"/>
        <v/>
      </c>
      <c r="D116" s="247" t="str">
        <f t="shared" si="115"/>
        <v/>
      </c>
      <c r="E116" s="247" t="str">
        <f t="shared" si="115"/>
        <v/>
      </c>
      <c r="F116" s="247" t="str">
        <f t="shared" si="115"/>
        <v/>
      </c>
      <c r="G116" s="247" t="str">
        <f t="shared" si="115"/>
        <v/>
      </c>
      <c r="H116" s="247" t="str">
        <f t="shared" si="115"/>
        <v/>
      </c>
      <c r="I116" s="247" t="str">
        <f t="shared" si="115"/>
        <v/>
      </c>
      <c r="J116" s="247" t="str">
        <f t="shared" si="115"/>
        <v/>
      </c>
      <c r="K116" s="247" t="str">
        <f t="shared" si="115"/>
        <v/>
      </c>
      <c r="L116" s="247" t="str">
        <f t="shared" si="115"/>
        <v/>
      </c>
      <c r="M116" s="247" t="str">
        <f t="shared" si="115"/>
        <v/>
      </c>
      <c r="N116" s="247">
        <f t="shared" si="70"/>
        <v>0</v>
      </c>
    </row>
    <row r="117" hidden="1" outlineLevel="1">
      <c r="A117" s="233"/>
      <c r="B117" s="247" t="str">
        <f t="shared" ref="B117:M117" si="116">if($M$2,IFERROR(INDIRECT("'"&amp;B$3&amp;"'!"&amp;$B$2&amp;match($A117,INDIRECT("'"&amp;B$3&amp;"'!B1:B"),0)),""),
IFERROR(INDIRECT("'"&amp;B$3&amp;"!"&amp;$B$2&amp;match($A117,INDIRECT("'"&amp;B$3&amp;"'!B:B"),0)),""))</f>
        <v/>
      </c>
      <c r="C117" s="247" t="str">
        <f t="shared" si="116"/>
        <v/>
      </c>
      <c r="D117" s="247" t="str">
        <f t="shared" si="116"/>
        <v/>
      </c>
      <c r="E117" s="247" t="str">
        <f t="shared" si="116"/>
        <v/>
      </c>
      <c r="F117" s="247" t="str">
        <f t="shared" si="116"/>
        <v/>
      </c>
      <c r="G117" s="247" t="str">
        <f t="shared" si="116"/>
        <v/>
      </c>
      <c r="H117" s="247" t="str">
        <f t="shared" si="116"/>
        <v/>
      </c>
      <c r="I117" s="247" t="str">
        <f t="shared" si="116"/>
        <v/>
      </c>
      <c r="J117" s="247" t="str">
        <f t="shared" si="116"/>
        <v/>
      </c>
      <c r="K117" s="247" t="str">
        <f t="shared" si="116"/>
        <v/>
      </c>
      <c r="L117" s="247" t="str">
        <f t="shared" si="116"/>
        <v/>
      </c>
      <c r="M117" s="247" t="str">
        <f t="shared" si="116"/>
        <v/>
      </c>
      <c r="N117" s="247">
        <f t="shared" si="70"/>
        <v>0</v>
      </c>
    </row>
    <row r="118" hidden="1" outlineLevel="1">
      <c r="A118" s="233"/>
      <c r="B118" s="247" t="str">
        <f t="shared" ref="B118:M118" si="117">if($M$2,IFERROR(INDIRECT("'"&amp;B$3&amp;"'!"&amp;$B$2&amp;match($A118,INDIRECT("'"&amp;B$3&amp;"'!B1:B"),0)),""),
IFERROR(INDIRECT("'"&amp;B$3&amp;"!"&amp;$B$2&amp;match($A118,INDIRECT("'"&amp;B$3&amp;"'!B:B"),0)),""))</f>
        <v/>
      </c>
      <c r="C118" s="247" t="str">
        <f t="shared" si="117"/>
        <v/>
      </c>
      <c r="D118" s="247" t="str">
        <f t="shared" si="117"/>
        <v/>
      </c>
      <c r="E118" s="247" t="str">
        <f t="shared" si="117"/>
        <v/>
      </c>
      <c r="F118" s="247" t="str">
        <f t="shared" si="117"/>
        <v/>
      </c>
      <c r="G118" s="247" t="str">
        <f t="shared" si="117"/>
        <v/>
      </c>
      <c r="H118" s="247" t="str">
        <f t="shared" si="117"/>
        <v/>
      </c>
      <c r="I118" s="247" t="str">
        <f t="shared" si="117"/>
        <v/>
      </c>
      <c r="J118" s="247" t="str">
        <f t="shared" si="117"/>
        <v/>
      </c>
      <c r="K118" s="247" t="str">
        <f t="shared" si="117"/>
        <v/>
      </c>
      <c r="L118" s="247" t="str">
        <f t="shared" si="117"/>
        <v/>
      </c>
      <c r="M118" s="247" t="str">
        <f t="shared" si="117"/>
        <v/>
      </c>
      <c r="N118" s="247">
        <f t="shared" si="70"/>
        <v>0</v>
      </c>
    </row>
    <row r="119" hidden="1" outlineLevel="1">
      <c r="A119" s="233"/>
      <c r="B119" s="247" t="str">
        <f t="shared" ref="B119:M119" si="118">if($M$2,IFERROR(INDIRECT("'"&amp;B$3&amp;"'!"&amp;$B$2&amp;match($A119,INDIRECT("'"&amp;B$3&amp;"'!B1:B"),0)),""),
IFERROR(INDIRECT("'"&amp;B$3&amp;"!"&amp;$B$2&amp;match($A119,INDIRECT("'"&amp;B$3&amp;"'!B:B"),0)),""))</f>
        <v/>
      </c>
      <c r="C119" s="247" t="str">
        <f t="shared" si="118"/>
        <v/>
      </c>
      <c r="D119" s="247" t="str">
        <f t="shared" si="118"/>
        <v/>
      </c>
      <c r="E119" s="247" t="str">
        <f t="shared" si="118"/>
        <v/>
      </c>
      <c r="F119" s="247" t="str">
        <f t="shared" si="118"/>
        <v/>
      </c>
      <c r="G119" s="247" t="str">
        <f t="shared" si="118"/>
        <v/>
      </c>
      <c r="H119" s="247" t="str">
        <f t="shared" si="118"/>
        <v/>
      </c>
      <c r="I119" s="247" t="str">
        <f t="shared" si="118"/>
        <v/>
      </c>
      <c r="J119" s="247" t="str">
        <f t="shared" si="118"/>
        <v/>
      </c>
      <c r="K119" s="247" t="str">
        <f t="shared" si="118"/>
        <v/>
      </c>
      <c r="L119" s="247" t="str">
        <f t="shared" si="118"/>
        <v/>
      </c>
      <c r="M119" s="247" t="str">
        <f t="shared" si="118"/>
        <v/>
      </c>
      <c r="N119" s="247">
        <f t="shared" si="70"/>
        <v>0</v>
      </c>
    </row>
    <row r="120" hidden="1" outlineLevel="1">
      <c r="A120" s="233"/>
      <c r="B120" s="247" t="str">
        <f t="shared" ref="B120:M120" si="119">if($M$2,IFERROR(INDIRECT("'"&amp;B$3&amp;"'!"&amp;$B$2&amp;match($A120,INDIRECT("'"&amp;B$3&amp;"'!B1:B"),0)),""),
IFERROR(INDIRECT("'"&amp;B$3&amp;"!"&amp;$B$2&amp;match($A120,INDIRECT("'"&amp;B$3&amp;"'!B:B"),0)),""))</f>
        <v/>
      </c>
      <c r="C120" s="247" t="str">
        <f t="shared" si="119"/>
        <v/>
      </c>
      <c r="D120" s="247" t="str">
        <f t="shared" si="119"/>
        <v/>
      </c>
      <c r="E120" s="247" t="str">
        <f t="shared" si="119"/>
        <v/>
      </c>
      <c r="F120" s="247" t="str">
        <f t="shared" si="119"/>
        <v/>
      </c>
      <c r="G120" s="247" t="str">
        <f t="shared" si="119"/>
        <v/>
      </c>
      <c r="H120" s="247" t="str">
        <f t="shared" si="119"/>
        <v/>
      </c>
      <c r="I120" s="247" t="str">
        <f t="shared" si="119"/>
        <v/>
      </c>
      <c r="J120" s="247" t="str">
        <f t="shared" si="119"/>
        <v/>
      </c>
      <c r="K120" s="247" t="str">
        <f t="shared" si="119"/>
        <v/>
      </c>
      <c r="L120" s="247" t="str">
        <f t="shared" si="119"/>
        <v/>
      </c>
      <c r="M120" s="247" t="str">
        <f t="shared" si="119"/>
        <v/>
      </c>
      <c r="N120" s="247">
        <f t="shared" si="70"/>
        <v>0</v>
      </c>
    </row>
    <row r="121" hidden="1" outlineLevel="1">
      <c r="A121" s="233"/>
      <c r="B121" s="247" t="str">
        <f t="shared" ref="B121:M121" si="120">if($M$2,IFERROR(INDIRECT("'"&amp;B$3&amp;"'!"&amp;$B$2&amp;match($A121,INDIRECT("'"&amp;B$3&amp;"'!B1:B"),0)),""),
IFERROR(INDIRECT("'"&amp;B$3&amp;"!"&amp;$B$2&amp;match($A121,INDIRECT("'"&amp;B$3&amp;"'!B:B"),0)),""))</f>
        <v/>
      </c>
      <c r="C121" s="247" t="str">
        <f t="shared" si="120"/>
        <v/>
      </c>
      <c r="D121" s="247" t="str">
        <f t="shared" si="120"/>
        <v/>
      </c>
      <c r="E121" s="247" t="str">
        <f t="shared" si="120"/>
        <v/>
      </c>
      <c r="F121" s="247" t="str">
        <f t="shared" si="120"/>
        <v/>
      </c>
      <c r="G121" s="247" t="str">
        <f t="shared" si="120"/>
        <v/>
      </c>
      <c r="H121" s="247" t="str">
        <f t="shared" si="120"/>
        <v/>
      </c>
      <c r="I121" s="247" t="str">
        <f t="shared" si="120"/>
        <v/>
      </c>
      <c r="J121" s="247" t="str">
        <f t="shared" si="120"/>
        <v/>
      </c>
      <c r="K121" s="247" t="str">
        <f t="shared" si="120"/>
        <v/>
      </c>
      <c r="L121" s="247" t="str">
        <f t="shared" si="120"/>
        <v/>
      </c>
      <c r="M121" s="247" t="str">
        <f t="shared" si="120"/>
        <v/>
      </c>
      <c r="N121" s="247">
        <f t="shared" si="70"/>
        <v>0</v>
      </c>
    </row>
    <row r="122" hidden="1" outlineLevel="1">
      <c r="A122" s="233"/>
      <c r="B122" s="247" t="str">
        <f t="shared" ref="B122:M122" si="121">if($M$2,IFERROR(INDIRECT("'"&amp;B$3&amp;"'!"&amp;$B$2&amp;match($A122,INDIRECT("'"&amp;B$3&amp;"'!B1:B"),0)),""),
IFERROR(INDIRECT("'"&amp;B$3&amp;"!"&amp;$B$2&amp;match($A122,INDIRECT("'"&amp;B$3&amp;"'!B:B"),0)),""))</f>
        <v/>
      </c>
      <c r="C122" s="247" t="str">
        <f t="shared" si="121"/>
        <v/>
      </c>
      <c r="D122" s="247" t="str">
        <f t="shared" si="121"/>
        <v/>
      </c>
      <c r="E122" s="247" t="str">
        <f t="shared" si="121"/>
        <v/>
      </c>
      <c r="F122" s="247" t="str">
        <f t="shared" si="121"/>
        <v/>
      </c>
      <c r="G122" s="247" t="str">
        <f t="shared" si="121"/>
        <v/>
      </c>
      <c r="H122" s="247" t="str">
        <f t="shared" si="121"/>
        <v/>
      </c>
      <c r="I122" s="247" t="str">
        <f t="shared" si="121"/>
        <v/>
      </c>
      <c r="J122" s="247" t="str">
        <f t="shared" si="121"/>
        <v/>
      </c>
      <c r="K122" s="247" t="str">
        <f t="shared" si="121"/>
        <v/>
      </c>
      <c r="L122" s="247" t="str">
        <f t="shared" si="121"/>
        <v/>
      </c>
      <c r="M122" s="247" t="str">
        <f t="shared" si="121"/>
        <v/>
      </c>
      <c r="N122" s="247">
        <f t="shared" si="70"/>
        <v>0</v>
      </c>
    </row>
    <row r="123" hidden="1" outlineLevel="1">
      <c r="A123" s="233"/>
      <c r="B123" s="247" t="str">
        <f t="shared" ref="B123:M123" si="122">if($M$2,IFERROR(INDIRECT("'"&amp;B$3&amp;"'!"&amp;$B$2&amp;match($A123,INDIRECT("'"&amp;B$3&amp;"'!B1:B"),0)),""),
IFERROR(INDIRECT("'"&amp;B$3&amp;"!"&amp;$B$2&amp;match($A123,INDIRECT("'"&amp;B$3&amp;"'!B:B"),0)),""))</f>
        <v/>
      </c>
      <c r="C123" s="247" t="str">
        <f t="shared" si="122"/>
        <v/>
      </c>
      <c r="D123" s="247" t="str">
        <f t="shared" si="122"/>
        <v/>
      </c>
      <c r="E123" s="247" t="str">
        <f t="shared" si="122"/>
        <v/>
      </c>
      <c r="F123" s="247" t="str">
        <f t="shared" si="122"/>
        <v/>
      </c>
      <c r="G123" s="247" t="str">
        <f t="shared" si="122"/>
        <v/>
      </c>
      <c r="H123" s="247" t="str">
        <f t="shared" si="122"/>
        <v/>
      </c>
      <c r="I123" s="247" t="str">
        <f t="shared" si="122"/>
        <v/>
      </c>
      <c r="J123" s="247" t="str">
        <f t="shared" si="122"/>
        <v/>
      </c>
      <c r="K123" s="247" t="str">
        <f t="shared" si="122"/>
        <v/>
      </c>
      <c r="L123" s="247" t="str">
        <f t="shared" si="122"/>
        <v/>
      </c>
      <c r="M123" s="247" t="str">
        <f t="shared" si="122"/>
        <v/>
      </c>
      <c r="N123" s="247">
        <f t="shared" si="70"/>
        <v>0</v>
      </c>
    </row>
    <row r="124" hidden="1" outlineLevel="1">
      <c r="A124" s="233"/>
      <c r="B124" s="247" t="str">
        <f t="shared" ref="B124:M124" si="123">if($M$2,IFERROR(INDIRECT("'"&amp;B$3&amp;"'!"&amp;$B$2&amp;match($A124,INDIRECT("'"&amp;B$3&amp;"'!B1:B"),0)),""),
IFERROR(INDIRECT("'"&amp;B$3&amp;"!"&amp;$B$2&amp;match($A124,INDIRECT("'"&amp;B$3&amp;"'!B:B"),0)),""))</f>
        <v/>
      </c>
      <c r="C124" s="247" t="str">
        <f t="shared" si="123"/>
        <v/>
      </c>
      <c r="D124" s="247" t="str">
        <f t="shared" si="123"/>
        <v/>
      </c>
      <c r="E124" s="247" t="str">
        <f t="shared" si="123"/>
        <v/>
      </c>
      <c r="F124" s="247" t="str">
        <f t="shared" si="123"/>
        <v/>
      </c>
      <c r="G124" s="247" t="str">
        <f t="shared" si="123"/>
        <v/>
      </c>
      <c r="H124" s="247" t="str">
        <f t="shared" si="123"/>
        <v/>
      </c>
      <c r="I124" s="247" t="str">
        <f t="shared" si="123"/>
        <v/>
      </c>
      <c r="J124" s="247" t="str">
        <f t="shared" si="123"/>
        <v/>
      </c>
      <c r="K124" s="247" t="str">
        <f t="shared" si="123"/>
        <v/>
      </c>
      <c r="L124" s="247" t="str">
        <f t="shared" si="123"/>
        <v/>
      </c>
      <c r="M124" s="247" t="str">
        <f t="shared" si="123"/>
        <v/>
      </c>
      <c r="N124" s="247">
        <f t="shared" si="70"/>
        <v>0</v>
      </c>
    </row>
    <row r="125" hidden="1" outlineLevel="1">
      <c r="A125" s="233"/>
      <c r="B125" s="247" t="str">
        <f t="shared" ref="B125:M125" si="124">if($M$2,IFERROR(INDIRECT("'"&amp;B$3&amp;"'!"&amp;$B$2&amp;match($A125,INDIRECT("'"&amp;B$3&amp;"'!B1:B"),0)),""),
IFERROR(INDIRECT("'"&amp;B$3&amp;"!"&amp;$B$2&amp;match($A125,INDIRECT("'"&amp;B$3&amp;"'!B:B"),0)),""))</f>
        <v/>
      </c>
      <c r="C125" s="247" t="str">
        <f t="shared" si="124"/>
        <v/>
      </c>
      <c r="D125" s="247" t="str">
        <f t="shared" si="124"/>
        <v/>
      </c>
      <c r="E125" s="247" t="str">
        <f t="shared" si="124"/>
        <v/>
      </c>
      <c r="F125" s="247" t="str">
        <f t="shared" si="124"/>
        <v/>
      </c>
      <c r="G125" s="247" t="str">
        <f t="shared" si="124"/>
        <v/>
      </c>
      <c r="H125" s="247" t="str">
        <f t="shared" si="124"/>
        <v/>
      </c>
      <c r="I125" s="247" t="str">
        <f t="shared" si="124"/>
        <v/>
      </c>
      <c r="J125" s="247" t="str">
        <f t="shared" si="124"/>
        <v/>
      </c>
      <c r="K125" s="247" t="str">
        <f t="shared" si="124"/>
        <v/>
      </c>
      <c r="L125" s="247" t="str">
        <f t="shared" si="124"/>
        <v/>
      </c>
      <c r="M125" s="247" t="str">
        <f t="shared" si="124"/>
        <v/>
      </c>
      <c r="N125" s="247">
        <f t="shared" si="70"/>
        <v>0</v>
      </c>
    </row>
    <row r="126" hidden="1" outlineLevel="1">
      <c r="A126" s="233"/>
      <c r="B126" s="247" t="str">
        <f t="shared" ref="B126:M126" si="125">if($M$2,IFERROR(INDIRECT("'"&amp;B$3&amp;"'!"&amp;$B$2&amp;match($A126,INDIRECT("'"&amp;B$3&amp;"'!B1:B"),0)),""),
IFERROR(INDIRECT("'"&amp;B$3&amp;"!"&amp;$B$2&amp;match($A126,INDIRECT("'"&amp;B$3&amp;"'!B:B"),0)),""))</f>
        <v/>
      </c>
      <c r="C126" s="247" t="str">
        <f t="shared" si="125"/>
        <v/>
      </c>
      <c r="D126" s="247" t="str">
        <f t="shared" si="125"/>
        <v/>
      </c>
      <c r="E126" s="247" t="str">
        <f t="shared" si="125"/>
        <v/>
      </c>
      <c r="F126" s="247" t="str">
        <f t="shared" si="125"/>
        <v/>
      </c>
      <c r="G126" s="247" t="str">
        <f t="shared" si="125"/>
        <v/>
      </c>
      <c r="H126" s="247" t="str">
        <f t="shared" si="125"/>
        <v/>
      </c>
      <c r="I126" s="247" t="str">
        <f t="shared" si="125"/>
        <v/>
      </c>
      <c r="J126" s="247" t="str">
        <f t="shared" si="125"/>
        <v/>
      </c>
      <c r="K126" s="247" t="str">
        <f t="shared" si="125"/>
        <v/>
      </c>
      <c r="L126" s="247" t="str">
        <f t="shared" si="125"/>
        <v/>
      </c>
      <c r="M126" s="247" t="str">
        <f t="shared" si="125"/>
        <v/>
      </c>
      <c r="N126" s="247">
        <f t="shared" si="70"/>
        <v>0</v>
      </c>
    </row>
    <row r="127" hidden="1" outlineLevel="1">
      <c r="A127" s="233"/>
      <c r="B127" s="247" t="str">
        <f t="shared" ref="B127:M127" si="126">if($M$2,IFERROR(INDIRECT("'"&amp;B$3&amp;"'!"&amp;$B$2&amp;match($A127,INDIRECT("'"&amp;B$3&amp;"'!B1:B"),0)),""),
IFERROR(INDIRECT("'"&amp;B$3&amp;"!"&amp;$B$2&amp;match($A127,INDIRECT("'"&amp;B$3&amp;"'!B:B"),0)),""))</f>
        <v/>
      </c>
      <c r="C127" s="247" t="str">
        <f t="shared" si="126"/>
        <v/>
      </c>
      <c r="D127" s="247" t="str">
        <f t="shared" si="126"/>
        <v/>
      </c>
      <c r="E127" s="247" t="str">
        <f t="shared" si="126"/>
        <v/>
      </c>
      <c r="F127" s="247" t="str">
        <f t="shared" si="126"/>
        <v/>
      </c>
      <c r="G127" s="247" t="str">
        <f t="shared" si="126"/>
        <v/>
      </c>
      <c r="H127" s="247" t="str">
        <f t="shared" si="126"/>
        <v/>
      </c>
      <c r="I127" s="247" t="str">
        <f t="shared" si="126"/>
        <v/>
      </c>
      <c r="J127" s="247" t="str">
        <f t="shared" si="126"/>
        <v/>
      </c>
      <c r="K127" s="247" t="str">
        <f t="shared" si="126"/>
        <v/>
      </c>
      <c r="L127" s="247" t="str">
        <f t="shared" si="126"/>
        <v/>
      </c>
      <c r="M127" s="247" t="str">
        <f t="shared" si="126"/>
        <v/>
      </c>
      <c r="N127" s="247">
        <f t="shared" si="70"/>
        <v>0</v>
      </c>
    </row>
    <row r="128" hidden="1" outlineLevel="1">
      <c r="A128" s="233"/>
      <c r="B128" s="247" t="str">
        <f t="shared" ref="B128:M128" si="127">if($M$2,IFERROR(INDIRECT("'"&amp;B$3&amp;"'!"&amp;$B$2&amp;match($A128,INDIRECT("'"&amp;B$3&amp;"'!B1:B"),0)),""),
IFERROR(INDIRECT("'"&amp;B$3&amp;"!"&amp;$B$2&amp;match($A128,INDIRECT("'"&amp;B$3&amp;"'!B:B"),0)),""))</f>
        <v/>
      </c>
      <c r="C128" s="247" t="str">
        <f t="shared" si="127"/>
        <v/>
      </c>
      <c r="D128" s="247" t="str">
        <f t="shared" si="127"/>
        <v/>
      </c>
      <c r="E128" s="247" t="str">
        <f t="shared" si="127"/>
        <v/>
      </c>
      <c r="F128" s="247" t="str">
        <f t="shared" si="127"/>
        <v/>
      </c>
      <c r="G128" s="247" t="str">
        <f t="shared" si="127"/>
        <v/>
      </c>
      <c r="H128" s="247" t="str">
        <f t="shared" si="127"/>
        <v/>
      </c>
      <c r="I128" s="247" t="str">
        <f t="shared" si="127"/>
        <v/>
      </c>
      <c r="J128" s="247" t="str">
        <f t="shared" si="127"/>
        <v/>
      </c>
      <c r="K128" s="247" t="str">
        <f t="shared" si="127"/>
        <v/>
      </c>
      <c r="L128" s="247" t="str">
        <f t="shared" si="127"/>
        <v/>
      </c>
      <c r="M128" s="247" t="str">
        <f t="shared" si="127"/>
        <v/>
      </c>
      <c r="N128" s="247">
        <f t="shared" si="70"/>
        <v>0</v>
      </c>
    </row>
    <row r="129">
      <c r="A129" s="257" t="s">
        <v>163</v>
      </c>
      <c r="B129" s="258">
        <f t="shared" ref="B129:M129" si="128">B68+B71</f>
        <v>141897.03</v>
      </c>
      <c r="C129" s="258">
        <f t="shared" si="128"/>
        <v>0</v>
      </c>
      <c r="D129" s="258">
        <f t="shared" si="128"/>
        <v>0</v>
      </c>
      <c r="E129" s="258">
        <f t="shared" si="128"/>
        <v>0</v>
      </c>
      <c r="F129" s="258">
        <f t="shared" si="128"/>
        <v>0</v>
      </c>
      <c r="G129" s="258">
        <f t="shared" si="128"/>
        <v>0</v>
      </c>
      <c r="H129" s="258">
        <f t="shared" si="128"/>
        <v>0</v>
      </c>
      <c r="I129" s="258">
        <f t="shared" si="128"/>
        <v>0</v>
      </c>
      <c r="J129" s="258">
        <f t="shared" si="128"/>
        <v>0</v>
      </c>
      <c r="K129" s="258">
        <f t="shared" si="128"/>
        <v>0</v>
      </c>
      <c r="L129" s="258">
        <f t="shared" si="128"/>
        <v>0</v>
      </c>
      <c r="M129" s="258">
        <f t="shared" si="128"/>
        <v>0</v>
      </c>
      <c r="N129" s="258">
        <f t="shared" si="70"/>
        <v>141897.03</v>
      </c>
    </row>
    <row r="130">
      <c r="A130" s="272" t="s">
        <v>164</v>
      </c>
      <c r="B130" s="260">
        <f t="shared" ref="B130:N130" si="129">IFERROR(B129/B$5,"")</f>
        <v>0.615872526</v>
      </c>
      <c r="C130" s="260" t="str">
        <f t="shared" si="129"/>
        <v/>
      </c>
      <c r="D130" s="260" t="str">
        <f t="shared" si="129"/>
        <v/>
      </c>
      <c r="E130" s="260" t="str">
        <f t="shared" si="129"/>
        <v/>
      </c>
      <c r="F130" s="260" t="str">
        <f t="shared" si="129"/>
        <v/>
      </c>
      <c r="G130" s="260" t="str">
        <f t="shared" si="129"/>
        <v/>
      </c>
      <c r="H130" s="260" t="str">
        <f t="shared" si="129"/>
        <v/>
      </c>
      <c r="I130" s="260" t="str">
        <f t="shared" si="129"/>
        <v/>
      </c>
      <c r="J130" s="260" t="str">
        <f t="shared" si="129"/>
        <v/>
      </c>
      <c r="K130" s="260" t="str">
        <f t="shared" si="129"/>
        <v/>
      </c>
      <c r="L130" s="260" t="str">
        <f t="shared" si="129"/>
        <v/>
      </c>
      <c r="M130" s="260" t="str">
        <f t="shared" si="129"/>
        <v/>
      </c>
      <c r="N130" s="260">
        <f t="shared" si="129"/>
        <v>0.615872526</v>
      </c>
    </row>
    <row r="131">
      <c r="A131" s="252"/>
      <c r="B131" s="261"/>
      <c r="C131" s="261"/>
      <c r="D131" s="261"/>
      <c r="E131" s="261"/>
      <c r="F131" s="261"/>
      <c r="G131" s="261"/>
      <c r="H131" s="261"/>
      <c r="I131" s="261"/>
      <c r="J131" s="261"/>
      <c r="K131" s="261"/>
      <c r="L131" s="261"/>
      <c r="M131" s="261"/>
      <c r="N131" s="261">
        <f t="shared" ref="N131:N152" si="131">SUM(B131:M131)</f>
        <v>0</v>
      </c>
    </row>
    <row r="132">
      <c r="A132" s="262" t="s">
        <v>111</v>
      </c>
      <c r="B132" s="251">
        <f t="shared" ref="B132:M132" si="130">SUM(B133:B141)</f>
        <v>10</v>
      </c>
      <c r="C132" s="251">
        <f t="shared" si="130"/>
        <v>0</v>
      </c>
      <c r="D132" s="251">
        <f t="shared" si="130"/>
        <v>0</v>
      </c>
      <c r="E132" s="251">
        <f t="shared" si="130"/>
        <v>0</v>
      </c>
      <c r="F132" s="251">
        <f t="shared" si="130"/>
        <v>0</v>
      </c>
      <c r="G132" s="251">
        <f t="shared" si="130"/>
        <v>0</v>
      </c>
      <c r="H132" s="251">
        <f t="shared" si="130"/>
        <v>0</v>
      </c>
      <c r="I132" s="251">
        <f t="shared" si="130"/>
        <v>0</v>
      </c>
      <c r="J132" s="251">
        <f t="shared" si="130"/>
        <v>0</v>
      </c>
      <c r="K132" s="251">
        <f t="shared" si="130"/>
        <v>0</v>
      </c>
      <c r="L132" s="251">
        <f t="shared" si="130"/>
        <v>0</v>
      </c>
      <c r="M132" s="251">
        <f t="shared" si="130"/>
        <v>0</v>
      </c>
      <c r="N132" s="251">
        <f t="shared" si="131"/>
        <v>10</v>
      </c>
    </row>
    <row r="133">
      <c r="A133" s="254" t="str">
        <f>IFERROR(__xludf.DUMMYFUNCTION("iferror(filter('Статьи'!$A$1:$A158,'Статьи'!$B$1:$B158=$A$132))"),"Поступления прочие")</f>
        <v>Поступления прочие</v>
      </c>
      <c r="B133" s="247">
        <f t="shared" ref="B133:M133" si="132">if($M$2,IFERROR(INDIRECT("'"&amp;B$3&amp;"'!"&amp;$B$2&amp;match($A133,INDIRECT("'"&amp;B$3&amp;"'!B1:B"),0)),""),
IFERROR(INDIRECT("'"&amp;B$3&amp;"!"&amp;$B$2&amp;match($A133,INDIRECT("'"&amp;B$3&amp;"'!B:B"),0)),""))</f>
        <v>10</v>
      </c>
      <c r="C133" s="247">
        <f t="shared" si="132"/>
        <v>0</v>
      </c>
      <c r="D133" s="247">
        <f t="shared" si="132"/>
        <v>0</v>
      </c>
      <c r="E133" s="247">
        <f t="shared" si="132"/>
        <v>0</v>
      </c>
      <c r="F133" s="247">
        <f t="shared" si="132"/>
        <v>0</v>
      </c>
      <c r="G133" s="247">
        <f t="shared" si="132"/>
        <v>0</v>
      </c>
      <c r="H133" s="247">
        <f t="shared" si="132"/>
        <v>0</v>
      </c>
      <c r="I133" s="247">
        <f t="shared" si="132"/>
        <v>0</v>
      </c>
      <c r="J133" s="247">
        <f t="shared" si="132"/>
        <v>0</v>
      </c>
      <c r="K133" s="247">
        <f t="shared" si="132"/>
        <v>0</v>
      </c>
      <c r="L133" s="247">
        <f t="shared" si="132"/>
        <v>0</v>
      </c>
      <c r="M133" s="247">
        <f t="shared" si="132"/>
        <v>0</v>
      </c>
      <c r="N133" s="247">
        <f t="shared" si="131"/>
        <v>10</v>
      </c>
    </row>
    <row r="134">
      <c r="A134" s="254" t="str">
        <f>IFERROR(__xludf.DUMMYFUNCTION("""COMPUTED_VALUE"""),"Поступления страховые выплаты")</f>
        <v>Поступления страховые выплаты</v>
      </c>
      <c r="B134" s="247">
        <f t="shared" ref="B134:M134" si="133">if($M$2,IFERROR(INDIRECT("'"&amp;B$3&amp;"'!"&amp;$B$2&amp;match($A134,INDIRECT("'"&amp;B$3&amp;"'!B1:B"),0)),""),
IFERROR(INDIRECT("'"&amp;B$3&amp;"!"&amp;$B$2&amp;match($A134,INDIRECT("'"&amp;B$3&amp;"'!B:B"),0)),""))</f>
        <v>0</v>
      </c>
      <c r="C134" s="247">
        <f t="shared" si="133"/>
        <v>0</v>
      </c>
      <c r="D134" s="247">
        <f t="shared" si="133"/>
        <v>0</v>
      </c>
      <c r="E134" s="247">
        <f t="shared" si="133"/>
        <v>0</v>
      </c>
      <c r="F134" s="247">
        <f t="shared" si="133"/>
        <v>0</v>
      </c>
      <c r="G134" s="247">
        <f t="shared" si="133"/>
        <v>0</v>
      </c>
      <c r="H134" s="247">
        <f t="shared" si="133"/>
        <v>0</v>
      </c>
      <c r="I134" s="247">
        <f t="shared" si="133"/>
        <v>0</v>
      </c>
      <c r="J134" s="247">
        <f t="shared" si="133"/>
        <v>0</v>
      </c>
      <c r="K134" s="247">
        <f t="shared" si="133"/>
        <v>0</v>
      </c>
      <c r="L134" s="247">
        <f t="shared" si="133"/>
        <v>0</v>
      </c>
      <c r="M134" s="247">
        <f t="shared" si="133"/>
        <v>0</v>
      </c>
      <c r="N134" s="247">
        <f t="shared" si="131"/>
        <v>0</v>
      </c>
    </row>
    <row r="135">
      <c r="A135" s="254" t="str">
        <f>IFERROR(__xludf.DUMMYFUNCTION("""COMPUTED_VALUE"""),"Продажа ОС")</f>
        <v>Продажа ОС</v>
      </c>
      <c r="B135" s="247">
        <f t="shared" ref="B135:M135" si="134">if($M$2,IFERROR(INDIRECT("'"&amp;B$3&amp;"'!"&amp;$B$2&amp;match($A135,INDIRECT("'"&amp;B$3&amp;"'!B1:B"),0)),""),
IFERROR(INDIRECT("'"&amp;B$3&amp;"!"&amp;$B$2&amp;match($A135,INDIRECT("'"&amp;B$3&amp;"'!B:B"),0)),""))</f>
        <v>0</v>
      </c>
      <c r="C135" s="247">
        <f t="shared" si="134"/>
        <v>0</v>
      </c>
      <c r="D135" s="247">
        <f t="shared" si="134"/>
        <v>0</v>
      </c>
      <c r="E135" s="247">
        <f t="shared" si="134"/>
        <v>0</v>
      </c>
      <c r="F135" s="247">
        <f t="shared" si="134"/>
        <v>0</v>
      </c>
      <c r="G135" s="247">
        <f t="shared" si="134"/>
        <v>0</v>
      </c>
      <c r="H135" s="247">
        <f t="shared" si="134"/>
        <v>0</v>
      </c>
      <c r="I135" s="247">
        <f t="shared" si="134"/>
        <v>0</v>
      </c>
      <c r="J135" s="247">
        <f t="shared" si="134"/>
        <v>0</v>
      </c>
      <c r="K135" s="247">
        <f t="shared" si="134"/>
        <v>0</v>
      </c>
      <c r="L135" s="247">
        <f t="shared" si="134"/>
        <v>0</v>
      </c>
      <c r="M135" s="247">
        <f t="shared" si="134"/>
        <v>0</v>
      </c>
      <c r="N135" s="247">
        <f t="shared" si="131"/>
        <v>0</v>
      </c>
    </row>
    <row r="136">
      <c r="A136" s="254" t="str">
        <f>IFERROR(__xludf.DUMMYFUNCTION("""COMPUTED_VALUE"""),"Прочие поступления от фин. операций")</f>
        <v>Прочие поступления от фин. операций</v>
      </c>
      <c r="B136" s="247">
        <f t="shared" ref="B136:M136" si="135">if($M$2,IFERROR(INDIRECT("'"&amp;B$3&amp;"'!"&amp;$B$2&amp;match($A136,INDIRECT("'"&amp;B$3&amp;"'!B1:B"),0)),""),
IFERROR(INDIRECT("'"&amp;B$3&amp;"!"&amp;$B$2&amp;match($A136,INDIRECT("'"&amp;B$3&amp;"'!B:B"),0)),""))</f>
        <v>0</v>
      </c>
      <c r="C136" s="247">
        <f t="shared" si="135"/>
        <v>0</v>
      </c>
      <c r="D136" s="247">
        <f t="shared" si="135"/>
        <v>0</v>
      </c>
      <c r="E136" s="247">
        <f t="shared" si="135"/>
        <v>0</v>
      </c>
      <c r="F136" s="247">
        <f t="shared" si="135"/>
        <v>0</v>
      </c>
      <c r="G136" s="247">
        <f t="shared" si="135"/>
        <v>0</v>
      </c>
      <c r="H136" s="247">
        <f t="shared" si="135"/>
        <v>0</v>
      </c>
      <c r="I136" s="247">
        <f t="shared" si="135"/>
        <v>0</v>
      </c>
      <c r="J136" s="247">
        <f t="shared" si="135"/>
        <v>0</v>
      </c>
      <c r="K136" s="247">
        <f t="shared" si="135"/>
        <v>0</v>
      </c>
      <c r="L136" s="247">
        <f t="shared" si="135"/>
        <v>0</v>
      </c>
      <c r="M136" s="247">
        <f t="shared" si="135"/>
        <v>0</v>
      </c>
      <c r="N136" s="247">
        <f t="shared" si="131"/>
        <v>0</v>
      </c>
    </row>
    <row r="137">
      <c r="A137" s="254"/>
      <c r="B137" s="247" t="str">
        <f t="shared" ref="B137:M137" si="136">if($M$2,IFERROR(INDIRECT("'"&amp;B$3&amp;"'!"&amp;$B$2&amp;match($A137,INDIRECT("'"&amp;B$3&amp;"'!B1:B"),0)),""),
IFERROR(INDIRECT("'"&amp;B$3&amp;"!"&amp;$B$2&amp;match($A137,INDIRECT("'"&amp;B$3&amp;"'!B:B"),0)),""))</f>
        <v/>
      </c>
      <c r="C137" s="247" t="str">
        <f t="shared" si="136"/>
        <v/>
      </c>
      <c r="D137" s="247" t="str">
        <f t="shared" si="136"/>
        <v/>
      </c>
      <c r="E137" s="247" t="str">
        <f t="shared" si="136"/>
        <v/>
      </c>
      <c r="F137" s="247" t="str">
        <f t="shared" si="136"/>
        <v/>
      </c>
      <c r="G137" s="247" t="str">
        <f t="shared" si="136"/>
        <v/>
      </c>
      <c r="H137" s="247" t="str">
        <f t="shared" si="136"/>
        <v/>
      </c>
      <c r="I137" s="247" t="str">
        <f t="shared" si="136"/>
        <v/>
      </c>
      <c r="J137" s="247" t="str">
        <f t="shared" si="136"/>
        <v/>
      </c>
      <c r="K137" s="247" t="str">
        <f t="shared" si="136"/>
        <v/>
      </c>
      <c r="L137" s="247" t="str">
        <f t="shared" si="136"/>
        <v/>
      </c>
      <c r="M137" s="247" t="str">
        <f t="shared" si="136"/>
        <v/>
      </c>
      <c r="N137" s="247">
        <f t="shared" si="131"/>
        <v>0</v>
      </c>
    </row>
    <row r="138">
      <c r="A138" s="254"/>
      <c r="B138" s="247" t="str">
        <f t="shared" ref="B138:M138" si="137">if($M$2,IFERROR(INDIRECT("'"&amp;B$3&amp;"'!"&amp;$B$2&amp;match($A138,INDIRECT("'"&amp;B$3&amp;"'!B1:B"),0)),""),
IFERROR(INDIRECT("'"&amp;B$3&amp;"!"&amp;$B$2&amp;match($A138,INDIRECT("'"&amp;B$3&amp;"'!B:B"),0)),""))</f>
        <v/>
      </c>
      <c r="C138" s="247" t="str">
        <f t="shared" si="137"/>
        <v/>
      </c>
      <c r="D138" s="247" t="str">
        <f t="shared" si="137"/>
        <v/>
      </c>
      <c r="E138" s="247" t="str">
        <f t="shared" si="137"/>
        <v/>
      </c>
      <c r="F138" s="247" t="str">
        <f t="shared" si="137"/>
        <v/>
      </c>
      <c r="G138" s="247" t="str">
        <f t="shared" si="137"/>
        <v/>
      </c>
      <c r="H138" s="247" t="str">
        <f t="shared" si="137"/>
        <v/>
      </c>
      <c r="I138" s="247" t="str">
        <f t="shared" si="137"/>
        <v/>
      </c>
      <c r="J138" s="247" t="str">
        <f t="shared" si="137"/>
        <v/>
      </c>
      <c r="K138" s="247" t="str">
        <f t="shared" si="137"/>
        <v/>
      </c>
      <c r="L138" s="247" t="str">
        <f t="shared" si="137"/>
        <v/>
      </c>
      <c r="M138" s="247" t="str">
        <f t="shared" si="137"/>
        <v/>
      </c>
      <c r="N138" s="247">
        <f t="shared" si="131"/>
        <v>0</v>
      </c>
    </row>
    <row r="139" outlineLevel="1">
      <c r="A139" s="254"/>
      <c r="B139" s="247" t="str">
        <f t="shared" ref="B139:M139" si="138">if($M$2,IFERROR(INDIRECT("'"&amp;B$3&amp;"'!"&amp;$B$2&amp;match($A139,INDIRECT("'"&amp;B$3&amp;"'!B1:B"),0)),""),
IFERROR(INDIRECT("'"&amp;B$3&amp;"!"&amp;$B$2&amp;match($A139,INDIRECT("'"&amp;B$3&amp;"'!B:B"),0)),""))</f>
        <v/>
      </c>
      <c r="C139" s="247" t="str">
        <f t="shared" si="138"/>
        <v/>
      </c>
      <c r="D139" s="247" t="str">
        <f t="shared" si="138"/>
        <v/>
      </c>
      <c r="E139" s="247" t="str">
        <f t="shared" si="138"/>
        <v/>
      </c>
      <c r="F139" s="247" t="str">
        <f t="shared" si="138"/>
        <v/>
      </c>
      <c r="G139" s="247" t="str">
        <f t="shared" si="138"/>
        <v/>
      </c>
      <c r="H139" s="247" t="str">
        <f t="shared" si="138"/>
        <v/>
      </c>
      <c r="I139" s="247" t="str">
        <f t="shared" si="138"/>
        <v/>
      </c>
      <c r="J139" s="247" t="str">
        <f t="shared" si="138"/>
        <v/>
      </c>
      <c r="K139" s="247" t="str">
        <f t="shared" si="138"/>
        <v/>
      </c>
      <c r="L139" s="247" t="str">
        <f t="shared" si="138"/>
        <v/>
      </c>
      <c r="M139" s="247" t="str">
        <f t="shared" si="138"/>
        <v/>
      </c>
      <c r="N139" s="247">
        <f t="shared" si="131"/>
        <v>0</v>
      </c>
    </row>
    <row r="140" outlineLevel="1">
      <c r="A140" s="254"/>
      <c r="B140" s="247" t="str">
        <f t="shared" ref="B140:M140" si="139">if($M$2,IFERROR(INDIRECT("'"&amp;B$3&amp;"'!"&amp;$B$2&amp;match($A140,INDIRECT("'"&amp;B$3&amp;"'!B1:B"),0)),""),
IFERROR(INDIRECT("'"&amp;B$3&amp;"!"&amp;$B$2&amp;match($A140,INDIRECT("'"&amp;B$3&amp;"'!B:B"),0)),""))</f>
        <v/>
      </c>
      <c r="C140" s="247" t="str">
        <f t="shared" si="139"/>
        <v/>
      </c>
      <c r="D140" s="247" t="str">
        <f t="shared" si="139"/>
        <v/>
      </c>
      <c r="E140" s="247" t="str">
        <f t="shared" si="139"/>
        <v/>
      </c>
      <c r="F140" s="247" t="str">
        <f t="shared" si="139"/>
        <v/>
      </c>
      <c r="G140" s="247" t="str">
        <f t="shared" si="139"/>
        <v/>
      </c>
      <c r="H140" s="247" t="str">
        <f t="shared" si="139"/>
        <v/>
      </c>
      <c r="I140" s="247" t="str">
        <f t="shared" si="139"/>
        <v/>
      </c>
      <c r="J140" s="247" t="str">
        <f t="shared" si="139"/>
        <v/>
      </c>
      <c r="K140" s="247" t="str">
        <f t="shared" si="139"/>
        <v/>
      </c>
      <c r="L140" s="247" t="str">
        <f t="shared" si="139"/>
        <v/>
      </c>
      <c r="M140" s="247" t="str">
        <f t="shared" si="139"/>
        <v/>
      </c>
      <c r="N140" s="247">
        <f t="shared" si="131"/>
        <v>0</v>
      </c>
    </row>
    <row r="141">
      <c r="A141" s="254"/>
      <c r="B141" s="247" t="str">
        <f t="shared" ref="B141:M141" si="140">if($M$2,IFERROR(INDIRECT("'"&amp;B$3&amp;"'!"&amp;$B$2&amp;match($A141,INDIRECT("'"&amp;B$3&amp;"'!B1:B"),0)),""),
IFERROR(INDIRECT("'"&amp;B$3&amp;"!"&amp;$B$2&amp;match($A141,INDIRECT("'"&amp;B$3&amp;"'!B:B"),0)),""))</f>
        <v/>
      </c>
      <c r="C141" s="247" t="str">
        <f t="shared" si="140"/>
        <v/>
      </c>
      <c r="D141" s="247" t="str">
        <f t="shared" si="140"/>
        <v/>
      </c>
      <c r="E141" s="247" t="str">
        <f t="shared" si="140"/>
        <v/>
      </c>
      <c r="F141" s="247" t="str">
        <f t="shared" si="140"/>
        <v/>
      </c>
      <c r="G141" s="247" t="str">
        <f t="shared" si="140"/>
        <v/>
      </c>
      <c r="H141" s="247" t="str">
        <f t="shared" si="140"/>
        <v/>
      </c>
      <c r="I141" s="247" t="str">
        <f t="shared" si="140"/>
        <v/>
      </c>
      <c r="J141" s="247" t="str">
        <f t="shared" si="140"/>
        <v/>
      </c>
      <c r="K141" s="247" t="str">
        <f t="shared" si="140"/>
        <v/>
      </c>
      <c r="L141" s="247" t="str">
        <f t="shared" si="140"/>
        <v/>
      </c>
      <c r="M141" s="247" t="str">
        <f t="shared" si="140"/>
        <v/>
      </c>
      <c r="N141" s="247">
        <f t="shared" si="131"/>
        <v>0</v>
      </c>
    </row>
    <row r="142">
      <c r="A142" s="250" t="s">
        <v>101</v>
      </c>
      <c r="B142" s="251">
        <f t="shared" ref="B142:M142" si="141">SUM(B143:B150)</f>
        <v>-44750</v>
      </c>
      <c r="C142" s="251">
        <f t="shared" si="141"/>
        <v>0</v>
      </c>
      <c r="D142" s="251">
        <f t="shared" si="141"/>
        <v>0</v>
      </c>
      <c r="E142" s="251">
        <f t="shared" si="141"/>
        <v>0</v>
      </c>
      <c r="F142" s="251">
        <f t="shared" si="141"/>
        <v>0</v>
      </c>
      <c r="G142" s="251">
        <f t="shared" si="141"/>
        <v>0</v>
      </c>
      <c r="H142" s="251">
        <f t="shared" si="141"/>
        <v>0</v>
      </c>
      <c r="I142" s="251">
        <f t="shared" si="141"/>
        <v>0</v>
      </c>
      <c r="J142" s="251">
        <f t="shared" si="141"/>
        <v>0</v>
      </c>
      <c r="K142" s="251">
        <f t="shared" si="141"/>
        <v>0</v>
      </c>
      <c r="L142" s="251">
        <f t="shared" si="141"/>
        <v>0</v>
      </c>
      <c r="M142" s="251">
        <f t="shared" si="141"/>
        <v>0</v>
      </c>
      <c r="N142" s="251">
        <f t="shared" si="131"/>
        <v>-44750</v>
      </c>
    </row>
    <row r="143">
      <c r="A143" s="254" t="str">
        <f>IFERROR(__xludf.DUMMYFUNCTION("iferror(filter('Статьи'!$A$1:$A158,'Статьи'!$B$1:$B158=$A$142))"),"Курсовые разницы")</f>
        <v>Курсовые разницы</v>
      </c>
      <c r="B143" s="247">
        <f t="shared" ref="B143:M143" si="142">if($M$2,IFERROR(INDIRECT("'"&amp;B$3&amp;"'!"&amp;$B$2&amp;match($A143,INDIRECT("'"&amp;B$3&amp;"'!B1:B"),0)),""),
IFERROR(INDIRECT("'"&amp;B$3&amp;"!"&amp;$B$2&amp;match($A143,INDIRECT("'"&amp;B$3&amp;"'!B:B"),0)),""))</f>
        <v>0</v>
      </c>
      <c r="C143" s="247">
        <f t="shared" si="142"/>
        <v>0</v>
      </c>
      <c r="D143" s="247">
        <f t="shared" si="142"/>
        <v>0</v>
      </c>
      <c r="E143" s="247">
        <f t="shared" si="142"/>
        <v>0</v>
      </c>
      <c r="F143" s="247">
        <f t="shared" si="142"/>
        <v>0</v>
      </c>
      <c r="G143" s="247">
        <f t="shared" si="142"/>
        <v>0</v>
      </c>
      <c r="H143" s="247">
        <f t="shared" si="142"/>
        <v>0</v>
      </c>
      <c r="I143" s="247">
        <f t="shared" si="142"/>
        <v>0</v>
      </c>
      <c r="J143" s="247">
        <f t="shared" si="142"/>
        <v>0</v>
      </c>
      <c r="K143" s="247">
        <f t="shared" si="142"/>
        <v>0</v>
      </c>
      <c r="L143" s="247">
        <f t="shared" si="142"/>
        <v>0</v>
      </c>
      <c r="M143" s="247">
        <f t="shared" si="142"/>
        <v>0</v>
      </c>
      <c r="N143" s="247">
        <f t="shared" si="131"/>
        <v>0</v>
      </c>
    </row>
    <row r="144">
      <c r="A144" s="254" t="str">
        <f>IFERROR(__xludf.DUMMYFUNCTION("""COMPUTED_VALUE"""),"Налог  на прибыль УСН 6%")</f>
        <v>Налог  на прибыль УСН 6%</v>
      </c>
      <c r="B144" s="247">
        <f t="shared" ref="B144:M144" si="143">if($M$2,IFERROR(INDIRECT("'"&amp;B$3&amp;"'!"&amp;$B$2&amp;match($A144,INDIRECT("'"&amp;B$3&amp;"'!B1:B"),0)),""),
IFERROR(INDIRECT("'"&amp;B$3&amp;"!"&amp;$B$2&amp;match($A144,INDIRECT("'"&amp;B$3&amp;"'!B:B"),0)),""))</f>
        <v>-6000</v>
      </c>
      <c r="C144" s="247">
        <f t="shared" si="143"/>
        <v>0</v>
      </c>
      <c r="D144" s="247">
        <f t="shared" si="143"/>
        <v>0</v>
      </c>
      <c r="E144" s="247">
        <f t="shared" si="143"/>
        <v>0</v>
      </c>
      <c r="F144" s="247">
        <f t="shared" si="143"/>
        <v>0</v>
      </c>
      <c r="G144" s="247">
        <f t="shared" si="143"/>
        <v>0</v>
      </c>
      <c r="H144" s="247">
        <f t="shared" si="143"/>
        <v>0</v>
      </c>
      <c r="I144" s="247">
        <f t="shared" si="143"/>
        <v>0</v>
      </c>
      <c r="J144" s="247">
        <f t="shared" si="143"/>
        <v>0</v>
      </c>
      <c r="K144" s="247">
        <f t="shared" si="143"/>
        <v>0</v>
      </c>
      <c r="L144" s="247">
        <f t="shared" si="143"/>
        <v>0</v>
      </c>
      <c r="M144" s="247">
        <f t="shared" si="143"/>
        <v>0</v>
      </c>
      <c r="N144" s="247">
        <f t="shared" si="131"/>
        <v>-6000</v>
      </c>
    </row>
    <row r="145">
      <c r="A145" s="254" t="str">
        <f>IFERROR(__xludf.DUMMYFUNCTION("""COMPUTED_VALUE"""),"Налог на прибыль 20%")</f>
        <v>Налог на прибыль 20%</v>
      </c>
      <c r="B145" s="247">
        <f t="shared" ref="B145:M145" si="144">if($M$2,IFERROR(INDIRECT("'"&amp;B$3&amp;"'!"&amp;$B$2&amp;match($A145,INDIRECT("'"&amp;B$3&amp;"'!B1:B"),0)),""),
IFERROR(INDIRECT("'"&amp;B$3&amp;"!"&amp;$B$2&amp;match($A145,INDIRECT("'"&amp;B$3&amp;"'!B:B"),0)),""))</f>
        <v>0</v>
      </c>
      <c r="C145" s="247">
        <f t="shared" si="144"/>
        <v>0</v>
      </c>
      <c r="D145" s="247">
        <f t="shared" si="144"/>
        <v>0</v>
      </c>
      <c r="E145" s="247">
        <f t="shared" si="144"/>
        <v>0</v>
      </c>
      <c r="F145" s="247">
        <f t="shared" si="144"/>
        <v>0</v>
      </c>
      <c r="G145" s="247">
        <f t="shared" si="144"/>
        <v>0</v>
      </c>
      <c r="H145" s="247">
        <f t="shared" si="144"/>
        <v>0</v>
      </c>
      <c r="I145" s="247">
        <f t="shared" si="144"/>
        <v>0</v>
      </c>
      <c r="J145" s="247">
        <f t="shared" si="144"/>
        <v>0</v>
      </c>
      <c r="K145" s="247">
        <f t="shared" si="144"/>
        <v>0</v>
      </c>
      <c r="L145" s="247">
        <f t="shared" si="144"/>
        <v>0</v>
      </c>
      <c r="M145" s="247">
        <f t="shared" si="144"/>
        <v>0</v>
      </c>
      <c r="N145" s="247">
        <f t="shared" si="131"/>
        <v>0</v>
      </c>
    </row>
    <row r="146">
      <c r="A146" s="254" t="str">
        <f>IFERROR(__xludf.DUMMYFUNCTION("""COMPUTED_VALUE"""),"Амортизация ОС")</f>
        <v>Амортизация ОС</v>
      </c>
      <c r="B146" s="247">
        <f t="shared" ref="B146:M146" si="145">if($M$2,IFERROR(INDIRECT("'"&amp;B$3&amp;"'!"&amp;$B$2&amp;match($A146,INDIRECT("'"&amp;B$3&amp;"'!B1:B"),0)),""),
IFERROR(INDIRECT("'"&amp;B$3&amp;"!"&amp;$B$2&amp;match($A146,INDIRECT("'"&amp;B$3&amp;"'!B:B"),0)),""))</f>
        <v>-36000</v>
      </c>
      <c r="C146" s="247">
        <f t="shared" si="145"/>
        <v>0</v>
      </c>
      <c r="D146" s="247">
        <f t="shared" si="145"/>
        <v>0</v>
      </c>
      <c r="E146" s="247">
        <f t="shared" si="145"/>
        <v>0</v>
      </c>
      <c r="F146" s="247">
        <f t="shared" si="145"/>
        <v>0</v>
      </c>
      <c r="G146" s="247">
        <f t="shared" si="145"/>
        <v>0</v>
      </c>
      <c r="H146" s="247">
        <f t="shared" si="145"/>
        <v>0</v>
      </c>
      <c r="I146" s="247">
        <f t="shared" si="145"/>
        <v>0</v>
      </c>
      <c r="J146" s="247">
        <f t="shared" si="145"/>
        <v>0</v>
      </c>
      <c r="K146" s="247">
        <f t="shared" si="145"/>
        <v>0</v>
      </c>
      <c r="L146" s="247">
        <f t="shared" si="145"/>
        <v>0</v>
      </c>
      <c r="M146" s="247">
        <f t="shared" si="145"/>
        <v>0</v>
      </c>
      <c r="N146" s="247">
        <f t="shared" si="131"/>
        <v>-36000</v>
      </c>
    </row>
    <row r="147">
      <c r="A147" s="254" t="str">
        <f>IFERROR(__xludf.DUMMYFUNCTION("""COMPUTED_VALUE"""),"Прочие расходы")</f>
        <v>Прочие расходы</v>
      </c>
      <c r="B147" s="247">
        <f t="shared" ref="B147:M147" si="146">if($M$2,IFERROR(INDIRECT("'"&amp;B$3&amp;"'!"&amp;$B$2&amp;match($A147,INDIRECT("'"&amp;B$3&amp;"'!B1:B"),0)),""),
IFERROR(INDIRECT("'"&amp;B$3&amp;"!"&amp;$B$2&amp;match($A147,INDIRECT("'"&amp;B$3&amp;"'!B:B"),0)),""))</f>
        <v>0</v>
      </c>
      <c r="C147" s="247">
        <f t="shared" si="146"/>
        <v>0</v>
      </c>
      <c r="D147" s="247">
        <f t="shared" si="146"/>
        <v>0</v>
      </c>
      <c r="E147" s="247">
        <f t="shared" si="146"/>
        <v>0</v>
      </c>
      <c r="F147" s="247">
        <f t="shared" si="146"/>
        <v>0</v>
      </c>
      <c r="G147" s="247">
        <f t="shared" si="146"/>
        <v>0</v>
      </c>
      <c r="H147" s="247">
        <f t="shared" si="146"/>
        <v>0</v>
      </c>
      <c r="I147" s="247">
        <f t="shared" si="146"/>
        <v>0</v>
      </c>
      <c r="J147" s="247">
        <f t="shared" si="146"/>
        <v>0</v>
      </c>
      <c r="K147" s="247">
        <f t="shared" si="146"/>
        <v>0</v>
      </c>
      <c r="L147" s="247">
        <f t="shared" si="146"/>
        <v>0</v>
      </c>
      <c r="M147" s="247">
        <f t="shared" si="146"/>
        <v>0</v>
      </c>
      <c r="N147" s="247">
        <f t="shared" si="131"/>
        <v>0</v>
      </c>
    </row>
    <row r="148">
      <c r="A148" s="254" t="str">
        <f>IFERROR(__xludf.DUMMYFUNCTION("""COMPUTED_VALUE"""),"Ремонт ОС")</f>
        <v>Ремонт ОС</v>
      </c>
      <c r="B148" s="247">
        <f t="shared" ref="B148:M148" si="147">if($M$2,IFERROR(INDIRECT("'"&amp;B$3&amp;"'!"&amp;$B$2&amp;match($A148,INDIRECT("'"&amp;B$3&amp;"'!B1:B"),0)),""),
IFERROR(INDIRECT("'"&amp;B$3&amp;"!"&amp;$B$2&amp;match($A148,INDIRECT("'"&amp;B$3&amp;"'!B:B"),0)),""))</f>
        <v>0</v>
      </c>
      <c r="C148" s="247">
        <f t="shared" si="147"/>
        <v>0</v>
      </c>
      <c r="D148" s="247">
        <f t="shared" si="147"/>
        <v>0</v>
      </c>
      <c r="E148" s="247">
        <f t="shared" si="147"/>
        <v>0</v>
      </c>
      <c r="F148" s="247">
        <f t="shared" si="147"/>
        <v>0</v>
      </c>
      <c r="G148" s="247">
        <f t="shared" si="147"/>
        <v>0</v>
      </c>
      <c r="H148" s="247">
        <f t="shared" si="147"/>
        <v>0</v>
      </c>
      <c r="I148" s="247">
        <f t="shared" si="147"/>
        <v>0</v>
      </c>
      <c r="J148" s="247">
        <f t="shared" si="147"/>
        <v>0</v>
      </c>
      <c r="K148" s="247">
        <f t="shared" si="147"/>
        <v>0</v>
      </c>
      <c r="L148" s="247">
        <f t="shared" si="147"/>
        <v>0</v>
      </c>
      <c r="M148" s="247">
        <f t="shared" si="147"/>
        <v>0</v>
      </c>
      <c r="N148" s="247">
        <f t="shared" si="131"/>
        <v>0</v>
      </c>
    </row>
    <row r="149">
      <c r="A149" s="254" t="str">
        <f>IFERROR(__xludf.DUMMYFUNCTION("""COMPUTED_VALUE"""),"Оплаты %  кредиты")</f>
        <v>Оплаты %  кредиты</v>
      </c>
      <c r="B149" s="247">
        <f t="shared" ref="B149:M149" si="148">if($M$2,IFERROR(INDIRECT("'"&amp;B$3&amp;"'!"&amp;$B$2&amp;match($A149,INDIRECT("'"&amp;B$3&amp;"'!B1:B"),0)),""),
IFERROR(INDIRECT("'"&amp;B$3&amp;"!"&amp;$B$2&amp;match($A149,INDIRECT("'"&amp;B$3&amp;"'!B:B"),0)),""))</f>
        <v>-2750</v>
      </c>
      <c r="C149" s="247">
        <f t="shared" si="148"/>
        <v>0</v>
      </c>
      <c r="D149" s="247">
        <f t="shared" si="148"/>
        <v>0</v>
      </c>
      <c r="E149" s="247">
        <f t="shared" si="148"/>
        <v>0</v>
      </c>
      <c r="F149" s="247">
        <f t="shared" si="148"/>
        <v>0</v>
      </c>
      <c r="G149" s="247">
        <f t="shared" si="148"/>
        <v>0</v>
      </c>
      <c r="H149" s="247">
        <f t="shared" si="148"/>
        <v>0</v>
      </c>
      <c r="I149" s="247">
        <f t="shared" si="148"/>
        <v>0</v>
      </c>
      <c r="J149" s="247">
        <f t="shared" si="148"/>
        <v>0</v>
      </c>
      <c r="K149" s="247">
        <f t="shared" si="148"/>
        <v>0</v>
      </c>
      <c r="L149" s="247">
        <f t="shared" si="148"/>
        <v>0</v>
      </c>
      <c r="M149" s="247">
        <f t="shared" si="148"/>
        <v>0</v>
      </c>
      <c r="N149" s="247">
        <f t="shared" si="131"/>
        <v>-2750</v>
      </c>
    </row>
    <row r="150">
      <c r="A150" s="252"/>
      <c r="B150" s="247" t="str">
        <f t="shared" ref="B150:M150" si="149">if($M$2,IFERROR(INDIRECT("'"&amp;B$3&amp;"'!"&amp;$B$2&amp;match($A150,INDIRECT("'"&amp;B$3&amp;"'!B1:B"),0)),""),
IFERROR(INDIRECT("'"&amp;B$3&amp;"!"&amp;$B$2&amp;match($A150,INDIRECT("'"&amp;B$3&amp;"'!B:B"),0)),""))</f>
        <v/>
      </c>
      <c r="C150" s="247" t="str">
        <f t="shared" si="149"/>
        <v/>
      </c>
      <c r="D150" s="247" t="str">
        <f t="shared" si="149"/>
        <v/>
      </c>
      <c r="E150" s="247" t="str">
        <f t="shared" si="149"/>
        <v/>
      </c>
      <c r="F150" s="247" t="str">
        <f t="shared" si="149"/>
        <v/>
      </c>
      <c r="G150" s="247" t="str">
        <f t="shared" si="149"/>
        <v/>
      </c>
      <c r="H150" s="247" t="str">
        <f t="shared" si="149"/>
        <v/>
      </c>
      <c r="I150" s="247" t="str">
        <f t="shared" si="149"/>
        <v/>
      </c>
      <c r="J150" s="247" t="str">
        <f t="shared" si="149"/>
        <v/>
      </c>
      <c r="K150" s="247" t="str">
        <f t="shared" si="149"/>
        <v/>
      </c>
      <c r="L150" s="247" t="str">
        <f t="shared" si="149"/>
        <v/>
      </c>
      <c r="M150" s="247" t="str">
        <f t="shared" si="149"/>
        <v/>
      </c>
      <c r="N150" s="247">
        <f t="shared" si="131"/>
        <v>0</v>
      </c>
    </row>
    <row r="151">
      <c r="A151" s="273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>
        <f t="shared" si="131"/>
        <v>0</v>
      </c>
    </row>
    <row r="152">
      <c r="A152" s="257" t="s">
        <v>144</v>
      </c>
      <c r="B152" s="258">
        <f t="shared" ref="B152:M152" si="150">B129+B142+B132</f>
        <v>97157.03</v>
      </c>
      <c r="C152" s="258">
        <f t="shared" si="150"/>
        <v>0</v>
      </c>
      <c r="D152" s="258">
        <f t="shared" si="150"/>
        <v>0</v>
      </c>
      <c r="E152" s="258">
        <f t="shared" si="150"/>
        <v>0</v>
      </c>
      <c r="F152" s="258">
        <f t="shared" si="150"/>
        <v>0</v>
      </c>
      <c r="G152" s="258">
        <f t="shared" si="150"/>
        <v>0</v>
      </c>
      <c r="H152" s="258">
        <f t="shared" si="150"/>
        <v>0</v>
      </c>
      <c r="I152" s="258">
        <f t="shared" si="150"/>
        <v>0</v>
      </c>
      <c r="J152" s="258">
        <f t="shared" si="150"/>
        <v>0</v>
      </c>
      <c r="K152" s="258">
        <f t="shared" si="150"/>
        <v>0</v>
      </c>
      <c r="L152" s="258">
        <f t="shared" si="150"/>
        <v>0</v>
      </c>
      <c r="M152" s="258">
        <f t="shared" si="150"/>
        <v>0</v>
      </c>
      <c r="N152" s="258">
        <f t="shared" si="131"/>
        <v>97157.03</v>
      </c>
    </row>
    <row r="153">
      <c r="A153" s="252" t="s">
        <v>145</v>
      </c>
      <c r="B153" s="260">
        <f t="shared" ref="B153:N153" si="151">IFERROR(B152/B$5,"")</f>
        <v>0.4216884983</v>
      </c>
      <c r="C153" s="260" t="str">
        <f t="shared" si="151"/>
        <v/>
      </c>
      <c r="D153" s="260" t="str">
        <f t="shared" si="151"/>
        <v/>
      </c>
      <c r="E153" s="260" t="str">
        <f t="shared" si="151"/>
        <v/>
      </c>
      <c r="F153" s="260" t="str">
        <f t="shared" si="151"/>
        <v/>
      </c>
      <c r="G153" s="260" t="str">
        <f t="shared" si="151"/>
        <v/>
      </c>
      <c r="H153" s="260" t="str">
        <f t="shared" si="151"/>
        <v/>
      </c>
      <c r="I153" s="260" t="str">
        <f t="shared" si="151"/>
        <v/>
      </c>
      <c r="J153" s="260" t="str">
        <f t="shared" si="151"/>
        <v/>
      </c>
      <c r="K153" s="260" t="str">
        <f t="shared" si="151"/>
        <v/>
      </c>
      <c r="L153" s="260" t="str">
        <f t="shared" si="151"/>
        <v/>
      </c>
      <c r="M153" s="260" t="str">
        <f t="shared" si="151"/>
        <v/>
      </c>
      <c r="N153" s="260">
        <f t="shared" si="151"/>
        <v>0.4216884983</v>
      </c>
    </row>
    <row r="154">
      <c r="A154" s="252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</row>
    <row r="155">
      <c r="A155" s="256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6"/>
      <c r="M155" s="276"/>
      <c r="N155" s="276"/>
    </row>
    <row r="156">
      <c r="A156" s="256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6"/>
      <c r="M156" s="276"/>
      <c r="N156" s="276"/>
    </row>
    <row r="157">
      <c r="A157" s="256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6"/>
      <c r="M157" s="276"/>
      <c r="N157" s="276"/>
    </row>
    <row r="158">
      <c r="A158" s="256"/>
      <c r="B158" s="276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 outlineLevelCol="1" outlineLevelRow="1"/>
  <cols>
    <col customWidth="1" min="1" max="1" width="24.5"/>
    <col customWidth="1" min="4" max="4" width="9.0"/>
    <col customWidth="1" min="7" max="7" width="9.0"/>
    <col collapsed="1" customWidth="1" min="10" max="10" width="9.0"/>
    <col hidden="1" min="11" max="12" width="12.63" outlineLevel="1"/>
    <col customWidth="1" hidden="1" min="13" max="13" width="9.0" outlineLevel="1"/>
    <col hidden="1" min="14" max="15" width="12.63" outlineLevel="1"/>
    <col customWidth="1" hidden="1" min="16" max="16" width="9.0" outlineLevel="1"/>
    <col hidden="1" min="17" max="18" width="12.63" outlineLevel="1"/>
    <col customWidth="1" hidden="1" min="19" max="19" width="9.0" outlineLevel="1"/>
    <col hidden="1" min="20" max="21" width="12.63" outlineLevel="1"/>
    <col customWidth="1" hidden="1" min="22" max="22" width="9.0" outlineLevel="1"/>
    <col customWidth="1" hidden="1" min="23" max="24" width="14.25" outlineLevel="1"/>
    <col customWidth="1" hidden="1" min="25" max="25" width="9.0" outlineLevel="1"/>
    <col hidden="1" min="26" max="27" width="12.63" outlineLevel="1"/>
    <col customWidth="1" hidden="1" min="28" max="28" width="9.13" outlineLevel="1"/>
    <col hidden="1" min="29" max="30" width="12.63" outlineLevel="1"/>
    <col customWidth="1" hidden="1" min="31" max="31" width="9.0" outlineLevel="1"/>
    <col hidden="1" min="32" max="33" width="12.63" outlineLevel="1"/>
    <col customWidth="1" hidden="1" min="34" max="34" width="8.5" outlineLevel="1"/>
    <col hidden="1" min="35" max="36" width="12.63" outlineLevel="1"/>
    <col customWidth="1" hidden="1" min="37" max="37" width="9.0" outlineLevel="1"/>
    <col customWidth="1" min="40" max="40" width="9.0"/>
    <col customWidth="1" min="41" max="41" width="16.88"/>
  </cols>
  <sheetData>
    <row r="1">
      <c r="A1" s="230" t="s">
        <v>155</v>
      </c>
      <c r="B1" s="231" t="s">
        <v>127</v>
      </c>
      <c r="C1" s="277" t="s">
        <v>165</v>
      </c>
      <c r="D1" s="278"/>
      <c r="E1" s="81"/>
      <c r="F1" s="81"/>
      <c r="G1" s="278"/>
      <c r="H1" s="111"/>
      <c r="I1" s="111"/>
      <c r="J1" s="278"/>
      <c r="K1" s="111"/>
      <c r="L1" s="111"/>
      <c r="M1" s="278"/>
      <c r="N1" s="111"/>
      <c r="O1" s="111"/>
      <c r="P1" s="278"/>
      <c r="Q1" s="111"/>
      <c r="R1" s="111"/>
      <c r="S1" s="278"/>
      <c r="T1" s="111"/>
      <c r="U1" s="111"/>
      <c r="V1" s="278"/>
      <c r="W1" s="111"/>
      <c r="X1" s="111"/>
      <c r="Y1" s="278"/>
      <c r="Z1" s="111"/>
      <c r="AA1" s="111"/>
      <c r="AB1" s="278"/>
      <c r="AC1" s="111"/>
      <c r="AD1" s="111"/>
      <c r="AE1" s="278"/>
      <c r="AG1" s="278"/>
      <c r="AH1" s="277" t="s">
        <v>165</v>
      </c>
      <c r="AI1" s="234" t="b">
        <v>1</v>
      </c>
      <c r="AJ1" s="234"/>
      <c r="AK1" s="278"/>
      <c r="AM1" s="278"/>
      <c r="AN1" s="278"/>
      <c r="AO1" s="278"/>
    </row>
    <row r="2">
      <c r="A2" s="234" t="s">
        <v>156</v>
      </c>
      <c r="B2" s="279" t="s">
        <v>157</v>
      </c>
      <c r="C2" s="280" t="s">
        <v>166</v>
      </c>
      <c r="D2" s="278"/>
      <c r="E2" s="81"/>
      <c r="F2" s="81"/>
      <c r="G2" s="278"/>
      <c r="H2" s="111"/>
      <c r="I2" s="111"/>
      <c r="J2" s="278"/>
      <c r="K2" s="111"/>
      <c r="L2" s="111"/>
      <c r="M2" s="278"/>
      <c r="N2" s="111"/>
      <c r="O2" s="111"/>
      <c r="P2" s="278"/>
      <c r="Q2" s="111"/>
      <c r="R2" s="111"/>
      <c r="S2" s="278"/>
      <c r="T2" s="111"/>
      <c r="U2" s="111"/>
      <c r="V2" s="278"/>
      <c r="W2" s="111"/>
      <c r="X2" s="111"/>
      <c r="Y2" s="278"/>
      <c r="Z2" s="111"/>
      <c r="AA2" s="111"/>
      <c r="AB2" s="278"/>
      <c r="AC2" s="111"/>
      <c r="AD2" s="111"/>
      <c r="AE2" s="278"/>
      <c r="AG2" s="278"/>
      <c r="AH2" s="231" t="s">
        <v>127</v>
      </c>
      <c r="AI2" s="234" t="b">
        <v>1</v>
      </c>
      <c r="AJ2" s="234"/>
      <c r="AK2" s="278"/>
      <c r="AM2" s="278"/>
      <c r="AN2" s="278"/>
      <c r="AO2" s="278"/>
    </row>
    <row r="3">
      <c r="A3" s="281"/>
      <c r="B3" s="282" t="s">
        <v>127</v>
      </c>
      <c r="C3" s="283" t="s">
        <v>165</v>
      </c>
      <c r="D3" s="284" t="s">
        <v>167</v>
      </c>
      <c r="E3" s="282" t="s">
        <v>127</v>
      </c>
      <c r="F3" s="283" t="s">
        <v>165</v>
      </c>
      <c r="G3" s="284" t="s">
        <v>167</v>
      </c>
      <c r="H3" s="285" t="s">
        <v>127</v>
      </c>
      <c r="I3" s="286" t="s">
        <v>165</v>
      </c>
      <c r="J3" s="284" t="s">
        <v>167</v>
      </c>
      <c r="K3" s="285" t="s">
        <v>127</v>
      </c>
      <c r="L3" s="286" t="s">
        <v>165</v>
      </c>
      <c r="M3" s="284" t="s">
        <v>167</v>
      </c>
      <c r="N3" s="282" t="s">
        <v>127</v>
      </c>
      <c r="O3" s="283" t="s">
        <v>165</v>
      </c>
      <c r="P3" s="284" t="s">
        <v>167</v>
      </c>
      <c r="Q3" s="282" t="s">
        <v>127</v>
      </c>
      <c r="R3" s="283" t="s">
        <v>165</v>
      </c>
      <c r="S3" s="284" t="s">
        <v>167</v>
      </c>
      <c r="T3" s="282" t="s">
        <v>127</v>
      </c>
      <c r="U3" s="283" t="s">
        <v>165</v>
      </c>
      <c r="V3" s="284" t="s">
        <v>167</v>
      </c>
      <c r="W3" s="282" t="s">
        <v>127</v>
      </c>
      <c r="X3" s="283" t="s">
        <v>165</v>
      </c>
      <c r="Y3" s="284" t="s">
        <v>167</v>
      </c>
      <c r="Z3" s="282" t="s">
        <v>127</v>
      </c>
      <c r="AA3" s="283" t="s">
        <v>165</v>
      </c>
      <c r="AB3" s="284" t="s">
        <v>167</v>
      </c>
      <c r="AC3" s="282" t="s">
        <v>127</v>
      </c>
      <c r="AD3" s="283" t="s">
        <v>165</v>
      </c>
      <c r="AE3" s="284" t="s">
        <v>167</v>
      </c>
      <c r="AF3" s="282" t="s">
        <v>127</v>
      </c>
      <c r="AG3" s="283" t="s">
        <v>165</v>
      </c>
      <c r="AH3" s="284" t="s">
        <v>167</v>
      </c>
      <c r="AI3" s="282" t="s">
        <v>127</v>
      </c>
      <c r="AJ3" s="283" t="s">
        <v>165</v>
      </c>
      <c r="AK3" s="284" t="s">
        <v>167</v>
      </c>
      <c r="AL3" s="287" t="s">
        <v>127</v>
      </c>
      <c r="AM3" s="288" t="s">
        <v>165</v>
      </c>
      <c r="AN3" s="289" t="s">
        <v>167</v>
      </c>
      <c r="AO3" s="290" t="s">
        <v>134</v>
      </c>
    </row>
    <row r="4">
      <c r="A4" s="291" t="s">
        <v>158</v>
      </c>
      <c r="B4" s="292">
        <v>1.0</v>
      </c>
      <c r="C4" s="293">
        <v>1.0</v>
      </c>
      <c r="D4" s="294">
        <v>1.0</v>
      </c>
      <c r="E4" s="295">
        <v>2.0</v>
      </c>
      <c r="F4" s="293">
        <v>2.0</v>
      </c>
      <c r="G4" s="293">
        <v>2.0</v>
      </c>
      <c r="H4" s="295">
        <v>3.0</v>
      </c>
      <c r="I4" s="293">
        <v>3.0</v>
      </c>
      <c r="J4" s="293">
        <v>3.0</v>
      </c>
      <c r="K4" s="295">
        <v>4.0</v>
      </c>
      <c r="L4" s="293">
        <v>4.0</v>
      </c>
      <c r="M4" s="293">
        <v>4.0</v>
      </c>
      <c r="N4" s="295">
        <v>5.0</v>
      </c>
      <c r="O4" s="293">
        <v>5.0</v>
      </c>
      <c r="P4" s="293">
        <v>5.0</v>
      </c>
      <c r="Q4" s="295">
        <v>6.0</v>
      </c>
      <c r="R4" s="293">
        <v>6.0</v>
      </c>
      <c r="S4" s="293">
        <v>6.0</v>
      </c>
      <c r="T4" s="295">
        <v>7.0</v>
      </c>
      <c r="U4" s="293">
        <v>7.0</v>
      </c>
      <c r="V4" s="294">
        <v>7.0</v>
      </c>
      <c r="W4" s="295">
        <v>8.0</v>
      </c>
      <c r="X4" s="293">
        <v>8.0</v>
      </c>
      <c r="Y4" s="294">
        <v>8.0</v>
      </c>
      <c r="Z4" s="295">
        <v>9.0</v>
      </c>
      <c r="AA4" s="293">
        <v>9.0</v>
      </c>
      <c r="AB4" s="293">
        <v>9.0</v>
      </c>
      <c r="AC4" s="295">
        <v>10.0</v>
      </c>
      <c r="AD4" s="293">
        <v>10.0</v>
      </c>
      <c r="AE4" s="294">
        <v>10.0</v>
      </c>
      <c r="AF4" s="295">
        <v>11.0</v>
      </c>
      <c r="AG4" s="293">
        <v>11.0</v>
      </c>
      <c r="AH4" s="296"/>
      <c r="AI4" s="295">
        <v>12.0</v>
      </c>
      <c r="AJ4" s="293">
        <v>12.0</v>
      </c>
      <c r="AK4" s="294">
        <v>12.0</v>
      </c>
      <c r="AL4" s="297" t="s">
        <v>160</v>
      </c>
      <c r="AM4" s="298" t="s">
        <v>160</v>
      </c>
      <c r="AN4" s="290" t="s">
        <v>160</v>
      </c>
      <c r="AO4" s="290" t="s">
        <v>160</v>
      </c>
    </row>
    <row r="5">
      <c r="A5" s="299" t="s">
        <v>159</v>
      </c>
      <c r="B5" s="300">
        <f t="shared" ref="B5:C5" si="1">iferror(-(B61+B91)/B59,"")</f>
        <v>44351.16934</v>
      </c>
      <c r="C5" s="301">
        <f t="shared" si="1"/>
        <v>37121.39691</v>
      </c>
      <c r="D5" s="302">
        <f t="shared" ref="D5:D8" si="15">IFERROR(B5/C5,0)</f>
        <v>1.194760247</v>
      </c>
      <c r="E5" s="300" t="str">
        <f t="shared" ref="E5:F5" si="2">iferror(-(E61+E91)/E59,"")</f>
        <v/>
      </c>
      <c r="F5" s="301" t="str">
        <f t="shared" si="2"/>
        <v/>
      </c>
      <c r="G5" s="302">
        <f t="shared" ref="G5:G8" si="17">IFERROR(E5/F5,0)</f>
        <v>0</v>
      </c>
      <c r="H5" s="300" t="str">
        <f t="shared" ref="H5:I5" si="3">iferror(-(H61+H91)/H59,"")</f>
        <v/>
      </c>
      <c r="I5" s="301" t="str">
        <f t="shared" si="3"/>
        <v/>
      </c>
      <c r="J5" s="302">
        <f t="shared" ref="J5:J8" si="19">IFERROR(H5/I5,0)</f>
        <v>0</v>
      </c>
      <c r="K5" s="300">
        <f t="shared" ref="K5:L5" si="4">iferror(-(K61+K91)/K59,"")</f>
        <v>0</v>
      </c>
      <c r="L5" s="301" t="str">
        <f t="shared" si="4"/>
        <v/>
      </c>
      <c r="M5" s="302">
        <f t="shared" ref="M5:M8" si="21">IFERROR(K5/L5,0)</f>
        <v>0</v>
      </c>
      <c r="N5" s="300">
        <f t="shared" ref="N5:O5" si="5">iferror(-(N61+N91)/N59,"")</f>
        <v>0</v>
      </c>
      <c r="O5" s="301" t="str">
        <f t="shared" si="5"/>
        <v/>
      </c>
      <c r="P5" s="302">
        <f t="shared" ref="P5:P8" si="23">IFERROR(N5/O5,0)</f>
        <v>0</v>
      </c>
      <c r="Q5" s="300">
        <f t="shared" ref="Q5:R5" si="6">iferror(-(Q61+Q91)/Q59,"")</f>
        <v>0</v>
      </c>
      <c r="R5" s="301" t="str">
        <f t="shared" si="6"/>
        <v/>
      </c>
      <c r="S5" s="302">
        <f t="shared" ref="S5:S8" si="25">IFERROR(Q5/R5,0)</f>
        <v>0</v>
      </c>
      <c r="T5" s="300">
        <f t="shared" ref="T5:U5" si="7">iferror(-(T61+T91)/T59,"")</f>
        <v>0</v>
      </c>
      <c r="U5" s="301" t="str">
        <f t="shared" si="7"/>
        <v/>
      </c>
      <c r="V5" s="302">
        <f t="shared" ref="V5:V8" si="27">IFERROR(T5/U5,0)</f>
        <v>0</v>
      </c>
      <c r="W5" s="300">
        <f t="shared" ref="W5:X5" si="8">iferror(-(W61+W91)/W59,"")</f>
        <v>0</v>
      </c>
      <c r="X5" s="301" t="str">
        <f t="shared" si="8"/>
        <v/>
      </c>
      <c r="Y5" s="302">
        <f t="shared" ref="Y5:Y8" si="29">IFERROR(W5/X5,0)</f>
        <v>0</v>
      </c>
      <c r="Z5" s="300">
        <f t="shared" ref="Z5:AA5" si="9">iferror(-(Z61+Z91)/Z59,"")</f>
        <v>0</v>
      </c>
      <c r="AA5" s="301" t="str">
        <f t="shared" si="9"/>
        <v/>
      </c>
      <c r="AB5" s="302">
        <f t="shared" ref="AB5:AB8" si="31">IFERROR(Z5/AA5,0)</f>
        <v>0</v>
      </c>
      <c r="AC5" s="300">
        <f t="shared" ref="AC5:AD5" si="10">iferror(-(AC61+AC91)/AC59,"")</f>
        <v>0</v>
      </c>
      <c r="AD5" s="301" t="str">
        <f t="shared" si="10"/>
        <v/>
      </c>
      <c r="AE5" s="302">
        <f t="shared" ref="AE5:AE8" si="33">IFERROR(AC5/AD5,0)</f>
        <v>0</v>
      </c>
      <c r="AF5" s="300">
        <f t="shared" ref="AF5:AG5" si="11">iferror(-(AF61+AF91)/AF59,"")</f>
        <v>0</v>
      </c>
      <c r="AG5" s="301" t="str">
        <f t="shared" si="11"/>
        <v/>
      </c>
      <c r="AH5" s="302">
        <f t="shared" ref="AH5:AH8" si="35">IFERROR(AF5/AG5,0)</f>
        <v>0</v>
      </c>
      <c r="AI5" s="300">
        <f t="shared" ref="AI5:AJ5" si="12">iferror(-(AI61+AI91)/AI59,"")</f>
        <v>0</v>
      </c>
      <c r="AJ5" s="301" t="str">
        <f t="shared" si="12"/>
        <v/>
      </c>
      <c r="AK5" s="302">
        <f t="shared" ref="AK5:AK8" si="37">IFERROR(AI5/AJ5,0)</f>
        <v>0</v>
      </c>
      <c r="AL5" s="300">
        <f t="shared" ref="AL5:AM5" si="13">iferror(-(AL61+AL91)/AL59,"")</f>
        <v>44347.27486</v>
      </c>
      <c r="AM5" s="301">
        <f t="shared" si="13"/>
        <v>37121.39691</v>
      </c>
      <c r="AN5" s="303">
        <f t="shared" ref="AN5:AN8" si="39">IFERROR(AL5/AM5,0)</f>
        <v>1.194655335</v>
      </c>
      <c r="AO5" s="304" t="str">
        <f>IF(AM5=0,"",IF(AN5&gt;1,"выполнение","план не выполнен"))</f>
        <v>выполнение</v>
      </c>
    </row>
    <row r="6">
      <c r="A6" s="244" t="s">
        <v>86</v>
      </c>
      <c r="B6" s="305">
        <f t="shared" ref="B6:C6" si="14">SUM(B7:B11)</f>
        <v>227600</v>
      </c>
      <c r="C6" s="245">
        <f t="shared" si="14"/>
        <v>230400</v>
      </c>
      <c r="D6" s="302">
        <f t="shared" si="15"/>
        <v>0.9878472222</v>
      </c>
      <c r="E6" s="305">
        <f t="shared" ref="E6:F6" si="16">SUM(E7:E11)</f>
        <v>0</v>
      </c>
      <c r="F6" s="245">
        <f t="shared" si="16"/>
        <v>0</v>
      </c>
      <c r="G6" s="302">
        <f t="shared" si="17"/>
        <v>0</v>
      </c>
      <c r="H6" s="305">
        <f t="shared" ref="H6:I6" si="18">SUM(H7:H11)</f>
        <v>0</v>
      </c>
      <c r="I6" s="245">
        <f t="shared" si="18"/>
        <v>0</v>
      </c>
      <c r="J6" s="302">
        <f t="shared" si="19"/>
        <v>0</v>
      </c>
      <c r="K6" s="305">
        <f t="shared" ref="K6:L6" si="20">SUM(K7:K11)</f>
        <v>4</v>
      </c>
      <c r="L6" s="245">
        <f t="shared" si="20"/>
        <v>0</v>
      </c>
      <c r="M6" s="302">
        <f t="shared" si="21"/>
        <v>0</v>
      </c>
      <c r="N6" s="305">
        <f t="shared" ref="N6:O6" si="22">SUM(N7:N11)</f>
        <v>5</v>
      </c>
      <c r="O6" s="245">
        <f t="shared" si="22"/>
        <v>0</v>
      </c>
      <c r="P6" s="302">
        <f t="shared" si="23"/>
        <v>0</v>
      </c>
      <c r="Q6" s="305">
        <f t="shared" ref="Q6:R6" si="24">SUM(Q7:Q11)</f>
        <v>6</v>
      </c>
      <c r="R6" s="245">
        <f t="shared" si="24"/>
        <v>0</v>
      </c>
      <c r="S6" s="302">
        <f t="shared" si="25"/>
        <v>0</v>
      </c>
      <c r="T6" s="305">
        <f t="shared" ref="T6:U6" si="26">SUM(T7:T11)</f>
        <v>7</v>
      </c>
      <c r="U6" s="245">
        <f t="shared" si="26"/>
        <v>0</v>
      </c>
      <c r="V6" s="302">
        <f t="shared" si="27"/>
        <v>0</v>
      </c>
      <c r="W6" s="305">
        <f t="shared" ref="W6:X6" si="28">SUM(W7:W11)</f>
        <v>8</v>
      </c>
      <c r="X6" s="245">
        <f t="shared" si="28"/>
        <v>0</v>
      </c>
      <c r="Y6" s="302">
        <f t="shared" si="29"/>
        <v>0</v>
      </c>
      <c r="Z6" s="305">
        <f t="shared" ref="Z6:AA6" si="30">SUM(Z7:Z11)</f>
        <v>9</v>
      </c>
      <c r="AA6" s="245">
        <f t="shared" si="30"/>
        <v>0</v>
      </c>
      <c r="AB6" s="302">
        <f t="shared" si="31"/>
        <v>0</v>
      </c>
      <c r="AC6" s="305">
        <f t="shared" ref="AC6:AD6" si="32">SUM(AC7:AC11)</f>
        <v>10</v>
      </c>
      <c r="AD6" s="245">
        <f t="shared" si="32"/>
        <v>0</v>
      </c>
      <c r="AE6" s="302">
        <f t="shared" si="33"/>
        <v>0</v>
      </c>
      <c r="AF6" s="305">
        <f t="shared" ref="AF6:AG6" si="34">SUM(AF7:AF11)</f>
        <v>11</v>
      </c>
      <c r="AG6" s="245">
        <f t="shared" si="34"/>
        <v>0</v>
      </c>
      <c r="AH6" s="302">
        <f t="shared" si="35"/>
        <v>0</v>
      </c>
      <c r="AI6" s="305">
        <f t="shared" ref="AI6:AJ6" si="36">SUM(AI7:AI11)</f>
        <v>12</v>
      </c>
      <c r="AJ6" s="245">
        <f t="shared" si="36"/>
        <v>0</v>
      </c>
      <c r="AK6" s="302">
        <f t="shared" si="37"/>
        <v>0</v>
      </c>
      <c r="AL6" s="305">
        <f t="shared" ref="AL6:AM6" si="38">B6+E6+H6+K6+N6+Q6+T6+W6+Z6+AC6+AF6+AI6</f>
        <v>227672</v>
      </c>
      <c r="AM6" s="245">
        <f t="shared" si="38"/>
        <v>230400</v>
      </c>
      <c r="AN6" s="303">
        <f t="shared" si="39"/>
        <v>0.9881597222</v>
      </c>
      <c r="AO6" s="109" t="str">
        <f t="shared" ref="AO6:AO13" si="41">IF(AM6=0,"",IF(AN6=0,"обратить внимание",IF(AN6&gt;1,"выполнение","план не выполнен")))</f>
        <v>план не выполнен</v>
      </c>
    </row>
    <row r="7">
      <c r="A7" s="306" t="str">
        <f>IFERROR(__xludf.DUMMYFUNCTION("iferror(filter('Статьи'!$A$1:$A175,'Статьи'!$B$1:$B175=$A$6))"),"Выручка от аренды машиноместа")</f>
        <v>Выручка от аренды машиноместа</v>
      </c>
      <c r="B7" s="307">
        <f t="shared" ref="B7:B14" si="42">if($AI$2,IFERROR(INDIRECT("'"&amp;B$4&amp;"'!"&amp;$B$2&amp;match($A7,INDIRECT("'"&amp;B$4&amp;"'!B1:B"),0)),""),
IFERROR(INDIRECT("'"&amp;B$4&amp;"!"&amp;$B$2&amp;match($A7,INDIRECT("'"&amp;B$4&amp;"'!B:B"),0)),""))</f>
        <v>500</v>
      </c>
      <c r="C7" s="308">
        <f t="shared" ref="C7:C9" si="43">IF($AI$2,IFERROR(INDIRECT("'"&amp;C$4&amp;"'!"&amp;$C$2&amp;MATCH($A7,INDIRECT("'"&amp;C$4&amp;"'!B1:B"),0)),""),
IFERROR(INDIRECT("'"&amp;C$4&amp;"!"&amp;$B$2&amp;MATCH($A7,INDIRECT("'"&amp;C$4&amp;"'!B:B"),0)),""))</f>
        <v>400</v>
      </c>
      <c r="D7" s="302">
        <f t="shared" si="15"/>
        <v>1.25</v>
      </c>
      <c r="E7" s="307">
        <f t="shared" ref="E7:E14" si="44">if($AI$2,IFERROR(INDIRECT("'"&amp;E$4&amp;"'!"&amp;$B$2&amp;match($A7,INDIRECT("'"&amp;E$4&amp;"'!B1:B"),0)),""),
IFERROR(INDIRECT("'"&amp;E$4&amp;"!"&amp;$B$2&amp;match($A7,INDIRECT("'"&amp;E$4&amp;"'!B:B"),0)),""))</f>
        <v>0</v>
      </c>
      <c r="F7" s="308">
        <f t="shared" ref="F7:F9" si="45">IF($AI$2,IFERROR(INDIRECT("'"&amp;F$4&amp;"'!"&amp;$C$2&amp;MATCH($A7,INDIRECT("'"&amp;F$4&amp;"'!B1:B"),0)),""),
IFERROR(INDIRECT("'"&amp;F$4&amp;"!"&amp;$B$2&amp;MATCH($A7,INDIRECT("'"&amp;F$4&amp;"'!B:B"),0)),""))</f>
        <v>0</v>
      </c>
      <c r="G7" s="302">
        <f t="shared" si="17"/>
        <v>0</v>
      </c>
      <c r="H7" s="307">
        <f t="shared" ref="H7:H14" si="46">if($AI$2,IFERROR(INDIRECT("'"&amp;H$4&amp;"'!"&amp;$B$2&amp;match($A7,INDIRECT("'"&amp;H$4&amp;"'!B1:B"),0)),""),
IFERROR(INDIRECT("'"&amp;H$4&amp;"!"&amp;$B$2&amp;match($A7,INDIRECT("'"&amp;H$4&amp;"'!B:B"),0)),""))</f>
        <v>0</v>
      </c>
      <c r="I7" s="308">
        <f t="shared" ref="I7:I9" si="47">IF($AI$2,IFERROR(INDIRECT("'"&amp;I$4&amp;"'!"&amp;$C$2&amp;MATCH($A7,INDIRECT("'"&amp;I$4&amp;"'!B1:B"),0)),""),
IFERROR(INDIRECT("'"&amp;I$4&amp;"!"&amp;$B$2&amp;MATCH($A7,INDIRECT("'"&amp;I$4&amp;"'!B:B"),0)),""))</f>
        <v>0</v>
      </c>
      <c r="J7" s="302">
        <f t="shared" si="19"/>
        <v>0</v>
      </c>
      <c r="K7" s="307">
        <f t="shared" ref="K7:K14" si="48">if($AI$2,IFERROR(INDIRECT("'"&amp;K$4&amp;"'!"&amp;$B$2&amp;match($A7,INDIRECT("'"&amp;K$4&amp;"'!B1:B"),0)),""),
IFERROR(INDIRECT("'"&amp;K$4&amp;"!"&amp;$B$2&amp;match($A7,INDIRECT("'"&amp;K$4&amp;"'!B:B"),0)),""))</f>
        <v>4</v>
      </c>
      <c r="L7" s="308">
        <f t="shared" ref="L7:L9" si="49">IF($AI$2,IFERROR(INDIRECT("'"&amp;L$4&amp;"'!"&amp;$C$2&amp;MATCH($A7,INDIRECT("'"&amp;L$4&amp;"'!B1:B"),0)),""),
IFERROR(INDIRECT("'"&amp;L$4&amp;"!"&amp;$B$2&amp;MATCH($A7,INDIRECT("'"&amp;L$4&amp;"'!B:B"),0)),""))</f>
        <v>0</v>
      </c>
      <c r="M7" s="302">
        <f t="shared" si="21"/>
        <v>0</v>
      </c>
      <c r="N7" s="307">
        <f t="shared" ref="N7:N14" si="50">if($AI$2,IFERROR(INDIRECT("'"&amp;N$4&amp;"'!"&amp;$B$2&amp;match($A7,INDIRECT("'"&amp;N$4&amp;"'!B1:B"),0)),""),
IFERROR(INDIRECT("'"&amp;N$4&amp;"!"&amp;$B$2&amp;match($A7,INDIRECT("'"&amp;N$4&amp;"'!B:B"),0)),""))</f>
        <v>5</v>
      </c>
      <c r="O7" s="308">
        <f t="shared" ref="O7:O9" si="51">IF($AI$2,IFERROR(INDIRECT("'"&amp;O$4&amp;"'!"&amp;$C$2&amp;MATCH($A7,INDIRECT("'"&amp;O$4&amp;"'!B1:B"),0)),""),
IFERROR(INDIRECT("'"&amp;O$4&amp;"!"&amp;$B$2&amp;MATCH($A7,INDIRECT("'"&amp;O$4&amp;"'!B:B"),0)),""))</f>
        <v>0</v>
      </c>
      <c r="P7" s="302">
        <f t="shared" si="23"/>
        <v>0</v>
      </c>
      <c r="Q7" s="307">
        <f t="shared" ref="Q7:Q14" si="52">if($AI$2,IFERROR(INDIRECT("'"&amp;Q$4&amp;"'!"&amp;$B$2&amp;match($A7,INDIRECT("'"&amp;Q$4&amp;"'!B1:B"),0)),""),
IFERROR(INDIRECT("'"&amp;Q$4&amp;"!"&amp;$B$2&amp;match($A7,INDIRECT("'"&amp;Q$4&amp;"'!B:B"),0)),""))</f>
        <v>6</v>
      </c>
      <c r="R7" s="308">
        <f t="shared" ref="R7:R9" si="53">IF($AI$2,IFERROR(INDIRECT("'"&amp;R$4&amp;"'!"&amp;$C$2&amp;MATCH($A7,INDIRECT("'"&amp;R$4&amp;"'!B1:B"),0)),""),
IFERROR(INDIRECT("'"&amp;R$4&amp;"!"&amp;$B$2&amp;MATCH($A7,INDIRECT("'"&amp;R$4&amp;"'!B:B"),0)),""))</f>
        <v>0</v>
      </c>
      <c r="S7" s="302">
        <f t="shared" si="25"/>
        <v>0</v>
      </c>
      <c r="T7" s="307">
        <f t="shared" ref="T7:T14" si="54">if($AI$2,IFERROR(INDIRECT("'"&amp;T$4&amp;"'!"&amp;$B$2&amp;match($A7,INDIRECT("'"&amp;T$4&amp;"'!B1:B"),0)),""),
IFERROR(INDIRECT("'"&amp;T$4&amp;"!"&amp;$B$2&amp;match($A7,INDIRECT("'"&amp;T$4&amp;"'!B:B"),0)),""))</f>
        <v>7</v>
      </c>
      <c r="U7" s="308">
        <f t="shared" ref="U7:U9" si="55">IF($AI$2,IFERROR(INDIRECT("'"&amp;U$4&amp;"'!"&amp;$C$2&amp;MATCH($A7,INDIRECT("'"&amp;U$4&amp;"'!B1:B"),0)),""),
IFERROR(INDIRECT("'"&amp;U$4&amp;"!"&amp;$B$2&amp;MATCH($A7,INDIRECT("'"&amp;U$4&amp;"'!B:B"),0)),""))</f>
        <v>0</v>
      </c>
      <c r="V7" s="302">
        <f t="shared" si="27"/>
        <v>0</v>
      </c>
      <c r="W7" s="307">
        <f t="shared" ref="W7:W14" si="56">if($AI$2,IFERROR(INDIRECT("'"&amp;W$4&amp;"'!"&amp;$B$2&amp;match($A7,INDIRECT("'"&amp;W$4&amp;"'!B1:B"),0)),""),
IFERROR(INDIRECT("'"&amp;W$4&amp;"!"&amp;$B$2&amp;match($A7,INDIRECT("'"&amp;W$4&amp;"'!B:B"),0)),""))</f>
        <v>8</v>
      </c>
      <c r="X7" s="308">
        <f t="shared" ref="X7:X9" si="57">IF($AI$2,IFERROR(INDIRECT("'"&amp;X$4&amp;"'!"&amp;$C$2&amp;MATCH($A7,INDIRECT("'"&amp;X$4&amp;"'!B1:B"),0)),""),
IFERROR(INDIRECT("'"&amp;X$4&amp;"!"&amp;$B$2&amp;MATCH($A7,INDIRECT("'"&amp;X$4&amp;"'!B:B"),0)),""))</f>
        <v>0</v>
      </c>
      <c r="Y7" s="302">
        <f t="shared" si="29"/>
        <v>0</v>
      </c>
      <c r="Z7" s="307">
        <f t="shared" ref="Z7:Z14" si="58">if($AI$2,IFERROR(INDIRECT("'"&amp;Z$4&amp;"'!"&amp;$B$2&amp;match($A7,INDIRECT("'"&amp;Z$4&amp;"'!B1:B"),0)),""),
IFERROR(INDIRECT("'"&amp;Z$4&amp;"!"&amp;$B$2&amp;match($A7,INDIRECT("'"&amp;Z$4&amp;"'!B:B"),0)),""))</f>
        <v>9</v>
      </c>
      <c r="AA7" s="308">
        <f t="shared" ref="AA7:AA9" si="59">IF($AI$2,IFERROR(INDIRECT("'"&amp;AA$4&amp;"'!"&amp;$C$2&amp;MATCH($A7,INDIRECT("'"&amp;AA$4&amp;"'!B1:B"),0)),""),
IFERROR(INDIRECT("'"&amp;AA$4&amp;"!"&amp;$B$2&amp;MATCH($A7,INDIRECT("'"&amp;AA$4&amp;"'!B:B"),0)),""))</f>
        <v>0</v>
      </c>
      <c r="AB7" s="302">
        <f t="shared" si="31"/>
        <v>0</v>
      </c>
      <c r="AC7" s="307">
        <f t="shared" ref="AC7:AC14" si="60">if($AI$2,IFERROR(INDIRECT("'"&amp;AC$4&amp;"'!"&amp;$B$2&amp;match($A7,INDIRECT("'"&amp;AC$4&amp;"'!B1:B"),0)),""),
IFERROR(INDIRECT("'"&amp;AC$4&amp;"!"&amp;$B$2&amp;match($A7,INDIRECT("'"&amp;AC$4&amp;"'!B:B"),0)),""))</f>
        <v>10</v>
      </c>
      <c r="AD7" s="308">
        <f t="shared" ref="AD7:AD9" si="61">IF($AI$2,IFERROR(INDIRECT("'"&amp;AD$4&amp;"'!"&amp;$C$2&amp;MATCH($A7,INDIRECT("'"&amp;AD$4&amp;"'!B1:B"),0)),""),
IFERROR(INDIRECT("'"&amp;AD$4&amp;"!"&amp;$B$2&amp;MATCH($A7,INDIRECT("'"&amp;AD$4&amp;"'!B:B"),0)),""))</f>
        <v>0</v>
      </c>
      <c r="AE7" s="302">
        <f t="shared" si="33"/>
        <v>0</v>
      </c>
      <c r="AF7" s="307">
        <f t="shared" ref="AF7:AF14" si="62">if($AI$2,IFERROR(INDIRECT("'"&amp;AF$4&amp;"'!"&amp;$B$2&amp;match($A7,INDIRECT("'"&amp;AF$4&amp;"'!B1:B"),0)),""),
IFERROR(INDIRECT("'"&amp;AF$4&amp;"!"&amp;$B$2&amp;match($A7,INDIRECT("'"&amp;AF$4&amp;"'!B:B"),0)),""))</f>
        <v>11</v>
      </c>
      <c r="AG7" s="308">
        <f t="shared" ref="AG7:AG9" si="63">IF($AI$2,IFERROR(INDIRECT("'"&amp;AG$4&amp;"'!"&amp;$C$2&amp;MATCH($A7,INDIRECT("'"&amp;AG$4&amp;"'!B1:B"),0)),""),
IFERROR(INDIRECT("'"&amp;AG$4&amp;"!"&amp;$B$2&amp;MATCH($A7,INDIRECT("'"&amp;AG$4&amp;"'!B:B"),0)),""))</f>
        <v>0</v>
      </c>
      <c r="AH7" s="302">
        <f t="shared" si="35"/>
        <v>0</v>
      </c>
      <c r="AI7" s="307">
        <f t="shared" ref="AI7:AI14" si="64">if($AI$2,IFERROR(INDIRECT("'"&amp;AI$4&amp;"'!"&amp;$B$2&amp;match($A7,INDIRECT("'"&amp;AI$4&amp;"'!B1:B"),0)),""),
IFERROR(INDIRECT("'"&amp;AI$4&amp;"!"&amp;$B$2&amp;match($A7,INDIRECT("'"&amp;AI$4&amp;"'!B:B"),0)),""))</f>
        <v>12</v>
      </c>
      <c r="AJ7" s="308">
        <f t="shared" ref="AJ7:AJ9" si="65">IF($AI$2,IFERROR(INDIRECT("'"&amp;AJ$4&amp;"'!"&amp;$C$2&amp;MATCH($A7,INDIRECT("'"&amp;AJ$4&amp;"'!B1:B"),0)),""),
IFERROR(INDIRECT("'"&amp;AJ$4&amp;"!"&amp;$B$2&amp;MATCH($A7,INDIRECT("'"&amp;AJ$4&amp;"'!B:B"),0)),""))</f>
        <v>0</v>
      </c>
      <c r="AK7" s="302">
        <f t="shared" si="37"/>
        <v>0</v>
      </c>
      <c r="AL7" s="307">
        <f t="shared" ref="AL7:AM7" si="40">B7+E7+H7+K7+N7+Q7+T7+W7+Z7+AC7+AF7+AI7</f>
        <v>572</v>
      </c>
      <c r="AM7" s="308">
        <f t="shared" si="40"/>
        <v>400</v>
      </c>
      <c r="AN7" s="303">
        <f t="shared" si="39"/>
        <v>1.43</v>
      </c>
      <c r="AO7" s="121" t="str">
        <f t="shared" si="41"/>
        <v>выполнение</v>
      </c>
    </row>
    <row r="8">
      <c r="A8" s="306" t="str">
        <f>IFERROR(__xludf.DUMMYFUNCTION("""COMPUTED_VALUE"""),"Выручка за грузоперевозки")</f>
        <v>Выручка за грузоперевозки</v>
      </c>
      <c r="B8" s="307">
        <f t="shared" si="42"/>
        <v>227100</v>
      </c>
      <c r="C8" s="308">
        <f t="shared" si="43"/>
        <v>230000</v>
      </c>
      <c r="D8" s="302">
        <f t="shared" si="15"/>
        <v>0.9873913043</v>
      </c>
      <c r="E8" s="307">
        <f t="shared" si="44"/>
        <v>0</v>
      </c>
      <c r="F8" s="308">
        <f t="shared" si="45"/>
        <v>0</v>
      </c>
      <c r="G8" s="302">
        <f t="shared" si="17"/>
        <v>0</v>
      </c>
      <c r="H8" s="307">
        <f t="shared" si="46"/>
        <v>0</v>
      </c>
      <c r="I8" s="308">
        <f t="shared" si="47"/>
        <v>0</v>
      </c>
      <c r="J8" s="302">
        <f t="shared" si="19"/>
        <v>0</v>
      </c>
      <c r="K8" s="307">
        <f t="shared" si="48"/>
        <v>0</v>
      </c>
      <c r="L8" s="308">
        <f t="shared" si="49"/>
        <v>0</v>
      </c>
      <c r="M8" s="302">
        <f t="shared" si="21"/>
        <v>0</v>
      </c>
      <c r="N8" s="307">
        <f t="shared" si="50"/>
        <v>0</v>
      </c>
      <c r="O8" s="308">
        <f t="shared" si="51"/>
        <v>0</v>
      </c>
      <c r="P8" s="302">
        <f t="shared" si="23"/>
        <v>0</v>
      </c>
      <c r="Q8" s="307">
        <f t="shared" si="52"/>
        <v>0</v>
      </c>
      <c r="R8" s="308">
        <f t="shared" si="53"/>
        <v>0</v>
      </c>
      <c r="S8" s="302">
        <f t="shared" si="25"/>
        <v>0</v>
      </c>
      <c r="T8" s="307">
        <f t="shared" si="54"/>
        <v>0</v>
      </c>
      <c r="U8" s="308">
        <f t="shared" si="55"/>
        <v>0</v>
      </c>
      <c r="V8" s="302">
        <f t="shared" si="27"/>
        <v>0</v>
      </c>
      <c r="W8" s="307">
        <f t="shared" si="56"/>
        <v>0</v>
      </c>
      <c r="X8" s="308">
        <f t="shared" si="57"/>
        <v>0</v>
      </c>
      <c r="Y8" s="302">
        <f t="shared" si="29"/>
        <v>0</v>
      </c>
      <c r="Z8" s="307">
        <f t="shared" si="58"/>
        <v>0</v>
      </c>
      <c r="AA8" s="308">
        <f t="shared" si="59"/>
        <v>0</v>
      </c>
      <c r="AB8" s="302">
        <f t="shared" si="31"/>
        <v>0</v>
      </c>
      <c r="AC8" s="307">
        <f t="shared" si="60"/>
        <v>0</v>
      </c>
      <c r="AD8" s="308">
        <f t="shared" si="61"/>
        <v>0</v>
      </c>
      <c r="AE8" s="302">
        <f t="shared" si="33"/>
        <v>0</v>
      </c>
      <c r="AF8" s="307">
        <f t="shared" si="62"/>
        <v>0</v>
      </c>
      <c r="AG8" s="308">
        <f t="shared" si="63"/>
        <v>0</v>
      </c>
      <c r="AH8" s="302">
        <f t="shared" si="35"/>
        <v>0</v>
      </c>
      <c r="AI8" s="307">
        <f t="shared" si="64"/>
        <v>0</v>
      </c>
      <c r="AJ8" s="308">
        <f t="shared" si="65"/>
        <v>0</v>
      </c>
      <c r="AK8" s="302">
        <f t="shared" si="37"/>
        <v>0</v>
      </c>
      <c r="AL8" s="307">
        <f t="shared" ref="AL8:AM8" si="66">B8+E8+H8+K8+N8+Q8+T8+W8+Z8+AC8+AF8+AI8</f>
        <v>227100</v>
      </c>
      <c r="AM8" s="308">
        <f t="shared" si="66"/>
        <v>230000</v>
      </c>
      <c r="AN8" s="303">
        <f t="shared" si="39"/>
        <v>0.9873913043</v>
      </c>
      <c r="AO8" s="121" t="str">
        <f t="shared" si="41"/>
        <v>план не выполнен</v>
      </c>
    </row>
    <row r="9" collapsed="1">
      <c r="A9" s="306"/>
      <c r="B9" s="307" t="str">
        <f t="shared" si="42"/>
        <v/>
      </c>
      <c r="C9" s="308" t="str">
        <f t="shared" si="43"/>
        <v/>
      </c>
      <c r="D9" s="302"/>
      <c r="E9" s="307" t="str">
        <f t="shared" si="44"/>
        <v/>
      </c>
      <c r="F9" s="308" t="str">
        <f t="shared" si="45"/>
        <v/>
      </c>
      <c r="G9" s="302"/>
      <c r="H9" s="307" t="str">
        <f t="shared" si="46"/>
        <v/>
      </c>
      <c r="I9" s="308" t="str">
        <f t="shared" si="47"/>
        <v/>
      </c>
      <c r="J9" s="302"/>
      <c r="K9" s="307" t="str">
        <f t="shared" si="48"/>
        <v/>
      </c>
      <c r="L9" s="308" t="str">
        <f t="shared" si="49"/>
        <v/>
      </c>
      <c r="M9" s="302"/>
      <c r="N9" s="307" t="str">
        <f t="shared" si="50"/>
        <v/>
      </c>
      <c r="O9" s="308" t="str">
        <f t="shared" si="51"/>
        <v/>
      </c>
      <c r="P9" s="302"/>
      <c r="Q9" s="307" t="str">
        <f t="shared" si="52"/>
        <v/>
      </c>
      <c r="R9" s="308" t="str">
        <f t="shared" si="53"/>
        <v/>
      </c>
      <c r="S9" s="302"/>
      <c r="T9" s="307" t="str">
        <f t="shared" si="54"/>
        <v/>
      </c>
      <c r="U9" s="308" t="str">
        <f t="shared" si="55"/>
        <v/>
      </c>
      <c r="V9" s="302"/>
      <c r="W9" s="307" t="str">
        <f t="shared" si="56"/>
        <v/>
      </c>
      <c r="X9" s="308" t="str">
        <f t="shared" si="57"/>
        <v/>
      </c>
      <c r="Y9" s="302"/>
      <c r="Z9" s="307" t="str">
        <f t="shared" si="58"/>
        <v/>
      </c>
      <c r="AA9" s="308" t="str">
        <f t="shared" si="59"/>
        <v/>
      </c>
      <c r="AB9" s="302"/>
      <c r="AC9" s="307" t="str">
        <f t="shared" si="60"/>
        <v/>
      </c>
      <c r="AD9" s="308" t="str">
        <f t="shared" si="61"/>
        <v/>
      </c>
      <c r="AE9" s="302"/>
      <c r="AF9" s="307" t="str">
        <f t="shared" si="62"/>
        <v/>
      </c>
      <c r="AG9" s="308" t="str">
        <f t="shared" si="63"/>
        <v/>
      </c>
      <c r="AH9" s="302"/>
      <c r="AI9" s="307" t="str">
        <f t="shared" si="64"/>
        <v/>
      </c>
      <c r="AJ9" s="308" t="str">
        <f t="shared" si="65"/>
        <v/>
      </c>
      <c r="AK9" s="302"/>
      <c r="AL9" s="307">
        <f t="shared" ref="AL9:AM9" si="67">B9+E9+H9+K9+N9+Q9+T9+W9+Z9+AC9+AF9+AI9</f>
        <v>0</v>
      </c>
      <c r="AM9" s="308">
        <f t="shared" si="67"/>
        <v>0</v>
      </c>
      <c r="AN9" s="303"/>
      <c r="AO9" s="121" t="str">
        <f t="shared" si="41"/>
        <v/>
      </c>
    </row>
    <row r="10" hidden="1" outlineLevel="1">
      <c r="A10" s="306"/>
      <c r="B10" s="307" t="str">
        <f t="shared" si="42"/>
        <v/>
      </c>
      <c r="C10" s="308"/>
      <c r="D10" s="302">
        <f t="shared" ref="D10:D20" si="69">IFERROR(B10/C10,0)</f>
        <v>0</v>
      </c>
      <c r="E10" s="307" t="str">
        <f t="shared" si="44"/>
        <v/>
      </c>
      <c r="F10" s="308"/>
      <c r="G10" s="302">
        <f t="shared" ref="G10:G20" si="70">IFERROR(E10/F10,0)</f>
        <v>0</v>
      </c>
      <c r="H10" s="307" t="str">
        <f t="shared" si="46"/>
        <v/>
      </c>
      <c r="I10" s="308"/>
      <c r="J10" s="302">
        <f t="shared" ref="J10:J20" si="71">IFERROR(H10/I10,0)</f>
        <v>0</v>
      </c>
      <c r="K10" s="307" t="str">
        <f t="shared" si="48"/>
        <v/>
      </c>
      <c r="L10" s="308"/>
      <c r="M10" s="302">
        <f t="shared" ref="M10:M20" si="72">IFERROR(K10/L10,0)</f>
        <v>0</v>
      </c>
      <c r="N10" s="307" t="str">
        <f t="shared" si="50"/>
        <v/>
      </c>
      <c r="O10" s="308"/>
      <c r="P10" s="302">
        <f t="shared" ref="P10:P20" si="73">IFERROR(N10/O10,0)</f>
        <v>0</v>
      </c>
      <c r="Q10" s="307" t="str">
        <f t="shared" si="52"/>
        <v/>
      </c>
      <c r="R10" s="308"/>
      <c r="S10" s="302">
        <f t="shared" ref="S10:S20" si="74">IFERROR(Q10/R10,0)</f>
        <v>0</v>
      </c>
      <c r="T10" s="307" t="str">
        <f t="shared" si="54"/>
        <v/>
      </c>
      <c r="U10" s="308"/>
      <c r="V10" s="302">
        <f t="shared" ref="V10:V20" si="75">IFERROR(T10/U10,0)</f>
        <v>0</v>
      </c>
      <c r="W10" s="307" t="str">
        <f t="shared" si="56"/>
        <v/>
      </c>
      <c r="X10" s="308"/>
      <c r="Y10" s="302">
        <f t="shared" ref="Y10:Y20" si="76">IFERROR(W10/X10,0)</f>
        <v>0</v>
      </c>
      <c r="Z10" s="307" t="str">
        <f t="shared" si="58"/>
        <v/>
      </c>
      <c r="AA10" s="308"/>
      <c r="AB10" s="302">
        <f t="shared" ref="AB10:AB20" si="77">IFERROR(Z10/AA10,0)</f>
        <v>0</v>
      </c>
      <c r="AC10" s="307" t="str">
        <f t="shared" si="60"/>
        <v/>
      </c>
      <c r="AD10" s="308"/>
      <c r="AE10" s="302">
        <f t="shared" ref="AE10:AE20" si="78">IFERROR(AC10/AD10,0)</f>
        <v>0</v>
      </c>
      <c r="AF10" s="307" t="str">
        <f t="shared" si="62"/>
        <v/>
      </c>
      <c r="AG10" s="308"/>
      <c r="AH10" s="302">
        <f t="shared" ref="AH10:AH20" si="79">IFERROR(AF10/AG10,0)</f>
        <v>0</v>
      </c>
      <c r="AI10" s="307" t="str">
        <f t="shared" si="64"/>
        <v/>
      </c>
      <c r="AJ10" s="308"/>
      <c r="AK10" s="302">
        <f t="shared" ref="AK10:AK20" si="80">IFERROR(AI10/AJ10,0)</f>
        <v>0</v>
      </c>
      <c r="AL10" s="307">
        <f t="shared" ref="AL10:AM10" si="68">B10+E10+H10+K10+N10+Q10+T10+W10+Z10+AC10+AF10+AI10</f>
        <v>0</v>
      </c>
      <c r="AM10" s="308">
        <f t="shared" si="68"/>
        <v>0</v>
      </c>
      <c r="AN10" s="303">
        <f t="shared" ref="AN10:AN20" si="82">IFERROR(AL10/AM10,0)</f>
        <v>0</v>
      </c>
      <c r="AO10" s="121" t="str">
        <f t="shared" si="41"/>
        <v/>
      </c>
    </row>
    <row r="11" hidden="1" outlineLevel="1">
      <c r="A11" s="306"/>
      <c r="B11" s="307" t="str">
        <f t="shared" si="42"/>
        <v/>
      </c>
      <c r="C11" s="308"/>
      <c r="D11" s="302">
        <f t="shared" si="69"/>
        <v>0</v>
      </c>
      <c r="E11" s="307" t="str">
        <f t="shared" si="44"/>
        <v/>
      </c>
      <c r="F11" s="308"/>
      <c r="G11" s="302">
        <f t="shared" si="70"/>
        <v>0</v>
      </c>
      <c r="H11" s="307" t="str">
        <f t="shared" si="46"/>
        <v/>
      </c>
      <c r="I11" s="308"/>
      <c r="J11" s="302">
        <f t="shared" si="71"/>
        <v>0</v>
      </c>
      <c r="K11" s="307" t="str">
        <f t="shared" si="48"/>
        <v/>
      </c>
      <c r="L11" s="308"/>
      <c r="M11" s="302">
        <f t="shared" si="72"/>
        <v>0</v>
      </c>
      <c r="N11" s="307" t="str">
        <f t="shared" si="50"/>
        <v/>
      </c>
      <c r="O11" s="308"/>
      <c r="P11" s="302">
        <f t="shared" si="73"/>
        <v>0</v>
      </c>
      <c r="Q11" s="307" t="str">
        <f t="shared" si="52"/>
        <v/>
      </c>
      <c r="R11" s="308"/>
      <c r="S11" s="302">
        <f t="shared" si="74"/>
        <v>0</v>
      </c>
      <c r="T11" s="307" t="str">
        <f t="shared" si="54"/>
        <v/>
      </c>
      <c r="U11" s="308"/>
      <c r="V11" s="302">
        <f t="shared" si="75"/>
        <v>0</v>
      </c>
      <c r="W11" s="307" t="str">
        <f t="shared" si="56"/>
        <v/>
      </c>
      <c r="X11" s="308"/>
      <c r="Y11" s="302">
        <f t="shared" si="76"/>
        <v>0</v>
      </c>
      <c r="Z11" s="307" t="str">
        <f t="shared" si="58"/>
        <v/>
      </c>
      <c r="AA11" s="308"/>
      <c r="AB11" s="302">
        <f t="shared" si="77"/>
        <v>0</v>
      </c>
      <c r="AC11" s="307" t="str">
        <f t="shared" si="60"/>
        <v/>
      </c>
      <c r="AD11" s="308"/>
      <c r="AE11" s="302">
        <f t="shared" si="78"/>
        <v>0</v>
      </c>
      <c r="AF11" s="307" t="str">
        <f t="shared" si="62"/>
        <v/>
      </c>
      <c r="AG11" s="308"/>
      <c r="AH11" s="302">
        <f t="shared" si="79"/>
        <v>0</v>
      </c>
      <c r="AI11" s="307" t="str">
        <f t="shared" si="64"/>
        <v/>
      </c>
      <c r="AJ11" s="308"/>
      <c r="AK11" s="302">
        <f t="shared" si="80"/>
        <v>0</v>
      </c>
      <c r="AL11" s="307">
        <f t="shared" ref="AL11:AM11" si="81">B11+E11+H11+K11+N11+Q11+T11+W11+Z11+AC11+AF11+AI11</f>
        <v>0</v>
      </c>
      <c r="AM11" s="308">
        <f t="shared" si="81"/>
        <v>0</v>
      </c>
      <c r="AN11" s="303">
        <f t="shared" si="82"/>
        <v>0</v>
      </c>
      <c r="AO11" s="121" t="str">
        <f t="shared" si="41"/>
        <v/>
      </c>
    </row>
    <row r="12" hidden="1" outlineLevel="1">
      <c r="A12" s="306"/>
      <c r="B12" s="307" t="str">
        <f t="shared" si="42"/>
        <v/>
      </c>
      <c r="C12" s="308"/>
      <c r="D12" s="302">
        <f t="shared" si="69"/>
        <v>0</v>
      </c>
      <c r="E12" s="307" t="str">
        <f t="shared" si="44"/>
        <v/>
      </c>
      <c r="F12" s="308"/>
      <c r="G12" s="302">
        <f t="shared" si="70"/>
        <v>0</v>
      </c>
      <c r="H12" s="307" t="str">
        <f t="shared" si="46"/>
        <v/>
      </c>
      <c r="I12" s="308"/>
      <c r="J12" s="302">
        <f t="shared" si="71"/>
        <v>0</v>
      </c>
      <c r="K12" s="307" t="str">
        <f t="shared" si="48"/>
        <v/>
      </c>
      <c r="L12" s="308"/>
      <c r="M12" s="302">
        <f t="shared" si="72"/>
        <v>0</v>
      </c>
      <c r="N12" s="307" t="str">
        <f t="shared" si="50"/>
        <v/>
      </c>
      <c r="O12" s="308"/>
      <c r="P12" s="302">
        <f t="shared" si="73"/>
        <v>0</v>
      </c>
      <c r="Q12" s="307" t="str">
        <f t="shared" si="52"/>
        <v/>
      </c>
      <c r="R12" s="308"/>
      <c r="S12" s="302">
        <f t="shared" si="74"/>
        <v>0</v>
      </c>
      <c r="T12" s="307" t="str">
        <f t="shared" si="54"/>
        <v/>
      </c>
      <c r="U12" s="308"/>
      <c r="V12" s="302">
        <f t="shared" si="75"/>
        <v>0</v>
      </c>
      <c r="W12" s="307" t="str">
        <f t="shared" si="56"/>
        <v/>
      </c>
      <c r="X12" s="308"/>
      <c r="Y12" s="302">
        <f t="shared" si="76"/>
        <v>0</v>
      </c>
      <c r="Z12" s="307" t="str">
        <f t="shared" si="58"/>
        <v/>
      </c>
      <c r="AA12" s="308"/>
      <c r="AB12" s="302">
        <f t="shared" si="77"/>
        <v>0</v>
      </c>
      <c r="AC12" s="307" t="str">
        <f t="shared" si="60"/>
        <v/>
      </c>
      <c r="AD12" s="308"/>
      <c r="AE12" s="302">
        <f t="shared" si="78"/>
        <v>0</v>
      </c>
      <c r="AF12" s="307" t="str">
        <f t="shared" si="62"/>
        <v/>
      </c>
      <c r="AG12" s="308"/>
      <c r="AH12" s="302">
        <f t="shared" si="79"/>
        <v>0</v>
      </c>
      <c r="AI12" s="307" t="str">
        <f t="shared" si="64"/>
        <v/>
      </c>
      <c r="AJ12" s="308"/>
      <c r="AK12" s="302">
        <f t="shared" si="80"/>
        <v>0</v>
      </c>
      <c r="AL12" s="307">
        <f t="shared" ref="AL12:AM12" si="83">B12+E12+H12+K12+N12+Q12+T12+W12+Z12+AC12+AF12+AI12</f>
        <v>0</v>
      </c>
      <c r="AM12" s="308">
        <f t="shared" si="83"/>
        <v>0</v>
      </c>
      <c r="AN12" s="303">
        <f t="shared" si="82"/>
        <v>0</v>
      </c>
      <c r="AO12" s="121" t="str">
        <f t="shared" si="41"/>
        <v/>
      </c>
    </row>
    <row r="13" hidden="1" outlineLevel="1">
      <c r="A13" s="306"/>
      <c r="B13" s="307" t="str">
        <f t="shared" si="42"/>
        <v/>
      </c>
      <c r="C13" s="308"/>
      <c r="D13" s="302">
        <f t="shared" si="69"/>
        <v>0</v>
      </c>
      <c r="E13" s="307" t="str">
        <f t="shared" si="44"/>
        <v/>
      </c>
      <c r="F13" s="308"/>
      <c r="G13" s="302">
        <f t="shared" si="70"/>
        <v>0</v>
      </c>
      <c r="H13" s="307" t="str">
        <f t="shared" si="46"/>
        <v/>
      </c>
      <c r="I13" s="308"/>
      <c r="J13" s="302">
        <f t="shared" si="71"/>
        <v>0</v>
      </c>
      <c r="K13" s="307" t="str">
        <f t="shared" si="48"/>
        <v/>
      </c>
      <c r="L13" s="308"/>
      <c r="M13" s="302">
        <f t="shared" si="72"/>
        <v>0</v>
      </c>
      <c r="N13" s="307" t="str">
        <f t="shared" si="50"/>
        <v/>
      </c>
      <c r="O13" s="308"/>
      <c r="P13" s="302">
        <f t="shared" si="73"/>
        <v>0</v>
      </c>
      <c r="Q13" s="307" t="str">
        <f t="shared" si="52"/>
        <v/>
      </c>
      <c r="R13" s="308"/>
      <c r="S13" s="302">
        <f t="shared" si="74"/>
        <v>0</v>
      </c>
      <c r="T13" s="307" t="str">
        <f t="shared" si="54"/>
        <v/>
      </c>
      <c r="U13" s="308"/>
      <c r="V13" s="302">
        <f t="shared" si="75"/>
        <v>0</v>
      </c>
      <c r="W13" s="307" t="str">
        <f t="shared" si="56"/>
        <v/>
      </c>
      <c r="X13" s="308"/>
      <c r="Y13" s="302">
        <f t="shared" si="76"/>
        <v>0</v>
      </c>
      <c r="Z13" s="307" t="str">
        <f t="shared" si="58"/>
        <v/>
      </c>
      <c r="AA13" s="308"/>
      <c r="AB13" s="302">
        <f t="shared" si="77"/>
        <v>0</v>
      </c>
      <c r="AC13" s="307" t="str">
        <f t="shared" si="60"/>
        <v/>
      </c>
      <c r="AD13" s="308"/>
      <c r="AE13" s="302">
        <f t="shared" si="78"/>
        <v>0</v>
      </c>
      <c r="AF13" s="307" t="str">
        <f t="shared" si="62"/>
        <v/>
      </c>
      <c r="AG13" s="308"/>
      <c r="AH13" s="302">
        <f t="shared" si="79"/>
        <v>0</v>
      </c>
      <c r="AI13" s="307" t="str">
        <f t="shared" si="64"/>
        <v/>
      </c>
      <c r="AJ13" s="308"/>
      <c r="AK13" s="302">
        <f t="shared" si="80"/>
        <v>0</v>
      </c>
      <c r="AL13" s="307">
        <f t="shared" ref="AL13:AM13" si="84">B13+E13+H13+K13+N13+Q13+T13+W13+Z13+AC13+AF13+AI13</f>
        <v>0</v>
      </c>
      <c r="AM13" s="308">
        <f t="shared" si="84"/>
        <v>0</v>
      </c>
      <c r="AN13" s="303">
        <f t="shared" si="82"/>
        <v>0</v>
      </c>
      <c r="AO13" s="121" t="str">
        <f t="shared" si="41"/>
        <v/>
      </c>
    </row>
    <row r="14" hidden="1" outlineLevel="1">
      <c r="A14" s="306"/>
      <c r="B14" s="307" t="str">
        <f t="shared" si="42"/>
        <v/>
      </c>
      <c r="C14" s="308"/>
      <c r="D14" s="302">
        <f t="shared" si="69"/>
        <v>0</v>
      </c>
      <c r="E14" s="307" t="str">
        <f t="shared" si="44"/>
        <v/>
      </c>
      <c r="F14" s="308"/>
      <c r="G14" s="302">
        <f t="shared" si="70"/>
        <v>0</v>
      </c>
      <c r="H14" s="307" t="str">
        <f t="shared" si="46"/>
        <v/>
      </c>
      <c r="I14" s="308"/>
      <c r="J14" s="302">
        <f t="shared" si="71"/>
        <v>0</v>
      </c>
      <c r="K14" s="307" t="str">
        <f t="shared" si="48"/>
        <v/>
      </c>
      <c r="L14" s="308"/>
      <c r="M14" s="302">
        <f t="shared" si="72"/>
        <v>0</v>
      </c>
      <c r="N14" s="307" t="str">
        <f t="shared" si="50"/>
        <v/>
      </c>
      <c r="O14" s="308"/>
      <c r="P14" s="302">
        <f t="shared" si="73"/>
        <v>0</v>
      </c>
      <c r="Q14" s="307" t="str">
        <f t="shared" si="52"/>
        <v/>
      </c>
      <c r="R14" s="308"/>
      <c r="S14" s="302">
        <f t="shared" si="74"/>
        <v>0</v>
      </c>
      <c r="T14" s="307" t="str">
        <f t="shared" si="54"/>
        <v/>
      </c>
      <c r="U14" s="308"/>
      <c r="V14" s="302">
        <f t="shared" si="75"/>
        <v>0</v>
      </c>
      <c r="W14" s="307" t="str">
        <f t="shared" si="56"/>
        <v/>
      </c>
      <c r="X14" s="308"/>
      <c r="Y14" s="302">
        <f t="shared" si="76"/>
        <v>0</v>
      </c>
      <c r="Z14" s="307" t="str">
        <f t="shared" si="58"/>
        <v/>
      </c>
      <c r="AA14" s="308"/>
      <c r="AB14" s="302">
        <f t="shared" si="77"/>
        <v>0</v>
      </c>
      <c r="AC14" s="307" t="str">
        <f t="shared" si="60"/>
        <v/>
      </c>
      <c r="AD14" s="308"/>
      <c r="AE14" s="302">
        <f t="shared" si="78"/>
        <v>0</v>
      </c>
      <c r="AF14" s="307" t="str">
        <f t="shared" si="62"/>
        <v/>
      </c>
      <c r="AG14" s="308"/>
      <c r="AH14" s="302">
        <f t="shared" si="79"/>
        <v>0</v>
      </c>
      <c r="AI14" s="307" t="str">
        <f t="shared" si="64"/>
        <v/>
      </c>
      <c r="AJ14" s="308"/>
      <c r="AK14" s="302">
        <f t="shared" si="80"/>
        <v>0</v>
      </c>
      <c r="AL14" s="307">
        <f t="shared" ref="AL14:AM14" si="85">B14+E14+H14+K14+N14+Q14+T14+W14+Z14+AC14+AF14+AI14</f>
        <v>0</v>
      </c>
      <c r="AM14" s="308">
        <f t="shared" si="85"/>
        <v>0</v>
      </c>
      <c r="AN14" s="303">
        <f t="shared" si="82"/>
        <v>0</v>
      </c>
      <c r="AO14" s="134" t="str">
        <f t="shared" ref="AO14:AO15" si="99">IF(AM14=0,"",IF(AN14&gt;1,"план не выполнен","выполнение"))</f>
        <v/>
      </c>
    </row>
    <row r="15">
      <c r="A15" s="309" t="s">
        <v>135</v>
      </c>
      <c r="B15" s="310">
        <f t="shared" ref="B15:C15" si="86">B16+B61</f>
        <v>-61985</v>
      </c>
      <c r="C15" s="311">
        <f t="shared" si="86"/>
        <v>-73525</v>
      </c>
      <c r="D15" s="302">
        <f t="shared" si="69"/>
        <v>0.8430465828</v>
      </c>
      <c r="E15" s="310">
        <f t="shared" ref="E15:F15" si="87">E16+E61</f>
        <v>0</v>
      </c>
      <c r="F15" s="311">
        <f t="shared" si="87"/>
        <v>0</v>
      </c>
      <c r="G15" s="302">
        <f t="shared" si="70"/>
        <v>0</v>
      </c>
      <c r="H15" s="310">
        <f t="shared" ref="H15:I15" si="88">H16+H61</f>
        <v>0</v>
      </c>
      <c r="I15" s="311">
        <f t="shared" si="88"/>
        <v>0</v>
      </c>
      <c r="J15" s="302">
        <f t="shared" si="71"/>
        <v>0</v>
      </c>
      <c r="K15" s="310">
        <f t="shared" ref="K15:L15" si="89">K16+K61</f>
        <v>0</v>
      </c>
      <c r="L15" s="311">
        <f t="shared" si="89"/>
        <v>0</v>
      </c>
      <c r="M15" s="302">
        <f t="shared" si="72"/>
        <v>0</v>
      </c>
      <c r="N15" s="310">
        <f t="shared" ref="N15:O15" si="90">N16+N61</f>
        <v>0</v>
      </c>
      <c r="O15" s="311">
        <f t="shared" si="90"/>
        <v>0</v>
      </c>
      <c r="P15" s="302">
        <f t="shared" si="73"/>
        <v>0</v>
      </c>
      <c r="Q15" s="310">
        <f t="shared" ref="Q15:R15" si="91">Q16+Q61</f>
        <v>0</v>
      </c>
      <c r="R15" s="311">
        <f t="shared" si="91"/>
        <v>0</v>
      </c>
      <c r="S15" s="302">
        <f t="shared" si="74"/>
        <v>0</v>
      </c>
      <c r="T15" s="310">
        <f t="shared" ref="T15:U15" si="92">T16+T61</f>
        <v>0</v>
      </c>
      <c r="U15" s="311">
        <f t="shared" si="92"/>
        <v>0</v>
      </c>
      <c r="V15" s="302">
        <f t="shared" si="75"/>
        <v>0</v>
      </c>
      <c r="W15" s="310">
        <f t="shared" ref="W15:X15" si="93">W16+W61</f>
        <v>0</v>
      </c>
      <c r="X15" s="311">
        <f t="shared" si="93"/>
        <v>0</v>
      </c>
      <c r="Y15" s="302">
        <f t="shared" si="76"/>
        <v>0</v>
      </c>
      <c r="Z15" s="310">
        <f t="shared" ref="Z15:AA15" si="94">Z16+Z61</f>
        <v>0</v>
      </c>
      <c r="AA15" s="311">
        <f t="shared" si="94"/>
        <v>0</v>
      </c>
      <c r="AB15" s="302">
        <f t="shared" si="77"/>
        <v>0</v>
      </c>
      <c r="AC15" s="310">
        <f t="shared" ref="AC15:AD15" si="95">AC16+AC61</f>
        <v>0</v>
      </c>
      <c r="AD15" s="311">
        <f t="shared" si="95"/>
        <v>0</v>
      </c>
      <c r="AE15" s="302">
        <f t="shared" si="78"/>
        <v>0</v>
      </c>
      <c r="AF15" s="310">
        <f t="shared" ref="AF15:AG15" si="96">AF16+AF61</f>
        <v>0</v>
      </c>
      <c r="AG15" s="311">
        <f t="shared" si="96"/>
        <v>0</v>
      </c>
      <c r="AH15" s="302">
        <f t="shared" si="79"/>
        <v>0</v>
      </c>
      <c r="AI15" s="310">
        <f t="shared" ref="AI15:AJ15" si="97">AI16+AI61</f>
        <v>0</v>
      </c>
      <c r="AJ15" s="311">
        <f t="shared" si="97"/>
        <v>0</v>
      </c>
      <c r="AK15" s="302">
        <f t="shared" si="80"/>
        <v>0</v>
      </c>
      <c r="AL15" s="310">
        <f t="shared" ref="AL15:AM15" si="98">B15+E15+H15+K15+N15+Q15+T15+W15+Z15+AC15+AF15+AI15</f>
        <v>-61985</v>
      </c>
      <c r="AM15" s="311">
        <f t="shared" si="98"/>
        <v>-73525</v>
      </c>
      <c r="AN15" s="303">
        <f t="shared" si="82"/>
        <v>0.8430465828</v>
      </c>
      <c r="AO15" s="312" t="str">
        <f t="shared" si="99"/>
        <v>выполнение</v>
      </c>
    </row>
    <row r="16">
      <c r="A16" s="313" t="s">
        <v>99</v>
      </c>
      <c r="B16" s="314">
        <f t="shared" ref="B16:C16" si="100">SUM(B17:B57)</f>
        <v>-49466</v>
      </c>
      <c r="C16" s="315">
        <f t="shared" si="100"/>
        <v>-61250</v>
      </c>
      <c r="D16" s="302">
        <f t="shared" si="69"/>
        <v>0.8076081633</v>
      </c>
      <c r="E16" s="314">
        <f t="shared" ref="E16:F16" si="101">SUM(E17:E57)</f>
        <v>0</v>
      </c>
      <c r="F16" s="315">
        <f t="shared" si="101"/>
        <v>0</v>
      </c>
      <c r="G16" s="302">
        <f t="shared" si="70"/>
        <v>0</v>
      </c>
      <c r="H16" s="314">
        <f t="shared" ref="H16:I16" si="102">SUM(H17:H57)</f>
        <v>0</v>
      </c>
      <c r="I16" s="315">
        <f t="shared" si="102"/>
        <v>0</v>
      </c>
      <c r="J16" s="302">
        <f t="shared" si="71"/>
        <v>0</v>
      </c>
      <c r="K16" s="314">
        <f t="shared" ref="K16:L16" si="103">SUM(K17:K57)</f>
        <v>0</v>
      </c>
      <c r="L16" s="314">
        <f t="shared" si="103"/>
        <v>0</v>
      </c>
      <c r="M16" s="302">
        <f t="shared" si="72"/>
        <v>0</v>
      </c>
      <c r="N16" s="314">
        <f t="shared" ref="N16:O16" si="104">SUM(N17:N57)</f>
        <v>0</v>
      </c>
      <c r="O16" s="315">
        <f t="shared" si="104"/>
        <v>0</v>
      </c>
      <c r="P16" s="302">
        <f t="shared" si="73"/>
        <v>0</v>
      </c>
      <c r="Q16" s="314">
        <f t="shared" ref="Q16:R16" si="105">SUM(Q17:Q57)</f>
        <v>0</v>
      </c>
      <c r="R16" s="315">
        <f t="shared" si="105"/>
        <v>0</v>
      </c>
      <c r="S16" s="302">
        <f t="shared" si="74"/>
        <v>0</v>
      </c>
      <c r="T16" s="314">
        <f t="shared" ref="T16:U16" si="106">SUM(T17:T57)</f>
        <v>0</v>
      </c>
      <c r="U16" s="315">
        <f t="shared" si="106"/>
        <v>0</v>
      </c>
      <c r="V16" s="302">
        <f t="shared" si="75"/>
        <v>0</v>
      </c>
      <c r="W16" s="314">
        <f t="shared" ref="W16:X16" si="107">SUM(W17:W57)</f>
        <v>0</v>
      </c>
      <c r="X16" s="315">
        <f t="shared" si="107"/>
        <v>0</v>
      </c>
      <c r="Y16" s="302">
        <f t="shared" si="76"/>
        <v>0</v>
      </c>
      <c r="Z16" s="314">
        <f t="shared" ref="Z16:AA16" si="108">SUM(Z17:Z57)</f>
        <v>0</v>
      </c>
      <c r="AA16" s="315">
        <f t="shared" si="108"/>
        <v>0</v>
      </c>
      <c r="AB16" s="302">
        <f t="shared" si="77"/>
        <v>0</v>
      </c>
      <c r="AC16" s="314">
        <f t="shared" ref="AC16:AD16" si="109">SUM(AC17:AC57)</f>
        <v>0</v>
      </c>
      <c r="AD16" s="315">
        <f t="shared" si="109"/>
        <v>0</v>
      </c>
      <c r="AE16" s="302">
        <f t="shared" si="78"/>
        <v>0</v>
      </c>
      <c r="AF16" s="314">
        <f t="shared" ref="AF16:AG16" si="110">SUM(AF17:AF57)</f>
        <v>0</v>
      </c>
      <c r="AG16" s="315">
        <f t="shared" si="110"/>
        <v>0</v>
      </c>
      <c r="AH16" s="302">
        <f t="shared" si="79"/>
        <v>0</v>
      </c>
      <c r="AI16" s="314">
        <f t="shared" ref="AI16:AJ16" si="111">SUM(AI17:AI57)</f>
        <v>0</v>
      </c>
      <c r="AJ16" s="315">
        <f t="shared" si="111"/>
        <v>0</v>
      </c>
      <c r="AK16" s="302">
        <f t="shared" si="80"/>
        <v>0</v>
      </c>
      <c r="AL16" s="314">
        <f t="shared" ref="AL16:AM16" si="112">B16+E16+H16+K16+N16+Q16+T16+W16+Z16+AC16+AF16+AI16</f>
        <v>-49466</v>
      </c>
      <c r="AM16" s="315">
        <f t="shared" si="112"/>
        <v>-61250</v>
      </c>
      <c r="AN16" s="303">
        <f t="shared" si="82"/>
        <v>0.8076081633</v>
      </c>
      <c r="AO16" s="229" t="str">
        <f t="shared" ref="AO16:AO57" si="114">IF(AM16=0,"",IF(AN16=0,"обратить внимание",IF(AN16&gt;1,"перерасход","экономия")))</f>
        <v>экономия</v>
      </c>
    </row>
    <row r="17">
      <c r="A17" s="316" t="str">
        <f>IFERROR(__xludf.DUMMYFUNCTION("iferror(filter('Статьи'!$A$1:$A175,'Статьи'!$B$1:$B175=$A$16))"),"Комиссия топливных компаний")</f>
        <v>Комиссия топливных компаний</v>
      </c>
      <c r="B17" s="317">
        <f t="shared" ref="B17:B21" si="115">if($AI$2,IFERROR(INDIRECT("'"&amp;B$4&amp;"'!"&amp;$B$2&amp;match($A17,INDIRECT("'"&amp;B$4&amp;"'!B1:B"),0)),""),
IFERROR(INDIRECT("'"&amp;B$4&amp;"!"&amp;$B$2&amp;match($A17,INDIRECT("'"&amp;B$4&amp;"'!B:B"),0)),""))</f>
        <v>-266</v>
      </c>
      <c r="C17" s="318">
        <f t="shared" ref="C17:C20" si="116">IF($AI$2,IFERROR(INDIRECT("'"&amp;C$4&amp;"'!"&amp;$C$2&amp;MATCH($A17,INDIRECT("'"&amp;C$4&amp;"'!B1:B"),0)),""),
IFERROR(INDIRECT("'"&amp;C$4&amp;"!"&amp;$B$2&amp;MATCH($A17,INDIRECT("'"&amp;C$4&amp;"'!B:B"),0)),""))</f>
        <v>-250</v>
      </c>
      <c r="D17" s="302">
        <f t="shared" si="69"/>
        <v>1.064</v>
      </c>
      <c r="E17" s="317">
        <f t="shared" ref="E17:E21" si="117">if($AI$2,IFERROR(INDIRECT("'"&amp;E$4&amp;"'!"&amp;$B$2&amp;match($A17,INDIRECT("'"&amp;E$4&amp;"'!B1:B"),0)),""),
IFERROR(INDIRECT("'"&amp;E$4&amp;"!"&amp;$B$2&amp;match($A17,INDIRECT("'"&amp;E$4&amp;"'!B:B"),0)),""))</f>
        <v>0</v>
      </c>
      <c r="F17" s="318">
        <f t="shared" ref="F17:F20" si="118">IF($AI$2,IFERROR(INDIRECT("'"&amp;F$4&amp;"'!"&amp;$C$2&amp;MATCH($A17,INDIRECT("'"&amp;F$4&amp;"'!B1:B"),0)),""),
IFERROR(INDIRECT("'"&amp;F$4&amp;"!"&amp;$B$2&amp;MATCH($A17,INDIRECT("'"&amp;F$4&amp;"'!B:B"),0)),""))</f>
        <v>0</v>
      </c>
      <c r="G17" s="302">
        <f t="shared" si="70"/>
        <v>0</v>
      </c>
      <c r="H17" s="317">
        <f t="shared" ref="H17:H21" si="119">if($AI$2,IFERROR(INDIRECT("'"&amp;H$4&amp;"'!"&amp;$B$2&amp;match($A17,INDIRECT("'"&amp;H$4&amp;"'!B1:B"),0)),""),
IFERROR(INDIRECT("'"&amp;H$4&amp;"!"&amp;$B$2&amp;match($A17,INDIRECT("'"&amp;H$4&amp;"'!B:B"),0)),""))</f>
        <v>0</v>
      </c>
      <c r="I17" s="318">
        <f t="shared" ref="I17:I20" si="120">IF($AI$2,IFERROR(INDIRECT("'"&amp;I$4&amp;"'!"&amp;$C$2&amp;MATCH($A17,INDIRECT("'"&amp;I$4&amp;"'!B1:B"),0)),""),
IFERROR(INDIRECT("'"&amp;I$4&amp;"!"&amp;$B$2&amp;MATCH($A17,INDIRECT("'"&amp;I$4&amp;"'!B:B"),0)),""))</f>
        <v>0</v>
      </c>
      <c r="J17" s="302">
        <f t="shared" si="71"/>
        <v>0</v>
      </c>
      <c r="K17" s="317">
        <f t="shared" ref="K17:K21" si="121">if($AI$2,IFERROR(INDIRECT("'"&amp;K$4&amp;"'!"&amp;$B$2&amp;match($A17,INDIRECT("'"&amp;K$4&amp;"'!B1:B"),0)),""),
IFERROR(INDIRECT("'"&amp;K$4&amp;"!"&amp;$B$2&amp;match($A17,INDIRECT("'"&amp;K$4&amp;"'!B:B"),0)),""))</f>
        <v>0</v>
      </c>
      <c r="L17" s="318">
        <f t="shared" ref="L17:L20" si="122">IF($AI$2,IFERROR(INDIRECT("'"&amp;L$4&amp;"'!"&amp;$C$2&amp;MATCH($A17,INDIRECT("'"&amp;L$4&amp;"'!B1:B"),0)),""),
IFERROR(INDIRECT("'"&amp;L$4&amp;"!"&amp;$B$2&amp;MATCH($A17,INDIRECT("'"&amp;L$4&amp;"'!B:B"),0)),""))</f>
        <v>0</v>
      </c>
      <c r="M17" s="302">
        <f t="shared" si="72"/>
        <v>0</v>
      </c>
      <c r="N17" s="317">
        <f t="shared" ref="N17:N21" si="123">if($AI$2,IFERROR(INDIRECT("'"&amp;N$4&amp;"'!"&amp;$B$2&amp;match($A17,INDIRECT("'"&amp;N$4&amp;"'!B1:B"),0)),""),
IFERROR(INDIRECT("'"&amp;N$4&amp;"!"&amp;$B$2&amp;match($A17,INDIRECT("'"&amp;N$4&amp;"'!B:B"),0)),""))</f>
        <v>0</v>
      </c>
      <c r="O17" s="318">
        <f t="shared" ref="O17:O20" si="124">IF($AI$2,IFERROR(INDIRECT("'"&amp;O$4&amp;"'!"&amp;$C$2&amp;MATCH($A17,INDIRECT("'"&amp;O$4&amp;"'!B1:B"),0)),""),
IFERROR(INDIRECT("'"&amp;O$4&amp;"!"&amp;$B$2&amp;MATCH($A17,INDIRECT("'"&amp;O$4&amp;"'!B:B"),0)),""))</f>
        <v>0</v>
      </c>
      <c r="P17" s="302">
        <f t="shared" si="73"/>
        <v>0</v>
      </c>
      <c r="Q17" s="317">
        <f t="shared" ref="Q17:Q21" si="125">if($AI$2,IFERROR(INDIRECT("'"&amp;Q$4&amp;"'!"&amp;$B$2&amp;match($A17,INDIRECT("'"&amp;Q$4&amp;"'!B1:B"),0)),""),
IFERROR(INDIRECT("'"&amp;Q$4&amp;"!"&amp;$B$2&amp;match($A17,INDIRECT("'"&amp;Q$4&amp;"'!B:B"),0)),""))</f>
        <v>0</v>
      </c>
      <c r="R17" s="318">
        <f t="shared" ref="R17:R20" si="126">IF($AI$2,IFERROR(INDIRECT("'"&amp;R$4&amp;"'!"&amp;$C$2&amp;MATCH($A17,INDIRECT("'"&amp;R$4&amp;"'!B1:B"),0)),""),
IFERROR(INDIRECT("'"&amp;R$4&amp;"!"&amp;$B$2&amp;MATCH($A17,INDIRECT("'"&amp;R$4&amp;"'!B:B"),0)),""))</f>
        <v>0</v>
      </c>
      <c r="S17" s="302">
        <f t="shared" si="74"/>
        <v>0</v>
      </c>
      <c r="T17" s="317">
        <f t="shared" ref="T17:T21" si="127">if($AI$2,IFERROR(INDIRECT("'"&amp;T$4&amp;"'!"&amp;$B$2&amp;match($A17,INDIRECT("'"&amp;T$4&amp;"'!B1:B"),0)),""),
IFERROR(INDIRECT("'"&amp;T$4&amp;"!"&amp;$B$2&amp;match($A17,INDIRECT("'"&amp;T$4&amp;"'!B:B"),0)),""))</f>
        <v>0</v>
      </c>
      <c r="U17" s="318">
        <f t="shared" ref="U17:U20" si="128">IF($AI$2,IFERROR(INDIRECT("'"&amp;U$4&amp;"'!"&amp;$C$2&amp;MATCH($A17,INDIRECT("'"&amp;U$4&amp;"'!B1:B"),0)),""),
IFERROR(INDIRECT("'"&amp;U$4&amp;"!"&amp;$B$2&amp;MATCH($A17,INDIRECT("'"&amp;U$4&amp;"'!B:B"),0)),""))</f>
        <v>0</v>
      </c>
      <c r="V17" s="302">
        <f t="shared" si="75"/>
        <v>0</v>
      </c>
      <c r="W17" s="317">
        <f t="shared" ref="W17:W21" si="129">if($AI$2,IFERROR(INDIRECT("'"&amp;W$4&amp;"'!"&amp;$B$2&amp;match($A17,INDIRECT("'"&amp;W$4&amp;"'!B1:B"),0)),""),
IFERROR(INDIRECT("'"&amp;W$4&amp;"!"&amp;$B$2&amp;match($A17,INDIRECT("'"&amp;W$4&amp;"'!B:B"),0)),""))</f>
        <v>0</v>
      </c>
      <c r="X17" s="318">
        <f t="shared" ref="X17:X20" si="130">IF($AI$2,IFERROR(INDIRECT("'"&amp;X$4&amp;"'!"&amp;$C$2&amp;MATCH($A17,INDIRECT("'"&amp;X$4&amp;"'!B1:B"),0)),""),
IFERROR(INDIRECT("'"&amp;X$4&amp;"!"&amp;$B$2&amp;MATCH($A17,INDIRECT("'"&amp;X$4&amp;"'!B:B"),0)),""))</f>
        <v>0</v>
      </c>
      <c r="Y17" s="302">
        <f t="shared" si="76"/>
        <v>0</v>
      </c>
      <c r="Z17" s="317">
        <f t="shared" ref="Z17:Z21" si="131">if($AI$2,IFERROR(INDIRECT("'"&amp;Z$4&amp;"'!"&amp;$B$2&amp;match($A17,INDIRECT("'"&amp;Z$4&amp;"'!B1:B"),0)),""),
IFERROR(INDIRECT("'"&amp;Z$4&amp;"!"&amp;$B$2&amp;match($A17,INDIRECT("'"&amp;Z$4&amp;"'!B:B"),0)),""))</f>
        <v>0</v>
      </c>
      <c r="AA17" s="318">
        <f t="shared" ref="AA17:AA20" si="132">IF($AI$2,IFERROR(INDIRECT("'"&amp;AA$4&amp;"'!"&amp;$C$2&amp;MATCH($A17,INDIRECT("'"&amp;AA$4&amp;"'!B1:B"),0)),""),
IFERROR(INDIRECT("'"&amp;AA$4&amp;"!"&amp;$B$2&amp;MATCH($A17,INDIRECT("'"&amp;AA$4&amp;"'!B:B"),0)),""))</f>
        <v>0</v>
      </c>
      <c r="AB17" s="302">
        <f t="shared" si="77"/>
        <v>0</v>
      </c>
      <c r="AC17" s="317">
        <f t="shared" ref="AC17:AC21" si="133">if($AI$2,IFERROR(INDIRECT("'"&amp;AC$4&amp;"'!"&amp;$B$2&amp;match($A17,INDIRECT("'"&amp;AC$4&amp;"'!B1:B"),0)),""),
IFERROR(INDIRECT("'"&amp;AC$4&amp;"!"&amp;$B$2&amp;match($A17,INDIRECT("'"&amp;AC$4&amp;"'!B:B"),0)),""))</f>
        <v>0</v>
      </c>
      <c r="AD17" s="318">
        <f t="shared" ref="AD17:AD20" si="134">IF($AI$2,IFERROR(INDIRECT("'"&amp;AD$4&amp;"'!"&amp;$C$2&amp;MATCH($A17,INDIRECT("'"&amp;AD$4&amp;"'!B1:B"),0)),""),
IFERROR(INDIRECT("'"&amp;AD$4&amp;"!"&amp;$B$2&amp;MATCH($A17,INDIRECT("'"&amp;AD$4&amp;"'!B:B"),0)),""))</f>
        <v>0</v>
      </c>
      <c r="AE17" s="302">
        <f t="shared" si="78"/>
        <v>0</v>
      </c>
      <c r="AF17" s="317">
        <f t="shared" ref="AF17:AF21" si="135">if($AI$2,IFERROR(INDIRECT("'"&amp;AF$4&amp;"'!"&amp;$B$2&amp;match($A17,INDIRECT("'"&amp;AF$4&amp;"'!B1:B"),0)),""),
IFERROR(INDIRECT("'"&amp;AF$4&amp;"!"&amp;$B$2&amp;match($A17,INDIRECT("'"&amp;AF$4&amp;"'!B:B"),0)),""))</f>
        <v>0</v>
      </c>
      <c r="AG17" s="318">
        <f t="shared" ref="AG17:AG20" si="136">IF($AI$2,IFERROR(INDIRECT("'"&amp;AG$4&amp;"'!"&amp;$C$2&amp;MATCH($A17,INDIRECT("'"&amp;AG$4&amp;"'!B1:B"),0)),""),
IFERROR(INDIRECT("'"&amp;AG$4&amp;"!"&amp;$B$2&amp;MATCH($A17,INDIRECT("'"&amp;AG$4&amp;"'!B:B"),0)),""))</f>
        <v>0</v>
      </c>
      <c r="AH17" s="302">
        <f t="shared" si="79"/>
        <v>0</v>
      </c>
      <c r="AI17" s="317">
        <f t="shared" ref="AI17:AI21" si="137">if($AI$2,IFERROR(INDIRECT("'"&amp;AI$4&amp;"'!"&amp;$B$2&amp;match($A17,INDIRECT("'"&amp;AI$4&amp;"'!B1:B"),0)),""),
IFERROR(INDIRECT("'"&amp;AI$4&amp;"!"&amp;$B$2&amp;match($A17,INDIRECT("'"&amp;AI$4&amp;"'!B:B"),0)),""))</f>
        <v>0</v>
      </c>
      <c r="AJ17" s="318">
        <f t="shared" ref="AJ17:AJ20" si="138">IF($AI$2,IFERROR(INDIRECT("'"&amp;AJ$4&amp;"'!"&amp;$C$2&amp;MATCH($A17,INDIRECT("'"&amp;AJ$4&amp;"'!B1:B"),0)),""),
IFERROR(INDIRECT("'"&amp;AJ$4&amp;"!"&amp;$B$2&amp;MATCH($A17,INDIRECT("'"&amp;AJ$4&amp;"'!B:B"),0)),""))</f>
        <v>0</v>
      </c>
      <c r="AK17" s="302">
        <f t="shared" si="80"/>
        <v>0</v>
      </c>
      <c r="AL17" s="317">
        <f t="shared" ref="AL17:AM17" si="113">B17+E17+H17+K17+N17+Q17+T17+W17+Z17+AC17+AF17+AI17</f>
        <v>-266</v>
      </c>
      <c r="AM17" s="318">
        <f t="shared" si="113"/>
        <v>-250</v>
      </c>
      <c r="AN17" s="303">
        <f t="shared" si="82"/>
        <v>1.064</v>
      </c>
      <c r="AO17" s="121" t="str">
        <f t="shared" si="114"/>
        <v>перерасход</v>
      </c>
    </row>
    <row r="18">
      <c r="A18" s="125" t="str">
        <f>IFERROR(__xludf.DUMMYFUNCTION("""COMPUTED_VALUE"""),"Топливо для грузовых авто ")</f>
        <v>Топливо для грузовых авто </v>
      </c>
      <c r="B18" s="317">
        <f t="shared" si="115"/>
        <v>-49200</v>
      </c>
      <c r="C18" s="318">
        <f t="shared" si="116"/>
        <v>-61000</v>
      </c>
      <c r="D18" s="302">
        <f t="shared" si="69"/>
        <v>0.806557377</v>
      </c>
      <c r="E18" s="317">
        <f t="shared" si="117"/>
        <v>0</v>
      </c>
      <c r="F18" s="318">
        <f t="shared" si="118"/>
        <v>0</v>
      </c>
      <c r="G18" s="302">
        <f t="shared" si="70"/>
        <v>0</v>
      </c>
      <c r="H18" s="317">
        <f t="shared" si="119"/>
        <v>0</v>
      </c>
      <c r="I18" s="318">
        <f t="shared" si="120"/>
        <v>0</v>
      </c>
      <c r="J18" s="302">
        <f t="shared" si="71"/>
        <v>0</v>
      </c>
      <c r="K18" s="317">
        <f t="shared" si="121"/>
        <v>0</v>
      </c>
      <c r="L18" s="318">
        <f t="shared" si="122"/>
        <v>0</v>
      </c>
      <c r="M18" s="302">
        <f t="shared" si="72"/>
        <v>0</v>
      </c>
      <c r="N18" s="317">
        <f t="shared" si="123"/>
        <v>0</v>
      </c>
      <c r="O18" s="318">
        <f t="shared" si="124"/>
        <v>0</v>
      </c>
      <c r="P18" s="302">
        <f t="shared" si="73"/>
        <v>0</v>
      </c>
      <c r="Q18" s="317">
        <f t="shared" si="125"/>
        <v>0</v>
      </c>
      <c r="R18" s="318">
        <f t="shared" si="126"/>
        <v>0</v>
      </c>
      <c r="S18" s="302">
        <f t="shared" si="74"/>
        <v>0</v>
      </c>
      <c r="T18" s="317">
        <f t="shared" si="127"/>
        <v>0</v>
      </c>
      <c r="U18" s="318">
        <f t="shared" si="128"/>
        <v>0</v>
      </c>
      <c r="V18" s="302">
        <f t="shared" si="75"/>
        <v>0</v>
      </c>
      <c r="W18" s="317">
        <f t="shared" si="129"/>
        <v>0</v>
      </c>
      <c r="X18" s="318">
        <f t="shared" si="130"/>
        <v>0</v>
      </c>
      <c r="Y18" s="302">
        <f t="shared" si="76"/>
        <v>0</v>
      </c>
      <c r="Z18" s="317">
        <f t="shared" si="131"/>
        <v>0</v>
      </c>
      <c r="AA18" s="318">
        <f t="shared" si="132"/>
        <v>0</v>
      </c>
      <c r="AB18" s="302">
        <f t="shared" si="77"/>
        <v>0</v>
      </c>
      <c r="AC18" s="317">
        <f t="shared" si="133"/>
        <v>0</v>
      </c>
      <c r="AD18" s="318">
        <f t="shared" si="134"/>
        <v>0</v>
      </c>
      <c r="AE18" s="302">
        <f t="shared" si="78"/>
        <v>0</v>
      </c>
      <c r="AF18" s="317">
        <f t="shared" si="135"/>
        <v>0</v>
      </c>
      <c r="AG18" s="318">
        <f t="shared" si="136"/>
        <v>0</v>
      </c>
      <c r="AH18" s="302">
        <f t="shared" si="79"/>
        <v>0</v>
      </c>
      <c r="AI18" s="317">
        <f t="shared" si="137"/>
        <v>0</v>
      </c>
      <c r="AJ18" s="318">
        <f t="shared" si="138"/>
        <v>0</v>
      </c>
      <c r="AK18" s="302">
        <f t="shared" si="80"/>
        <v>0</v>
      </c>
      <c r="AL18" s="317">
        <f t="shared" ref="AL18:AM18" si="139">B18+E18+H18+K18+N18+Q18+T18+W18+Z18+AC18+AF18+AI18</f>
        <v>-49200</v>
      </c>
      <c r="AM18" s="318">
        <f t="shared" si="139"/>
        <v>-61000</v>
      </c>
      <c r="AN18" s="303">
        <f t="shared" si="82"/>
        <v>0.806557377</v>
      </c>
      <c r="AO18" s="121" t="str">
        <f t="shared" si="114"/>
        <v>экономия</v>
      </c>
    </row>
    <row r="19">
      <c r="A19" s="176"/>
      <c r="B19" s="317" t="str">
        <f t="shared" si="115"/>
        <v/>
      </c>
      <c r="C19" s="318" t="str">
        <f t="shared" si="116"/>
        <v/>
      </c>
      <c r="D19" s="302">
        <f t="shared" si="69"/>
        <v>0</v>
      </c>
      <c r="E19" s="317" t="str">
        <f t="shared" si="117"/>
        <v/>
      </c>
      <c r="F19" s="318" t="str">
        <f t="shared" si="118"/>
        <v/>
      </c>
      <c r="G19" s="302">
        <f t="shared" si="70"/>
        <v>0</v>
      </c>
      <c r="H19" s="317" t="str">
        <f t="shared" si="119"/>
        <v/>
      </c>
      <c r="I19" s="318" t="str">
        <f t="shared" si="120"/>
        <v/>
      </c>
      <c r="J19" s="302">
        <f t="shared" si="71"/>
        <v>0</v>
      </c>
      <c r="K19" s="317" t="str">
        <f t="shared" si="121"/>
        <v/>
      </c>
      <c r="L19" s="318" t="str">
        <f t="shared" si="122"/>
        <v/>
      </c>
      <c r="M19" s="302">
        <f t="shared" si="72"/>
        <v>0</v>
      </c>
      <c r="N19" s="317" t="str">
        <f t="shared" si="123"/>
        <v/>
      </c>
      <c r="O19" s="318" t="str">
        <f t="shared" si="124"/>
        <v/>
      </c>
      <c r="P19" s="302">
        <f t="shared" si="73"/>
        <v>0</v>
      </c>
      <c r="Q19" s="317" t="str">
        <f t="shared" si="125"/>
        <v/>
      </c>
      <c r="R19" s="318" t="str">
        <f t="shared" si="126"/>
        <v/>
      </c>
      <c r="S19" s="302">
        <f t="shared" si="74"/>
        <v>0</v>
      </c>
      <c r="T19" s="317" t="str">
        <f t="shared" si="127"/>
        <v/>
      </c>
      <c r="U19" s="318" t="str">
        <f t="shared" si="128"/>
        <v/>
      </c>
      <c r="V19" s="302">
        <f t="shared" si="75"/>
        <v>0</v>
      </c>
      <c r="W19" s="317" t="str">
        <f t="shared" si="129"/>
        <v/>
      </c>
      <c r="X19" s="318" t="str">
        <f t="shared" si="130"/>
        <v/>
      </c>
      <c r="Y19" s="302">
        <f t="shared" si="76"/>
        <v>0</v>
      </c>
      <c r="Z19" s="317" t="str">
        <f t="shared" si="131"/>
        <v/>
      </c>
      <c r="AA19" s="318" t="str">
        <f t="shared" si="132"/>
        <v/>
      </c>
      <c r="AB19" s="302">
        <f t="shared" si="77"/>
        <v>0</v>
      </c>
      <c r="AC19" s="317" t="str">
        <f t="shared" si="133"/>
        <v/>
      </c>
      <c r="AD19" s="318" t="str">
        <f t="shared" si="134"/>
        <v/>
      </c>
      <c r="AE19" s="302">
        <f t="shared" si="78"/>
        <v>0</v>
      </c>
      <c r="AF19" s="317" t="str">
        <f t="shared" si="135"/>
        <v/>
      </c>
      <c r="AG19" s="318" t="str">
        <f t="shared" si="136"/>
        <v/>
      </c>
      <c r="AH19" s="302">
        <f t="shared" si="79"/>
        <v>0</v>
      </c>
      <c r="AI19" s="317" t="str">
        <f t="shared" si="137"/>
        <v/>
      </c>
      <c r="AJ19" s="318" t="str">
        <f t="shared" si="138"/>
        <v/>
      </c>
      <c r="AK19" s="302">
        <f t="shared" si="80"/>
        <v>0</v>
      </c>
      <c r="AL19" s="317">
        <f t="shared" ref="AL19:AM19" si="140">B19+E19+H19+K19+N19+Q19+T19+W19+Z19+AC19+AF19+AI19</f>
        <v>0</v>
      </c>
      <c r="AM19" s="318">
        <f t="shared" si="140"/>
        <v>0</v>
      </c>
      <c r="AN19" s="303">
        <f t="shared" si="82"/>
        <v>0</v>
      </c>
      <c r="AO19" s="121" t="str">
        <f t="shared" si="114"/>
        <v/>
      </c>
    </row>
    <row r="20">
      <c r="A20" s="176"/>
      <c r="B20" s="317" t="str">
        <f t="shared" si="115"/>
        <v/>
      </c>
      <c r="C20" s="318" t="str">
        <f t="shared" si="116"/>
        <v/>
      </c>
      <c r="D20" s="302">
        <f t="shared" si="69"/>
        <v>0</v>
      </c>
      <c r="E20" s="317" t="str">
        <f t="shared" si="117"/>
        <v/>
      </c>
      <c r="F20" s="318" t="str">
        <f t="shared" si="118"/>
        <v/>
      </c>
      <c r="G20" s="302">
        <f t="shared" si="70"/>
        <v>0</v>
      </c>
      <c r="H20" s="317" t="str">
        <f t="shared" si="119"/>
        <v/>
      </c>
      <c r="I20" s="318" t="str">
        <f t="shared" si="120"/>
        <v/>
      </c>
      <c r="J20" s="302">
        <f t="shared" si="71"/>
        <v>0</v>
      </c>
      <c r="K20" s="317" t="str">
        <f t="shared" si="121"/>
        <v/>
      </c>
      <c r="L20" s="318" t="str">
        <f t="shared" si="122"/>
        <v/>
      </c>
      <c r="M20" s="302">
        <f t="shared" si="72"/>
        <v>0</v>
      </c>
      <c r="N20" s="317" t="str">
        <f t="shared" si="123"/>
        <v/>
      </c>
      <c r="O20" s="318" t="str">
        <f t="shared" si="124"/>
        <v/>
      </c>
      <c r="P20" s="302">
        <f t="shared" si="73"/>
        <v>0</v>
      </c>
      <c r="Q20" s="317" t="str">
        <f t="shared" si="125"/>
        <v/>
      </c>
      <c r="R20" s="318" t="str">
        <f t="shared" si="126"/>
        <v/>
      </c>
      <c r="S20" s="302">
        <f t="shared" si="74"/>
        <v>0</v>
      </c>
      <c r="T20" s="317" t="str">
        <f t="shared" si="127"/>
        <v/>
      </c>
      <c r="U20" s="318" t="str">
        <f t="shared" si="128"/>
        <v/>
      </c>
      <c r="V20" s="302">
        <f t="shared" si="75"/>
        <v>0</v>
      </c>
      <c r="W20" s="317" t="str">
        <f t="shared" si="129"/>
        <v/>
      </c>
      <c r="X20" s="318" t="str">
        <f t="shared" si="130"/>
        <v/>
      </c>
      <c r="Y20" s="302">
        <f t="shared" si="76"/>
        <v>0</v>
      </c>
      <c r="Z20" s="317" t="str">
        <f t="shared" si="131"/>
        <v/>
      </c>
      <c r="AA20" s="318" t="str">
        <f t="shared" si="132"/>
        <v/>
      </c>
      <c r="AB20" s="302">
        <f t="shared" si="77"/>
        <v>0</v>
      </c>
      <c r="AC20" s="317" t="str">
        <f t="shared" si="133"/>
        <v/>
      </c>
      <c r="AD20" s="318" t="str">
        <f t="shared" si="134"/>
        <v/>
      </c>
      <c r="AE20" s="302">
        <f t="shared" si="78"/>
        <v>0</v>
      </c>
      <c r="AF20" s="317" t="str">
        <f t="shared" si="135"/>
        <v/>
      </c>
      <c r="AG20" s="318" t="str">
        <f t="shared" si="136"/>
        <v/>
      </c>
      <c r="AH20" s="302">
        <f t="shared" si="79"/>
        <v>0</v>
      </c>
      <c r="AI20" s="317" t="str">
        <f t="shared" si="137"/>
        <v/>
      </c>
      <c r="AJ20" s="318" t="str">
        <f t="shared" si="138"/>
        <v/>
      </c>
      <c r="AK20" s="302">
        <f t="shared" si="80"/>
        <v>0</v>
      </c>
      <c r="AL20" s="317">
        <f t="shared" ref="AL20:AM20" si="141">B20+E20+H20+K20+N20+Q20+T20+W20+Z20+AC20+AF20+AI20</f>
        <v>0</v>
      </c>
      <c r="AM20" s="318">
        <f t="shared" si="141"/>
        <v>0</v>
      </c>
      <c r="AN20" s="303">
        <f t="shared" si="82"/>
        <v>0</v>
      </c>
      <c r="AO20" s="121" t="str">
        <f t="shared" si="114"/>
        <v/>
      </c>
    </row>
    <row r="21" collapsed="1">
      <c r="A21" s="176"/>
      <c r="B21" s="317" t="str">
        <f t="shared" si="115"/>
        <v/>
      </c>
      <c r="C21" s="318"/>
      <c r="D21" s="302"/>
      <c r="E21" s="317" t="str">
        <f t="shared" si="117"/>
        <v/>
      </c>
      <c r="F21" s="318"/>
      <c r="G21" s="302"/>
      <c r="H21" s="317" t="str">
        <f t="shared" si="119"/>
        <v/>
      </c>
      <c r="I21" s="318"/>
      <c r="J21" s="302"/>
      <c r="K21" s="317" t="str">
        <f t="shared" si="121"/>
        <v/>
      </c>
      <c r="L21" s="318"/>
      <c r="M21" s="302"/>
      <c r="N21" s="317" t="str">
        <f t="shared" si="123"/>
        <v/>
      </c>
      <c r="O21" s="318"/>
      <c r="P21" s="302"/>
      <c r="Q21" s="317" t="str">
        <f t="shared" si="125"/>
        <v/>
      </c>
      <c r="R21" s="318"/>
      <c r="S21" s="302"/>
      <c r="T21" s="317" t="str">
        <f t="shared" si="127"/>
        <v/>
      </c>
      <c r="U21" s="318"/>
      <c r="V21" s="302"/>
      <c r="W21" s="317" t="str">
        <f t="shared" si="129"/>
        <v/>
      </c>
      <c r="X21" s="318"/>
      <c r="Y21" s="302"/>
      <c r="Z21" s="317" t="str">
        <f t="shared" si="131"/>
        <v/>
      </c>
      <c r="AA21" s="318"/>
      <c r="AB21" s="302"/>
      <c r="AC21" s="317" t="str">
        <f t="shared" si="133"/>
        <v/>
      </c>
      <c r="AD21" s="318"/>
      <c r="AE21" s="302"/>
      <c r="AF21" s="317" t="str">
        <f t="shared" si="135"/>
        <v/>
      </c>
      <c r="AG21" s="318"/>
      <c r="AH21" s="302"/>
      <c r="AI21" s="317" t="str">
        <f t="shared" si="137"/>
        <v/>
      </c>
      <c r="AJ21" s="318"/>
      <c r="AK21" s="302"/>
      <c r="AL21" s="317"/>
      <c r="AM21" s="318"/>
      <c r="AN21" s="303"/>
      <c r="AO21" s="121" t="str">
        <f t="shared" si="114"/>
        <v/>
      </c>
    </row>
    <row r="22" hidden="1" outlineLevel="1">
      <c r="A22" s="176"/>
      <c r="B22" s="317"/>
      <c r="C22" s="318"/>
      <c r="D22" s="302"/>
      <c r="E22" s="317"/>
      <c r="F22" s="318"/>
      <c r="G22" s="302"/>
      <c r="H22" s="317"/>
      <c r="I22" s="318"/>
      <c r="J22" s="302"/>
      <c r="K22" s="317"/>
      <c r="L22" s="318"/>
      <c r="M22" s="302"/>
      <c r="N22" s="317"/>
      <c r="O22" s="318"/>
      <c r="P22" s="302"/>
      <c r="Q22" s="317"/>
      <c r="R22" s="318"/>
      <c r="S22" s="302"/>
      <c r="T22" s="317"/>
      <c r="U22" s="318"/>
      <c r="V22" s="302"/>
      <c r="W22" s="317"/>
      <c r="X22" s="318"/>
      <c r="Y22" s="302"/>
      <c r="Z22" s="317"/>
      <c r="AA22" s="318"/>
      <c r="AB22" s="302"/>
      <c r="AC22" s="317"/>
      <c r="AD22" s="318"/>
      <c r="AE22" s="302"/>
      <c r="AF22" s="317"/>
      <c r="AG22" s="318"/>
      <c r="AH22" s="302"/>
      <c r="AI22" s="317"/>
      <c r="AJ22" s="318"/>
      <c r="AK22" s="302"/>
      <c r="AL22" s="317"/>
      <c r="AM22" s="318"/>
      <c r="AN22" s="303"/>
      <c r="AO22" s="121" t="str">
        <f t="shared" si="114"/>
        <v/>
      </c>
    </row>
    <row r="23" hidden="1" outlineLevel="1">
      <c r="A23" s="176"/>
      <c r="B23" s="317"/>
      <c r="C23" s="318"/>
      <c r="D23" s="302"/>
      <c r="E23" s="317"/>
      <c r="F23" s="318"/>
      <c r="G23" s="302"/>
      <c r="H23" s="317"/>
      <c r="I23" s="318"/>
      <c r="J23" s="302"/>
      <c r="K23" s="317"/>
      <c r="L23" s="318"/>
      <c r="M23" s="302"/>
      <c r="N23" s="317"/>
      <c r="O23" s="318"/>
      <c r="P23" s="302"/>
      <c r="Q23" s="317"/>
      <c r="R23" s="318"/>
      <c r="S23" s="302"/>
      <c r="T23" s="317"/>
      <c r="U23" s="318"/>
      <c r="V23" s="302"/>
      <c r="W23" s="317"/>
      <c r="X23" s="318"/>
      <c r="Y23" s="302"/>
      <c r="Z23" s="317"/>
      <c r="AA23" s="318"/>
      <c r="AB23" s="302"/>
      <c r="AC23" s="317"/>
      <c r="AD23" s="318"/>
      <c r="AE23" s="302"/>
      <c r="AF23" s="317"/>
      <c r="AG23" s="318"/>
      <c r="AH23" s="302"/>
      <c r="AI23" s="317"/>
      <c r="AJ23" s="318"/>
      <c r="AK23" s="302"/>
      <c r="AL23" s="317"/>
      <c r="AM23" s="318"/>
      <c r="AN23" s="303"/>
      <c r="AO23" s="121" t="str">
        <f t="shared" si="114"/>
        <v/>
      </c>
    </row>
    <row r="24" hidden="1" outlineLevel="1">
      <c r="A24" s="176"/>
      <c r="B24" s="317"/>
      <c r="C24" s="318"/>
      <c r="D24" s="302"/>
      <c r="E24" s="317"/>
      <c r="F24" s="318"/>
      <c r="G24" s="302"/>
      <c r="H24" s="317"/>
      <c r="I24" s="318"/>
      <c r="J24" s="302"/>
      <c r="K24" s="317"/>
      <c r="L24" s="318"/>
      <c r="M24" s="302"/>
      <c r="N24" s="317"/>
      <c r="O24" s="318"/>
      <c r="P24" s="302"/>
      <c r="Q24" s="317"/>
      <c r="R24" s="318"/>
      <c r="S24" s="302"/>
      <c r="T24" s="317"/>
      <c r="U24" s="318"/>
      <c r="V24" s="302"/>
      <c r="W24" s="317"/>
      <c r="X24" s="318"/>
      <c r="Y24" s="302"/>
      <c r="Z24" s="317"/>
      <c r="AA24" s="318"/>
      <c r="AB24" s="302"/>
      <c r="AC24" s="317"/>
      <c r="AD24" s="318"/>
      <c r="AE24" s="302"/>
      <c r="AF24" s="317"/>
      <c r="AG24" s="318"/>
      <c r="AH24" s="302"/>
      <c r="AI24" s="317"/>
      <c r="AJ24" s="318"/>
      <c r="AK24" s="302"/>
      <c r="AL24" s="317"/>
      <c r="AM24" s="318"/>
      <c r="AN24" s="303"/>
      <c r="AO24" s="121" t="str">
        <f t="shared" si="114"/>
        <v/>
      </c>
    </row>
    <row r="25" hidden="1" outlineLevel="1">
      <c r="A25" s="176"/>
      <c r="B25" s="317" t="str">
        <f t="shared" ref="B25:B27" si="142">if($AI$2,IFERROR(INDIRECT("'"&amp;B$4&amp;"'!"&amp;$B$2&amp;match($A25,INDIRECT("'"&amp;B$4&amp;"'!B1:B"),0)),""),
IFERROR(INDIRECT("'"&amp;B$4&amp;"!"&amp;$B$2&amp;match($A25,INDIRECT("'"&amp;B$4&amp;"'!B:B"),0)),""))</f>
        <v/>
      </c>
      <c r="C25" s="318"/>
      <c r="D25" s="302"/>
      <c r="E25" s="317" t="str">
        <f t="shared" ref="E25:E27" si="143">if($AI$2,IFERROR(INDIRECT("'"&amp;E$4&amp;"'!"&amp;$B$2&amp;match($A25,INDIRECT("'"&amp;E$4&amp;"'!B1:B"),0)),""),
IFERROR(INDIRECT("'"&amp;E$4&amp;"!"&amp;$B$2&amp;match($A25,INDIRECT("'"&amp;E$4&amp;"'!B:B"),0)),""))</f>
        <v/>
      </c>
      <c r="F25" s="318"/>
      <c r="G25" s="302"/>
      <c r="H25" s="317" t="str">
        <f t="shared" ref="H25:H27" si="144">if($AI$2,IFERROR(INDIRECT("'"&amp;H$4&amp;"'!"&amp;$B$2&amp;match($A25,INDIRECT("'"&amp;H$4&amp;"'!B1:B"),0)),""),
IFERROR(INDIRECT("'"&amp;H$4&amp;"!"&amp;$B$2&amp;match($A25,INDIRECT("'"&amp;H$4&amp;"'!B:B"),0)),""))</f>
        <v/>
      </c>
      <c r="I25" s="318"/>
      <c r="J25" s="302"/>
      <c r="K25" s="317" t="str">
        <f t="shared" ref="K25:K27" si="145">if($AI$2,IFERROR(INDIRECT("'"&amp;K$4&amp;"'!"&amp;$B$2&amp;match($A25,INDIRECT("'"&amp;K$4&amp;"'!B1:B"),0)),""),
IFERROR(INDIRECT("'"&amp;K$4&amp;"!"&amp;$B$2&amp;match($A25,INDIRECT("'"&amp;K$4&amp;"'!B:B"),0)),""))</f>
        <v/>
      </c>
      <c r="L25" s="318"/>
      <c r="M25" s="302"/>
      <c r="N25" s="317" t="str">
        <f t="shared" ref="N25:N27" si="146">if($AI$2,IFERROR(INDIRECT("'"&amp;N$4&amp;"'!"&amp;$B$2&amp;match($A25,INDIRECT("'"&amp;N$4&amp;"'!B1:B"),0)),""),
IFERROR(INDIRECT("'"&amp;N$4&amp;"!"&amp;$B$2&amp;match($A25,INDIRECT("'"&amp;N$4&amp;"'!B:B"),0)),""))</f>
        <v/>
      </c>
      <c r="O25" s="318"/>
      <c r="P25" s="302"/>
      <c r="Q25" s="317" t="str">
        <f t="shared" ref="Q25:Q27" si="147">if($AI$2,IFERROR(INDIRECT("'"&amp;Q$4&amp;"'!"&amp;$B$2&amp;match($A25,INDIRECT("'"&amp;Q$4&amp;"'!B1:B"),0)),""),
IFERROR(INDIRECT("'"&amp;Q$4&amp;"!"&amp;$B$2&amp;match($A25,INDIRECT("'"&amp;Q$4&amp;"'!B:B"),0)),""))</f>
        <v/>
      </c>
      <c r="R25" s="318"/>
      <c r="S25" s="302"/>
      <c r="T25" s="317" t="str">
        <f t="shared" ref="T25:T27" si="148">if($AI$2,IFERROR(INDIRECT("'"&amp;T$4&amp;"'!"&amp;$B$2&amp;match($A25,INDIRECT("'"&amp;T$4&amp;"'!B1:B"),0)),""),
IFERROR(INDIRECT("'"&amp;T$4&amp;"!"&amp;$B$2&amp;match($A25,INDIRECT("'"&amp;T$4&amp;"'!B:B"),0)),""))</f>
        <v/>
      </c>
      <c r="U25" s="318"/>
      <c r="V25" s="302"/>
      <c r="W25" s="317" t="str">
        <f t="shared" ref="W25:W27" si="149">if($AI$2,IFERROR(INDIRECT("'"&amp;W$4&amp;"'!"&amp;$B$2&amp;match($A25,INDIRECT("'"&amp;W$4&amp;"'!B1:B"),0)),""),
IFERROR(INDIRECT("'"&amp;W$4&amp;"!"&amp;$B$2&amp;match($A25,INDIRECT("'"&amp;W$4&amp;"'!B:B"),0)),""))</f>
        <v/>
      </c>
      <c r="X25" s="318"/>
      <c r="Y25" s="302"/>
      <c r="Z25" s="317" t="str">
        <f t="shared" ref="Z25:Z27" si="150">if($AI$2,IFERROR(INDIRECT("'"&amp;Z$4&amp;"'!"&amp;$B$2&amp;match($A25,INDIRECT("'"&amp;Z$4&amp;"'!B1:B"),0)),""),
IFERROR(INDIRECT("'"&amp;Z$4&amp;"!"&amp;$B$2&amp;match($A25,INDIRECT("'"&amp;Z$4&amp;"'!B:B"),0)),""))</f>
        <v/>
      </c>
      <c r="AA25" s="318"/>
      <c r="AB25" s="302"/>
      <c r="AC25" s="317" t="str">
        <f t="shared" ref="AC25:AC27" si="151">if($AI$2,IFERROR(INDIRECT("'"&amp;AC$4&amp;"'!"&amp;$B$2&amp;match($A25,INDIRECT("'"&amp;AC$4&amp;"'!B1:B"),0)),""),
IFERROR(INDIRECT("'"&amp;AC$4&amp;"!"&amp;$B$2&amp;match($A25,INDIRECT("'"&amp;AC$4&amp;"'!B:B"),0)),""))</f>
        <v/>
      </c>
      <c r="AD25" s="318"/>
      <c r="AE25" s="302"/>
      <c r="AF25" s="317" t="str">
        <f t="shared" ref="AF25:AF27" si="152">if($AI$2,IFERROR(INDIRECT("'"&amp;AF$4&amp;"'!"&amp;$B$2&amp;match($A25,INDIRECT("'"&amp;AF$4&amp;"'!B1:B"),0)),""),
IFERROR(INDIRECT("'"&amp;AF$4&amp;"!"&amp;$B$2&amp;match($A25,INDIRECT("'"&amp;AF$4&amp;"'!B:B"),0)),""))</f>
        <v/>
      </c>
      <c r="AG25" s="318"/>
      <c r="AH25" s="302"/>
      <c r="AI25" s="317" t="str">
        <f t="shared" ref="AI25:AI27" si="153">if($AI$2,IFERROR(INDIRECT("'"&amp;AI$4&amp;"'!"&amp;$B$2&amp;match($A25,INDIRECT("'"&amp;AI$4&amp;"'!B1:B"),0)),""),
IFERROR(INDIRECT("'"&amp;AI$4&amp;"!"&amp;$B$2&amp;match($A25,INDIRECT("'"&amp;AI$4&amp;"'!B:B"),0)),""))</f>
        <v/>
      </c>
      <c r="AJ25" s="318"/>
      <c r="AK25" s="302"/>
      <c r="AL25" s="317"/>
      <c r="AM25" s="318"/>
      <c r="AN25" s="303"/>
      <c r="AO25" s="121" t="str">
        <f t="shared" si="114"/>
        <v/>
      </c>
    </row>
    <row r="26" hidden="1" outlineLevel="1">
      <c r="A26" s="176"/>
      <c r="B26" s="317" t="str">
        <f t="shared" si="142"/>
        <v/>
      </c>
      <c r="C26" s="318"/>
      <c r="D26" s="302"/>
      <c r="E26" s="317" t="str">
        <f t="shared" si="143"/>
        <v/>
      </c>
      <c r="F26" s="318"/>
      <c r="G26" s="302"/>
      <c r="H26" s="317" t="str">
        <f t="shared" si="144"/>
        <v/>
      </c>
      <c r="I26" s="318"/>
      <c r="J26" s="302"/>
      <c r="K26" s="317" t="str">
        <f t="shared" si="145"/>
        <v/>
      </c>
      <c r="L26" s="318"/>
      <c r="M26" s="302"/>
      <c r="N26" s="317" t="str">
        <f t="shared" si="146"/>
        <v/>
      </c>
      <c r="O26" s="318"/>
      <c r="P26" s="302"/>
      <c r="Q26" s="317" t="str">
        <f t="shared" si="147"/>
        <v/>
      </c>
      <c r="R26" s="318"/>
      <c r="S26" s="302"/>
      <c r="T26" s="317" t="str">
        <f t="shared" si="148"/>
        <v/>
      </c>
      <c r="U26" s="318"/>
      <c r="V26" s="302"/>
      <c r="W26" s="317" t="str">
        <f t="shared" si="149"/>
        <v/>
      </c>
      <c r="X26" s="318"/>
      <c r="Y26" s="302"/>
      <c r="Z26" s="317" t="str">
        <f t="shared" si="150"/>
        <v/>
      </c>
      <c r="AA26" s="318"/>
      <c r="AB26" s="302"/>
      <c r="AC26" s="317" t="str">
        <f t="shared" si="151"/>
        <v/>
      </c>
      <c r="AD26" s="318"/>
      <c r="AE26" s="302"/>
      <c r="AF26" s="317" t="str">
        <f t="shared" si="152"/>
        <v/>
      </c>
      <c r="AG26" s="318"/>
      <c r="AH26" s="302"/>
      <c r="AI26" s="317" t="str">
        <f t="shared" si="153"/>
        <v/>
      </c>
      <c r="AJ26" s="318"/>
      <c r="AK26" s="302"/>
      <c r="AL26" s="317"/>
      <c r="AM26" s="318"/>
      <c r="AN26" s="303"/>
      <c r="AO26" s="121" t="str">
        <f t="shared" si="114"/>
        <v/>
      </c>
    </row>
    <row r="27" hidden="1" outlineLevel="1">
      <c r="A27" s="176"/>
      <c r="B27" s="317" t="str">
        <f t="shared" si="142"/>
        <v/>
      </c>
      <c r="C27" s="318"/>
      <c r="D27" s="302"/>
      <c r="E27" s="317" t="str">
        <f t="shared" si="143"/>
        <v/>
      </c>
      <c r="F27" s="318"/>
      <c r="G27" s="302"/>
      <c r="H27" s="317" t="str">
        <f t="shared" si="144"/>
        <v/>
      </c>
      <c r="I27" s="318"/>
      <c r="J27" s="302"/>
      <c r="K27" s="317" t="str">
        <f t="shared" si="145"/>
        <v/>
      </c>
      <c r="L27" s="318"/>
      <c r="M27" s="302"/>
      <c r="N27" s="317" t="str">
        <f t="shared" si="146"/>
        <v/>
      </c>
      <c r="O27" s="318"/>
      <c r="P27" s="302"/>
      <c r="Q27" s="317" t="str">
        <f t="shared" si="147"/>
        <v/>
      </c>
      <c r="R27" s="318"/>
      <c r="S27" s="302"/>
      <c r="T27" s="317" t="str">
        <f t="shared" si="148"/>
        <v/>
      </c>
      <c r="U27" s="318"/>
      <c r="V27" s="302"/>
      <c r="W27" s="317" t="str">
        <f t="shared" si="149"/>
        <v/>
      </c>
      <c r="X27" s="318"/>
      <c r="Y27" s="302"/>
      <c r="Z27" s="317" t="str">
        <f t="shared" si="150"/>
        <v/>
      </c>
      <c r="AA27" s="318"/>
      <c r="AB27" s="302"/>
      <c r="AC27" s="317" t="str">
        <f t="shared" si="151"/>
        <v/>
      </c>
      <c r="AD27" s="318"/>
      <c r="AE27" s="302"/>
      <c r="AF27" s="317" t="str">
        <f t="shared" si="152"/>
        <v/>
      </c>
      <c r="AG27" s="318"/>
      <c r="AH27" s="302"/>
      <c r="AI27" s="317" t="str">
        <f t="shared" si="153"/>
        <v/>
      </c>
      <c r="AJ27" s="318"/>
      <c r="AK27" s="302"/>
      <c r="AL27" s="317"/>
      <c r="AM27" s="318"/>
      <c r="AN27" s="303"/>
      <c r="AO27" s="121" t="str">
        <f t="shared" si="114"/>
        <v/>
      </c>
    </row>
    <row r="28" hidden="1" outlineLevel="1">
      <c r="A28" s="176"/>
      <c r="B28" s="317"/>
      <c r="C28" s="318"/>
      <c r="D28" s="302"/>
      <c r="E28" s="317"/>
      <c r="F28" s="318"/>
      <c r="G28" s="302"/>
      <c r="H28" s="317"/>
      <c r="I28" s="318"/>
      <c r="J28" s="302"/>
      <c r="K28" s="317"/>
      <c r="L28" s="318"/>
      <c r="M28" s="302"/>
      <c r="N28" s="317"/>
      <c r="O28" s="318"/>
      <c r="P28" s="302"/>
      <c r="Q28" s="317"/>
      <c r="R28" s="318"/>
      <c r="S28" s="302"/>
      <c r="T28" s="317"/>
      <c r="U28" s="318"/>
      <c r="V28" s="302"/>
      <c r="W28" s="317"/>
      <c r="X28" s="318"/>
      <c r="Y28" s="302"/>
      <c r="Z28" s="317"/>
      <c r="AA28" s="318"/>
      <c r="AB28" s="302"/>
      <c r="AC28" s="317"/>
      <c r="AD28" s="318"/>
      <c r="AE28" s="302"/>
      <c r="AF28" s="317"/>
      <c r="AG28" s="318"/>
      <c r="AH28" s="302"/>
      <c r="AI28" s="317"/>
      <c r="AJ28" s="318"/>
      <c r="AK28" s="302"/>
      <c r="AL28" s="317"/>
      <c r="AM28" s="318"/>
      <c r="AN28" s="303"/>
      <c r="AO28" s="121" t="str">
        <f t="shared" si="114"/>
        <v/>
      </c>
    </row>
    <row r="29" hidden="1" outlineLevel="1">
      <c r="A29" s="176"/>
      <c r="B29" s="317"/>
      <c r="C29" s="318"/>
      <c r="D29" s="302"/>
      <c r="E29" s="317"/>
      <c r="F29" s="318"/>
      <c r="G29" s="302"/>
      <c r="H29" s="317"/>
      <c r="I29" s="318"/>
      <c r="J29" s="302"/>
      <c r="K29" s="317"/>
      <c r="L29" s="318"/>
      <c r="M29" s="302"/>
      <c r="N29" s="317"/>
      <c r="O29" s="318"/>
      <c r="P29" s="302"/>
      <c r="Q29" s="317"/>
      <c r="R29" s="318"/>
      <c r="S29" s="302"/>
      <c r="T29" s="317"/>
      <c r="U29" s="318"/>
      <c r="V29" s="302"/>
      <c r="W29" s="317"/>
      <c r="X29" s="318"/>
      <c r="Y29" s="302"/>
      <c r="Z29" s="317"/>
      <c r="AA29" s="318"/>
      <c r="AB29" s="302"/>
      <c r="AC29" s="317"/>
      <c r="AD29" s="318"/>
      <c r="AE29" s="302"/>
      <c r="AF29" s="317"/>
      <c r="AG29" s="318"/>
      <c r="AH29" s="302"/>
      <c r="AI29" s="317"/>
      <c r="AJ29" s="318"/>
      <c r="AK29" s="302"/>
      <c r="AL29" s="317"/>
      <c r="AM29" s="318"/>
      <c r="AN29" s="303"/>
      <c r="AO29" s="121" t="str">
        <f t="shared" si="114"/>
        <v/>
      </c>
    </row>
    <row r="30" hidden="1" outlineLevel="1">
      <c r="A30" s="176"/>
      <c r="B30" s="317"/>
      <c r="C30" s="318"/>
      <c r="D30" s="302"/>
      <c r="E30" s="317"/>
      <c r="F30" s="318"/>
      <c r="G30" s="302"/>
      <c r="H30" s="317"/>
      <c r="I30" s="318"/>
      <c r="J30" s="302"/>
      <c r="K30" s="317"/>
      <c r="L30" s="318"/>
      <c r="M30" s="302"/>
      <c r="N30" s="317"/>
      <c r="O30" s="318"/>
      <c r="P30" s="302"/>
      <c r="Q30" s="317"/>
      <c r="R30" s="318"/>
      <c r="S30" s="302"/>
      <c r="T30" s="317"/>
      <c r="U30" s="318"/>
      <c r="V30" s="302"/>
      <c r="W30" s="317"/>
      <c r="X30" s="318"/>
      <c r="Y30" s="302"/>
      <c r="Z30" s="317"/>
      <c r="AA30" s="318"/>
      <c r="AB30" s="302"/>
      <c r="AC30" s="317"/>
      <c r="AD30" s="318"/>
      <c r="AE30" s="302"/>
      <c r="AF30" s="317"/>
      <c r="AG30" s="318"/>
      <c r="AH30" s="302"/>
      <c r="AI30" s="317"/>
      <c r="AJ30" s="318"/>
      <c r="AK30" s="302"/>
      <c r="AL30" s="317"/>
      <c r="AM30" s="318"/>
      <c r="AN30" s="303"/>
      <c r="AO30" s="121" t="str">
        <f t="shared" si="114"/>
        <v/>
      </c>
    </row>
    <row r="31" hidden="1" outlineLevel="1">
      <c r="A31" s="176"/>
      <c r="B31" s="317"/>
      <c r="C31" s="318"/>
      <c r="D31" s="302"/>
      <c r="E31" s="317"/>
      <c r="F31" s="318"/>
      <c r="G31" s="302"/>
      <c r="H31" s="317"/>
      <c r="I31" s="318"/>
      <c r="J31" s="302"/>
      <c r="K31" s="317"/>
      <c r="L31" s="318"/>
      <c r="M31" s="302"/>
      <c r="N31" s="317"/>
      <c r="O31" s="318"/>
      <c r="P31" s="302"/>
      <c r="Q31" s="317"/>
      <c r="R31" s="318"/>
      <c r="S31" s="302"/>
      <c r="T31" s="317"/>
      <c r="U31" s="318"/>
      <c r="V31" s="302"/>
      <c r="W31" s="317"/>
      <c r="X31" s="318"/>
      <c r="Y31" s="302"/>
      <c r="Z31" s="317"/>
      <c r="AA31" s="318"/>
      <c r="AB31" s="302"/>
      <c r="AC31" s="317"/>
      <c r="AD31" s="318"/>
      <c r="AE31" s="302"/>
      <c r="AF31" s="317"/>
      <c r="AG31" s="318"/>
      <c r="AH31" s="302"/>
      <c r="AI31" s="317"/>
      <c r="AJ31" s="318"/>
      <c r="AK31" s="302"/>
      <c r="AL31" s="317"/>
      <c r="AM31" s="318"/>
      <c r="AN31" s="303"/>
      <c r="AO31" s="121" t="str">
        <f t="shared" si="114"/>
        <v/>
      </c>
    </row>
    <row r="32" hidden="1" outlineLevel="1">
      <c r="A32" s="176"/>
      <c r="B32" s="317"/>
      <c r="C32" s="318"/>
      <c r="D32" s="302"/>
      <c r="E32" s="317"/>
      <c r="F32" s="318"/>
      <c r="G32" s="302"/>
      <c r="H32" s="317"/>
      <c r="I32" s="318"/>
      <c r="J32" s="302"/>
      <c r="K32" s="317"/>
      <c r="L32" s="318"/>
      <c r="M32" s="302"/>
      <c r="N32" s="317"/>
      <c r="O32" s="318"/>
      <c r="P32" s="302"/>
      <c r="Q32" s="317"/>
      <c r="R32" s="318"/>
      <c r="S32" s="302"/>
      <c r="T32" s="317"/>
      <c r="U32" s="318"/>
      <c r="V32" s="302"/>
      <c r="W32" s="317"/>
      <c r="X32" s="318"/>
      <c r="Y32" s="302"/>
      <c r="Z32" s="317"/>
      <c r="AA32" s="318"/>
      <c r="AB32" s="302"/>
      <c r="AC32" s="317"/>
      <c r="AD32" s="318"/>
      <c r="AE32" s="302"/>
      <c r="AF32" s="317"/>
      <c r="AG32" s="318"/>
      <c r="AH32" s="302"/>
      <c r="AI32" s="317"/>
      <c r="AJ32" s="318"/>
      <c r="AK32" s="302"/>
      <c r="AL32" s="317"/>
      <c r="AM32" s="318"/>
      <c r="AN32" s="303"/>
      <c r="AO32" s="121" t="str">
        <f t="shared" si="114"/>
        <v/>
      </c>
    </row>
    <row r="33" hidden="1" outlineLevel="1">
      <c r="A33" s="176"/>
      <c r="B33" s="317"/>
      <c r="C33" s="318"/>
      <c r="D33" s="302"/>
      <c r="E33" s="317"/>
      <c r="F33" s="318"/>
      <c r="G33" s="302"/>
      <c r="H33" s="317"/>
      <c r="I33" s="318"/>
      <c r="J33" s="302"/>
      <c r="K33" s="317"/>
      <c r="L33" s="318"/>
      <c r="M33" s="302"/>
      <c r="N33" s="317"/>
      <c r="O33" s="318"/>
      <c r="P33" s="302"/>
      <c r="Q33" s="317"/>
      <c r="R33" s="318"/>
      <c r="S33" s="302"/>
      <c r="T33" s="317"/>
      <c r="U33" s="318"/>
      <c r="V33" s="302"/>
      <c r="W33" s="317"/>
      <c r="X33" s="318"/>
      <c r="Y33" s="302"/>
      <c r="Z33" s="317"/>
      <c r="AA33" s="318"/>
      <c r="AB33" s="302"/>
      <c r="AC33" s="317"/>
      <c r="AD33" s="318"/>
      <c r="AE33" s="302"/>
      <c r="AF33" s="317"/>
      <c r="AG33" s="318"/>
      <c r="AH33" s="302"/>
      <c r="AI33" s="317"/>
      <c r="AJ33" s="318"/>
      <c r="AK33" s="302"/>
      <c r="AL33" s="317"/>
      <c r="AM33" s="318"/>
      <c r="AN33" s="303"/>
      <c r="AO33" s="121" t="str">
        <f t="shared" si="114"/>
        <v/>
      </c>
    </row>
    <row r="34" hidden="1" outlineLevel="1">
      <c r="A34" s="176"/>
      <c r="B34" s="317"/>
      <c r="C34" s="318"/>
      <c r="D34" s="302"/>
      <c r="E34" s="317"/>
      <c r="F34" s="318"/>
      <c r="G34" s="302"/>
      <c r="H34" s="317"/>
      <c r="I34" s="318"/>
      <c r="J34" s="302"/>
      <c r="K34" s="317"/>
      <c r="L34" s="318"/>
      <c r="M34" s="302"/>
      <c r="N34" s="317"/>
      <c r="O34" s="318"/>
      <c r="P34" s="302"/>
      <c r="Q34" s="317"/>
      <c r="R34" s="318"/>
      <c r="S34" s="302"/>
      <c r="T34" s="317"/>
      <c r="U34" s="318"/>
      <c r="V34" s="302"/>
      <c r="W34" s="317"/>
      <c r="X34" s="318"/>
      <c r="Y34" s="302"/>
      <c r="Z34" s="317"/>
      <c r="AA34" s="318"/>
      <c r="AB34" s="302"/>
      <c r="AC34" s="317"/>
      <c r="AD34" s="318"/>
      <c r="AE34" s="302"/>
      <c r="AF34" s="317"/>
      <c r="AG34" s="318"/>
      <c r="AH34" s="302"/>
      <c r="AI34" s="317"/>
      <c r="AJ34" s="318"/>
      <c r="AK34" s="302"/>
      <c r="AL34" s="317"/>
      <c r="AM34" s="318"/>
      <c r="AN34" s="303"/>
      <c r="AO34" s="121" t="str">
        <f t="shared" si="114"/>
        <v/>
      </c>
    </row>
    <row r="35" hidden="1" outlineLevel="1">
      <c r="A35" s="176"/>
      <c r="B35" s="317"/>
      <c r="C35" s="318"/>
      <c r="D35" s="302"/>
      <c r="E35" s="317"/>
      <c r="F35" s="318"/>
      <c r="G35" s="302"/>
      <c r="H35" s="317"/>
      <c r="I35" s="318"/>
      <c r="J35" s="302"/>
      <c r="K35" s="317"/>
      <c r="L35" s="318"/>
      <c r="M35" s="302"/>
      <c r="N35" s="317"/>
      <c r="O35" s="318"/>
      <c r="P35" s="302"/>
      <c r="Q35" s="317"/>
      <c r="R35" s="318"/>
      <c r="S35" s="302"/>
      <c r="T35" s="317"/>
      <c r="U35" s="318"/>
      <c r="V35" s="302"/>
      <c r="W35" s="317"/>
      <c r="X35" s="318"/>
      <c r="Y35" s="302"/>
      <c r="Z35" s="317"/>
      <c r="AA35" s="318"/>
      <c r="AB35" s="302"/>
      <c r="AC35" s="317"/>
      <c r="AD35" s="318"/>
      <c r="AE35" s="302"/>
      <c r="AF35" s="317"/>
      <c r="AG35" s="318"/>
      <c r="AH35" s="302"/>
      <c r="AI35" s="317"/>
      <c r="AJ35" s="318"/>
      <c r="AK35" s="302"/>
      <c r="AL35" s="317"/>
      <c r="AM35" s="318"/>
      <c r="AN35" s="303"/>
      <c r="AO35" s="121" t="str">
        <f t="shared" si="114"/>
        <v/>
      </c>
    </row>
    <row r="36" hidden="1" outlineLevel="1">
      <c r="A36" s="176"/>
      <c r="B36" s="317"/>
      <c r="C36" s="318"/>
      <c r="D36" s="302"/>
      <c r="E36" s="317"/>
      <c r="F36" s="318"/>
      <c r="G36" s="302"/>
      <c r="H36" s="317"/>
      <c r="I36" s="318"/>
      <c r="J36" s="302"/>
      <c r="K36" s="317"/>
      <c r="L36" s="318"/>
      <c r="M36" s="302"/>
      <c r="N36" s="317"/>
      <c r="O36" s="318"/>
      <c r="P36" s="302"/>
      <c r="Q36" s="317"/>
      <c r="R36" s="318"/>
      <c r="S36" s="302"/>
      <c r="T36" s="317"/>
      <c r="U36" s="318"/>
      <c r="V36" s="302"/>
      <c r="W36" s="317"/>
      <c r="X36" s="318"/>
      <c r="Y36" s="302"/>
      <c r="Z36" s="317"/>
      <c r="AA36" s="318"/>
      <c r="AB36" s="302"/>
      <c r="AC36" s="317"/>
      <c r="AD36" s="318"/>
      <c r="AE36" s="302"/>
      <c r="AF36" s="317"/>
      <c r="AG36" s="318"/>
      <c r="AH36" s="302"/>
      <c r="AI36" s="317"/>
      <c r="AJ36" s="318"/>
      <c r="AK36" s="302"/>
      <c r="AL36" s="317"/>
      <c r="AM36" s="318"/>
      <c r="AN36" s="303"/>
      <c r="AO36" s="121" t="str">
        <f t="shared" si="114"/>
        <v/>
      </c>
    </row>
    <row r="37" hidden="1" outlineLevel="1">
      <c r="A37" s="176"/>
      <c r="B37" s="317"/>
      <c r="C37" s="318"/>
      <c r="D37" s="302"/>
      <c r="E37" s="317"/>
      <c r="F37" s="318"/>
      <c r="G37" s="302"/>
      <c r="H37" s="317"/>
      <c r="I37" s="318"/>
      <c r="J37" s="302"/>
      <c r="K37" s="317"/>
      <c r="L37" s="318"/>
      <c r="M37" s="302"/>
      <c r="N37" s="317"/>
      <c r="O37" s="318"/>
      <c r="P37" s="302"/>
      <c r="Q37" s="317"/>
      <c r="R37" s="318"/>
      <c r="S37" s="302"/>
      <c r="T37" s="317"/>
      <c r="U37" s="318"/>
      <c r="V37" s="302"/>
      <c r="W37" s="317"/>
      <c r="X37" s="318"/>
      <c r="Y37" s="302"/>
      <c r="Z37" s="317"/>
      <c r="AA37" s="318"/>
      <c r="AB37" s="302"/>
      <c r="AC37" s="317"/>
      <c r="AD37" s="318"/>
      <c r="AE37" s="302"/>
      <c r="AF37" s="317"/>
      <c r="AG37" s="318"/>
      <c r="AH37" s="302"/>
      <c r="AI37" s="317"/>
      <c r="AJ37" s="318"/>
      <c r="AK37" s="302"/>
      <c r="AL37" s="317"/>
      <c r="AM37" s="318"/>
      <c r="AN37" s="303"/>
      <c r="AO37" s="121" t="str">
        <f t="shared" si="114"/>
        <v/>
      </c>
    </row>
    <row r="38" hidden="1" outlineLevel="1">
      <c r="A38" s="176"/>
      <c r="B38" s="317"/>
      <c r="C38" s="318"/>
      <c r="D38" s="302"/>
      <c r="E38" s="317"/>
      <c r="F38" s="318"/>
      <c r="G38" s="302"/>
      <c r="H38" s="317"/>
      <c r="I38" s="318"/>
      <c r="J38" s="302"/>
      <c r="K38" s="317"/>
      <c r="L38" s="318"/>
      <c r="M38" s="302"/>
      <c r="N38" s="317"/>
      <c r="O38" s="318"/>
      <c r="P38" s="302"/>
      <c r="Q38" s="317"/>
      <c r="R38" s="318"/>
      <c r="S38" s="302"/>
      <c r="T38" s="317"/>
      <c r="U38" s="318"/>
      <c r="V38" s="302"/>
      <c r="W38" s="317"/>
      <c r="X38" s="318"/>
      <c r="Y38" s="302"/>
      <c r="Z38" s="317"/>
      <c r="AA38" s="318"/>
      <c r="AB38" s="302"/>
      <c r="AC38" s="317"/>
      <c r="AD38" s="318"/>
      <c r="AE38" s="302"/>
      <c r="AF38" s="317"/>
      <c r="AG38" s="318"/>
      <c r="AH38" s="302"/>
      <c r="AI38" s="317"/>
      <c r="AJ38" s="318"/>
      <c r="AK38" s="302"/>
      <c r="AL38" s="317"/>
      <c r="AM38" s="318"/>
      <c r="AN38" s="303"/>
      <c r="AO38" s="121" t="str">
        <f t="shared" si="114"/>
        <v/>
      </c>
    </row>
    <row r="39" hidden="1" outlineLevel="1">
      <c r="A39" s="176"/>
      <c r="B39" s="317"/>
      <c r="C39" s="318"/>
      <c r="D39" s="302"/>
      <c r="E39" s="317"/>
      <c r="F39" s="318"/>
      <c r="G39" s="302"/>
      <c r="H39" s="317"/>
      <c r="I39" s="318"/>
      <c r="J39" s="302"/>
      <c r="K39" s="317"/>
      <c r="L39" s="318"/>
      <c r="M39" s="302"/>
      <c r="N39" s="317"/>
      <c r="O39" s="318"/>
      <c r="P39" s="302"/>
      <c r="Q39" s="317"/>
      <c r="R39" s="318"/>
      <c r="S39" s="302"/>
      <c r="T39" s="317"/>
      <c r="U39" s="318"/>
      <c r="V39" s="302"/>
      <c r="W39" s="317"/>
      <c r="X39" s="318"/>
      <c r="Y39" s="302"/>
      <c r="Z39" s="317"/>
      <c r="AA39" s="318"/>
      <c r="AB39" s="302"/>
      <c r="AC39" s="317"/>
      <c r="AD39" s="318"/>
      <c r="AE39" s="302"/>
      <c r="AF39" s="317"/>
      <c r="AG39" s="318"/>
      <c r="AH39" s="302"/>
      <c r="AI39" s="317"/>
      <c r="AJ39" s="318"/>
      <c r="AK39" s="302"/>
      <c r="AL39" s="317"/>
      <c r="AM39" s="318"/>
      <c r="AN39" s="303"/>
      <c r="AO39" s="121" t="str">
        <f t="shared" si="114"/>
        <v/>
      </c>
    </row>
    <row r="40" hidden="1" outlineLevel="1">
      <c r="A40" s="176"/>
      <c r="B40" s="317"/>
      <c r="C40" s="318"/>
      <c r="D40" s="302"/>
      <c r="E40" s="317"/>
      <c r="F40" s="318"/>
      <c r="G40" s="302"/>
      <c r="H40" s="317"/>
      <c r="I40" s="318"/>
      <c r="J40" s="302"/>
      <c r="K40" s="317"/>
      <c r="L40" s="318"/>
      <c r="M40" s="302"/>
      <c r="N40" s="317"/>
      <c r="O40" s="318"/>
      <c r="P40" s="302"/>
      <c r="Q40" s="317"/>
      <c r="R40" s="318"/>
      <c r="S40" s="302"/>
      <c r="T40" s="317"/>
      <c r="U40" s="318"/>
      <c r="V40" s="302"/>
      <c r="W40" s="317"/>
      <c r="X40" s="318"/>
      <c r="Y40" s="302"/>
      <c r="Z40" s="317"/>
      <c r="AA40" s="318"/>
      <c r="AB40" s="302"/>
      <c r="AC40" s="317"/>
      <c r="AD40" s="318"/>
      <c r="AE40" s="302"/>
      <c r="AF40" s="317"/>
      <c r="AG40" s="318"/>
      <c r="AH40" s="302"/>
      <c r="AI40" s="317"/>
      <c r="AJ40" s="318"/>
      <c r="AK40" s="302"/>
      <c r="AL40" s="317"/>
      <c r="AM40" s="318"/>
      <c r="AN40" s="303"/>
      <c r="AO40" s="121" t="str">
        <f t="shared" si="114"/>
        <v/>
      </c>
    </row>
    <row r="41" hidden="1" outlineLevel="1">
      <c r="A41" s="176"/>
      <c r="B41" s="317"/>
      <c r="C41" s="318"/>
      <c r="D41" s="302"/>
      <c r="E41" s="317"/>
      <c r="F41" s="318"/>
      <c r="G41" s="302"/>
      <c r="H41" s="317"/>
      <c r="I41" s="318"/>
      <c r="J41" s="302"/>
      <c r="K41" s="317"/>
      <c r="L41" s="318"/>
      <c r="M41" s="302"/>
      <c r="N41" s="317"/>
      <c r="O41" s="318"/>
      <c r="P41" s="302"/>
      <c r="Q41" s="317"/>
      <c r="R41" s="318"/>
      <c r="S41" s="302"/>
      <c r="T41" s="317"/>
      <c r="U41" s="318"/>
      <c r="V41" s="302"/>
      <c r="W41" s="317"/>
      <c r="X41" s="318"/>
      <c r="Y41" s="302"/>
      <c r="Z41" s="317"/>
      <c r="AA41" s="318"/>
      <c r="AB41" s="302"/>
      <c r="AC41" s="317"/>
      <c r="AD41" s="318"/>
      <c r="AE41" s="302"/>
      <c r="AF41" s="317"/>
      <c r="AG41" s="318"/>
      <c r="AH41" s="302"/>
      <c r="AI41" s="317"/>
      <c r="AJ41" s="318"/>
      <c r="AK41" s="302"/>
      <c r="AL41" s="317"/>
      <c r="AM41" s="318"/>
      <c r="AN41" s="303"/>
      <c r="AO41" s="121" t="str">
        <f t="shared" si="114"/>
        <v/>
      </c>
    </row>
    <row r="42" hidden="1" outlineLevel="1">
      <c r="A42" s="176"/>
      <c r="B42" s="317"/>
      <c r="C42" s="318"/>
      <c r="D42" s="302"/>
      <c r="E42" s="317"/>
      <c r="F42" s="318"/>
      <c r="G42" s="302"/>
      <c r="H42" s="317"/>
      <c r="I42" s="318"/>
      <c r="J42" s="302"/>
      <c r="K42" s="317"/>
      <c r="L42" s="318"/>
      <c r="M42" s="302"/>
      <c r="N42" s="317"/>
      <c r="O42" s="318"/>
      <c r="P42" s="302"/>
      <c r="Q42" s="317"/>
      <c r="R42" s="318"/>
      <c r="S42" s="302"/>
      <c r="T42" s="317"/>
      <c r="U42" s="318"/>
      <c r="V42" s="302"/>
      <c r="W42" s="317"/>
      <c r="X42" s="318"/>
      <c r="Y42" s="302"/>
      <c r="Z42" s="317"/>
      <c r="AA42" s="318"/>
      <c r="AB42" s="302"/>
      <c r="AC42" s="317"/>
      <c r="AD42" s="318"/>
      <c r="AE42" s="302"/>
      <c r="AF42" s="317"/>
      <c r="AG42" s="318"/>
      <c r="AH42" s="302"/>
      <c r="AI42" s="317"/>
      <c r="AJ42" s="318"/>
      <c r="AK42" s="302"/>
      <c r="AL42" s="317"/>
      <c r="AM42" s="318"/>
      <c r="AN42" s="303"/>
      <c r="AO42" s="121" t="str">
        <f t="shared" si="114"/>
        <v/>
      </c>
    </row>
    <row r="43" hidden="1" outlineLevel="1">
      <c r="A43" s="176"/>
      <c r="B43" s="317"/>
      <c r="C43" s="318"/>
      <c r="D43" s="302"/>
      <c r="E43" s="317"/>
      <c r="F43" s="318"/>
      <c r="G43" s="302"/>
      <c r="H43" s="317"/>
      <c r="I43" s="318"/>
      <c r="J43" s="302"/>
      <c r="K43" s="317"/>
      <c r="L43" s="318"/>
      <c r="M43" s="302"/>
      <c r="N43" s="317"/>
      <c r="O43" s="318"/>
      <c r="P43" s="302"/>
      <c r="Q43" s="317"/>
      <c r="R43" s="318"/>
      <c r="S43" s="302"/>
      <c r="T43" s="317"/>
      <c r="U43" s="318"/>
      <c r="V43" s="302"/>
      <c r="W43" s="317"/>
      <c r="X43" s="318"/>
      <c r="Y43" s="302"/>
      <c r="Z43" s="317"/>
      <c r="AA43" s="318"/>
      <c r="AB43" s="302"/>
      <c r="AC43" s="317"/>
      <c r="AD43" s="318"/>
      <c r="AE43" s="302"/>
      <c r="AF43" s="317"/>
      <c r="AG43" s="318"/>
      <c r="AH43" s="302"/>
      <c r="AI43" s="317"/>
      <c r="AJ43" s="318"/>
      <c r="AK43" s="302"/>
      <c r="AL43" s="317"/>
      <c r="AM43" s="318"/>
      <c r="AN43" s="303"/>
      <c r="AO43" s="121" t="str">
        <f t="shared" si="114"/>
        <v/>
      </c>
    </row>
    <row r="44" hidden="1" outlineLevel="1">
      <c r="A44" s="176"/>
      <c r="B44" s="317"/>
      <c r="C44" s="318"/>
      <c r="D44" s="302"/>
      <c r="E44" s="317"/>
      <c r="F44" s="318"/>
      <c r="G44" s="302"/>
      <c r="H44" s="317"/>
      <c r="I44" s="318"/>
      <c r="J44" s="302"/>
      <c r="K44" s="317"/>
      <c r="L44" s="318"/>
      <c r="M44" s="302"/>
      <c r="N44" s="317"/>
      <c r="O44" s="318"/>
      <c r="P44" s="302"/>
      <c r="Q44" s="317"/>
      <c r="R44" s="318"/>
      <c r="S44" s="302"/>
      <c r="T44" s="317"/>
      <c r="U44" s="318"/>
      <c r="V44" s="302"/>
      <c r="W44" s="317"/>
      <c r="X44" s="318"/>
      <c r="Y44" s="302"/>
      <c r="Z44" s="317"/>
      <c r="AA44" s="318"/>
      <c r="AB44" s="302"/>
      <c r="AC44" s="317"/>
      <c r="AD44" s="318"/>
      <c r="AE44" s="302"/>
      <c r="AF44" s="317"/>
      <c r="AG44" s="318"/>
      <c r="AH44" s="302"/>
      <c r="AI44" s="317"/>
      <c r="AJ44" s="318"/>
      <c r="AK44" s="302"/>
      <c r="AL44" s="317"/>
      <c r="AM44" s="318"/>
      <c r="AN44" s="303"/>
      <c r="AO44" s="121" t="str">
        <f t="shared" si="114"/>
        <v/>
      </c>
    </row>
    <row r="45" hidden="1" outlineLevel="1">
      <c r="A45" s="176"/>
      <c r="B45" s="317"/>
      <c r="C45" s="318"/>
      <c r="D45" s="302"/>
      <c r="E45" s="317"/>
      <c r="F45" s="318"/>
      <c r="G45" s="302"/>
      <c r="H45" s="317"/>
      <c r="I45" s="318"/>
      <c r="J45" s="302"/>
      <c r="K45" s="317"/>
      <c r="L45" s="318"/>
      <c r="M45" s="302"/>
      <c r="N45" s="317"/>
      <c r="O45" s="318"/>
      <c r="P45" s="302"/>
      <c r="Q45" s="317"/>
      <c r="R45" s="318"/>
      <c r="S45" s="302"/>
      <c r="T45" s="317"/>
      <c r="U45" s="318"/>
      <c r="V45" s="302"/>
      <c r="W45" s="317"/>
      <c r="X45" s="318"/>
      <c r="Y45" s="302"/>
      <c r="Z45" s="317"/>
      <c r="AA45" s="318"/>
      <c r="AB45" s="302"/>
      <c r="AC45" s="317"/>
      <c r="AD45" s="318"/>
      <c r="AE45" s="302"/>
      <c r="AF45" s="317"/>
      <c r="AG45" s="318"/>
      <c r="AH45" s="302"/>
      <c r="AI45" s="317"/>
      <c r="AJ45" s="318"/>
      <c r="AK45" s="302"/>
      <c r="AL45" s="317"/>
      <c r="AM45" s="318"/>
      <c r="AN45" s="303"/>
      <c r="AO45" s="121" t="str">
        <f t="shared" si="114"/>
        <v/>
      </c>
    </row>
    <row r="46" hidden="1" outlineLevel="1">
      <c r="A46" s="176"/>
      <c r="B46" s="317"/>
      <c r="C46" s="318"/>
      <c r="D46" s="302"/>
      <c r="E46" s="317"/>
      <c r="F46" s="318"/>
      <c r="G46" s="302"/>
      <c r="H46" s="317"/>
      <c r="I46" s="318"/>
      <c r="J46" s="302"/>
      <c r="K46" s="317"/>
      <c r="L46" s="318"/>
      <c r="M46" s="302"/>
      <c r="N46" s="317"/>
      <c r="O46" s="318"/>
      <c r="P46" s="302"/>
      <c r="Q46" s="317"/>
      <c r="R46" s="318"/>
      <c r="S46" s="302"/>
      <c r="T46" s="317"/>
      <c r="U46" s="318"/>
      <c r="V46" s="302"/>
      <c r="W46" s="317"/>
      <c r="X46" s="318"/>
      <c r="Y46" s="302"/>
      <c r="Z46" s="317"/>
      <c r="AA46" s="318"/>
      <c r="AB46" s="302"/>
      <c r="AC46" s="317"/>
      <c r="AD46" s="318"/>
      <c r="AE46" s="302"/>
      <c r="AF46" s="317"/>
      <c r="AG46" s="318"/>
      <c r="AH46" s="302"/>
      <c r="AI46" s="317"/>
      <c r="AJ46" s="318"/>
      <c r="AK46" s="302"/>
      <c r="AL46" s="317"/>
      <c r="AM46" s="318"/>
      <c r="AN46" s="303"/>
      <c r="AO46" s="121" t="str">
        <f t="shared" si="114"/>
        <v/>
      </c>
    </row>
    <row r="47" hidden="1" outlineLevel="1">
      <c r="A47" s="176"/>
      <c r="B47" s="317"/>
      <c r="C47" s="318"/>
      <c r="D47" s="302"/>
      <c r="E47" s="317"/>
      <c r="F47" s="318"/>
      <c r="G47" s="302"/>
      <c r="H47" s="317"/>
      <c r="I47" s="318"/>
      <c r="J47" s="302"/>
      <c r="K47" s="317"/>
      <c r="L47" s="318"/>
      <c r="M47" s="302"/>
      <c r="N47" s="317"/>
      <c r="O47" s="318"/>
      <c r="P47" s="302"/>
      <c r="Q47" s="317"/>
      <c r="R47" s="318"/>
      <c r="S47" s="302"/>
      <c r="T47" s="317"/>
      <c r="U47" s="318"/>
      <c r="V47" s="302"/>
      <c r="W47" s="317"/>
      <c r="X47" s="318"/>
      <c r="Y47" s="302"/>
      <c r="Z47" s="317"/>
      <c r="AA47" s="318"/>
      <c r="AB47" s="302"/>
      <c r="AC47" s="317"/>
      <c r="AD47" s="318"/>
      <c r="AE47" s="302"/>
      <c r="AF47" s="317"/>
      <c r="AG47" s="318"/>
      <c r="AH47" s="302"/>
      <c r="AI47" s="317"/>
      <c r="AJ47" s="318"/>
      <c r="AK47" s="302"/>
      <c r="AL47" s="317"/>
      <c r="AM47" s="318"/>
      <c r="AN47" s="303"/>
      <c r="AO47" s="121" t="str">
        <f t="shared" si="114"/>
        <v/>
      </c>
    </row>
    <row r="48" hidden="1" outlineLevel="1">
      <c r="A48" s="176"/>
      <c r="B48" s="317"/>
      <c r="C48" s="318"/>
      <c r="D48" s="302"/>
      <c r="E48" s="317"/>
      <c r="F48" s="318"/>
      <c r="G48" s="302"/>
      <c r="H48" s="317"/>
      <c r="I48" s="318"/>
      <c r="J48" s="302"/>
      <c r="K48" s="317"/>
      <c r="L48" s="318"/>
      <c r="M48" s="302"/>
      <c r="N48" s="317"/>
      <c r="O48" s="318"/>
      <c r="P48" s="302"/>
      <c r="Q48" s="317"/>
      <c r="R48" s="318"/>
      <c r="S48" s="302"/>
      <c r="T48" s="317"/>
      <c r="U48" s="318"/>
      <c r="V48" s="302"/>
      <c r="W48" s="317"/>
      <c r="X48" s="318"/>
      <c r="Y48" s="302"/>
      <c r="Z48" s="317"/>
      <c r="AA48" s="318"/>
      <c r="AB48" s="302"/>
      <c r="AC48" s="317"/>
      <c r="AD48" s="318"/>
      <c r="AE48" s="302"/>
      <c r="AF48" s="317"/>
      <c r="AG48" s="318"/>
      <c r="AH48" s="302"/>
      <c r="AI48" s="317"/>
      <c r="AJ48" s="318"/>
      <c r="AK48" s="302"/>
      <c r="AL48" s="317"/>
      <c r="AM48" s="318"/>
      <c r="AN48" s="303"/>
      <c r="AO48" s="121" t="str">
        <f t="shared" si="114"/>
        <v/>
      </c>
    </row>
    <row r="49" hidden="1" outlineLevel="1">
      <c r="A49" s="176"/>
      <c r="B49" s="317" t="str">
        <f t="shared" ref="B49:B57" si="154">if($AI$2,IFERROR(INDIRECT("'"&amp;B$4&amp;"'!"&amp;$B$2&amp;match($A49,INDIRECT("'"&amp;B$4&amp;"'!B1:B"),0)),""),
IFERROR(INDIRECT("'"&amp;B$4&amp;"!"&amp;$B$2&amp;match($A49,INDIRECT("'"&amp;B$4&amp;"'!B:B"),0)),""))</f>
        <v/>
      </c>
      <c r="C49" s="318"/>
      <c r="D49" s="302"/>
      <c r="E49" s="317" t="str">
        <f t="shared" ref="E49:E57" si="155">if($AI$2,IFERROR(INDIRECT("'"&amp;E$4&amp;"'!"&amp;$B$2&amp;match($A49,INDIRECT("'"&amp;E$4&amp;"'!B1:B"),0)),""),
IFERROR(INDIRECT("'"&amp;E$4&amp;"!"&amp;$B$2&amp;match($A49,INDIRECT("'"&amp;E$4&amp;"'!B:B"),0)),""))</f>
        <v/>
      </c>
      <c r="F49" s="318"/>
      <c r="G49" s="302"/>
      <c r="H49" s="317" t="str">
        <f t="shared" ref="H49:H57" si="156">if($AI$2,IFERROR(INDIRECT("'"&amp;H$4&amp;"'!"&amp;$B$2&amp;match($A49,INDIRECT("'"&amp;H$4&amp;"'!B1:B"),0)),""),
IFERROR(INDIRECT("'"&amp;H$4&amp;"!"&amp;$B$2&amp;match($A49,INDIRECT("'"&amp;H$4&amp;"'!B:B"),0)),""))</f>
        <v/>
      </c>
      <c r="I49" s="318"/>
      <c r="J49" s="302"/>
      <c r="K49" s="317" t="str">
        <f t="shared" ref="K49:K57" si="157">if($AI$2,IFERROR(INDIRECT("'"&amp;K$4&amp;"'!"&amp;$B$2&amp;match($A49,INDIRECT("'"&amp;K$4&amp;"'!B1:B"),0)),""),
IFERROR(INDIRECT("'"&amp;K$4&amp;"!"&amp;$B$2&amp;match($A49,INDIRECT("'"&amp;K$4&amp;"'!B:B"),0)),""))</f>
        <v/>
      </c>
      <c r="L49" s="318"/>
      <c r="M49" s="302"/>
      <c r="N49" s="317" t="str">
        <f t="shared" ref="N49:N57" si="158">if($AI$2,IFERROR(INDIRECT("'"&amp;N$4&amp;"'!"&amp;$B$2&amp;match($A49,INDIRECT("'"&amp;N$4&amp;"'!B1:B"),0)),""),
IFERROR(INDIRECT("'"&amp;N$4&amp;"!"&amp;$B$2&amp;match($A49,INDIRECT("'"&amp;N$4&amp;"'!B:B"),0)),""))</f>
        <v/>
      </c>
      <c r="O49" s="318"/>
      <c r="P49" s="302"/>
      <c r="Q49" s="317" t="str">
        <f t="shared" ref="Q49:Q57" si="159">if($AI$2,IFERROR(INDIRECT("'"&amp;Q$4&amp;"'!"&amp;$B$2&amp;match($A49,INDIRECT("'"&amp;Q$4&amp;"'!B1:B"),0)),""),
IFERROR(INDIRECT("'"&amp;Q$4&amp;"!"&amp;$B$2&amp;match($A49,INDIRECT("'"&amp;Q$4&amp;"'!B:B"),0)),""))</f>
        <v/>
      </c>
      <c r="R49" s="318"/>
      <c r="S49" s="302"/>
      <c r="T49" s="317" t="str">
        <f t="shared" ref="T49:T57" si="160">if($AI$2,IFERROR(INDIRECT("'"&amp;T$4&amp;"'!"&amp;$B$2&amp;match($A49,INDIRECT("'"&amp;T$4&amp;"'!B1:B"),0)),""),
IFERROR(INDIRECT("'"&amp;T$4&amp;"!"&amp;$B$2&amp;match($A49,INDIRECT("'"&amp;T$4&amp;"'!B:B"),0)),""))</f>
        <v/>
      </c>
      <c r="U49" s="318"/>
      <c r="V49" s="302"/>
      <c r="W49" s="317" t="str">
        <f t="shared" ref="W49:W57" si="161">if($AI$2,IFERROR(INDIRECT("'"&amp;W$4&amp;"'!"&amp;$B$2&amp;match($A49,INDIRECT("'"&amp;W$4&amp;"'!B1:B"),0)),""),
IFERROR(INDIRECT("'"&amp;W$4&amp;"!"&amp;$B$2&amp;match($A49,INDIRECT("'"&amp;W$4&amp;"'!B:B"),0)),""))</f>
        <v/>
      </c>
      <c r="X49" s="318"/>
      <c r="Y49" s="302"/>
      <c r="Z49" s="317" t="str">
        <f t="shared" ref="Z49:Z57" si="162">if($AI$2,IFERROR(INDIRECT("'"&amp;Z$4&amp;"'!"&amp;$B$2&amp;match($A49,INDIRECT("'"&amp;Z$4&amp;"'!B1:B"),0)),""),
IFERROR(INDIRECT("'"&amp;Z$4&amp;"!"&amp;$B$2&amp;match($A49,INDIRECT("'"&amp;Z$4&amp;"'!B:B"),0)),""))</f>
        <v/>
      </c>
      <c r="AA49" s="318"/>
      <c r="AB49" s="302"/>
      <c r="AC49" s="317" t="str">
        <f t="shared" ref="AC49:AC57" si="163">if($AI$2,IFERROR(INDIRECT("'"&amp;AC$4&amp;"'!"&amp;$B$2&amp;match($A49,INDIRECT("'"&amp;AC$4&amp;"'!B1:B"),0)),""),
IFERROR(INDIRECT("'"&amp;AC$4&amp;"!"&amp;$B$2&amp;match($A49,INDIRECT("'"&amp;AC$4&amp;"'!B:B"),0)),""))</f>
        <v/>
      </c>
      <c r="AD49" s="318"/>
      <c r="AE49" s="302"/>
      <c r="AF49" s="317" t="str">
        <f t="shared" ref="AF49:AF57" si="164">if($AI$2,IFERROR(INDIRECT("'"&amp;AF$4&amp;"'!"&amp;$B$2&amp;match($A49,INDIRECT("'"&amp;AF$4&amp;"'!B1:B"),0)),""),
IFERROR(INDIRECT("'"&amp;AF$4&amp;"!"&amp;$B$2&amp;match($A49,INDIRECT("'"&amp;AF$4&amp;"'!B:B"),0)),""))</f>
        <v/>
      </c>
      <c r="AG49" s="318"/>
      <c r="AH49" s="302"/>
      <c r="AI49" s="317" t="str">
        <f t="shared" ref="AI49:AI57" si="165">if($AI$2,IFERROR(INDIRECT("'"&amp;AI$4&amp;"'!"&amp;$B$2&amp;match($A49,INDIRECT("'"&amp;AI$4&amp;"'!B1:B"),0)),""),
IFERROR(INDIRECT("'"&amp;AI$4&amp;"!"&amp;$B$2&amp;match($A49,INDIRECT("'"&amp;AI$4&amp;"'!B:B"),0)),""))</f>
        <v/>
      </c>
      <c r="AJ49" s="318"/>
      <c r="AK49" s="302"/>
      <c r="AL49" s="317"/>
      <c r="AM49" s="318"/>
      <c r="AN49" s="303"/>
      <c r="AO49" s="121" t="str">
        <f t="shared" si="114"/>
        <v/>
      </c>
    </row>
    <row r="50" hidden="1" outlineLevel="1">
      <c r="A50" s="176"/>
      <c r="B50" s="317" t="str">
        <f t="shared" si="154"/>
        <v/>
      </c>
      <c r="C50" s="318"/>
      <c r="D50" s="302"/>
      <c r="E50" s="317" t="str">
        <f t="shared" si="155"/>
        <v/>
      </c>
      <c r="F50" s="318"/>
      <c r="G50" s="302"/>
      <c r="H50" s="317" t="str">
        <f t="shared" si="156"/>
        <v/>
      </c>
      <c r="I50" s="318"/>
      <c r="J50" s="302"/>
      <c r="K50" s="317" t="str">
        <f t="shared" si="157"/>
        <v/>
      </c>
      <c r="L50" s="318"/>
      <c r="M50" s="302"/>
      <c r="N50" s="317" t="str">
        <f t="shared" si="158"/>
        <v/>
      </c>
      <c r="O50" s="318"/>
      <c r="P50" s="302"/>
      <c r="Q50" s="317" t="str">
        <f t="shared" si="159"/>
        <v/>
      </c>
      <c r="R50" s="318"/>
      <c r="S50" s="302"/>
      <c r="T50" s="317" t="str">
        <f t="shared" si="160"/>
        <v/>
      </c>
      <c r="U50" s="318"/>
      <c r="V50" s="302"/>
      <c r="W50" s="317" t="str">
        <f t="shared" si="161"/>
        <v/>
      </c>
      <c r="X50" s="318"/>
      <c r="Y50" s="302"/>
      <c r="Z50" s="317" t="str">
        <f t="shared" si="162"/>
        <v/>
      </c>
      <c r="AA50" s="318"/>
      <c r="AB50" s="302"/>
      <c r="AC50" s="317" t="str">
        <f t="shared" si="163"/>
        <v/>
      </c>
      <c r="AD50" s="318"/>
      <c r="AE50" s="302"/>
      <c r="AF50" s="317" t="str">
        <f t="shared" si="164"/>
        <v/>
      </c>
      <c r="AG50" s="318"/>
      <c r="AH50" s="302"/>
      <c r="AI50" s="317" t="str">
        <f t="shared" si="165"/>
        <v/>
      </c>
      <c r="AJ50" s="318"/>
      <c r="AK50" s="302"/>
      <c r="AL50" s="317"/>
      <c r="AM50" s="318"/>
      <c r="AN50" s="303"/>
      <c r="AO50" s="121" t="str">
        <f t="shared" si="114"/>
        <v/>
      </c>
    </row>
    <row r="51" hidden="1" outlineLevel="1">
      <c r="A51" s="176"/>
      <c r="B51" s="307" t="str">
        <f t="shared" si="154"/>
        <v/>
      </c>
      <c r="C51" s="308"/>
      <c r="D51" s="302"/>
      <c r="E51" s="307" t="str">
        <f t="shared" si="155"/>
        <v/>
      </c>
      <c r="F51" s="308"/>
      <c r="G51" s="302"/>
      <c r="H51" s="307" t="str">
        <f t="shared" si="156"/>
        <v/>
      </c>
      <c r="I51" s="308"/>
      <c r="J51" s="302"/>
      <c r="K51" s="307" t="str">
        <f t="shared" si="157"/>
        <v/>
      </c>
      <c r="L51" s="308"/>
      <c r="M51" s="302"/>
      <c r="N51" s="307" t="str">
        <f t="shared" si="158"/>
        <v/>
      </c>
      <c r="O51" s="308"/>
      <c r="P51" s="302"/>
      <c r="Q51" s="307" t="str">
        <f t="shared" si="159"/>
        <v/>
      </c>
      <c r="R51" s="308"/>
      <c r="S51" s="302"/>
      <c r="T51" s="307" t="str">
        <f t="shared" si="160"/>
        <v/>
      </c>
      <c r="U51" s="308"/>
      <c r="V51" s="302"/>
      <c r="W51" s="307" t="str">
        <f t="shared" si="161"/>
        <v/>
      </c>
      <c r="X51" s="308"/>
      <c r="Y51" s="302"/>
      <c r="Z51" s="307" t="str">
        <f t="shared" si="162"/>
        <v/>
      </c>
      <c r="AA51" s="308"/>
      <c r="AB51" s="302"/>
      <c r="AC51" s="307" t="str">
        <f t="shared" si="163"/>
        <v/>
      </c>
      <c r="AD51" s="308"/>
      <c r="AE51" s="302"/>
      <c r="AF51" s="307" t="str">
        <f t="shared" si="164"/>
        <v/>
      </c>
      <c r="AG51" s="308"/>
      <c r="AH51" s="302"/>
      <c r="AI51" s="307" t="str">
        <f t="shared" si="165"/>
        <v/>
      </c>
      <c r="AJ51" s="308"/>
      <c r="AK51" s="302"/>
      <c r="AL51" s="307"/>
      <c r="AM51" s="308"/>
      <c r="AN51" s="303"/>
      <c r="AO51" s="121" t="str">
        <f t="shared" si="114"/>
        <v/>
      </c>
    </row>
    <row r="52" hidden="1" outlineLevel="1">
      <c r="A52" s="176"/>
      <c r="B52" s="307" t="str">
        <f t="shared" si="154"/>
        <v/>
      </c>
      <c r="C52" s="308"/>
      <c r="D52" s="302"/>
      <c r="E52" s="307" t="str">
        <f t="shared" si="155"/>
        <v/>
      </c>
      <c r="F52" s="308"/>
      <c r="G52" s="302"/>
      <c r="H52" s="307" t="str">
        <f t="shared" si="156"/>
        <v/>
      </c>
      <c r="I52" s="308"/>
      <c r="J52" s="302"/>
      <c r="K52" s="307" t="str">
        <f t="shared" si="157"/>
        <v/>
      </c>
      <c r="L52" s="308"/>
      <c r="M52" s="302"/>
      <c r="N52" s="307" t="str">
        <f t="shared" si="158"/>
        <v/>
      </c>
      <c r="O52" s="308"/>
      <c r="P52" s="302"/>
      <c r="Q52" s="307" t="str">
        <f t="shared" si="159"/>
        <v/>
      </c>
      <c r="R52" s="308"/>
      <c r="S52" s="302"/>
      <c r="T52" s="307" t="str">
        <f t="shared" si="160"/>
        <v/>
      </c>
      <c r="U52" s="308"/>
      <c r="V52" s="302"/>
      <c r="W52" s="307" t="str">
        <f t="shared" si="161"/>
        <v/>
      </c>
      <c r="X52" s="308"/>
      <c r="Y52" s="302"/>
      <c r="Z52" s="307" t="str">
        <f t="shared" si="162"/>
        <v/>
      </c>
      <c r="AA52" s="308"/>
      <c r="AB52" s="302"/>
      <c r="AC52" s="307" t="str">
        <f t="shared" si="163"/>
        <v/>
      </c>
      <c r="AD52" s="308"/>
      <c r="AE52" s="302"/>
      <c r="AF52" s="307" t="str">
        <f t="shared" si="164"/>
        <v/>
      </c>
      <c r="AG52" s="308"/>
      <c r="AH52" s="302"/>
      <c r="AI52" s="307" t="str">
        <f t="shared" si="165"/>
        <v/>
      </c>
      <c r="AJ52" s="308"/>
      <c r="AK52" s="302"/>
      <c r="AL52" s="307"/>
      <c r="AM52" s="308"/>
      <c r="AN52" s="303"/>
      <c r="AO52" s="121" t="str">
        <f t="shared" si="114"/>
        <v/>
      </c>
    </row>
    <row r="53" hidden="1" outlineLevel="1">
      <c r="A53" s="125"/>
      <c r="B53" s="307" t="str">
        <f t="shared" si="154"/>
        <v/>
      </c>
      <c r="C53" s="308"/>
      <c r="D53" s="302"/>
      <c r="E53" s="307" t="str">
        <f t="shared" si="155"/>
        <v/>
      </c>
      <c r="F53" s="308"/>
      <c r="G53" s="302"/>
      <c r="H53" s="307" t="str">
        <f t="shared" si="156"/>
        <v/>
      </c>
      <c r="I53" s="308"/>
      <c r="J53" s="302"/>
      <c r="K53" s="307" t="str">
        <f t="shared" si="157"/>
        <v/>
      </c>
      <c r="L53" s="308"/>
      <c r="M53" s="302"/>
      <c r="N53" s="307" t="str">
        <f t="shared" si="158"/>
        <v/>
      </c>
      <c r="O53" s="308"/>
      <c r="P53" s="302"/>
      <c r="Q53" s="307" t="str">
        <f t="shared" si="159"/>
        <v/>
      </c>
      <c r="R53" s="308"/>
      <c r="S53" s="302"/>
      <c r="T53" s="307" t="str">
        <f t="shared" si="160"/>
        <v/>
      </c>
      <c r="U53" s="308"/>
      <c r="V53" s="302"/>
      <c r="W53" s="307" t="str">
        <f t="shared" si="161"/>
        <v/>
      </c>
      <c r="X53" s="308"/>
      <c r="Y53" s="302"/>
      <c r="Z53" s="307" t="str">
        <f t="shared" si="162"/>
        <v/>
      </c>
      <c r="AA53" s="308"/>
      <c r="AB53" s="302"/>
      <c r="AC53" s="307" t="str">
        <f t="shared" si="163"/>
        <v/>
      </c>
      <c r="AD53" s="308"/>
      <c r="AE53" s="302"/>
      <c r="AF53" s="307" t="str">
        <f t="shared" si="164"/>
        <v/>
      </c>
      <c r="AG53" s="308"/>
      <c r="AH53" s="302"/>
      <c r="AI53" s="307" t="str">
        <f t="shared" si="165"/>
        <v/>
      </c>
      <c r="AJ53" s="308"/>
      <c r="AK53" s="302"/>
      <c r="AL53" s="307"/>
      <c r="AM53" s="308"/>
      <c r="AN53" s="303"/>
      <c r="AO53" s="121" t="str">
        <f t="shared" si="114"/>
        <v/>
      </c>
    </row>
    <row r="54" hidden="1" outlineLevel="1">
      <c r="A54" s="316"/>
      <c r="B54" s="307" t="str">
        <f t="shared" si="154"/>
        <v/>
      </c>
      <c r="C54" s="308"/>
      <c r="D54" s="302"/>
      <c r="E54" s="307" t="str">
        <f t="shared" si="155"/>
        <v/>
      </c>
      <c r="F54" s="308"/>
      <c r="G54" s="302"/>
      <c r="H54" s="307" t="str">
        <f t="shared" si="156"/>
        <v/>
      </c>
      <c r="I54" s="308"/>
      <c r="J54" s="302"/>
      <c r="K54" s="307" t="str">
        <f t="shared" si="157"/>
        <v/>
      </c>
      <c r="L54" s="308"/>
      <c r="M54" s="302"/>
      <c r="N54" s="307" t="str">
        <f t="shared" si="158"/>
        <v/>
      </c>
      <c r="O54" s="308"/>
      <c r="P54" s="302"/>
      <c r="Q54" s="307" t="str">
        <f t="shared" si="159"/>
        <v/>
      </c>
      <c r="R54" s="308"/>
      <c r="S54" s="302"/>
      <c r="T54" s="307" t="str">
        <f t="shared" si="160"/>
        <v/>
      </c>
      <c r="U54" s="308"/>
      <c r="V54" s="302"/>
      <c r="W54" s="307" t="str">
        <f t="shared" si="161"/>
        <v/>
      </c>
      <c r="X54" s="308"/>
      <c r="Y54" s="302"/>
      <c r="Z54" s="307" t="str">
        <f t="shared" si="162"/>
        <v/>
      </c>
      <c r="AA54" s="308"/>
      <c r="AB54" s="302"/>
      <c r="AC54" s="307" t="str">
        <f t="shared" si="163"/>
        <v/>
      </c>
      <c r="AD54" s="308"/>
      <c r="AE54" s="302"/>
      <c r="AF54" s="307" t="str">
        <f t="shared" si="164"/>
        <v/>
      </c>
      <c r="AG54" s="308"/>
      <c r="AH54" s="302"/>
      <c r="AI54" s="307" t="str">
        <f t="shared" si="165"/>
        <v/>
      </c>
      <c r="AJ54" s="308"/>
      <c r="AK54" s="302"/>
      <c r="AL54" s="307"/>
      <c r="AM54" s="308"/>
      <c r="AN54" s="303"/>
      <c r="AO54" s="121" t="str">
        <f t="shared" si="114"/>
        <v/>
      </c>
    </row>
    <row r="55" hidden="1" outlineLevel="1">
      <c r="A55" s="316"/>
      <c r="B55" s="307" t="str">
        <f t="shared" si="154"/>
        <v/>
      </c>
      <c r="C55" s="308"/>
      <c r="D55" s="302"/>
      <c r="E55" s="307" t="str">
        <f t="shared" si="155"/>
        <v/>
      </c>
      <c r="F55" s="308"/>
      <c r="G55" s="302"/>
      <c r="H55" s="307" t="str">
        <f t="shared" si="156"/>
        <v/>
      </c>
      <c r="I55" s="308"/>
      <c r="J55" s="302"/>
      <c r="K55" s="307" t="str">
        <f t="shared" si="157"/>
        <v/>
      </c>
      <c r="L55" s="308"/>
      <c r="M55" s="302"/>
      <c r="N55" s="307" t="str">
        <f t="shared" si="158"/>
        <v/>
      </c>
      <c r="O55" s="308"/>
      <c r="P55" s="302"/>
      <c r="Q55" s="307" t="str">
        <f t="shared" si="159"/>
        <v/>
      </c>
      <c r="R55" s="308"/>
      <c r="S55" s="302"/>
      <c r="T55" s="307" t="str">
        <f t="shared" si="160"/>
        <v/>
      </c>
      <c r="U55" s="308"/>
      <c r="V55" s="302"/>
      <c r="W55" s="307" t="str">
        <f t="shared" si="161"/>
        <v/>
      </c>
      <c r="X55" s="308"/>
      <c r="Y55" s="302"/>
      <c r="Z55" s="307" t="str">
        <f t="shared" si="162"/>
        <v/>
      </c>
      <c r="AA55" s="308"/>
      <c r="AB55" s="302"/>
      <c r="AC55" s="307" t="str">
        <f t="shared" si="163"/>
        <v/>
      </c>
      <c r="AD55" s="308"/>
      <c r="AE55" s="302"/>
      <c r="AF55" s="307" t="str">
        <f t="shared" si="164"/>
        <v/>
      </c>
      <c r="AG55" s="308"/>
      <c r="AH55" s="302"/>
      <c r="AI55" s="307" t="str">
        <f t="shared" si="165"/>
        <v/>
      </c>
      <c r="AJ55" s="308"/>
      <c r="AK55" s="302"/>
      <c r="AL55" s="307"/>
      <c r="AM55" s="308"/>
      <c r="AN55" s="303"/>
      <c r="AO55" s="121" t="str">
        <f t="shared" si="114"/>
        <v/>
      </c>
    </row>
    <row r="56" hidden="1" outlineLevel="1">
      <c r="A56" s="316"/>
      <c r="B56" s="307" t="str">
        <f t="shared" si="154"/>
        <v/>
      </c>
      <c r="C56" s="308"/>
      <c r="D56" s="302"/>
      <c r="E56" s="307" t="str">
        <f t="shared" si="155"/>
        <v/>
      </c>
      <c r="F56" s="308"/>
      <c r="G56" s="302"/>
      <c r="H56" s="307" t="str">
        <f t="shared" si="156"/>
        <v/>
      </c>
      <c r="I56" s="308"/>
      <c r="J56" s="302"/>
      <c r="K56" s="307" t="str">
        <f t="shared" si="157"/>
        <v/>
      </c>
      <c r="L56" s="308"/>
      <c r="M56" s="302"/>
      <c r="N56" s="307" t="str">
        <f t="shared" si="158"/>
        <v/>
      </c>
      <c r="O56" s="308"/>
      <c r="P56" s="302"/>
      <c r="Q56" s="307" t="str">
        <f t="shared" si="159"/>
        <v/>
      </c>
      <c r="R56" s="308"/>
      <c r="S56" s="302"/>
      <c r="T56" s="307" t="str">
        <f t="shared" si="160"/>
        <v/>
      </c>
      <c r="U56" s="308"/>
      <c r="V56" s="302"/>
      <c r="W56" s="307" t="str">
        <f t="shared" si="161"/>
        <v/>
      </c>
      <c r="X56" s="308"/>
      <c r="Y56" s="302"/>
      <c r="Z56" s="307" t="str">
        <f t="shared" si="162"/>
        <v/>
      </c>
      <c r="AA56" s="308"/>
      <c r="AB56" s="302"/>
      <c r="AC56" s="307" t="str">
        <f t="shared" si="163"/>
        <v/>
      </c>
      <c r="AD56" s="308"/>
      <c r="AE56" s="302"/>
      <c r="AF56" s="307" t="str">
        <f t="shared" si="164"/>
        <v/>
      </c>
      <c r="AG56" s="308"/>
      <c r="AH56" s="302"/>
      <c r="AI56" s="307" t="str">
        <f t="shared" si="165"/>
        <v/>
      </c>
      <c r="AJ56" s="308"/>
      <c r="AK56" s="302"/>
      <c r="AL56" s="307"/>
      <c r="AM56" s="308"/>
      <c r="AN56" s="303"/>
      <c r="AO56" s="121" t="str">
        <f t="shared" si="114"/>
        <v/>
      </c>
    </row>
    <row r="57">
      <c r="A57" s="316"/>
      <c r="B57" s="307" t="str">
        <f t="shared" si="154"/>
        <v/>
      </c>
      <c r="C57" s="308"/>
      <c r="D57" s="302"/>
      <c r="E57" s="307" t="str">
        <f t="shared" si="155"/>
        <v/>
      </c>
      <c r="F57" s="308"/>
      <c r="G57" s="302"/>
      <c r="H57" s="307" t="str">
        <f t="shared" si="156"/>
        <v/>
      </c>
      <c r="I57" s="308"/>
      <c r="J57" s="302"/>
      <c r="K57" s="307" t="str">
        <f t="shared" si="157"/>
        <v/>
      </c>
      <c r="L57" s="308"/>
      <c r="M57" s="302"/>
      <c r="N57" s="307" t="str">
        <f t="shared" si="158"/>
        <v/>
      </c>
      <c r="O57" s="308"/>
      <c r="P57" s="302"/>
      <c r="Q57" s="307" t="str">
        <f t="shared" si="159"/>
        <v/>
      </c>
      <c r="R57" s="308"/>
      <c r="S57" s="302"/>
      <c r="T57" s="307" t="str">
        <f t="shared" si="160"/>
        <v/>
      </c>
      <c r="U57" s="308"/>
      <c r="V57" s="302"/>
      <c r="W57" s="307" t="str">
        <f t="shared" si="161"/>
        <v/>
      </c>
      <c r="X57" s="308"/>
      <c r="Y57" s="302"/>
      <c r="Z57" s="307" t="str">
        <f t="shared" si="162"/>
        <v/>
      </c>
      <c r="AA57" s="308"/>
      <c r="AB57" s="302"/>
      <c r="AC57" s="307" t="str">
        <f t="shared" si="163"/>
        <v/>
      </c>
      <c r="AD57" s="308"/>
      <c r="AE57" s="302"/>
      <c r="AF57" s="307" t="str">
        <f t="shared" si="164"/>
        <v/>
      </c>
      <c r="AG57" s="308"/>
      <c r="AH57" s="302"/>
      <c r="AI57" s="307" t="str">
        <f t="shared" si="165"/>
        <v/>
      </c>
      <c r="AJ57" s="308"/>
      <c r="AK57" s="302"/>
      <c r="AL57" s="307"/>
      <c r="AM57" s="308"/>
      <c r="AN57" s="303"/>
      <c r="AO57" s="121" t="str">
        <f t="shared" si="114"/>
        <v/>
      </c>
    </row>
    <row r="58">
      <c r="A58" s="319" t="s">
        <v>136</v>
      </c>
      <c r="B58" s="320">
        <f t="shared" ref="B58:C58" si="166">B6+B16</f>
        <v>178134</v>
      </c>
      <c r="C58" s="321">
        <f t="shared" si="166"/>
        <v>169150</v>
      </c>
      <c r="D58" s="302">
        <f t="shared" ref="D58:D59" si="180">IFERROR(B58/C58,0)</f>
        <v>1.053112622</v>
      </c>
      <c r="E58" s="320">
        <f t="shared" ref="E58:F58" si="167">E6+E16</f>
        <v>0</v>
      </c>
      <c r="F58" s="321">
        <f t="shared" si="167"/>
        <v>0</v>
      </c>
      <c r="G58" s="302">
        <f t="shared" ref="G58:G59" si="182">IFERROR(E58/F58,0)</f>
        <v>0</v>
      </c>
      <c r="H58" s="320">
        <f t="shared" ref="H58:I58" si="168">H6+H16</f>
        <v>0</v>
      </c>
      <c r="I58" s="321">
        <f t="shared" si="168"/>
        <v>0</v>
      </c>
      <c r="J58" s="302">
        <f t="shared" ref="J58:J59" si="184">IFERROR(H58/I58,0)</f>
        <v>0</v>
      </c>
      <c r="K58" s="320">
        <f t="shared" ref="K58:L58" si="169">K6+K16</f>
        <v>4</v>
      </c>
      <c r="L58" s="321">
        <f t="shared" si="169"/>
        <v>0</v>
      </c>
      <c r="M58" s="302">
        <f t="shared" ref="M58:M59" si="186">IFERROR(K58/L58,0)</f>
        <v>0</v>
      </c>
      <c r="N58" s="320">
        <f t="shared" ref="N58:O58" si="170">N6+N16</f>
        <v>5</v>
      </c>
      <c r="O58" s="321">
        <f t="shared" si="170"/>
        <v>0</v>
      </c>
      <c r="P58" s="302">
        <f t="shared" ref="P58:P59" si="188">IFERROR(N58/O58,0)</f>
        <v>0</v>
      </c>
      <c r="Q58" s="320">
        <f t="shared" ref="Q58:R58" si="171">Q6+Q16</f>
        <v>6</v>
      </c>
      <c r="R58" s="321">
        <f t="shared" si="171"/>
        <v>0</v>
      </c>
      <c r="S58" s="302">
        <f t="shared" ref="S58:S59" si="190">IFERROR(Q58/R58,0)</f>
        <v>0</v>
      </c>
      <c r="T58" s="320">
        <f t="shared" ref="T58:U58" si="172">T6+T16</f>
        <v>7</v>
      </c>
      <c r="U58" s="321">
        <f t="shared" si="172"/>
        <v>0</v>
      </c>
      <c r="V58" s="302">
        <f t="shared" ref="V58:V59" si="192">IFERROR(T58/U58,0)</f>
        <v>0</v>
      </c>
      <c r="W58" s="320">
        <f t="shared" ref="W58:X58" si="173">W6+W16</f>
        <v>8</v>
      </c>
      <c r="X58" s="321">
        <f t="shared" si="173"/>
        <v>0</v>
      </c>
      <c r="Y58" s="302">
        <f t="shared" ref="Y58:Y59" si="194">IFERROR(W58/X58,0)</f>
        <v>0</v>
      </c>
      <c r="Z58" s="320">
        <f t="shared" ref="Z58:AA58" si="174">Z6+Z16</f>
        <v>9</v>
      </c>
      <c r="AA58" s="321">
        <f t="shared" si="174"/>
        <v>0</v>
      </c>
      <c r="AB58" s="302">
        <f t="shared" ref="AB58:AB59" si="196">IFERROR(Z58/AA58,0)</f>
        <v>0</v>
      </c>
      <c r="AC58" s="320">
        <f t="shared" ref="AC58:AD58" si="175">AC6+AC16</f>
        <v>10</v>
      </c>
      <c r="AD58" s="321">
        <f t="shared" si="175"/>
        <v>0</v>
      </c>
      <c r="AE58" s="302">
        <f t="shared" ref="AE58:AE59" si="198">IFERROR(AC58/AD58,0)</f>
        <v>0</v>
      </c>
      <c r="AF58" s="320">
        <f t="shared" ref="AF58:AG58" si="176">AF6+AF16</f>
        <v>11</v>
      </c>
      <c r="AG58" s="321">
        <f t="shared" si="176"/>
        <v>0</v>
      </c>
      <c r="AH58" s="302">
        <f t="shared" ref="AH58:AH59" si="200">IFERROR(AF58/AG58,0)</f>
        <v>0</v>
      </c>
      <c r="AI58" s="320">
        <f t="shared" ref="AI58:AJ58" si="177">AI6+AI16</f>
        <v>12</v>
      </c>
      <c r="AJ58" s="321">
        <f t="shared" si="177"/>
        <v>0</v>
      </c>
      <c r="AK58" s="302">
        <f t="shared" ref="AK58:AK59" si="202">IFERROR(AI58/AJ58,0)</f>
        <v>0</v>
      </c>
      <c r="AL58" s="320">
        <f t="shared" ref="AL58:AM58" si="178">B58+E58+H58+K58+N58+Q58+T58+W58+Z58+AC58+AF58+AI58</f>
        <v>178206</v>
      </c>
      <c r="AM58" s="321">
        <f t="shared" si="178"/>
        <v>169150</v>
      </c>
      <c r="AN58" s="303">
        <f t="shared" ref="AN58:AN59" si="204">IFERROR(AL58/AM58,0)</f>
        <v>1.05353828</v>
      </c>
      <c r="AO58" s="134" t="str">
        <f>IF(AM58=0,"",IF(AN58&gt;1,"выполнение","план не выполнен"))</f>
        <v>выполнение</v>
      </c>
    </row>
    <row r="59">
      <c r="A59" s="322" t="s">
        <v>161</v>
      </c>
      <c r="B59" s="323">
        <f t="shared" ref="B59:C59" si="179">IFERROR(B58/B$6,"")</f>
        <v>0.7826625659</v>
      </c>
      <c r="C59" s="324">
        <f t="shared" si="179"/>
        <v>0.7341579861</v>
      </c>
      <c r="D59" s="302">
        <f t="shared" si="180"/>
        <v>1.066068313</v>
      </c>
      <c r="E59" s="323" t="str">
        <f t="shared" ref="E59:F59" si="181">IFERROR(E58/E$6,"")</f>
        <v/>
      </c>
      <c r="F59" s="324" t="str">
        <f t="shared" si="181"/>
        <v/>
      </c>
      <c r="G59" s="302">
        <f t="shared" si="182"/>
        <v>0</v>
      </c>
      <c r="H59" s="323" t="str">
        <f t="shared" ref="H59:I59" si="183">IFERROR(H58/H$6,"")</f>
        <v/>
      </c>
      <c r="I59" s="324" t="str">
        <f t="shared" si="183"/>
        <v/>
      </c>
      <c r="J59" s="302">
        <f t="shared" si="184"/>
        <v>0</v>
      </c>
      <c r="K59" s="323">
        <f t="shared" ref="K59:L59" si="185">IFERROR(K58/K$6,"")</f>
        <v>1</v>
      </c>
      <c r="L59" s="324" t="str">
        <f t="shared" si="185"/>
        <v/>
      </c>
      <c r="M59" s="302">
        <f t="shared" si="186"/>
        <v>0</v>
      </c>
      <c r="N59" s="323">
        <f t="shared" ref="N59:O59" si="187">IFERROR(N58/N$6,"")</f>
        <v>1</v>
      </c>
      <c r="O59" s="324" t="str">
        <f t="shared" si="187"/>
        <v/>
      </c>
      <c r="P59" s="302">
        <f t="shared" si="188"/>
        <v>0</v>
      </c>
      <c r="Q59" s="323">
        <f t="shared" ref="Q59:R59" si="189">IFERROR(Q58/Q$6,"")</f>
        <v>1</v>
      </c>
      <c r="R59" s="324" t="str">
        <f t="shared" si="189"/>
        <v/>
      </c>
      <c r="S59" s="302">
        <f t="shared" si="190"/>
        <v>0</v>
      </c>
      <c r="T59" s="323">
        <f t="shared" ref="T59:U59" si="191">IFERROR(T58/T$6,"")</f>
        <v>1</v>
      </c>
      <c r="U59" s="324" t="str">
        <f t="shared" si="191"/>
        <v/>
      </c>
      <c r="V59" s="302">
        <f t="shared" si="192"/>
        <v>0</v>
      </c>
      <c r="W59" s="323">
        <f t="shared" ref="W59:X59" si="193">IFERROR(W58/W$6,"")</f>
        <v>1</v>
      </c>
      <c r="X59" s="324" t="str">
        <f t="shared" si="193"/>
        <v/>
      </c>
      <c r="Y59" s="302">
        <f t="shared" si="194"/>
        <v>0</v>
      </c>
      <c r="Z59" s="323">
        <f t="shared" ref="Z59:AA59" si="195">IFERROR(Z58/Z$6,"")</f>
        <v>1</v>
      </c>
      <c r="AA59" s="324" t="str">
        <f t="shared" si="195"/>
        <v/>
      </c>
      <c r="AB59" s="302">
        <f t="shared" si="196"/>
        <v>0</v>
      </c>
      <c r="AC59" s="323">
        <f t="shared" ref="AC59:AD59" si="197">IFERROR(AC58/AC$6,"")</f>
        <v>1</v>
      </c>
      <c r="AD59" s="324" t="str">
        <f t="shared" si="197"/>
        <v/>
      </c>
      <c r="AE59" s="302">
        <f t="shared" si="198"/>
        <v>0</v>
      </c>
      <c r="AF59" s="323">
        <f t="shared" ref="AF59:AG59" si="199">IFERROR(AF58/AF$6,"")</f>
        <v>1</v>
      </c>
      <c r="AG59" s="324" t="str">
        <f t="shared" si="199"/>
        <v/>
      </c>
      <c r="AH59" s="302">
        <f t="shared" si="200"/>
        <v>0</v>
      </c>
      <c r="AI59" s="323">
        <f t="shared" ref="AI59:AJ59" si="201">IFERROR(AI58/AI$6,"")</f>
        <v>1</v>
      </c>
      <c r="AJ59" s="324" t="str">
        <f t="shared" si="201"/>
        <v/>
      </c>
      <c r="AK59" s="302">
        <f t="shared" si="202"/>
        <v>0</v>
      </c>
      <c r="AL59" s="323">
        <f t="shared" ref="AL59:AM59" si="203">IFERROR(AL58/AL$6,"")</f>
        <v>0.7827312977</v>
      </c>
      <c r="AM59" s="324">
        <f t="shared" si="203"/>
        <v>0.7341579861</v>
      </c>
      <c r="AN59" s="303">
        <f t="shared" si="204"/>
        <v>1.066161933</v>
      </c>
      <c r="AO59" s="121"/>
    </row>
    <row r="60">
      <c r="A60" s="316"/>
      <c r="B60" s="325"/>
      <c r="C60" s="326"/>
      <c r="D60" s="302"/>
      <c r="E60" s="325"/>
      <c r="F60" s="326"/>
      <c r="G60" s="302"/>
      <c r="H60" s="325"/>
      <c r="I60" s="326"/>
      <c r="J60" s="302"/>
      <c r="K60" s="325"/>
      <c r="L60" s="326"/>
      <c r="M60" s="302"/>
      <c r="N60" s="325"/>
      <c r="O60" s="326"/>
      <c r="P60" s="302"/>
      <c r="Q60" s="325"/>
      <c r="R60" s="326"/>
      <c r="S60" s="302"/>
      <c r="T60" s="325"/>
      <c r="U60" s="326"/>
      <c r="V60" s="302"/>
      <c r="W60" s="325"/>
      <c r="X60" s="326"/>
      <c r="Y60" s="302"/>
      <c r="Z60" s="325"/>
      <c r="AA60" s="326"/>
      <c r="AB60" s="302"/>
      <c r="AC60" s="325"/>
      <c r="AD60" s="326"/>
      <c r="AE60" s="302"/>
      <c r="AF60" s="325"/>
      <c r="AG60" s="326"/>
      <c r="AH60" s="302"/>
      <c r="AI60" s="325"/>
      <c r="AJ60" s="326"/>
      <c r="AK60" s="302"/>
      <c r="AL60" s="325"/>
      <c r="AM60" s="326"/>
      <c r="AN60" s="303"/>
      <c r="AO60" s="121"/>
    </row>
    <row r="61">
      <c r="A61" s="136" t="s">
        <v>94</v>
      </c>
      <c r="B61" s="314">
        <f t="shared" ref="B61:C61" si="205">SUM(B62:B87)</f>
        <v>-12519</v>
      </c>
      <c r="C61" s="315">
        <f t="shared" si="205"/>
        <v>-12275</v>
      </c>
      <c r="D61" s="302">
        <f t="shared" ref="D61:D86" si="218">IFERROR(B61/C61,0)</f>
        <v>1.0198778</v>
      </c>
      <c r="E61" s="314">
        <f t="shared" ref="E61:F61" si="206">SUM(E62:E87)</f>
        <v>0</v>
      </c>
      <c r="F61" s="315">
        <f t="shared" si="206"/>
        <v>0</v>
      </c>
      <c r="G61" s="302">
        <f t="shared" ref="G61:G86" si="219">IFERROR(E61/F61,0)</f>
        <v>0</v>
      </c>
      <c r="H61" s="314">
        <f t="shared" ref="H61:I61" si="207">SUM(H62:H87)</f>
        <v>0</v>
      </c>
      <c r="I61" s="315">
        <f t="shared" si="207"/>
        <v>0</v>
      </c>
      <c r="J61" s="302">
        <f t="shared" ref="J61:J86" si="220">IFERROR(H61/I61,0)</f>
        <v>0</v>
      </c>
      <c r="K61" s="314">
        <f t="shared" ref="K61:L61" si="208">SUM(K62:K87)</f>
        <v>0</v>
      </c>
      <c r="L61" s="315">
        <f t="shared" si="208"/>
        <v>0</v>
      </c>
      <c r="M61" s="302">
        <f t="shared" ref="M61:M86" si="221">IFERROR(K61/L61,0)</f>
        <v>0</v>
      </c>
      <c r="N61" s="314">
        <f t="shared" ref="N61:O61" si="209">SUM(N62:N87)</f>
        <v>0</v>
      </c>
      <c r="O61" s="315">
        <f t="shared" si="209"/>
        <v>0</v>
      </c>
      <c r="P61" s="302">
        <f t="shared" ref="P61:P86" si="222">IFERROR(N61/O61,0)</f>
        <v>0</v>
      </c>
      <c r="Q61" s="314">
        <f t="shared" ref="Q61:R61" si="210">SUM(Q62:Q87)</f>
        <v>0</v>
      </c>
      <c r="R61" s="315">
        <f t="shared" si="210"/>
        <v>0</v>
      </c>
      <c r="S61" s="302">
        <f t="shared" ref="S61:S86" si="223">IFERROR(Q61/R61,0)</f>
        <v>0</v>
      </c>
      <c r="T61" s="314">
        <f t="shared" ref="T61:U61" si="211">SUM(T62:T87)</f>
        <v>0</v>
      </c>
      <c r="U61" s="315">
        <f t="shared" si="211"/>
        <v>0</v>
      </c>
      <c r="V61" s="302">
        <f t="shared" ref="V61:V86" si="224">IFERROR(T61/U61,0)</f>
        <v>0</v>
      </c>
      <c r="W61" s="314">
        <f t="shared" ref="W61:X61" si="212">SUM(W62:W87)</f>
        <v>0</v>
      </c>
      <c r="X61" s="315">
        <f t="shared" si="212"/>
        <v>0</v>
      </c>
      <c r="Y61" s="302">
        <f t="shared" ref="Y61:Y86" si="225">IFERROR(W61/X61,0)</f>
        <v>0</v>
      </c>
      <c r="Z61" s="314">
        <f t="shared" ref="Z61:AA61" si="213">SUM(Z62:Z87)</f>
        <v>0</v>
      </c>
      <c r="AA61" s="315">
        <f t="shared" si="213"/>
        <v>0</v>
      </c>
      <c r="AB61" s="302">
        <f t="shared" ref="AB61:AB86" si="226">IFERROR(Z61/AA61,0)</f>
        <v>0</v>
      </c>
      <c r="AC61" s="314">
        <f t="shared" ref="AC61:AD61" si="214">SUM(AC62:AC87)</f>
        <v>0</v>
      </c>
      <c r="AD61" s="315">
        <f t="shared" si="214"/>
        <v>0</v>
      </c>
      <c r="AE61" s="302">
        <f t="shared" ref="AE61:AE86" si="227">IFERROR(AC61/AD61,0)</f>
        <v>0</v>
      </c>
      <c r="AF61" s="314">
        <f t="shared" ref="AF61:AG61" si="215">SUM(AF62:AF87)</f>
        <v>0</v>
      </c>
      <c r="AG61" s="315">
        <f t="shared" si="215"/>
        <v>0</v>
      </c>
      <c r="AH61" s="302">
        <f t="shared" ref="AH61:AH86" si="228">IFERROR(AF61/AG61,0)</f>
        <v>0</v>
      </c>
      <c r="AI61" s="314">
        <f t="shared" ref="AI61:AJ61" si="216">SUM(AI62:AI87)</f>
        <v>0</v>
      </c>
      <c r="AJ61" s="315">
        <f t="shared" si="216"/>
        <v>0</v>
      </c>
      <c r="AK61" s="302">
        <f t="shared" ref="AK61:AK86" si="229">IFERROR(AI61/AJ61,0)</f>
        <v>0</v>
      </c>
      <c r="AL61" s="314">
        <f t="shared" ref="AL61:AM61" si="217">B61+E61+H61+K61+N61+Q61+T61+W61+Z61+AC61+AF61+AI61</f>
        <v>-12519</v>
      </c>
      <c r="AM61" s="315">
        <f t="shared" si="217"/>
        <v>-12275</v>
      </c>
      <c r="AN61" s="303">
        <f t="shared" ref="AN61:AN86" si="231">IFERROR(AL61/AM61,0)</f>
        <v>1.0198778</v>
      </c>
      <c r="AO61" s="159" t="str">
        <f>IF(AM61=0,"",IF(AN61&gt;1,"план не выполнен","выполнение"))</f>
        <v>план не выполнен</v>
      </c>
    </row>
    <row r="62">
      <c r="A62" s="125" t="str">
        <f>IFERROR(__xludf.DUMMYFUNCTION("iferror(filter('Статьи'!$A$1:$A175,'Статьи'!$B$1:$B175=$A$61))"),"Зарплата производственного персонала")</f>
        <v>Зарплата производственного персонала</v>
      </c>
      <c r="B62" s="307">
        <f t="shared" ref="B62:B87" si="232">if($AI$2,IFERROR(INDIRECT("'"&amp;B$4&amp;"'!"&amp;$B$2&amp;match($A62,INDIRECT("'"&amp;B$4&amp;"'!B1:B"),0)),""),
IFERROR(INDIRECT("'"&amp;B$4&amp;"!"&amp;$B$2&amp;match($A62,INDIRECT("'"&amp;B$4&amp;"'!B:B"),0)),""))</f>
        <v>-19</v>
      </c>
      <c r="C62" s="308">
        <f t="shared" ref="C62:C86" si="233">IF($AI$2,IFERROR(INDIRECT("'"&amp;C$4&amp;"'!"&amp;$C$2&amp;MATCH($A62,INDIRECT("'"&amp;C$4&amp;"'!B1:B"),0)),""),
IFERROR(INDIRECT("'"&amp;C$4&amp;"!"&amp;$B$2&amp;MATCH($A62,INDIRECT("'"&amp;C$4&amp;"'!B:B"),0)),""))</f>
        <v>-55</v>
      </c>
      <c r="D62" s="302">
        <f t="shared" si="218"/>
        <v>0.3454545455</v>
      </c>
      <c r="E62" s="307">
        <f t="shared" ref="E62:E87" si="234">if($AI$2,IFERROR(INDIRECT("'"&amp;E$4&amp;"'!"&amp;$B$2&amp;match($A62,INDIRECT("'"&amp;E$4&amp;"'!B1:B"),0)),""),
IFERROR(INDIRECT("'"&amp;E$4&amp;"!"&amp;$B$2&amp;match($A62,INDIRECT("'"&amp;E$4&amp;"'!B:B"),0)),""))</f>
        <v>0</v>
      </c>
      <c r="F62" s="308">
        <f t="shared" ref="F62:F87" si="235">IF($AI$2,IFERROR(INDIRECT("'"&amp;F$4&amp;"'!"&amp;$C$2&amp;MATCH($A62,INDIRECT("'"&amp;F$4&amp;"'!B1:B"),0)),""),
IFERROR(INDIRECT("'"&amp;F$4&amp;"!"&amp;$B$2&amp;MATCH($A62,INDIRECT("'"&amp;F$4&amp;"'!B:B"),0)),""))</f>
        <v>0</v>
      </c>
      <c r="G62" s="302">
        <f t="shared" si="219"/>
        <v>0</v>
      </c>
      <c r="H62" s="307">
        <f t="shared" ref="H62:H87" si="236">if($AI$2,IFERROR(INDIRECT("'"&amp;H$4&amp;"'!"&amp;$B$2&amp;match($A62,INDIRECT("'"&amp;H$4&amp;"'!B1:B"),0)),""),
IFERROR(INDIRECT("'"&amp;H$4&amp;"!"&amp;$B$2&amp;match($A62,INDIRECT("'"&amp;H$4&amp;"'!B:B"),0)),""))</f>
        <v>0</v>
      </c>
      <c r="I62" s="308">
        <f t="shared" ref="I62:I87" si="237">IF($AI$2,IFERROR(INDIRECT("'"&amp;I$4&amp;"'!"&amp;$C$2&amp;MATCH($A62,INDIRECT("'"&amp;I$4&amp;"'!B1:B"),0)),""),
IFERROR(INDIRECT("'"&amp;I$4&amp;"!"&amp;$B$2&amp;MATCH($A62,INDIRECT("'"&amp;I$4&amp;"'!B:B"),0)),""))</f>
        <v>0</v>
      </c>
      <c r="J62" s="302">
        <f t="shared" si="220"/>
        <v>0</v>
      </c>
      <c r="K62" s="307">
        <f t="shared" ref="K62:K87" si="238">if($AI$2,IFERROR(INDIRECT("'"&amp;K$4&amp;"'!"&amp;$B$2&amp;match($A62,INDIRECT("'"&amp;K$4&amp;"'!B1:B"),0)),""),
IFERROR(INDIRECT("'"&amp;K$4&amp;"!"&amp;$B$2&amp;match($A62,INDIRECT("'"&amp;K$4&amp;"'!B:B"),0)),""))</f>
        <v>0</v>
      </c>
      <c r="L62" s="308">
        <f t="shared" ref="L62:L87" si="239">IF($AI$2,IFERROR(INDIRECT("'"&amp;L$4&amp;"'!"&amp;$C$2&amp;MATCH($A62,INDIRECT("'"&amp;L$4&amp;"'!B1:B"),0)),""),
IFERROR(INDIRECT("'"&amp;L$4&amp;"!"&amp;$B$2&amp;MATCH($A62,INDIRECT("'"&amp;L$4&amp;"'!B:B"),0)),""))</f>
        <v>0</v>
      </c>
      <c r="M62" s="302">
        <f t="shared" si="221"/>
        <v>0</v>
      </c>
      <c r="N62" s="307">
        <f t="shared" ref="N62:N87" si="240">if($AI$2,IFERROR(INDIRECT("'"&amp;N$4&amp;"'!"&amp;$B$2&amp;match($A62,INDIRECT("'"&amp;N$4&amp;"'!B1:B"),0)),""),
IFERROR(INDIRECT("'"&amp;N$4&amp;"!"&amp;$B$2&amp;match($A62,INDIRECT("'"&amp;N$4&amp;"'!B:B"),0)),""))</f>
        <v>0</v>
      </c>
      <c r="O62" s="308">
        <f t="shared" ref="O62:O87" si="241">IF($AI$2,IFERROR(INDIRECT("'"&amp;O$4&amp;"'!"&amp;$C$2&amp;MATCH($A62,INDIRECT("'"&amp;O$4&amp;"'!B1:B"),0)),""),
IFERROR(INDIRECT("'"&amp;O$4&amp;"!"&amp;$B$2&amp;MATCH($A62,INDIRECT("'"&amp;O$4&amp;"'!B:B"),0)),""))</f>
        <v>0</v>
      </c>
      <c r="P62" s="302">
        <f t="shared" si="222"/>
        <v>0</v>
      </c>
      <c r="Q62" s="307">
        <f t="shared" ref="Q62:Q87" si="242">if($AI$2,IFERROR(INDIRECT("'"&amp;Q$4&amp;"'!"&amp;$B$2&amp;match($A62,INDIRECT("'"&amp;Q$4&amp;"'!B1:B"),0)),""),
IFERROR(INDIRECT("'"&amp;Q$4&amp;"!"&amp;$B$2&amp;match($A62,INDIRECT("'"&amp;Q$4&amp;"'!B:B"),0)),""))</f>
        <v>0</v>
      </c>
      <c r="R62" s="308">
        <f t="shared" ref="R62:R87" si="243">IF($AI$2,IFERROR(INDIRECT("'"&amp;R$4&amp;"'!"&amp;$C$2&amp;MATCH($A62,INDIRECT("'"&amp;R$4&amp;"'!B1:B"),0)),""),
IFERROR(INDIRECT("'"&amp;R$4&amp;"!"&amp;$B$2&amp;MATCH($A62,INDIRECT("'"&amp;R$4&amp;"'!B:B"),0)),""))</f>
        <v>0</v>
      </c>
      <c r="S62" s="302">
        <f t="shared" si="223"/>
        <v>0</v>
      </c>
      <c r="T62" s="307">
        <f t="shared" ref="T62:T87" si="244">if($AI$2,IFERROR(INDIRECT("'"&amp;T$4&amp;"'!"&amp;$B$2&amp;match($A62,INDIRECT("'"&amp;T$4&amp;"'!B1:B"),0)),""),
IFERROR(INDIRECT("'"&amp;T$4&amp;"!"&amp;$B$2&amp;match($A62,INDIRECT("'"&amp;T$4&amp;"'!B:B"),0)),""))</f>
        <v>0</v>
      </c>
      <c r="U62" s="308">
        <f t="shared" ref="U62:U87" si="245">IF($AI$2,IFERROR(INDIRECT("'"&amp;U$4&amp;"'!"&amp;$C$2&amp;MATCH($A62,INDIRECT("'"&amp;U$4&amp;"'!B1:B"),0)),""),
IFERROR(INDIRECT("'"&amp;U$4&amp;"!"&amp;$B$2&amp;MATCH($A62,INDIRECT("'"&amp;U$4&amp;"'!B:B"),0)),""))</f>
        <v>0</v>
      </c>
      <c r="V62" s="302">
        <f t="shared" si="224"/>
        <v>0</v>
      </c>
      <c r="W62" s="307">
        <f t="shared" ref="W62:W87" si="246">if($AI$2,IFERROR(INDIRECT("'"&amp;W$4&amp;"'!"&amp;$B$2&amp;match($A62,INDIRECT("'"&amp;W$4&amp;"'!B1:B"),0)),""),
IFERROR(INDIRECT("'"&amp;W$4&amp;"!"&amp;$B$2&amp;match($A62,INDIRECT("'"&amp;W$4&amp;"'!B:B"),0)),""))</f>
        <v>0</v>
      </c>
      <c r="X62" s="308">
        <f t="shared" ref="X62:X87" si="247">IF($AI$2,IFERROR(INDIRECT("'"&amp;X$4&amp;"'!"&amp;$C$2&amp;MATCH($A62,INDIRECT("'"&amp;X$4&amp;"'!B1:B"),0)),""),
IFERROR(INDIRECT("'"&amp;X$4&amp;"!"&amp;$B$2&amp;MATCH($A62,INDIRECT("'"&amp;X$4&amp;"'!B:B"),0)),""))</f>
        <v>0</v>
      </c>
      <c r="Y62" s="302">
        <f t="shared" si="225"/>
        <v>0</v>
      </c>
      <c r="Z62" s="307">
        <f t="shared" ref="Z62:Z87" si="248">if($AI$2,IFERROR(INDIRECT("'"&amp;Z$4&amp;"'!"&amp;$B$2&amp;match($A62,INDIRECT("'"&amp;Z$4&amp;"'!B1:B"),0)),""),
IFERROR(INDIRECT("'"&amp;Z$4&amp;"!"&amp;$B$2&amp;match($A62,INDIRECT("'"&amp;Z$4&amp;"'!B:B"),0)),""))</f>
        <v>0</v>
      </c>
      <c r="AA62" s="308">
        <f t="shared" ref="AA62:AA87" si="249">IF($AI$2,IFERROR(INDIRECT("'"&amp;AA$4&amp;"'!"&amp;$C$2&amp;MATCH($A62,INDIRECT("'"&amp;AA$4&amp;"'!B1:B"),0)),""),
IFERROR(INDIRECT("'"&amp;AA$4&amp;"!"&amp;$B$2&amp;MATCH($A62,INDIRECT("'"&amp;AA$4&amp;"'!B:B"),0)),""))</f>
        <v>0</v>
      </c>
      <c r="AB62" s="302">
        <f t="shared" si="226"/>
        <v>0</v>
      </c>
      <c r="AC62" s="307">
        <f t="shared" ref="AC62:AC87" si="250">if($AI$2,IFERROR(INDIRECT("'"&amp;AC$4&amp;"'!"&amp;$B$2&amp;match($A62,INDIRECT("'"&amp;AC$4&amp;"'!B1:B"),0)),""),
IFERROR(INDIRECT("'"&amp;AC$4&amp;"!"&amp;$B$2&amp;match($A62,INDIRECT("'"&amp;AC$4&amp;"'!B:B"),0)),""))</f>
        <v>0</v>
      </c>
      <c r="AD62" s="308">
        <f t="shared" ref="AD62:AD87" si="251">IF($AI$2,IFERROR(INDIRECT("'"&amp;AD$4&amp;"'!"&amp;$C$2&amp;MATCH($A62,INDIRECT("'"&amp;AD$4&amp;"'!B1:B"),0)),""),
IFERROR(INDIRECT("'"&amp;AD$4&amp;"!"&amp;$B$2&amp;MATCH($A62,INDIRECT("'"&amp;AD$4&amp;"'!B:B"),0)),""))</f>
        <v>0</v>
      </c>
      <c r="AE62" s="302">
        <f t="shared" si="227"/>
        <v>0</v>
      </c>
      <c r="AF62" s="307">
        <f t="shared" ref="AF62:AF87" si="252">if($AI$2,IFERROR(INDIRECT("'"&amp;AF$4&amp;"'!"&amp;$B$2&amp;match($A62,INDIRECT("'"&amp;AF$4&amp;"'!B1:B"),0)),""),
IFERROR(INDIRECT("'"&amp;AF$4&amp;"!"&amp;$B$2&amp;match($A62,INDIRECT("'"&amp;AF$4&amp;"'!B:B"),0)),""))</f>
        <v>0</v>
      </c>
      <c r="AG62" s="308">
        <f t="shared" ref="AG62:AG87" si="253">IF($AI$2,IFERROR(INDIRECT("'"&amp;AG$4&amp;"'!"&amp;$C$2&amp;MATCH($A62,INDIRECT("'"&amp;AG$4&amp;"'!B1:B"),0)),""),
IFERROR(INDIRECT("'"&amp;AG$4&amp;"!"&amp;$B$2&amp;MATCH($A62,INDIRECT("'"&amp;AG$4&amp;"'!B:B"),0)),""))</f>
        <v>0</v>
      </c>
      <c r="AH62" s="302">
        <f t="shared" si="228"/>
        <v>0</v>
      </c>
      <c r="AI62" s="307">
        <f t="shared" ref="AI62:AI87" si="254">if($AI$2,IFERROR(INDIRECT("'"&amp;AI$4&amp;"'!"&amp;$B$2&amp;match($A62,INDIRECT("'"&amp;AI$4&amp;"'!B1:B"),0)),""),
IFERROR(INDIRECT("'"&amp;AI$4&amp;"!"&amp;$B$2&amp;match($A62,INDIRECT("'"&amp;AI$4&amp;"'!B:B"),0)),""))</f>
        <v>0</v>
      </c>
      <c r="AJ62" s="308">
        <f t="shared" ref="AJ62:AJ87" si="255">IF($AI$2,IFERROR(INDIRECT("'"&amp;AJ$4&amp;"'!"&amp;$C$2&amp;MATCH($A62,INDIRECT("'"&amp;AJ$4&amp;"'!B1:B"),0)),""),
IFERROR(INDIRECT("'"&amp;AJ$4&amp;"!"&amp;$B$2&amp;MATCH($A62,INDIRECT("'"&amp;AJ$4&amp;"'!B:B"),0)),""))</f>
        <v>0</v>
      </c>
      <c r="AK62" s="302">
        <f t="shared" si="229"/>
        <v>0</v>
      </c>
      <c r="AL62" s="307">
        <f t="shared" ref="AL62:AM62" si="230">B62+E62+H62+K62+N62+Q62+T62+W62+Z62+AC62+AF62+AI62</f>
        <v>-19</v>
      </c>
      <c r="AM62" s="308">
        <f t="shared" si="230"/>
        <v>-55</v>
      </c>
      <c r="AN62" s="303">
        <f t="shared" si="231"/>
        <v>0.3454545455</v>
      </c>
      <c r="AO62" s="121" t="str">
        <f t="shared" ref="AO62:AO87" si="257">IF(AM62=0,"",IF(AN62=0,"обратить внимание",IF(AN62&gt;1,"перерасход","экономия")))</f>
        <v>экономия</v>
      </c>
    </row>
    <row r="63" collapsed="1">
      <c r="A63" s="125" t="str">
        <f>IFERROR(__xludf.DUMMYFUNCTION("""COMPUTED_VALUE"""),"Таможенные расходы")</f>
        <v>Таможенные расходы</v>
      </c>
      <c r="B63" s="307">
        <f t="shared" si="232"/>
        <v>-12500</v>
      </c>
      <c r="C63" s="308">
        <f t="shared" si="233"/>
        <v>-12220</v>
      </c>
      <c r="D63" s="302">
        <f t="shared" si="218"/>
        <v>1.022913257</v>
      </c>
      <c r="E63" s="307">
        <f t="shared" si="234"/>
        <v>0</v>
      </c>
      <c r="F63" s="308">
        <f t="shared" si="235"/>
        <v>0</v>
      </c>
      <c r="G63" s="302">
        <f t="shared" si="219"/>
        <v>0</v>
      </c>
      <c r="H63" s="307">
        <f t="shared" si="236"/>
        <v>0</v>
      </c>
      <c r="I63" s="308">
        <f t="shared" si="237"/>
        <v>0</v>
      </c>
      <c r="J63" s="302">
        <f t="shared" si="220"/>
        <v>0</v>
      </c>
      <c r="K63" s="307">
        <f t="shared" si="238"/>
        <v>0</v>
      </c>
      <c r="L63" s="308">
        <f t="shared" si="239"/>
        <v>0</v>
      </c>
      <c r="M63" s="302">
        <f t="shared" si="221"/>
        <v>0</v>
      </c>
      <c r="N63" s="307">
        <f t="shared" si="240"/>
        <v>0</v>
      </c>
      <c r="O63" s="308">
        <f t="shared" si="241"/>
        <v>0</v>
      </c>
      <c r="P63" s="302">
        <f t="shared" si="222"/>
        <v>0</v>
      </c>
      <c r="Q63" s="307">
        <f t="shared" si="242"/>
        <v>0</v>
      </c>
      <c r="R63" s="308">
        <f t="shared" si="243"/>
        <v>0</v>
      </c>
      <c r="S63" s="302">
        <f t="shared" si="223"/>
        <v>0</v>
      </c>
      <c r="T63" s="307">
        <f t="shared" si="244"/>
        <v>0</v>
      </c>
      <c r="U63" s="308">
        <f t="shared" si="245"/>
        <v>0</v>
      </c>
      <c r="V63" s="302">
        <f t="shared" si="224"/>
        <v>0</v>
      </c>
      <c r="W63" s="307">
        <f t="shared" si="246"/>
        <v>0</v>
      </c>
      <c r="X63" s="308">
        <f t="shared" si="247"/>
        <v>0</v>
      </c>
      <c r="Y63" s="302">
        <f t="shared" si="225"/>
        <v>0</v>
      </c>
      <c r="Z63" s="307">
        <f t="shared" si="248"/>
        <v>0</v>
      </c>
      <c r="AA63" s="308">
        <f t="shared" si="249"/>
        <v>0</v>
      </c>
      <c r="AB63" s="302">
        <f t="shared" si="226"/>
        <v>0</v>
      </c>
      <c r="AC63" s="307">
        <f t="shared" si="250"/>
        <v>0</v>
      </c>
      <c r="AD63" s="308">
        <f t="shared" si="251"/>
        <v>0</v>
      </c>
      <c r="AE63" s="302">
        <f t="shared" si="227"/>
        <v>0</v>
      </c>
      <c r="AF63" s="307">
        <f t="shared" si="252"/>
        <v>0</v>
      </c>
      <c r="AG63" s="308">
        <f t="shared" si="253"/>
        <v>0</v>
      </c>
      <c r="AH63" s="302">
        <f t="shared" si="228"/>
        <v>0</v>
      </c>
      <c r="AI63" s="307">
        <f t="shared" si="254"/>
        <v>0</v>
      </c>
      <c r="AJ63" s="308">
        <f t="shared" si="255"/>
        <v>0</v>
      </c>
      <c r="AK63" s="302">
        <f t="shared" si="229"/>
        <v>0</v>
      </c>
      <c r="AL63" s="307">
        <f t="shared" ref="AL63:AM63" si="256">B63+E63+H63+K63+N63+Q63+T63+W63+Z63+AC63+AF63+AI63</f>
        <v>-12500</v>
      </c>
      <c r="AM63" s="308">
        <f t="shared" si="256"/>
        <v>-12220</v>
      </c>
      <c r="AN63" s="303">
        <f t="shared" si="231"/>
        <v>1.022913257</v>
      </c>
      <c r="AO63" s="121" t="str">
        <f t="shared" si="257"/>
        <v>перерасход</v>
      </c>
    </row>
    <row r="64" hidden="1" outlineLevel="1">
      <c r="A64" s="125"/>
      <c r="B64" s="307" t="str">
        <f t="shared" si="232"/>
        <v/>
      </c>
      <c r="C64" s="308" t="str">
        <f t="shared" si="233"/>
        <v/>
      </c>
      <c r="D64" s="302">
        <f t="shared" si="218"/>
        <v>0</v>
      </c>
      <c r="E64" s="327" t="str">
        <f t="shared" si="234"/>
        <v/>
      </c>
      <c r="F64" s="328" t="str">
        <f t="shared" si="235"/>
        <v/>
      </c>
      <c r="G64" s="302">
        <f t="shared" si="219"/>
        <v>0</v>
      </c>
      <c r="H64" s="327" t="str">
        <f t="shared" si="236"/>
        <v/>
      </c>
      <c r="I64" s="328" t="str">
        <f t="shared" si="237"/>
        <v/>
      </c>
      <c r="J64" s="302">
        <f t="shared" si="220"/>
        <v>0</v>
      </c>
      <c r="K64" s="327" t="str">
        <f t="shared" si="238"/>
        <v/>
      </c>
      <c r="L64" s="328" t="str">
        <f t="shared" si="239"/>
        <v/>
      </c>
      <c r="M64" s="302">
        <f t="shared" si="221"/>
        <v>0</v>
      </c>
      <c r="N64" s="307" t="str">
        <f t="shared" si="240"/>
        <v/>
      </c>
      <c r="O64" s="308" t="str">
        <f t="shared" si="241"/>
        <v/>
      </c>
      <c r="P64" s="302">
        <f t="shared" si="222"/>
        <v>0</v>
      </c>
      <c r="Q64" s="307" t="str">
        <f t="shared" si="242"/>
        <v/>
      </c>
      <c r="R64" s="308" t="str">
        <f t="shared" si="243"/>
        <v/>
      </c>
      <c r="S64" s="302">
        <f t="shared" si="223"/>
        <v>0</v>
      </c>
      <c r="T64" s="307" t="str">
        <f t="shared" si="244"/>
        <v/>
      </c>
      <c r="U64" s="308" t="str">
        <f t="shared" si="245"/>
        <v/>
      </c>
      <c r="V64" s="302">
        <f t="shared" si="224"/>
        <v>0</v>
      </c>
      <c r="W64" s="307" t="str">
        <f t="shared" si="246"/>
        <v/>
      </c>
      <c r="X64" s="308" t="str">
        <f t="shared" si="247"/>
        <v/>
      </c>
      <c r="Y64" s="302">
        <f t="shared" si="225"/>
        <v>0</v>
      </c>
      <c r="Z64" s="307" t="str">
        <f t="shared" si="248"/>
        <v/>
      </c>
      <c r="AA64" s="308" t="str">
        <f t="shared" si="249"/>
        <v/>
      </c>
      <c r="AB64" s="302">
        <f t="shared" si="226"/>
        <v>0</v>
      </c>
      <c r="AC64" s="307" t="str">
        <f t="shared" si="250"/>
        <v/>
      </c>
      <c r="AD64" s="308" t="str">
        <f t="shared" si="251"/>
        <v/>
      </c>
      <c r="AE64" s="302">
        <f t="shared" si="227"/>
        <v>0</v>
      </c>
      <c r="AF64" s="307" t="str">
        <f t="shared" si="252"/>
        <v/>
      </c>
      <c r="AG64" s="308" t="str">
        <f t="shared" si="253"/>
        <v/>
      </c>
      <c r="AH64" s="302">
        <f t="shared" si="228"/>
        <v>0</v>
      </c>
      <c r="AI64" s="307" t="str">
        <f t="shared" si="254"/>
        <v/>
      </c>
      <c r="AJ64" s="308" t="str">
        <f t="shared" si="255"/>
        <v/>
      </c>
      <c r="AK64" s="302">
        <f t="shared" si="229"/>
        <v>0</v>
      </c>
      <c r="AL64" s="307">
        <f t="shared" ref="AL64:AM64" si="258">B64+E64+H64+K64+N64+Q64+T64+W64+Z64+AC64+AF64+AI64</f>
        <v>0</v>
      </c>
      <c r="AM64" s="308">
        <f t="shared" si="258"/>
        <v>0</v>
      </c>
      <c r="AN64" s="303">
        <f t="shared" si="231"/>
        <v>0</v>
      </c>
      <c r="AO64" s="121" t="str">
        <f t="shared" si="257"/>
        <v/>
      </c>
    </row>
    <row r="65" ht="18.0" hidden="1" customHeight="1" outlineLevel="1">
      <c r="A65" s="125"/>
      <c r="B65" s="307" t="str">
        <f t="shared" si="232"/>
        <v/>
      </c>
      <c r="C65" s="308" t="str">
        <f t="shared" si="233"/>
        <v/>
      </c>
      <c r="D65" s="302">
        <f t="shared" si="218"/>
        <v>0</v>
      </c>
      <c r="E65" s="327" t="str">
        <f t="shared" si="234"/>
        <v/>
      </c>
      <c r="F65" s="328" t="str">
        <f t="shared" si="235"/>
        <v/>
      </c>
      <c r="G65" s="302">
        <f t="shared" si="219"/>
        <v>0</v>
      </c>
      <c r="H65" s="327" t="str">
        <f t="shared" si="236"/>
        <v/>
      </c>
      <c r="I65" s="328" t="str">
        <f t="shared" si="237"/>
        <v/>
      </c>
      <c r="J65" s="302">
        <f t="shared" si="220"/>
        <v>0</v>
      </c>
      <c r="K65" s="327" t="str">
        <f t="shared" si="238"/>
        <v/>
      </c>
      <c r="L65" s="328" t="str">
        <f t="shared" si="239"/>
        <v/>
      </c>
      <c r="M65" s="302">
        <f t="shared" si="221"/>
        <v>0</v>
      </c>
      <c r="N65" s="307" t="str">
        <f t="shared" si="240"/>
        <v/>
      </c>
      <c r="O65" s="308" t="str">
        <f t="shared" si="241"/>
        <v/>
      </c>
      <c r="P65" s="302">
        <f t="shared" si="222"/>
        <v>0</v>
      </c>
      <c r="Q65" s="307" t="str">
        <f t="shared" si="242"/>
        <v/>
      </c>
      <c r="R65" s="308" t="str">
        <f t="shared" si="243"/>
        <v/>
      </c>
      <c r="S65" s="302">
        <f t="shared" si="223"/>
        <v>0</v>
      </c>
      <c r="T65" s="307" t="str">
        <f t="shared" si="244"/>
        <v/>
      </c>
      <c r="U65" s="308" t="str">
        <f t="shared" si="245"/>
        <v/>
      </c>
      <c r="V65" s="302">
        <f t="shared" si="224"/>
        <v>0</v>
      </c>
      <c r="W65" s="307" t="str">
        <f t="shared" si="246"/>
        <v/>
      </c>
      <c r="X65" s="308" t="str">
        <f t="shared" si="247"/>
        <v/>
      </c>
      <c r="Y65" s="302">
        <f t="shared" si="225"/>
        <v>0</v>
      </c>
      <c r="Z65" s="307" t="str">
        <f t="shared" si="248"/>
        <v/>
      </c>
      <c r="AA65" s="308" t="str">
        <f t="shared" si="249"/>
        <v/>
      </c>
      <c r="AB65" s="302">
        <f t="shared" si="226"/>
        <v>0</v>
      </c>
      <c r="AC65" s="307" t="str">
        <f t="shared" si="250"/>
        <v/>
      </c>
      <c r="AD65" s="308" t="str">
        <f t="shared" si="251"/>
        <v/>
      </c>
      <c r="AE65" s="302">
        <f t="shared" si="227"/>
        <v>0</v>
      </c>
      <c r="AF65" s="307" t="str">
        <f t="shared" si="252"/>
        <v/>
      </c>
      <c r="AG65" s="308" t="str">
        <f t="shared" si="253"/>
        <v/>
      </c>
      <c r="AH65" s="302">
        <f t="shared" si="228"/>
        <v>0</v>
      </c>
      <c r="AI65" s="307" t="str">
        <f t="shared" si="254"/>
        <v/>
      </c>
      <c r="AJ65" s="308" t="str">
        <f t="shared" si="255"/>
        <v/>
      </c>
      <c r="AK65" s="302">
        <f t="shared" si="229"/>
        <v>0</v>
      </c>
      <c r="AL65" s="307">
        <f t="shared" ref="AL65:AM65" si="259">B65+E65+H65+K65+N65+Q65+T65+W65+Z65+AC65+AF65+AI65</f>
        <v>0</v>
      </c>
      <c r="AM65" s="308">
        <f t="shared" si="259"/>
        <v>0</v>
      </c>
      <c r="AN65" s="303">
        <f t="shared" si="231"/>
        <v>0</v>
      </c>
      <c r="AO65" s="121" t="str">
        <f t="shared" si="257"/>
        <v/>
      </c>
    </row>
    <row r="66" hidden="1" outlineLevel="1">
      <c r="A66" s="176"/>
      <c r="B66" s="307" t="str">
        <f t="shared" si="232"/>
        <v/>
      </c>
      <c r="C66" s="308" t="str">
        <f t="shared" si="233"/>
        <v/>
      </c>
      <c r="D66" s="302">
        <f t="shared" si="218"/>
        <v>0</v>
      </c>
      <c r="E66" s="307" t="str">
        <f t="shared" si="234"/>
        <v/>
      </c>
      <c r="F66" s="308" t="str">
        <f t="shared" si="235"/>
        <v/>
      </c>
      <c r="G66" s="302">
        <f t="shared" si="219"/>
        <v>0</v>
      </c>
      <c r="H66" s="307" t="str">
        <f t="shared" si="236"/>
        <v/>
      </c>
      <c r="I66" s="308" t="str">
        <f t="shared" si="237"/>
        <v/>
      </c>
      <c r="J66" s="302">
        <f t="shared" si="220"/>
        <v>0</v>
      </c>
      <c r="K66" s="307" t="str">
        <f t="shared" si="238"/>
        <v/>
      </c>
      <c r="L66" s="308" t="str">
        <f t="shared" si="239"/>
        <v/>
      </c>
      <c r="M66" s="302">
        <f t="shared" si="221"/>
        <v>0</v>
      </c>
      <c r="N66" s="307" t="str">
        <f t="shared" si="240"/>
        <v/>
      </c>
      <c r="O66" s="308" t="str">
        <f t="shared" si="241"/>
        <v/>
      </c>
      <c r="P66" s="302">
        <f t="shared" si="222"/>
        <v>0</v>
      </c>
      <c r="Q66" s="307" t="str">
        <f t="shared" si="242"/>
        <v/>
      </c>
      <c r="R66" s="308" t="str">
        <f t="shared" si="243"/>
        <v/>
      </c>
      <c r="S66" s="302">
        <f t="shared" si="223"/>
        <v>0</v>
      </c>
      <c r="T66" s="307" t="str">
        <f t="shared" si="244"/>
        <v/>
      </c>
      <c r="U66" s="308" t="str">
        <f t="shared" si="245"/>
        <v/>
      </c>
      <c r="V66" s="302">
        <f t="shared" si="224"/>
        <v>0</v>
      </c>
      <c r="W66" s="307" t="str">
        <f t="shared" si="246"/>
        <v/>
      </c>
      <c r="X66" s="308" t="str">
        <f t="shared" si="247"/>
        <v/>
      </c>
      <c r="Y66" s="302">
        <f t="shared" si="225"/>
        <v>0</v>
      </c>
      <c r="Z66" s="307" t="str">
        <f t="shared" si="248"/>
        <v/>
      </c>
      <c r="AA66" s="308" t="str">
        <f t="shared" si="249"/>
        <v/>
      </c>
      <c r="AB66" s="302">
        <f t="shared" si="226"/>
        <v>0</v>
      </c>
      <c r="AC66" s="307" t="str">
        <f t="shared" si="250"/>
        <v/>
      </c>
      <c r="AD66" s="308" t="str">
        <f t="shared" si="251"/>
        <v/>
      </c>
      <c r="AE66" s="302">
        <f t="shared" si="227"/>
        <v>0</v>
      </c>
      <c r="AF66" s="307" t="str">
        <f t="shared" si="252"/>
        <v/>
      </c>
      <c r="AG66" s="308" t="str">
        <f t="shared" si="253"/>
        <v/>
      </c>
      <c r="AH66" s="302">
        <f t="shared" si="228"/>
        <v>0</v>
      </c>
      <c r="AI66" s="307" t="str">
        <f t="shared" si="254"/>
        <v/>
      </c>
      <c r="AJ66" s="308" t="str">
        <f t="shared" si="255"/>
        <v/>
      </c>
      <c r="AK66" s="302">
        <f t="shared" si="229"/>
        <v>0</v>
      </c>
      <c r="AL66" s="307">
        <f t="shared" ref="AL66:AM66" si="260">B66+E66+H66+K66+N66+Q66+T66+W66+Z66+AC66+AF66+AI66</f>
        <v>0</v>
      </c>
      <c r="AM66" s="308">
        <f t="shared" si="260"/>
        <v>0</v>
      </c>
      <c r="AN66" s="303">
        <f t="shared" si="231"/>
        <v>0</v>
      </c>
      <c r="AO66" s="121" t="str">
        <f t="shared" si="257"/>
        <v/>
      </c>
    </row>
    <row r="67" hidden="1" outlineLevel="1">
      <c r="A67" s="111"/>
      <c r="B67" s="307" t="str">
        <f t="shared" si="232"/>
        <v/>
      </c>
      <c r="C67" s="308" t="str">
        <f t="shared" si="233"/>
        <v/>
      </c>
      <c r="D67" s="302">
        <f t="shared" si="218"/>
        <v>0</v>
      </c>
      <c r="E67" s="307" t="str">
        <f t="shared" si="234"/>
        <v/>
      </c>
      <c r="F67" s="308" t="str">
        <f t="shared" si="235"/>
        <v/>
      </c>
      <c r="G67" s="302">
        <f t="shared" si="219"/>
        <v>0</v>
      </c>
      <c r="H67" s="307" t="str">
        <f t="shared" si="236"/>
        <v/>
      </c>
      <c r="I67" s="308" t="str">
        <f t="shared" si="237"/>
        <v/>
      </c>
      <c r="J67" s="302">
        <f t="shared" si="220"/>
        <v>0</v>
      </c>
      <c r="K67" s="307" t="str">
        <f t="shared" si="238"/>
        <v/>
      </c>
      <c r="L67" s="308" t="str">
        <f t="shared" si="239"/>
        <v/>
      </c>
      <c r="M67" s="302">
        <f t="shared" si="221"/>
        <v>0</v>
      </c>
      <c r="N67" s="307" t="str">
        <f t="shared" si="240"/>
        <v/>
      </c>
      <c r="O67" s="308" t="str">
        <f t="shared" si="241"/>
        <v/>
      </c>
      <c r="P67" s="302">
        <f t="shared" si="222"/>
        <v>0</v>
      </c>
      <c r="Q67" s="307" t="str">
        <f t="shared" si="242"/>
        <v/>
      </c>
      <c r="R67" s="308" t="str">
        <f t="shared" si="243"/>
        <v/>
      </c>
      <c r="S67" s="302">
        <f t="shared" si="223"/>
        <v>0</v>
      </c>
      <c r="T67" s="307" t="str">
        <f t="shared" si="244"/>
        <v/>
      </c>
      <c r="U67" s="308" t="str">
        <f t="shared" si="245"/>
        <v/>
      </c>
      <c r="V67" s="302">
        <f t="shared" si="224"/>
        <v>0</v>
      </c>
      <c r="W67" s="307" t="str">
        <f t="shared" si="246"/>
        <v/>
      </c>
      <c r="X67" s="308" t="str">
        <f t="shared" si="247"/>
        <v/>
      </c>
      <c r="Y67" s="302">
        <f t="shared" si="225"/>
        <v>0</v>
      </c>
      <c r="Z67" s="307" t="str">
        <f t="shared" si="248"/>
        <v/>
      </c>
      <c r="AA67" s="308" t="str">
        <f t="shared" si="249"/>
        <v/>
      </c>
      <c r="AB67" s="302">
        <f t="shared" si="226"/>
        <v>0</v>
      </c>
      <c r="AC67" s="307" t="str">
        <f t="shared" si="250"/>
        <v/>
      </c>
      <c r="AD67" s="308" t="str">
        <f t="shared" si="251"/>
        <v/>
      </c>
      <c r="AE67" s="302">
        <f t="shared" si="227"/>
        <v>0</v>
      </c>
      <c r="AF67" s="307" t="str">
        <f t="shared" si="252"/>
        <v/>
      </c>
      <c r="AG67" s="308" t="str">
        <f t="shared" si="253"/>
        <v/>
      </c>
      <c r="AH67" s="302">
        <f t="shared" si="228"/>
        <v>0</v>
      </c>
      <c r="AI67" s="307" t="str">
        <f t="shared" si="254"/>
        <v/>
      </c>
      <c r="AJ67" s="308" t="str">
        <f t="shared" si="255"/>
        <v/>
      </c>
      <c r="AK67" s="302">
        <f t="shared" si="229"/>
        <v>0</v>
      </c>
      <c r="AL67" s="307">
        <f t="shared" ref="AL67:AM67" si="261">B67+E67+H67+K67+N67+Q67+T67+W67+Z67+AC67+AF67+AI67</f>
        <v>0</v>
      </c>
      <c r="AM67" s="308">
        <f t="shared" si="261"/>
        <v>0</v>
      </c>
      <c r="AN67" s="303">
        <f t="shared" si="231"/>
        <v>0</v>
      </c>
      <c r="AO67" s="121" t="str">
        <f t="shared" si="257"/>
        <v/>
      </c>
    </row>
    <row r="68" hidden="1" outlineLevel="1">
      <c r="A68" s="111"/>
      <c r="B68" s="307" t="str">
        <f t="shared" si="232"/>
        <v/>
      </c>
      <c r="C68" s="308" t="str">
        <f t="shared" si="233"/>
        <v/>
      </c>
      <c r="D68" s="302">
        <f t="shared" si="218"/>
        <v>0</v>
      </c>
      <c r="E68" s="307" t="str">
        <f t="shared" si="234"/>
        <v/>
      </c>
      <c r="F68" s="308" t="str">
        <f t="shared" si="235"/>
        <v/>
      </c>
      <c r="G68" s="302">
        <f t="shared" si="219"/>
        <v>0</v>
      </c>
      <c r="H68" s="307" t="str">
        <f t="shared" si="236"/>
        <v/>
      </c>
      <c r="I68" s="308" t="str">
        <f t="shared" si="237"/>
        <v/>
      </c>
      <c r="J68" s="302">
        <f t="shared" si="220"/>
        <v>0</v>
      </c>
      <c r="K68" s="307" t="str">
        <f t="shared" si="238"/>
        <v/>
      </c>
      <c r="L68" s="308" t="str">
        <f t="shared" si="239"/>
        <v/>
      </c>
      <c r="M68" s="302">
        <f t="shared" si="221"/>
        <v>0</v>
      </c>
      <c r="N68" s="307" t="str">
        <f t="shared" si="240"/>
        <v/>
      </c>
      <c r="O68" s="308" t="str">
        <f t="shared" si="241"/>
        <v/>
      </c>
      <c r="P68" s="302">
        <f t="shared" si="222"/>
        <v>0</v>
      </c>
      <c r="Q68" s="307" t="str">
        <f t="shared" si="242"/>
        <v/>
      </c>
      <c r="R68" s="308" t="str">
        <f t="shared" si="243"/>
        <v/>
      </c>
      <c r="S68" s="302">
        <f t="shared" si="223"/>
        <v>0</v>
      </c>
      <c r="T68" s="307" t="str">
        <f t="shared" si="244"/>
        <v/>
      </c>
      <c r="U68" s="308" t="str">
        <f t="shared" si="245"/>
        <v/>
      </c>
      <c r="V68" s="302">
        <f t="shared" si="224"/>
        <v>0</v>
      </c>
      <c r="W68" s="307" t="str">
        <f t="shared" si="246"/>
        <v/>
      </c>
      <c r="X68" s="308" t="str">
        <f t="shared" si="247"/>
        <v/>
      </c>
      <c r="Y68" s="302">
        <f t="shared" si="225"/>
        <v>0</v>
      </c>
      <c r="Z68" s="307" t="str">
        <f t="shared" si="248"/>
        <v/>
      </c>
      <c r="AA68" s="308" t="str">
        <f t="shared" si="249"/>
        <v/>
      </c>
      <c r="AB68" s="302">
        <f t="shared" si="226"/>
        <v>0</v>
      </c>
      <c r="AC68" s="307" t="str">
        <f t="shared" si="250"/>
        <v/>
      </c>
      <c r="AD68" s="308" t="str">
        <f t="shared" si="251"/>
        <v/>
      </c>
      <c r="AE68" s="302">
        <f t="shared" si="227"/>
        <v>0</v>
      </c>
      <c r="AF68" s="307" t="str">
        <f t="shared" si="252"/>
        <v/>
      </c>
      <c r="AG68" s="308" t="str">
        <f t="shared" si="253"/>
        <v/>
      </c>
      <c r="AH68" s="302">
        <f t="shared" si="228"/>
        <v>0</v>
      </c>
      <c r="AI68" s="307" t="str">
        <f t="shared" si="254"/>
        <v/>
      </c>
      <c r="AJ68" s="308" t="str">
        <f t="shared" si="255"/>
        <v/>
      </c>
      <c r="AK68" s="302">
        <f t="shared" si="229"/>
        <v>0</v>
      </c>
      <c r="AL68" s="307">
        <f t="shared" ref="AL68:AM68" si="262">B68+E68+H68+K68+N68+Q68+T68+W68+Z68+AC68+AF68+AI68</f>
        <v>0</v>
      </c>
      <c r="AM68" s="308">
        <f t="shared" si="262"/>
        <v>0</v>
      </c>
      <c r="AN68" s="303">
        <f t="shared" si="231"/>
        <v>0</v>
      </c>
      <c r="AO68" s="121" t="str">
        <f t="shared" si="257"/>
        <v/>
      </c>
    </row>
    <row r="69" hidden="1" outlineLevel="1">
      <c r="A69" s="111"/>
      <c r="B69" s="307" t="str">
        <f t="shared" si="232"/>
        <v/>
      </c>
      <c r="C69" s="308" t="str">
        <f t="shared" si="233"/>
        <v/>
      </c>
      <c r="D69" s="302">
        <f t="shared" si="218"/>
        <v>0</v>
      </c>
      <c r="E69" s="307" t="str">
        <f t="shared" si="234"/>
        <v/>
      </c>
      <c r="F69" s="308" t="str">
        <f t="shared" si="235"/>
        <v/>
      </c>
      <c r="G69" s="302">
        <f t="shared" si="219"/>
        <v>0</v>
      </c>
      <c r="H69" s="307" t="str">
        <f t="shared" si="236"/>
        <v/>
      </c>
      <c r="I69" s="308" t="str">
        <f t="shared" si="237"/>
        <v/>
      </c>
      <c r="J69" s="302">
        <f t="shared" si="220"/>
        <v>0</v>
      </c>
      <c r="K69" s="307" t="str">
        <f t="shared" si="238"/>
        <v/>
      </c>
      <c r="L69" s="308" t="str">
        <f t="shared" si="239"/>
        <v/>
      </c>
      <c r="M69" s="302">
        <f t="shared" si="221"/>
        <v>0</v>
      </c>
      <c r="N69" s="307" t="str">
        <f t="shared" si="240"/>
        <v/>
      </c>
      <c r="O69" s="308" t="str">
        <f t="shared" si="241"/>
        <v/>
      </c>
      <c r="P69" s="302">
        <f t="shared" si="222"/>
        <v>0</v>
      </c>
      <c r="Q69" s="307" t="str">
        <f t="shared" si="242"/>
        <v/>
      </c>
      <c r="R69" s="308" t="str">
        <f t="shared" si="243"/>
        <v/>
      </c>
      <c r="S69" s="302">
        <f t="shared" si="223"/>
        <v>0</v>
      </c>
      <c r="T69" s="307" t="str">
        <f t="shared" si="244"/>
        <v/>
      </c>
      <c r="U69" s="308" t="str">
        <f t="shared" si="245"/>
        <v/>
      </c>
      <c r="V69" s="302">
        <f t="shared" si="224"/>
        <v>0</v>
      </c>
      <c r="W69" s="307" t="str">
        <f t="shared" si="246"/>
        <v/>
      </c>
      <c r="X69" s="308" t="str">
        <f t="shared" si="247"/>
        <v/>
      </c>
      <c r="Y69" s="302">
        <f t="shared" si="225"/>
        <v>0</v>
      </c>
      <c r="Z69" s="307" t="str">
        <f t="shared" si="248"/>
        <v/>
      </c>
      <c r="AA69" s="308" t="str">
        <f t="shared" si="249"/>
        <v/>
      </c>
      <c r="AB69" s="302">
        <f t="shared" si="226"/>
        <v>0</v>
      </c>
      <c r="AC69" s="307" t="str">
        <f t="shared" si="250"/>
        <v/>
      </c>
      <c r="AD69" s="308" t="str">
        <f t="shared" si="251"/>
        <v/>
      </c>
      <c r="AE69" s="302">
        <f t="shared" si="227"/>
        <v>0</v>
      </c>
      <c r="AF69" s="307" t="str">
        <f t="shared" si="252"/>
        <v/>
      </c>
      <c r="AG69" s="308" t="str">
        <f t="shared" si="253"/>
        <v/>
      </c>
      <c r="AH69" s="302">
        <f t="shared" si="228"/>
        <v>0</v>
      </c>
      <c r="AI69" s="307" t="str">
        <f t="shared" si="254"/>
        <v/>
      </c>
      <c r="AJ69" s="308" t="str">
        <f t="shared" si="255"/>
        <v/>
      </c>
      <c r="AK69" s="302">
        <f t="shared" si="229"/>
        <v>0</v>
      </c>
      <c r="AL69" s="307">
        <f t="shared" ref="AL69:AM69" si="263">B69+E69+H69+K69+N69+Q69+T69+W69+Z69+AC69+AF69+AI69</f>
        <v>0</v>
      </c>
      <c r="AM69" s="308">
        <f t="shared" si="263"/>
        <v>0</v>
      </c>
      <c r="AN69" s="303">
        <f t="shared" si="231"/>
        <v>0</v>
      </c>
      <c r="AO69" s="121" t="str">
        <f t="shared" si="257"/>
        <v/>
      </c>
    </row>
    <row r="70" hidden="1" outlineLevel="1">
      <c r="A70" s="111"/>
      <c r="B70" s="307" t="str">
        <f t="shared" si="232"/>
        <v/>
      </c>
      <c r="C70" s="308" t="str">
        <f t="shared" si="233"/>
        <v/>
      </c>
      <c r="D70" s="302">
        <f t="shared" si="218"/>
        <v>0</v>
      </c>
      <c r="E70" s="307" t="str">
        <f t="shared" si="234"/>
        <v/>
      </c>
      <c r="F70" s="308" t="str">
        <f t="shared" si="235"/>
        <v/>
      </c>
      <c r="G70" s="302">
        <f t="shared" si="219"/>
        <v>0</v>
      </c>
      <c r="H70" s="307" t="str">
        <f t="shared" si="236"/>
        <v/>
      </c>
      <c r="I70" s="308" t="str">
        <f t="shared" si="237"/>
        <v/>
      </c>
      <c r="J70" s="302">
        <f t="shared" si="220"/>
        <v>0</v>
      </c>
      <c r="K70" s="307" t="str">
        <f t="shared" si="238"/>
        <v/>
      </c>
      <c r="L70" s="308" t="str">
        <f t="shared" si="239"/>
        <v/>
      </c>
      <c r="M70" s="302">
        <f t="shared" si="221"/>
        <v>0</v>
      </c>
      <c r="N70" s="307" t="str">
        <f t="shared" si="240"/>
        <v/>
      </c>
      <c r="O70" s="308" t="str">
        <f t="shared" si="241"/>
        <v/>
      </c>
      <c r="P70" s="302">
        <f t="shared" si="222"/>
        <v>0</v>
      </c>
      <c r="Q70" s="307" t="str">
        <f t="shared" si="242"/>
        <v/>
      </c>
      <c r="R70" s="308" t="str">
        <f t="shared" si="243"/>
        <v/>
      </c>
      <c r="S70" s="302">
        <f t="shared" si="223"/>
        <v>0</v>
      </c>
      <c r="T70" s="307" t="str">
        <f t="shared" si="244"/>
        <v/>
      </c>
      <c r="U70" s="308" t="str">
        <f t="shared" si="245"/>
        <v/>
      </c>
      <c r="V70" s="302">
        <f t="shared" si="224"/>
        <v>0</v>
      </c>
      <c r="W70" s="307" t="str">
        <f t="shared" si="246"/>
        <v/>
      </c>
      <c r="X70" s="308" t="str">
        <f t="shared" si="247"/>
        <v/>
      </c>
      <c r="Y70" s="302">
        <f t="shared" si="225"/>
        <v>0</v>
      </c>
      <c r="Z70" s="307" t="str">
        <f t="shared" si="248"/>
        <v/>
      </c>
      <c r="AA70" s="308" t="str">
        <f t="shared" si="249"/>
        <v/>
      </c>
      <c r="AB70" s="302">
        <f t="shared" si="226"/>
        <v>0</v>
      </c>
      <c r="AC70" s="307" t="str">
        <f t="shared" si="250"/>
        <v/>
      </c>
      <c r="AD70" s="308" t="str">
        <f t="shared" si="251"/>
        <v/>
      </c>
      <c r="AE70" s="302">
        <f t="shared" si="227"/>
        <v>0</v>
      </c>
      <c r="AF70" s="307" t="str">
        <f t="shared" si="252"/>
        <v/>
      </c>
      <c r="AG70" s="308" t="str">
        <f t="shared" si="253"/>
        <v/>
      </c>
      <c r="AH70" s="302">
        <f t="shared" si="228"/>
        <v>0</v>
      </c>
      <c r="AI70" s="307" t="str">
        <f t="shared" si="254"/>
        <v/>
      </c>
      <c r="AJ70" s="308" t="str">
        <f t="shared" si="255"/>
        <v/>
      </c>
      <c r="AK70" s="302">
        <f t="shared" si="229"/>
        <v>0</v>
      </c>
      <c r="AL70" s="307">
        <f t="shared" ref="AL70:AM70" si="264">B70+E70+H70+K70+N70+Q70+T70+W70+Z70+AC70+AF70+AI70</f>
        <v>0</v>
      </c>
      <c r="AM70" s="308">
        <f t="shared" si="264"/>
        <v>0</v>
      </c>
      <c r="AN70" s="303">
        <f t="shared" si="231"/>
        <v>0</v>
      </c>
      <c r="AO70" s="121" t="str">
        <f t="shared" si="257"/>
        <v/>
      </c>
    </row>
    <row r="71" hidden="1" outlineLevel="1">
      <c r="A71" s="111"/>
      <c r="B71" s="307" t="str">
        <f t="shared" si="232"/>
        <v/>
      </c>
      <c r="C71" s="308" t="str">
        <f t="shared" si="233"/>
        <v/>
      </c>
      <c r="D71" s="302">
        <f t="shared" si="218"/>
        <v>0</v>
      </c>
      <c r="E71" s="307" t="str">
        <f t="shared" si="234"/>
        <v/>
      </c>
      <c r="F71" s="308" t="str">
        <f t="shared" si="235"/>
        <v/>
      </c>
      <c r="G71" s="302">
        <f t="shared" si="219"/>
        <v>0</v>
      </c>
      <c r="H71" s="307" t="str">
        <f t="shared" si="236"/>
        <v/>
      </c>
      <c r="I71" s="308" t="str">
        <f t="shared" si="237"/>
        <v/>
      </c>
      <c r="J71" s="302">
        <f t="shared" si="220"/>
        <v>0</v>
      </c>
      <c r="K71" s="307" t="str">
        <f t="shared" si="238"/>
        <v/>
      </c>
      <c r="L71" s="308" t="str">
        <f t="shared" si="239"/>
        <v/>
      </c>
      <c r="M71" s="302">
        <f t="shared" si="221"/>
        <v>0</v>
      </c>
      <c r="N71" s="307" t="str">
        <f t="shared" si="240"/>
        <v/>
      </c>
      <c r="O71" s="308" t="str">
        <f t="shared" si="241"/>
        <v/>
      </c>
      <c r="P71" s="302">
        <f t="shared" si="222"/>
        <v>0</v>
      </c>
      <c r="Q71" s="307" t="str">
        <f t="shared" si="242"/>
        <v/>
      </c>
      <c r="R71" s="308" t="str">
        <f t="shared" si="243"/>
        <v/>
      </c>
      <c r="S71" s="302">
        <f t="shared" si="223"/>
        <v>0</v>
      </c>
      <c r="T71" s="307" t="str">
        <f t="shared" si="244"/>
        <v/>
      </c>
      <c r="U71" s="308" t="str">
        <f t="shared" si="245"/>
        <v/>
      </c>
      <c r="V71" s="302">
        <f t="shared" si="224"/>
        <v>0</v>
      </c>
      <c r="W71" s="307" t="str">
        <f t="shared" si="246"/>
        <v/>
      </c>
      <c r="X71" s="308" t="str">
        <f t="shared" si="247"/>
        <v/>
      </c>
      <c r="Y71" s="302">
        <f t="shared" si="225"/>
        <v>0</v>
      </c>
      <c r="Z71" s="307" t="str">
        <f t="shared" si="248"/>
        <v/>
      </c>
      <c r="AA71" s="308" t="str">
        <f t="shared" si="249"/>
        <v/>
      </c>
      <c r="AB71" s="302">
        <f t="shared" si="226"/>
        <v>0</v>
      </c>
      <c r="AC71" s="307" t="str">
        <f t="shared" si="250"/>
        <v/>
      </c>
      <c r="AD71" s="308" t="str">
        <f t="shared" si="251"/>
        <v/>
      </c>
      <c r="AE71" s="302">
        <f t="shared" si="227"/>
        <v>0</v>
      </c>
      <c r="AF71" s="307" t="str">
        <f t="shared" si="252"/>
        <v/>
      </c>
      <c r="AG71" s="308" t="str">
        <f t="shared" si="253"/>
        <v/>
      </c>
      <c r="AH71" s="302">
        <f t="shared" si="228"/>
        <v>0</v>
      </c>
      <c r="AI71" s="307" t="str">
        <f t="shared" si="254"/>
        <v/>
      </c>
      <c r="AJ71" s="308" t="str">
        <f t="shared" si="255"/>
        <v/>
      </c>
      <c r="AK71" s="302">
        <f t="shared" si="229"/>
        <v>0</v>
      </c>
      <c r="AL71" s="307">
        <f t="shared" ref="AL71:AM71" si="265">B71+E71+H71+K71+N71+Q71+T71+W71+Z71+AC71+AF71+AI71</f>
        <v>0</v>
      </c>
      <c r="AM71" s="308">
        <f t="shared" si="265"/>
        <v>0</v>
      </c>
      <c r="AN71" s="303">
        <f t="shared" si="231"/>
        <v>0</v>
      </c>
      <c r="AO71" s="121" t="str">
        <f t="shared" si="257"/>
        <v/>
      </c>
    </row>
    <row r="72" hidden="1" outlineLevel="1">
      <c r="A72" s="111"/>
      <c r="B72" s="307" t="str">
        <f t="shared" si="232"/>
        <v/>
      </c>
      <c r="C72" s="308" t="str">
        <f t="shared" si="233"/>
        <v/>
      </c>
      <c r="D72" s="302">
        <f t="shared" si="218"/>
        <v>0</v>
      </c>
      <c r="E72" s="307" t="str">
        <f t="shared" si="234"/>
        <v/>
      </c>
      <c r="F72" s="308" t="str">
        <f t="shared" si="235"/>
        <v/>
      </c>
      <c r="G72" s="302">
        <f t="shared" si="219"/>
        <v>0</v>
      </c>
      <c r="H72" s="307" t="str">
        <f t="shared" si="236"/>
        <v/>
      </c>
      <c r="I72" s="308" t="str">
        <f t="shared" si="237"/>
        <v/>
      </c>
      <c r="J72" s="302">
        <f t="shared" si="220"/>
        <v>0</v>
      </c>
      <c r="K72" s="307" t="str">
        <f t="shared" si="238"/>
        <v/>
      </c>
      <c r="L72" s="308" t="str">
        <f t="shared" si="239"/>
        <v/>
      </c>
      <c r="M72" s="302">
        <f t="shared" si="221"/>
        <v>0</v>
      </c>
      <c r="N72" s="307" t="str">
        <f t="shared" si="240"/>
        <v/>
      </c>
      <c r="O72" s="308" t="str">
        <f t="shared" si="241"/>
        <v/>
      </c>
      <c r="P72" s="302">
        <f t="shared" si="222"/>
        <v>0</v>
      </c>
      <c r="Q72" s="307" t="str">
        <f t="shared" si="242"/>
        <v/>
      </c>
      <c r="R72" s="308" t="str">
        <f t="shared" si="243"/>
        <v/>
      </c>
      <c r="S72" s="302">
        <f t="shared" si="223"/>
        <v>0</v>
      </c>
      <c r="T72" s="307" t="str">
        <f t="shared" si="244"/>
        <v/>
      </c>
      <c r="U72" s="308" t="str">
        <f t="shared" si="245"/>
        <v/>
      </c>
      <c r="V72" s="302">
        <f t="shared" si="224"/>
        <v>0</v>
      </c>
      <c r="W72" s="307" t="str">
        <f t="shared" si="246"/>
        <v/>
      </c>
      <c r="X72" s="308" t="str">
        <f t="shared" si="247"/>
        <v/>
      </c>
      <c r="Y72" s="302">
        <f t="shared" si="225"/>
        <v>0</v>
      </c>
      <c r="Z72" s="307" t="str">
        <f t="shared" si="248"/>
        <v/>
      </c>
      <c r="AA72" s="308" t="str">
        <f t="shared" si="249"/>
        <v/>
      </c>
      <c r="AB72" s="302">
        <f t="shared" si="226"/>
        <v>0</v>
      </c>
      <c r="AC72" s="307" t="str">
        <f t="shared" si="250"/>
        <v/>
      </c>
      <c r="AD72" s="308" t="str">
        <f t="shared" si="251"/>
        <v/>
      </c>
      <c r="AE72" s="302">
        <f t="shared" si="227"/>
        <v>0</v>
      </c>
      <c r="AF72" s="307" t="str">
        <f t="shared" si="252"/>
        <v/>
      </c>
      <c r="AG72" s="308" t="str">
        <f t="shared" si="253"/>
        <v/>
      </c>
      <c r="AH72" s="302">
        <f t="shared" si="228"/>
        <v>0</v>
      </c>
      <c r="AI72" s="307" t="str">
        <f t="shared" si="254"/>
        <v/>
      </c>
      <c r="AJ72" s="308" t="str">
        <f t="shared" si="255"/>
        <v/>
      </c>
      <c r="AK72" s="302">
        <f t="shared" si="229"/>
        <v>0</v>
      </c>
      <c r="AL72" s="307">
        <f t="shared" ref="AL72:AM72" si="266">B72+E72+H72+K72+N72+Q72+T72+W72+Z72+AC72+AF72+AI72</f>
        <v>0</v>
      </c>
      <c r="AM72" s="308">
        <f t="shared" si="266"/>
        <v>0</v>
      </c>
      <c r="AN72" s="303">
        <f t="shared" si="231"/>
        <v>0</v>
      </c>
      <c r="AO72" s="121" t="str">
        <f t="shared" si="257"/>
        <v/>
      </c>
    </row>
    <row r="73" hidden="1" outlineLevel="1">
      <c r="A73" s="111"/>
      <c r="B73" s="307" t="str">
        <f t="shared" si="232"/>
        <v/>
      </c>
      <c r="C73" s="308" t="str">
        <f t="shared" si="233"/>
        <v/>
      </c>
      <c r="D73" s="302">
        <f t="shared" si="218"/>
        <v>0</v>
      </c>
      <c r="E73" s="307" t="str">
        <f t="shared" si="234"/>
        <v/>
      </c>
      <c r="F73" s="308" t="str">
        <f t="shared" si="235"/>
        <v/>
      </c>
      <c r="G73" s="302">
        <f t="shared" si="219"/>
        <v>0</v>
      </c>
      <c r="H73" s="307" t="str">
        <f t="shared" si="236"/>
        <v/>
      </c>
      <c r="I73" s="308" t="str">
        <f t="shared" si="237"/>
        <v/>
      </c>
      <c r="J73" s="302">
        <f t="shared" si="220"/>
        <v>0</v>
      </c>
      <c r="K73" s="307" t="str">
        <f t="shared" si="238"/>
        <v/>
      </c>
      <c r="L73" s="308" t="str">
        <f t="shared" si="239"/>
        <v/>
      </c>
      <c r="M73" s="302">
        <f t="shared" si="221"/>
        <v>0</v>
      </c>
      <c r="N73" s="307" t="str">
        <f t="shared" si="240"/>
        <v/>
      </c>
      <c r="O73" s="308" t="str">
        <f t="shared" si="241"/>
        <v/>
      </c>
      <c r="P73" s="302">
        <f t="shared" si="222"/>
        <v>0</v>
      </c>
      <c r="Q73" s="307" t="str">
        <f t="shared" si="242"/>
        <v/>
      </c>
      <c r="R73" s="308" t="str">
        <f t="shared" si="243"/>
        <v/>
      </c>
      <c r="S73" s="302">
        <f t="shared" si="223"/>
        <v>0</v>
      </c>
      <c r="T73" s="307" t="str">
        <f t="shared" si="244"/>
        <v/>
      </c>
      <c r="U73" s="308" t="str">
        <f t="shared" si="245"/>
        <v/>
      </c>
      <c r="V73" s="302">
        <f t="shared" si="224"/>
        <v>0</v>
      </c>
      <c r="W73" s="307" t="str">
        <f t="shared" si="246"/>
        <v/>
      </c>
      <c r="X73" s="308" t="str">
        <f t="shared" si="247"/>
        <v/>
      </c>
      <c r="Y73" s="302">
        <f t="shared" si="225"/>
        <v>0</v>
      </c>
      <c r="Z73" s="307" t="str">
        <f t="shared" si="248"/>
        <v/>
      </c>
      <c r="AA73" s="308" t="str">
        <f t="shared" si="249"/>
        <v/>
      </c>
      <c r="AB73" s="302">
        <f t="shared" si="226"/>
        <v>0</v>
      </c>
      <c r="AC73" s="307" t="str">
        <f t="shared" si="250"/>
        <v/>
      </c>
      <c r="AD73" s="308" t="str">
        <f t="shared" si="251"/>
        <v/>
      </c>
      <c r="AE73" s="302">
        <f t="shared" si="227"/>
        <v>0</v>
      </c>
      <c r="AF73" s="307" t="str">
        <f t="shared" si="252"/>
        <v/>
      </c>
      <c r="AG73" s="308" t="str">
        <f t="shared" si="253"/>
        <v/>
      </c>
      <c r="AH73" s="302">
        <f t="shared" si="228"/>
        <v>0</v>
      </c>
      <c r="AI73" s="307" t="str">
        <f t="shared" si="254"/>
        <v/>
      </c>
      <c r="AJ73" s="308" t="str">
        <f t="shared" si="255"/>
        <v/>
      </c>
      <c r="AK73" s="302">
        <f t="shared" si="229"/>
        <v>0</v>
      </c>
      <c r="AL73" s="307">
        <f t="shared" ref="AL73:AM73" si="267">B73+E73+H73+K73+N73+Q73+T73+W73+Z73+AC73+AF73+AI73</f>
        <v>0</v>
      </c>
      <c r="AM73" s="308">
        <f t="shared" si="267"/>
        <v>0</v>
      </c>
      <c r="AN73" s="303">
        <f t="shared" si="231"/>
        <v>0</v>
      </c>
      <c r="AO73" s="121" t="str">
        <f t="shared" si="257"/>
        <v/>
      </c>
    </row>
    <row r="74" hidden="1" outlineLevel="1">
      <c r="A74" s="111"/>
      <c r="B74" s="307" t="str">
        <f t="shared" si="232"/>
        <v/>
      </c>
      <c r="C74" s="308" t="str">
        <f t="shared" si="233"/>
        <v/>
      </c>
      <c r="D74" s="302">
        <f t="shared" si="218"/>
        <v>0</v>
      </c>
      <c r="E74" s="307" t="str">
        <f t="shared" si="234"/>
        <v/>
      </c>
      <c r="F74" s="308" t="str">
        <f t="shared" si="235"/>
        <v/>
      </c>
      <c r="G74" s="302">
        <f t="shared" si="219"/>
        <v>0</v>
      </c>
      <c r="H74" s="307" t="str">
        <f t="shared" si="236"/>
        <v/>
      </c>
      <c r="I74" s="308" t="str">
        <f t="shared" si="237"/>
        <v/>
      </c>
      <c r="J74" s="302">
        <f t="shared" si="220"/>
        <v>0</v>
      </c>
      <c r="K74" s="307" t="str">
        <f t="shared" si="238"/>
        <v/>
      </c>
      <c r="L74" s="308" t="str">
        <f t="shared" si="239"/>
        <v/>
      </c>
      <c r="M74" s="302">
        <f t="shared" si="221"/>
        <v>0</v>
      </c>
      <c r="N74" s="307" t="str">
        <f t="shared" si="240"/>
        <v/>
      </c>
      <c r="O74" s="308" t="str">
        <f t="shared" si="241"/>
        <v/>
      </c>
      <c r="P74" s="302">
        <f t="shared" si="222"/>
        <v>0</v>
      </c>
      <c r="Q74" s="307" t="str">
        <f t="shared" si="242"/>
        <v/>
      </c>
      <c r="R74" s="308" t="str">
        <f t="shared" si="243"/>
        <v/>
      </c>
      <c r="S74" s="302">
        <f t="shared" si="223"/>
        <v>0</v>
      </c>
      <c r="T74" s="307" t="str">
        <f t="shared" si="244"/>
        <v/>
      </c>
      <c r="U74" s="308" t="str">
        <f t="shared" si="245"/>
        <v/>
      </c>
      <c r="V74" s="302">
        <f t="shared" si="224"/>
        <v>0</v>
      </c>
      <c r="W74" s="307" t="str">
        <f t="shared" si="246"/>
        <v/>
      </c>
      <c r="X74" s="308" t="str">
        <f t="shared" si="247"/>
        <v/>
      </c>
      <c r="Y74" s="302">
        <f t="shared" si="225"/>
        <v>0</v>
      </c>
      <c r="Z74" s="307" t="str">
        <f t="shared" si="248"/>
        <v/>
      </c>
      <c r="AA74" s="308" t="str">
        <f t="shared" si="249"/>
        <v/>
      </c>
      <c r="AB74" s="302">
        <f t="shared" si="226"/>
        <v>0</v>
      </c>
      <c r="AC74" s="307" t="str">
        <f t="shared" si="250"/>
        <v/>
      </c>
      <c r="AD74" s="308" t="str">
        <f t="shared" si="251"/>
        <v/>
      </c>
      <c r="AE74" s="302">
        <f t="shared" si="227"/>
        <v>0</v>
      </c>
      <c r="AF74" s="307" t="str">
        <f t="shared" si="252"/>
        <v/>
      </c>
      <c r="AG74" s="308" t="str">
        <f t="shared" si="253"/>
        <v/>
      </c>
      <c r="AH74" s="302">
        <f t="shared" si="228"/>
        <v>0</v>
      </c>
      <c r="AI74" s="307" t="str">
        <f t="shared" si="254"/>
        <v/>
      </c>
      <c r="AJ74" s="308" t="str">
        <f t="shared" si="255"/>
        <v/>
      </c>
      <c r="AK74" s="302">
        <f t="shared" si="229"/>
        <v>0</v>
      </c>
      <c r="AL74" s="307">
        <f t="shared" ref="AL74:AM74" si="268">B74+E74+H74+K74+N74+Q74+T74+W74+Z74+AC74+AF74+AI74</f>
        <v>0</v>
      </c>
      <c r="AM74" s="308">
        <f t="shared" si="268"/>
        <v>0</v>
      </c>
      <c r="AN74" s="303">
        <f t="shared" si="231"/>
        <v>0</v>
      </c>
      <c r="AO74" s="121" t="str">
        <f t="shared" si="257"/>
        <v/>
      </c>
    </row>
    <row r="75" hidden="1" outlineLevel="1">
      <c r="A75" s="111"/>
      <c r="B75" s="307" t="str">
        <f t="shared" si="232"/>
        <v/>
      </c>
      <c r="C75" s="308" t="str">
        <f t="shared" si="233"/>
        <v/>
      </c>
      <c r="D75" s="302">
        <f t="shared" si="218"/>
        <v>0</v>
      </c>
      <c r="E75" s="307" t="str">
        <f t="shared" si="234"/>
        <v/>
      </c>
      <c r="F75" s="308" t="str">
        <f t="shared" si="235"/>
        <v/>
      </c>
      <c r="G75" s="302">
        <f t="shared" si="219"/>
        <v>0</v>
      </c>
      <c r="H75" s="307" t="str">
        <f t="shared" si="236"/>
        <v/>
      </c>
      <c r="I75" s="308" t="str">
        <f t="shared" si="237"/>
        <v/>
      </c>
      <c r="J75" s="302">
        <f t="shared" si="220"/>
        <v>0</v>
      </c>
      <c r="K75" s="307" t="str">
        <f t="shared" si="238"/>
        <v/>
      </c>
      <c r="L75" s="308" t="str">
        <f t="shared" si="239"/>
        <v/>
      </c>
      <c r="M75" s="302">
        <f t="shared" si="221"/>
        <v>0</v>
      </c>
      <c r="N75" s="307" t="str">
        <f t="shared" si="240"/>
        <v/>
      </c>
      <c r="O75" s="308" t="str">
        <f t="shared" si="241"/>
        <v/>
      </c>
      <c r="P75" s="302">
        <f t="shared" si="222"/>
        <v>0</v>
      </c>
      <c r="Q75" s="307" t="str">
        <f t="shared" si="242"/>
        <v/>
      </c>
      <c r="R75" s="308" t="str">
        <f t="shared" si="243"/>
        <v/>
      </c>
      <c r="S75" s="302">
        <f t="shared" si="223"/>
        <v>0</v>
      </c>
      <c r="T75" s="307" t="str">
        <f t="shared" si="244"/>
        <v/>
      </c>
      <c r="U75" s="308" t="str">
        <f t="shared" si="245"/>
        <v/>
      </c>
      <c r="V75" s="302">
        <f t="shared" si="224"/>
        <v>0</v>
      </c>
      <c r="W75" s="307" t="str">
        <f t="shared" si="246"/>
        <v/>
      </c>
      <c r="X75" s="308" t="str">
        <f t="shared" si="247"/>
        <v/>
      </c>
      <c r="Y75" s="302">
        <f t="shared" si="225"/>
        <v>0</v>
      </c>
      <c r="Z75" s="307" t="str">
        <f t="shared" si="248"/>
        <v/>
      </c>
      <c r="AA75" s="308" t="str">
        <f t="shared" si="249"/>
        <v/>
      </c>
      <c r="AB75" s="302">
        <f t="shared" si="226"/>
        <v>0</v>
      </c>
      <c r="AC75" s="307" t="str">
        <f t="shared" si="250"/>
        <v/>
      </c>
      <c r="AD75" s="308" t="str">
        <f t="shared" si="251"/>
        <v/>
      </c>
      <c r="AE75" s="302">
        <f t="shared" si="227"/>
        <v>0</v>
      </c>
      <c r="AF75" s="307" t="str">
        <f t="shared" si="252"/>
        <v/>
      </c>
      <c r="AG75" s="308" t="str">
        <f t="shared" si="253"/>
        <v/>
      </c>
      <c r="AH75" s="302">
        <f t="shared" si="228"/>
        <v>0</v>
      </c>
      <c r="AI75" s="307" t="str">
        <f t="shared" si="254"/>
        <v/>
      </c>
      <c r="AJ75" s="308" t="str">
        <f t="shared" si="255"/>
        <v/>
      </c>
      <c r="AK75" s="302">
        <f t="shared" si="229"/>
        <v>0</v>
      </c>
      <c r="AL75" s="307">
        <f t="shared" ref="AL75:AM75" si="269">B75+E75+H75+K75+N75+Q75+T75+W75+Z75+AC75+AF75+AI75</f>
        <v>0</v>
      </c>
      <c r="AM75" s="308">
        <f t="shared" si="269"/>
        <v>0</v>
      </c>
      <c r="AN75" s="303">
        <f t="shared" si="231"/>
        <v>0</v>
      </c>
      <c r="AO75" s="121" t="str">
        <f t="shared" si="257"/>
        <v/>
      </c>
    </row>
    <row r="76" hidden="1" outlineLevel="1">
      <c r="A76" s="111"/>
      <c r="B76" s="307" t="str">
        <f t="shared" si="232"/>
        <v/>
      </c>
      <c r="C76" s="308" t="str">
        <f t="shared" si="233"/>
        <v/>
      </c>
      <c r="D76" s="302">
        <f t="shared" si="218"/>
        <v>0</v>
      </c>
      <c r="E76" s="307" t="str">
        <f t="shared" si="234"/>
        <v/>
      </c>
      <c r="F76" s="308" t="str">
        <f t="shared" si="235"/>
        <v/>
      </c>
      <c r="G76" s="302">
        <f t="shared" si="219"/>
        <v>0</v>
      </c>
      <c r="H76" s="307" t="str">
        <f t="shared" si="236"/>
        <v/>
      </c>
      <c r="I76" s="308" t="str">
        <f t="shared" si="237"/>
        <v/>
      </c>
      <c r="J76" s="302">
        <f t="shared" si="220"/>
        <v>0</v>
      </c>
      <c r="K76" s="307" t="str">
        <f t="shared" si="238"/>
        <v/>
      </c>
      <c r="L76" s="308" t="str">
        <f t="shared" si="239"/>
        <v/>
      </c>
      <c r="M76" s="302">
        <f t="shared" si="221"/>
        <v>0</v>
      </c>
      <c r="N76" s="307" t="str">
        <f t="shared" si="240"/>
        <v/>
      </c>
      <c r="O76" s="308" t="str">
        <f t="shared" si="241"/>
        <v/>
      </c>
      <c r="P76" s="302">
        <f t="shared" si="222"/>
        <v>0</v>
      </c>
      <c r="Q76" s="307" t="str">
        <f t="shared" si="242"/>
        <v/>
      </c>
      <c r="R76" s="308" t="str">
        <f t="shared" si="243"/>
        <v/>
      </c>
      <c r="S76" s="302">
        <f t="shared" si="223"/>
        <v>0</v>
      </c>
      <c r="T76" s="307" t="str">
        <f t="shared" si="244"/>
        <v/>
      </c>
      <c r="U76" s="308" t="str">
        <f t="shared" si="245"/>
        <v/>
      </c>
      <c r="V76" s="302">
        <f t="shared" si="224"/>
        <v>0</v>
      </c>
      <c r="W76" s="307" t="str">
        <f t="shared" si="246"/>
        <v/>
      </c>
      <c r="X76" s="308" t="str">
        <f t="shared" si="247"/>
        <v/>
      </c>
      <c r="Y76" s="302">
        <f t="shared" si="225"/>
        <v>0</v>
      </c>
      <c r="Z76" s="307" t="str">
        <f t="shared" si="248"/>
        <v/>
      </c>
      <c r="AA76" s="308" t="str">
        <f t="shared" si="249"/>
        <v/>
      </c>
      <c r="AB76" s="302">
        <f t="shared" si="226"/>
        <v>0</v>
      </c>
      <c r="AC76" s="307" t="str">
        <f t="shared" si="250"/>
        <v/>
      </c>
      <c r="AD76" s="308" t="str">
        <f t="shared" si="251"/>
        <v/>
      </c>
      <c r="AE76" s="302">
        <f t="shared" si="227"/>
        <v>0</v>
      </c>
      <c r="AF76" s="307" t="str">
        <f t="shared" si="252"/>
        <v/>
      </c>
      <c r="AG76" s="308" t="str">
        <f t="shared" si="253"/>
        <v/>
      </c>
      <c r="AH76" s="302">
        <f t="shared" si="228"/>
        <v>0</v>
      </c>
      <c r="AI76" s="307" t="str">
        <f t="shared" si="254"/>
        <v/>
      </c>
      <c r="AJ76" s="308" t="str">
        <f t="shared" si="255"/>
        <v/>
      </c>
      <c r="AK76" s="302">
        <f t="shared" si="229"/>
        <v>0</v>
      </c>
      <c r="AL76" s="307">
        <f t="shared" ref="AL76:AM76" si="270">B76+E76+H76+K76+N76+Q76+T76+W76+Z76+AC76+AF76+AI76</f>
        <v>0</v>
      </c>
      <c r="AM76" s="308">
        <f t="shared" si="270"/>
        <v>0</v>
      </c>
      <c r="AN76" s="303">
        <f t="shared" si="231"/>
        <v>0</v>
      </c>
      <c r="AO76" s="121" t="str">
        <f t="shared" si="257"/>
        <v/>
      </c>
    </row>
    <row r="77" hidden="1" outlineLevel="1">
      <c r="A77" s="111"/>
      <c r="B77" s="307" t="str">
        <f t="shared" si="232"/>
        <v/>
      </c>
      <c r="C77" s="308" t="str">
        <f t="shared" si="233"/>
        <v/>
      </c>
      <c r="D77" s="302">
        <f t="shared" si="218"/>
        <v>0</v>
      </c>
      <c r="E77" s="307" t="str">
        <f t="shared" si="234"/>
        <v/>
      </c>
      <c r="F77" s="308" t="str">
        <f t="shared" si="235"/>
        <v/>
      </c>
      <c r="G77" s="302">
        <f t="shared" si="219"/>
        <v>0</v>
      </c>
      <c r="H77" s="307" t="str">
        <f t="shared" si="236"/>
        <v/>
      </c>
      <c r="I77" s="308" t="str">
        <f t="shared" si="237"/>
        <v/>
      </c>
      <c r="J77" s="302">
        <f t="shared" si="220"/>
        <v>0</v>
      </c>
      <c r="K77" s="307" t="str">
        <f t="shared" si="238"/>
        <v/>
      </c>
      <c r="L77" s="308" t="str">
        <f t="shared" si="239"/>
        <v/>
      </c>
      <c r="M77" s="302">
        <f t="shared" si="221"/>
        <v>0</v>
      </c>
      <c r="N77" s="307" t="str">
        <f t="shared" si="240"/>
        <v/>
      </c>
      <c r="O77" s="308" t="str">
        <f t="shared" si="241"/>
        <v/>
      </c>
      <c r="P77" s="302">
        <f t="shared" si="222"/>
        <v>0</v>
      </c>
      <c r="Q77" s="307" t="str">
        <f t="shared" si="242"/>
        <v/>
      </c>
      <c r="R77" s="308" t="str">
        <f t="shared" si="243"/>
        <v/>
      </c>
      <c r="S77" s="302">
        <f t="shared" si="223"/>
        <v>0</v>
      </c>
      <c r="T77" s="307" t="str">
        <f t="shared" si="244"/>
        <v/>
      </c>
      <c r="U77" s="308" t="str">
        <f t="shared" si="245"/>
        <v/>
      </c>
      <c r="V77" s="302">
        <f t="shared" si="224"/>
        <v>0</v>
      </c>
      <c r="W77" s="307" t="str">
        <f t="shared" si="246"/>
        <v/>
      </c>
      <c r="X77" s="308" t="str">
        <f t="shared" si="247"/>
        <v/>
      </c>
      <c r="Y77" s="302">
        <f t="shared" si="225"/>
        <v>0</v>
      </c>
      <c r="Z77" s="307" t="str">
        <f t="shared" si="248"/>
        <v/>
      </c>
      <c r="AA77" s="308" t="str">
        <f t="shared" si="249"/>
        <v/>
      </c>
      <c r="AB77" s="302">
        <f t="shared" si="226"/>
        <v>0</v>
      </c>
      <c r="AC77" s="307" t="str">
        <f t="shared" si="250"/>
        <v/>
      </c>
      <c r="AD77" s="308" t="str">
        <f t="shared" si="251"/>
        <v/>
      </c>
      <c r="AE77" s="302">
        <f t="shared" si="227"/>
        <v>0</v>
      </c>
      <c r="AF77" s="307" t="str">
        <f t="shared" si="252"/>
        <v/>
      </c>
      <c r="AG77" s="308" t="str">
        <f t="shared" si="253"/>
        <v/>
      </c>
      <c r="AH77" s="302">
        <f t="shared" si="228"/>
        <v>0</v>
      </c>
      <c r="AI77" s="307" t="str">
        <f t="shared" si="254"/>
        <v/>
      </c>
      <c r="AJ77" s="308" t="str">
        <f t="shared" si="255"/>
        <v/>
      </c>
      <c r="AK77" s="302">
        <f t="shared" si="229"/>
        <v>0</v>
      </c>
      <c r="AL77" s="307">
        <f t="shared" ref="AL77:AM77" si="271">B77+E77+H77+K77+N77+Q77+T77+W77+Z77+AC77+AF77+AI77</f>
        <v>0</v>
      </c>
      <c r="AM77" s="308">
        <f t="shared" si="271"/>
        <v>0</v>
      </c>
      <c r="AN77" s="303">
        <f t="shared" si="231"/>
        <v>0</v>
      </c>
      <c r="AO77" s="121" t="str">
        <f t="shared" si="257"/>
        <v/>
      </c>
    </row>
    <row r="78" hidden="1" outlineLevel="1">
      <c r="A78" s="111"/>
      <c r="B78" s="307" t="str">
        <f t="shared" si="232"/>
        <v/>
      </c>
      <c r="C78" s="308" t="str">
        <f t="shared" si="233"/>
        <v/>
      </c>
      <c r="D78" s="302">
        <f t="shared" si="218"/>
        <v>0</v>
      </c>
      <c r="E78" s="307" t="str">
        <f t="shared" si="234"/>
        <v/>
      </c>
      <c r="F78" s="308" t="str">
        <f t="shared" si="235"/>
        <v/>
      </c>
      <c r="G78" s="302">
        <f t="shared" si="219"/>
        <v>0</v>
      </c>
      <c r="H78" s="307" t="str">
        <f t="shared" si="236"/>
        <v/>
      </c>
      <c r="I78" s="308" t="str">
        <f t="shared" si="237"/>
        <v/>
      </c>
      <c r="J78" s="302">
        <f t="shared" si="220"/>
        <v>0</v>
      </c>
      <c r="K78" s="307" t="str">
        <f t="shared" si="238"/>
        <v/>
      </c>
      <c r="L78" s="308" t="str">
        <f t="shared" si="239"/>
        <v/>
      </c>
      <c r="M78" s="302">
        <f t="shared" si="221"/>
        <v>0</v>
      </c>
      <c r="N78" s="307" t="str">
        <f t="shared" si="240"/>
        <v/>
      </c>
      <c r="O78" s="308" t="str">
        <f t="shared" si="241"/>
        <v/>
      </c>
      <c r="P78" s="302">
        <f t="shared" si="222"/>
        <v>0</v>
      </c>
      <c r="Q78" s="307" t="str">
        <f t="shared" si="242"/>
        <v/>
      </c>
      <c r="R78" s="308" t="str">
        <f t="shared" si="243"/>
        <v/>
      </c>
      <c r="S78" s="302">
        <f t="shared" si="223"/>
        <v>0</v>
      </c>
      <c r="T78" s="307" t="str">
        <f t="shared" si="244"/>
        <v/>
      </c>
      <c r="U78" s="308" t="str">
        <f t="shared" si="245"/>
        <v/>
      </c>
      <c r="V78" s="302">
        <f t="shared" si="224"/>
        <v>0</v>
      </c>
      <c r="W78" s="307" t="str">
        <f t="shared" si="246"/>
        <v/>
      </c>
      <c r="X78" s="308" t="str">
        <f t="shared" si="247"/>
        <v/>
      </c>
      <c r="Y78" s="302">
        <f t="shared" si="225"/>
        <v>0</v>
      </c>
      <c r="Z78" s="307" t="str">
        <f t="shared" si="248"/>
        <v/>
      </c>
      <c r="AA78" s="308" t="str">
        <f t="shared" si="249"/>
        <v/>
      </c>
      <c r="AB78" s="302">
        <f t="shared" si="226"/>
        <v>0</v>
      </c>
      <c r="AC78" s="307" t="str">
        <f t="shared" si="250"/>
        <v/>
      </c>
      <c r="AD78" s="308" t="str">
        <f t="shared" si="251"/>
        <v/>
      </c>
      <c r="AE78" s="302">
        <f t="shared" si="227"/>
        <v>0</v>
      </c>
      <c r="AF78" s="307" t="str">
        <f t="shared" si="252"/>
        <v/>
      </c>
      <c r="AG78" s="308" t="str">
        <f t="shared" si="253"/>
        <v/>
      </c>
      <c r="AH78" s="302">
        <f t="shared" si="228"/>
        <v>0</v>
      </c>
      <c r="AI78" s="307" t="str">
        <f t="shared" si="254"/>
        <v/>
      </c>
      <c r="AJ78" s="308" t="str">
        <f t="shared" si="255"/>
        <v/>
      </c>
      <c r="AK78" s="302">
        <f t="shared" si="229"/>
        <v>0</v>
      </c>
      <c r="AL78" s="307">
        <f t="shared" ref="AL78:AM78" si="272">B78+E78+H78+K78+N78+Q78+T78+W78+Z78+AC78+AF78+AI78</f>
        <v>0</v>
      </c>
      <c r="AM78" s="308">
        <f t="shared" si="272"/>
        <v>0</v>
      </c>
      <c r="AN78" s="303">
        <f t="shared" si="231"/>
        <v>0</v>
      </c>
      <c r="AO78" s="121" t="str">
        <f t="shared" si="257"/>
        <v/>
      </c>
    </row>
    <row r="79" hidden="1" outlineLevel="1">
      <c r="A79" s="111"/>
      <c r="B79" s="307" t="str">
        <f t="shared" si="232"/>
        <v/>
      </c>
      <c r="C79" s="308" t="str">
        <f t="shared" si="233"/>
        <v/>
      </c>
      <c r="D79" s="302">
        <f t="shared" si="218"/>
        <v>0</v>
      </c>
      <c r="E79" s="307" t="str">
        <f t="shared" si="234"/>
        <v/>
      </c>
      <c r="F79" s="308" t="str">
        <f t="shared" si="235"/>
        <v/>
      </c>
      <c r="G79" s="302">
        <f t="shared" si="219"/>
        <v>0</v>
      </c>
      <c r="H79" s="307" t="str">
        <f t="shared" si="236"/>
        <v/>
      </c>
      <c r="I79" s="308" t="str">
        <f t="shared" si="237"/>
        <v/>
      </c>
      <c r="J79" s="302">
        <f t="shared" si="220"/>
        <v>0</v>
      </c>
      <c r="K79" s="307" t="str">
        <f t="shared" si="238"/>
        <v/>
      </c>
      <c r="L79" s="308" t="str">
        <f t="shared" si="239"/>
        <v/>
      </c>
      <c r="M79" s="302">
        <f t="shared" si="221"/>
        <v>0</v>
      </c>
      <c r="N79" s="307" t="str">
        <f t="shared" si="240"/>
        <v/>
      </c>
      <c r="O79" s="308" t="str">
        <f t="shared" si="241"/>
        <v/>
      </c>
      <c r="P79" s="302">
        <f t="shared" si="222"/>
        <v>0</v>
      </c>
      <c r="Q79" s="307" t="str">
        <f t="shared" si="242"/>
        <v/>
      </c>
      <c r="R79" s="308" t="str">
        <f t="shared" si="243"/>
        <v/>
      </c>
      <c r="S79" s="302">
        <f t="shared" si="223"/>
        <v>0</v>
      </c>
      <c r="T79" s="307" t="str">
        <f t="shared" si="244"/>
        <v/>
      </c>
      <c r="U79" s="308" t="str">
        <f t="shared" si="245"/>
        <v/>
      </c>
      <c r="V79" s="302">
        <f t="shared" si="224"/>
        <v>0</v>
      </c>
      <c r="W79" s="307" t="str">
        <f t="shared" si="246"/>
        <v/>
      </c>
      <c r="X79" s="308" t="str">
        <f t="shared" si="247"/>
        <v/>
      </c>
      <c r="Y79" s="302">
        <f t="shared" si="225"/>
        <v>0</v>
      </c>
      <c r="Z79" s="307" t="str">
        <f t="shared" si="248"/>
        <v/>
      </c>
      <c r="AA79" s="308" t="str">
        <f t="shared" si="249"/>
        <v/>
      </c>
      <c r="AB79" s="302">
        <f t="shared" si="226"/>
        <v>0</v>
      </c>
      <c r="AC79" s="307" t="str">
        <f t="shared" si="250"/>
        <v/>
      </c>
      <c r="AD79" s="308" t="str">
        <f t="shared" si="251"/>
        <v/>
      </c>
      <c r="AE79" s="302">
        <f t="shared" si="227"/>
        <v>0</v>
      </c>
      <c r="AF79" s="307" t="str">
        <f t="shared" si="252"/>
        <v/>
      </c>
      <c r="AG79" s="308" t="str">
        <f t="shared" si="253"/>
        <v/>
      </c>
      <c r="AH79" s="302">
        <f t="shared" si="228"/>
        <v>0</v>
      </c>
      <c r="AI79" s="307" t="str">
        <f t="shared" si="254"/>
        <v/>
      </c>
      <c r="AJ79" s="308" t="str">
        <f t="shared" si="255"/>
        <v/>
      </c>
      <c r="AK79" s="302">
        <f t="shared" si="229"/>
        <v>0</v>
      </c>
      <c r="AL79" s="307">
        <f t="shared" ref="AL79:AM79" si="273">B79+E79+H79+K79+N79+Q79+T79+W79+Z79+AC79+AF79+AI79</f>
        <v>0</v>
      </c>
      <c r="AM79" s="308">
        <f t="shared" si="273"/>
        <v>0</v>
      </c>
      <c r="AN79" s="303">
        <f t="shared" si="231"/>
        <v>0</v>
      </c>
      <c r="AO79" s="121" t="str">
        <f t="shared" si="257"/>
        <v/>
      </c>
    </row>
    <row r="80" hidden="1" outlineLevel="1">
      <c r="A80" s="111"/>
      <c r="B80" s="307" t="str">
        <f t="shared" si="232"/>
        <v/>
      </c>
      <c r="C80" s="308" t="str">
        <f t="shared" si="233"/>
        <v/>
      </c>
      <c r="D80" s="302">
        <f t="shared" si="218"/>
        <v>0</v>
      </c>
      <c r="E80" s="307" t="str">
        <f t="shared" si="234"/>
        <v/>
      </c>
      <c r="F80" s="308" t="str">
        <f t="shared" si="235"/>
        <v/>
      </c>
      <c r="G80" s="302">
        <f t="shared" si="219"/>
        <v>0</v>
      </c>
      <c r="H80" s="307" t="str">
        <f t="shared" si="236"/>
        <v/>
      </c>
      <c r="I80" s="308" t="str">
        <f t="shared" si="237"/>
        <v/>
      </c>
      <c r="J80" s="302">
        <f t="shared" si="220"/>
        <v>0</v>
      </c>
      <c r="K80" s="307" t="str">
        <f t="shared" si="238"/>
        <v/>
      </c>
      <c r="L80" s="308" t="str">
        <f t="shared" si="239"/>
        <v/>
      </c>
      <c r="M80" s="302">
        <f t="shared" si="221"/>
        <v>0</v>
      </c>
      <c r="N80" s="307" t="str">
        <f t="shared" si="240"/>
        <v/>
      </c>
      <c r="O80" s="308" t="str">
        <f t="shared" si="241"/>
        <v/>
      </c>
      <c r="P80" s="302">
        <f t="shared" si="222"/>
        <v>0</v>
      </c>
      <c r="Q80" s="307" t="str">
        <f t="shared" si="242"/>
        <v/>
      </c>
      <c r="R80" s="308" t="str">
        <f t="shared" si="243"/>
        <v/>
      </c>
      <c r="S80" s="302">
        <f t="shared" si="223"/>
        <v>0</v>
      </c>
      <c r="T80" s="307" t="str">
        <f t="shared" si="244"/>
        <v/>
      </c>
      <c r="U80" s="308" t="str">
        <f t="shared" si="245"/>
        <v/>
      </c>
      <c r="V80" s="302">
        <f t="shared" si="224"/>
        <v>0</v>
      </c>
      <c r="W80" s="307" t="str">
        <f t="shared" si="246"/>
        <v/>
      </c>
      <c r="X80" s="308" t="str">
        <f t="shared" si="247"/>
        <v/>
      </c>
      <c r="Y80" s="302">
        <f t="shared" si="225"/>
        <v>0</v>
      </c>
      <c r="Z80" s="307" t="str">
        <f t="shared" si="248"/>
        <v/>
      </c>
      <c r="AA80" s="308" t="str">
        <f t="shared" si="249"/>
        <v/>
      </c>
      <c r="AB80" s="302">
        <f t="shared" si="226"/>
        <v>0</v>
      </c>
      <c r="AC80" s="307" t="str">
        <f t="shared" si="250"/>
        <v/>
      </c>
      <c r="AD80" s="308" t="str">
        <f t="shared" si="251"/>
        <v/>
      </c>
      <c r="AE80" s="302">
        <f t="shared" si="227"/>
        <v>0</v>
      </c>
      <c r="AF80" s="307" t="str">
        <f t="shared" si="252"/>
        <v/>
      </c>
      <c r="AG80" s="308" t="str">
        <f t="shared" si="253"/>
        <v/>
      </c>
      <c r="AH80" s="302">
        <f t="shared" si="228"/>
        <v>0</v>
      </c>
      <c r="AI80" s="307" t="str">
        <f t="shared" si="254"/>
        <v/>
      </c>
      <c r="AJ80" s="308" t="str">
        <f t="shared" si="255"/>
        <v/>
      </c>
      <c r="AK80" s="302">
        <f t="shared" si="229"/>
        <v>0</v>
      </c>
      <c r="AL80" s="307">
        <f t="shared" ref="AL80:AM80" si="274">B80+E80+H80+K80+N80+Q80+T80+W80+Z80+AC80+AF80+AI80</f>
        <v>0</v>
      </c>
      <c r="AM80" s="308">
        <f t="shared" si="274"/>
        <v>0</v>
      </c>
      <c r="AN80" s="303">
        <f t="shared" si="231"/>
        <v>0</v>
      </c>
      <c r="AO80" s="121" t="str">
        <f t="shared" si="257"/>
        <v/>
      </c>
    </row>
    <row r="81" hidden="1" outlineLevel="1">
      <c r="A81" s="111"/>
      <c r="B81" s="307" t="str">
        <f t="shared" si="232"/>
        <v/>
      </c>
      <c r="C81" s="308" t="str">
        <f t="shared" si="233"/>
        <v/>
      </c>
      <c r="D81" s="302">
        <f t="shared" si="218"/>
        <v>0</v>
      </c>
      <c r="E81" s="307" t="str">
        <f t="shared" si="234"/>
        <v/>
      </c>
      <c r="F81" s="308" t="str">
        <f t="shared" si="235"/>
        <v/>
      </c>
      <c r="G81" s="302">
        <f t="shared" si="219"/>
        <v>0</v>
      </c>
      <c r="H81" s="307" t="str">
        <f t="shared" si="236"/>
        <v/>
      </c>
      <c r="I81" s="308" t="str">
        <f t="shared" si="237"/>
        <v/>
      </c>
      <c r="J81" s="302">
        <f t="shared" si="220"/>
        <v>0</v>
      </c>
      <c r="K81" s="307" t="str">
        <f t="shared" si="238"/>
        <v/>
      </c>
      <c r="L81" s="308" t="str">
        <f t="shared" si="239"/>
        <v/>
      </c>
      <c r="M81" s="302">
        <f t="shared" si="221"/>
        <v>0</v>
      </c>
      <c r="N81" s="307" t="str">
        <f t="shared" si="240"/>
        <v/>
      </c>
      <c r="O81" s="308" t="str">
        <f t="shared" si="241"/>
        <v/>
      </c>
      <c r="P81" s="302">
        <f t="shared" si="222"/>
        <v>0</v>
      </c>
      <c r="Q81" s="307" t="str">
        <f t="shared" si="242"/>
        <v/>
      </c>
      <c r="R81" s="308" t="str">
        <f t="shared" si="243"/>
        <v/>
      </c>
      <c r="S81" s="302">
        <f t="shared" si="223"/>
        <v>0</v>
      </c>
      <c r="T81" s="307" t="str">
        <f t="shared" si="244"/>
        <v/>
      </c>
      <c r="U81" s="308" t="str">
        <f t="shared" si="245"/>
        <v/>
      </c>
      <c r="V81" s="302">
        <f t="shared" si="224"/>
        <v>0</v>
      </c>
      <c r="W81" s="307" t="str">
        <f t="shared" si="246"/>
        <v/>
      </c>
      <c r="X81" s="308" t="str">
        <f t="shared" si="247"/>
        <v/>
      </c>
      <c r="Y81" s="302">
        <f t="shared" si="225"/>
        <v>0</v>
      </c>
      <c r="Z81" s="307" t="str">
        <f t="shared" si="248"/>
        <v/>
      </c>
      <c r="AA81" s="308" t="str">
        <f t="shared" si="249"/>
        <v/>
      </c>
      <c r="AB81" s="302">
        <f t="shared" si="226"/>
        <v>0</v>
      </c>
      <c r="AC81" s="307" t="str">
        <f t="shared" si="250"/>
        <v/>
      </c>
      <c r="AD81" s="308" t="str">
        <f t="shared" si="251"/>
        <v/>
      </c>
      <c r="AE81" s="302">
        <f t="shared" si="227"/>
        <v>0</v>
      </c>
      <c r="AF81" s="307" t="str">
        <f t="shared" si="252"/>
        <v/>
      </c>
      <c r="AG81" s="308" t="str">
        <f t="shared" si="253"/>
        <v/>
      </c>
      <c r="AH81" s="302">
        <f t="shared" si="228"/>
        <v>0</v>
      </c>
      <c r="AI81" s="307" t="str">
        <f t="shared" si="254"/>
        <v/>
      </c>
      <c r="AJ81" s="308" t="str">
        <f t="shared" si="255"/>
        <v/>
      </c>
      <c r="AK81" s="302">
        <f t="shared" si="229"/>
        <v>0</v>
      </c>
      <c r="AL81" s="307">
        <f t="shared" ref="AL81:AM81" si="275">B81+E81+H81+K81+N81+Q81+T81+W81+Z81+AC81+AF81+AI81</f>
        <v>0</v>
      </c>
      <c r="AM81" s="308">
        <f t="shared" si="275"/>
        <v>0</v>
      </c>
      <c r="AN81" s="303">
        <f t="shared" si="231"/>
        <v>0</v>
      </c>
      <c r="AO81" s="121" t="str">
        <f t="shared" si="257"/>
        <v/>
      </c>
    </row>
    <row r="82" hidden="1" outlineLevel="1">
      <c r="A82" s="111"/>
      <c r="B82" s="307" t="str">
        <f t="shared" si="232"/>
        <v/>
      </c>
      <c r="C82" s="308" t="str">
        <f t="shared" si="233"/>
        <v/>
      </c>
      <c r="D82" s="302">
        <f t="shared" si="218"/>
        <v>0</v>
      </c>
      <c r="E82" s="307" t="str">
        <f t="shared" si="234"/>
        <v/>
      </c>
      <c r="F82" s="308" t="str">
        <f t="shared" si="235"/>
        <v/>
      </c>
      <c r="G82" s="302">
        <f t="shared" si="219"/>
        <v>0</v>
      </c>
      <c r="H82" s="307" t="str">
        <f t="shared" si="236"/>
        <v/>
      </c>
      <c r="I82" s="308" t="str">
        <f t="shared" si="237"/>
        <v/>
      </c>
      <c r="J82" s="302">
        <f t="shared" si="220"/>
        <v>0</v>
      </c>
      <c r="K82" s="307" t="str">
        <f t="shared" si="238"/>
        <v/>
      </c>
      <c r="L82" s="308" t="str">
        <f t="shared" si="239"/>
        <v/>
      </c>
      <c r="M82" s="302">
        <f t="shared" si="221"/>
        <v>0</v>
      </c>
      <c r="N82" s="307" t="str">
        <f t="shared" si="240"/>
        <v/>
      </c>
      <c r="O82" s="308" t="str">
        <f t="shared" si="241"/>
        <v/>
      </c>
      <c r="P82" s="302">
        <f t="shared" si="222"/>
        <v>0</v>
      </c>
      <c r="Q82" s="307" t="str">
        <f t="shared" si="242"/>
        <v/>
      </c>
      <c r="R82" s="308" t="str">
        <f t="shared" si="243"/>
        <v/>
      </c>
      <c r="S82" s="302">
        <f t="shared" si="223"/>
        <v>0</v>
      </c>
      <c r="T82" s="307" t="str">
        <f t="shared" si="244"/>
        <v/>
      </c>
      <c r="U82" s="308" t="str">
        <f t="shared" si="245"/>
        <v/>
      </c>
      <c r="V82" s="302">
        <f t="shared" si="224"/>
        <v>0</v>
      </c>
      <c r="W82" s="307" t="str">
        <f t="shared" si="246"/>
        <v/>
      </c>
      <c r="X82" s="308" t="str">
        <f t="shared" si="247"/>
        <v/>
      </c>
      <c r="Y82" s="302">
        <f t="shared" si="225"/>
        <v>0</v>
      </c>
      <c r="Z82" s="307" t="str">
        <f t="shared" si="248"/>
        <v/>
      </c>
      <c r="AA82" s="308" t="str">
        <f t="shared" si="249"/>
        <v/>
      </c>
      <c r="AB82" s="302">
        <f t="shared" si="226"/>
        <v>0</v>
      </c>
      <c r="AC82" s="307" t="str">
        <f t="shared" si="250"/>
        <v/>
      </c>
      <c r="AD82" s="308" t="str">
        <f t="shared" si="251"/>
        <v/>
      </c>
      <c r="AE82" s="302">
        <f t="shared" si="227"/>
        <v>0</v>
      </c>
      <c r="AF82" s="307" t="str">
        <f t="shared" si="252"/>
        <v/>
      </c>
      <c r="AG82" s="308" t="str">
        <f t="shared" si="253"/>
        <v/>
      </c>
      <c r="AH82" s="302">
        <f t="shared" si="228"/>
        <v>0</v>
      </c>
      <c r="AI82" s="307" t="str">
        <f t="shared" si="254"/>
        <v/>
      </c>
      <c r="AJ82" s="308" t="str">
        <f t="shared" si="255"/>
        <v/>
      </c>
      <c r="AK82" s="302">
        <f t="shared" si="229"/>
        <v>0</v>
      </c>
      <c r="AL82" s="307">
        <f t="shared" ref="AL82:AM82" si="276">B82+E82+H82+K82+N82+Q82+T82+W82+Z82+AC82+AF82+AI82</f>
        <v>0</v>
      </c>
      <c r="AM82" s="308">
        <f t="shared" si="276"/>
        <v>0</v>
      </c>
      <c r="AN82" s="303">
        <f t="shared" si="231"/>
        <v>0</v>
      </c>
      <c r="AO82" s="121" t="str">
        <f t="shared" si="257"/>
        <v/>
      </c>
    </row>
    <row r="83" hidden="1" outlineLevel="1">
      <c r="A83" s="111"/>
      <c r="B83" s="307" t="str">
        <f t="shared" si="232"/>
        <v/>
      </c>
      <c r="C83" s="308" t="str">
        <f t="shared" si="233"/>
        <v/>
      </c>
      <c r="D83" s="302">
        <f t="shared" si="218"/>
        <v>0</v>
      </c>
      <c r="E83" s="307" t="str">
        <f t="shared" si="234"/>
        <v/>
      </c>
      <c r="F83" s="308" t="str">
        <f t="shared" si="235"/>
        <v/>
      </c>
      <c r="G83" s="302">
        <f t="shared" si="219"/>
        <v>0</v>
      </c>
      <c r="H83" s="307" t="str">
        <f t="shared" si="236"/>
        <v/>
      </c>
      <c r="I83" s="308" t="str">
        <f t="shared" si="237"/>
        <v/>
      </c>
      <c r="J83" s="302">
        <f t="shared" si="220"/>
        <v>0</v>
      </c>
      <c r="K83" s="307" t="str">
        <f t="shared" si="238"/>
        <v/>
      </c>
      <c r="L83" s="308" t="str">
        <f t="shared" si="239"/>
        <v/>
      </c>
      <c r="M83" s="302">
        <f t="shared" si="221"/>
        <v>0</v>
      </c>
      <c r="N83" s="307" t="str">
        <f t="shared" si="240"/>
        <v/>
      </c>
      <c r="O83" s="308" t="str">
        <f t="shared" si="241"/>
        <v/>
      </c>
      <c r="P83" s="302">
        <f t="shared" si="222"/>
        <v>0</v>
      </c>
      <c r="Q83" s="307" t="str">
        <f t="shared" si="242"/>
        <v/>
      </c>
      <c r="R83" s="308" t="str">
        <f t="shared" si="243"/>
        <v/>
      </c>
      <c r="S83" s="302">
        <f t="shared" si="223"/>
        <v>0</v>
      </c>
      <c r="T83" s="307" t="str">
        <f t="shared" si="244"/>
        <v/>
      </c>
      <c r="U83" s="308" t="str">
        <f t="shared" si="245"/>
        <v/>
      </c>
      <c r="V83" s="302">
        <f t="shared" si="224"/>
        <v>0</v>
      </c>
      <c r="W83" s="307" t="str">
        <f t="shared" si="246"/>
        <v/>
      </c>
      <c r="X83" s="308" t="str">
        <f t="shared" si="247"/>
        <v/>
      </c>
      <c r="Y83" s="302">
        <f t="shared" si="225"/>
        <v>0</v>
      </c>
      <c r="Z83" s="307" t="str">
        <f t="shared" si="248"/>
        <v/>
      </c>
      <c r="AA83" s="308" t="str">
        <f t="shared" si="249"/>
        <v/>
      </c>
      <c r="AB83" s="302">
        <f t="shared" si="226"/>
        <v>0</v>
      </c>
      <c r="AC83" s="307" t="str">
        <f t="shared" si="250"/>
        <v/>
      </c>
      <c r="AD83" s="308" t="str">
        <f t="shared" si="251"/>
        <v/>
      </c>
      <c r="AE83" s="302">
        <f t="shared" si="227"/>
        <v>0</v>
      </c>
      <c r="AF83" s="307" t="str">
        <f t="shared" si="252"/>
        <v/>
      </c>
      <c r="AG83" s="308" t="str">
        <f t="shared" si="253"/>
        <v/>
      </c>
      <c r="AH83" s="302">
        <f t="shared" si="228"/>
        <v>0</v>
      </c>
      <c r="AI83" s="307" t="str">
        <f t="shared" si="254"/>
        <v/>
      </c>
      <c r="AJ83" s="308" t="str">
        <f t="shared" si="255"/>
        <v/>
      </c>
      <c r="AK83" s="302">
        <f t="shared" si="229"/>
        <v>0</v>
      </c>
      <c r="AL83" s="307">
        <f t="shared" ref="AL83:AM83" si="277">B83+E83+H83+K83+N83+Q83+T83+W83+Z83+AC83+AF83+AI83</f>
        <v>0</v>
      </c>
      <c r="AM83" s="308">
        <f t="shared" si="277"/>
        <v>0</v>
      </c>
      <c r="AN83" s="303">
        <f t="shared" si="231"/>
        <v>0</v>
      </c>
      <c r="AO83" s="121" t="str">
        <f t="shared" si="257"/>
        <v/>
      </c>
    </row>
    <row r="84" hidden="1" outlineLevel="1">
      <c r="A84" s="111"/>
      <c r="B84" s="307" t="str">
        <f t="shared" si="232"/>
        <v/>
      </c>
      <c r="C84" s="308" t="str">
        <f t="shared" si="233"/>
        <v/>
      </c>
      <c r="D84" s="302">
        <f t="shared" si="218"/>
        <v>0</v>
      </c>
      <c r="E84" s="307" t="str">
        <f t="shared" si="234"/>
        <v/>
      </c>
      <c r="F84" s="308" t="str">
        <f t="shared" si="235"/>
        <v/>
      </c>
      <c r="G84" s="302">
        <f t="shared" si="219"/>
        <v>0</v>
      </c>
      <c r="H84" s="307" t="str">
        <f t="shared" si="236"/>
        <v/>
      </c>
      <c r="I84" s="308" t="str">
        <f t="shared" si="237"/>
        <v/>
      </c>
      <c r="J84" s="302">
        <f t="shared" si="220"/>
        <v>0</v>
      </c>
      <c r="K84" s="307" t="str">
        <f t="shared" si="238"/>
        <v/>
      </c>
      <c r="L84" s="308" t="str">
        <f t="shared" si="239"/>
        <v/>
      </c>
      <c r="M84" s="302">
        <f t="shared" si="221"/>
        <v>0</v>
      </c>
      <c r="N84" s="307" t="str">
        <f t="shared" si="240"/>
        <v/>
      </c>
      <c r="O84" s="308" t="str">
        <f t="shared" si="241"/>
        <v/>
      </c>
      <c r="P84" s="302">
        <f t="shared" si="222"/>
        <v>0</v>
      </c>
      <c r="Q84" s="307" t="str">
        <f t="shared" si="242"/>
        <v/>
      </c>
      <c r="R84" s="308" t="str">
        <f t="shared" si="243"/>
        <v/>
      </c>
      <c r="S84" s="302">
        <f t="shared" si="223"/>
        <v>0</v>
      </c>
      <c r="T84" s="307" t="str">
        <f t="shared" si="244"/>
        <v/>
      </c>
      <c r="U84" s="308" t="str">
        <f t="shared" si="245"/>
        <v/>
      </c>
      <c r="V84" s="302">
        <f t="shared" si="224"/>
        <v>0</v>
      </c>
      <c r="W84" s="307" t="str">
        <f t="shared" si="246"/>
        <v/>
      </c>
      <c r="X84" s="308" t="str">
        <f t="shared" si="247"/>
        <v/>
      </c>
      <c r="Y84" s="302">
        <f t="shared" si="225"/>
        <v>0</v>
      </c>
      <c r="Z84" s="307" t="str">
        <f t="shared" si="248"/>
        <v/>
      </c>
      <c r="AA84" s="308" t="str">
        <f t="shared" si="249"/>
        <v/>
      </c>
      <c r="AB84" s="302">
        <f t="shared" si="226"/>
        <v>0</v>
      </c>
      <c r="AC84" s="307" t="str">
        <f t="shared" si="250"/>
        <v/>
      </c>
      <c r="AD84" s="308" t="str">
        <f t="shared" si="251"/>
        <v/>
      </c>
      <c r="AE84" s="302">
        <f t="shared" si="227"/>
        <v>0</v>
      </c>
      <c r="AF84" s="307" t="str">
        <f t="shared" si="252"/>
        <v/>
      </c>
      <c r="AG84" s="308" t="str">
        <f t="shared" si="253"/>
        <v/>
      </c>
      <c r="AH84" s="302">
        <f t="shared" si="228"/>
        <v>0</v>
      </c>
      <c r="AI84" s="307" t="str">
        <f t="shared" si="254"/>
        <v/>
      </c>
      <c r="AJ84" s="308" t="str">
        <f t="shared" si="255"/>
        <v/>
      </c>
      <c r="AK84" s="302">
        <f t="shared" si="229"/>
        <v>0</v>
      </c>
      <c r="AL84" s="307">
        <f t="shared" ref="AL84:AM84" si="278">B84+E84+H84+K84+N84+Q84+T84+W84+Z84+AC84+AF84+AI84</f>
        <v>0</v>
      </c>
      <c r="AM84" s="308">
        <f t="shared" si="278"/>
        <v>0</v>
      </c>
      <c r="AN84" s="303">
        <f t="shared" si="231"/>
        <v>0</v>
      </c>
      <c r="AO84" s="121" t="str">
        <f t="shared" si="257"/>
        <v/>
      </c>
    </row>
    <row r="85" hidden="1" outlineLevel="1">
      <c r="A85" s="111"/>
      <c r="B85" s="307" t="str">
        <f t="shared" si="232"/>
        <v/>
      </c>
      <c r="C85" s="308" t="str">
        <f t="shared" si="233"/>
        <v/>
      </c>
      <c r="D85" s="302">
        <f t="shared" si="218"/>
        <v>0</v>
      </c>
      <c r="E85" s="307" t="str">
        <f t="shared" si="234"/>
        <v/>
      </c>
      <c r="F85" s="308" t="str">
        <f t="shared" si="235"/>
        <v/>
      </c>
      <c r="G85" s="302">
        <f t="shared" si="219"/>
        <v>0</v>
      </c>
      <c r="H85" s="307" t="str">
        <f t="shared" si="236"/>
        <v/>
      </c>
      <c r="I85" s="308" t="str">
        <f t="shared" si="237"/>
        <v/>
      </c>
      <c r="J85" s="302">
        <f t="shared" si="220"/>
        <v>0</v>
      </c>
      <c r="K85" s="307" t="str">
        <f t="shared" si="238"/>
        <v/>
      </c>
      <c r="L85" s="308" t="str">
        <f t="shared" si="239"/>
        <v/>
      </c>
      <c r="M85" s="302">
        <f t="shared" si="221"/>
        <v>0</v>
      </c>
      <c r="N85" s="307" t="str">
        <f t="shared" si="240"/>
        <v/>
      </c>
      <c r="O85" s="308" t="str">
        <f t="shared" si="241"/>
        <v/>
      </c>
      <c r="P85" s="302">
        <f t="shared" si="222"/>
        <v>0</v>
      </c>
      <c r="Q85" s="307" t="str">
        <f t="shared" si="242"/>
        <v/>
      </c>
      <c r="R85" s="308" t="str">
        <f t="shared" si="243"/>
        <v/>
      </c>
      <c r="S85" s="302">
        <f t="shared" si="223"/>
        <v>0</v>
      </c>
      <c r="T85" s="307" t="str">
        <f t="shared" si="244"/>
        <v/>
      </c>
      <c r="U85" s="308" t="str">
        <f t="shared" si="245"/>
        <v/>
      </c>
      <c r="V85" s="302">
        <f t="shared" si="224"/>
        <v>0</v>
      </c>
      <c r="W85" s="307" t="str">
        <f t="shared" si="246"/>
        <v/>
      </c>
      <c r="X85" s="308" t="str">
        <f t="shared" si="247"/>
        <v/>
      </c>
      <c r="Y85" s="302">
        <f t="shared" si="225"/>
        <v>0</v>
      </c>
      <c r="Z85" s="307" t="str">
        <f t="shared" si="248"/>
        <v/>
      </c>
      <c r="AA85" s="308" t="str">
        <f t="shared" si="249"/>
        <v/>
      </c>
      <c r="AB85" s="302">
        <f t="shared" si="226"/>
        <v>0</v>
      </c>
      <c r="AC85" s="307" t="str">
        <f t="shared" si="250"/>
        <v/>
      </c>
      <c r="AD85" s="308" t="str">
        <f t="shared" si="251"/>
        <v/>
      </c>
      <c r="AE85" s="302">
        <f t="shared" si="227"/>
        <v>0</v>
      </c>
      <c r="AF85" s="307" t="str">
        <f t="shared" si="252"/>
        <v/>
      </c>
      <c r="AG85" s="308" t="str">
        <f t="shared" si="253"/>
        <v/>
      </c>
      <c r="AH85" s="302">
        <f t="shared" si="228"/>
        <v>0</v>
      </c>
      <c r="AI85" s="307" t="str">
        <f t="shared" si="254"/>
        <v/>
      </c>
      <c r="AJ85" s="308" t="str">
        <f t="shared" si="255"/>
        <v/>
      </c>
      <c r="AK85" s="302">
        <f t="shared" si="229"/>
        <v>0</v>
      </c>
      <c r="AL85" s="307">
        <f t="shared" ref="AL85:AM85" si="279">B85+E85+H85+K85+N85+Q85+T85+W85+Z85+AC85+AF85+AI85</f>
        <v>0</v>
      </c>
      <c r="AM85" s="308">
        <f t="shared" si="279"/>
        <v>0</v>
      </c>
      <c r="AN85" s="303">
        <f t="shared" si="231"/>
        <v>0</v>
      </c>
      <c r="AO85" s="121" t="str">
        <f t="shared" si="257"/>
        <v/>
      </c>
    </row>
    <row r="86" hidden="1" outlineLevel="1">
      <c r="A86" s="111"/>
      <c r="B86" s="307" t="str">
        <f t="shared" si="232"/>
        <v/>
      </c>
      <c r="C86" s="308" t="str">
        <f t="shared" si="233"/>
        <v/>
      </c>
      <c r="D86" s="302">
        <f t="shared" si="218"/>
        <v>0</v>
      </c>
      <c r="E86" s="307" t="str">
        <f t="shared" si="234"/>
        <v/>
      </c>
      <c r="F86" s="308" t="str">
        <f t="shared" si="235"/>
        <v/>
      </c>
      <c r="G86" s="302">
        <f t="shared" si="219"/>
        <v>0</v>
      </c>
      <c r="H86" s="307" t="str">
        <f t="shared" si="236"/>
        <v/>
      </c>
      <c r="I86" s="308" t="str">
        <f t="shared" si="237"/>
        <v/>
      </c>
      <c r="J86" s="302">
        <f t="shared" si="220"/>
        <v>0</v>
      </c>
      <c r="K86" s="307" t="str">
        <f t="shared" si="238"/>
        <v/>
      </c>
      <c r="L86" s="308" t="str">
        <f t="shared" si="239"/>
        <v/>
      </c>
      <c r="M86" s="302">
        <f t="shared" si="221"/>
        <v>0</v>
      </c>
      <c r="N86" s="307" t="str">
        <f t="shared" si="240"/>
        <v/>
      </c>
      <c r="O86" s="308" t="str">
        <f t="shared" si="241"/>
        <v/>
      </c>
      <c r="P86" s="302">
        <f t="shared" si="222"/>
        <v>0</v>
      </c>
      <c r="Q86" s="307" t="str">
        <f t="shared" si="242"/>
        <v/>
      </c>
      <c r="R86" s="308" t="str">
        <f t="shared" si="243"/>
        <v/>
      </c>
      <c r="S86" s="302">
        <f t="shared" si="223"/>
        <v>0</v>
      </c>
      <c r="T86" s="307" t="str">
        <f t="shared" si="244"/>
        <v/>
      </c>
      <c r="U86" s="308" t="str">
        <f t="shared" si="245"/>
        <v/>
      </c>
      <c r="V86" s="302">
        <f t="shared" si="224"/>
        <v>0</v>
      </c>
      <c r="W86" s="307" t="str">
        <f t="shared" si="246"/>
        <v/>
      </c>
      <c r="X86" s="308" t="str">
        <f t="shared" si="247"/>
        <v/>
      </c>
      <c r="Y86" s="302">
        <f t="shared" si="225"/>
        <v>0</v>
      </c>
      <c r="Z86" s="307" t="str">
        <f t="shared" si="248"/>
        <v/>
      </c>
      <c r="AA86" s="308" t="str">
        <f t="shared" si="249"/>
        <v/>
      </c>
      <c r="AB86" s="302">
        <f t="shared" si="226"/>
        <v>0</v>
      </c>
      <c r="AC86" s="307" t="str">
        <f t="shared" si="250"/>
        <v/>
      </c>
      <c r="AD86" s="308" t="str">
        <f t="shared" si="251"/>
        <v/>
      </c>
      <c r="AE86" s="302">
        <f t="shared" si="227"/>
        <v>0</v>
      </c>
      <c r="AF86" s="307" t="str">
        <f t="shared" si="252"/>
        <v/>
      </c>
      <c r="AG86" s="308" t="str">
        <f t="shared" si="253"/>
        <v/>
      </c>
      <c r="AH86" s="302">
        <f t="shared" si="228"/>
        <v>0</v>
      </c>
      <c r="AI86" s="307" t="str">
        <f t="shared" si="254"/>
        <v/>
      </c>
      <c r="AJ86" s="308" t="str">
        <f t="shared" si="255"/>
        <v/>
      </c>
      <c r="AK86" s="302">
        <f t="shared" si="229"/>
        <v>0</v>
      </c>
      <c r="AL86" s="307">
        <f t="shared" ref="AL86:AM86" si="280">B86+E86+H86+K86+N86+Q86+T86+W86+Z86+AC86+AF86+AI86</f>
        <v>0</v>
      </c>
      <c r="AM86" s="308">
        <f t="shared" si="280"/>
        <v>0</v>
      </c>
      <c r="AN86" s="303">
        <f t="shared" si="231"/>
        <v>0</v>
      </c>
      <c r="AO86" s="121" t="str">
        <f t="shared" si="257"/>
        <v/>
      </c>
    </row>
    <row r="87">
      <c r="A87" s="111"/>
      <c r="B87" s="307" t="str">
        <f t="shared" si="232"/>
        <v/>
      </c>
      <c r="C87" s="308"/>
      <c r="D87" s="302"/>
      <c r="E87" s="307" t="str">
        <f t="shared" si="234"/>
        <v/>
      </c>
      <c r="F87" s="308" t="str">
        <f t="shared" si="235"/>
        <v/>
      </c>
      <c r="G87" s="302"/>
      <c r="H87" s="307" t="str">
        <f t="shared" si="236"/>
        <v/>
      </c>
      <c r="I87" s="308" t="str">
        <f t="shared" si="237"/>
        <v/>
      </c>
      <c r="J87" s="302"/>
      <c r="K87" s="307" t="str">
        <f t="shared" si="238"/>
        <v/>
      </c>
      <c r="L87" s="308" t="str">
        <f t="shared" si="239"/>
        <v/>
      </c>
      <c r="M87" s="302"/>
      <c r="N87" s="307" t="str">
        <f t="shared" si="240"/>
        <v/>
      </c>
      <c r="O87" s="308" t="str">
        <f t="shared" si="241"/>
        <v/>
      </c>
      <c r="P87" s="302"/>
      <c r="Q87" s="307" t="str">
        <f t="shared" si="242"/>
        <v/>
      </c>
      <c r="R87" s="308" t="str">
        <f t="shared" si="243"/>
        <v/>
      </c>
      <c r="S87" s="302"/>
      <c r="T87" s="307" t="str">
        <f t="shared" si="244"/>
        <v/>
      </c>
      <c r="U87" s="308" t="str">
        <f t="shared" si="245"/>
        <v/>
      </c>
      <c r="V87" s="302"/>
      <c r="W87" s="307" t="str">
        <f t="shared" si="246"/>
        <v/>
      </c>
      <c r="X87" s="308" t="str">
        <f t="shared" si="247"/>
        <v/>
      </c>
      <c r="Y87" s="302"/>
      <c r="Z87" s="307" t="str">
        <f t="shared" si="248"/>
        <v/>
      </c>
      <c r="AA87" s="308" t="str">
        <f t="shared" si="249"/>
        <v/>
      </c>
      <c r="AB87" s="302"/>
      <c r="AC87" s="307" t="str">
        <f t="shared" si="250"/>
        <v/>
      </c>
      <c r="AD87" s="308" t="str">
        <f t="shared" si="251"/>
        <v/>
      </c>
      <c r="AE87" s="302"/>
      <c r="AF87" s="307" t="str">
        <f t="shared" si="252"/>
        <v/>
      </c>
      <c r="AG87" s="308" t="str">
        <f t="shared" si="253"/>
        <v/>
      </c>
      <c r="AH87" s="302"/>
      <c r="AI87" s="307" t="str">
        <f t="shared" si="254"/>
        <v/>
      </c>
      <c r="AJ87" s="308" t="str">
        <f t="shared" si="255"/>
        <v/>
      </c>
      <c r="AK87" s="302"/>
      <c r="AL87" s="307"/>
      <c r="AM87" s="308"/>
      <c r="AN87" s="303"/>
      <c r="AO87" s="121" t="str">
        <f t="shared" si="257"/>
        <v/>
      </c>
    </row>
    <row r="88">
      <c r="A88" s="319" t="s">
        <v>138</v>
      </c>
      <c r="B88" s="329">
        <f t="shared" ref="B88:C88" si="281">B58+B61</f>
        <v>165615</v>
      </c>
      <c r="C88" s="330">
        <f t="shared" si="281"/>
        <v>156875</v>
      </c>
      <c r="D88" s="302">
        <f t="shared" ref="D88:D89" si="295">IFERROR(B88/C88,0)</f>
        <v>1.055713147</v>
      </c>
      <c r="E88" s="329">
        <f t="shared" ref="E88:F88" si="282">E58+E61</f>
        <v>0</v>
      </c>
      <c r="F88" s="330">
        <f t="shared" si="282"/>
        <v>0</v>
      </c>
      <c r="G88" s="302">
        <f t="shared" ref="G88:G89" si="297">IFERROR(E88/F88,0)</f>
        <v>0</v>
      </c>
      <c r="H88" s="329">
        <f t="shared" ref="H88:I88" si="283">H58+H61</f>
        <v>0</v>
      </c>
      <c r="I88" s="330">
        <f t="shared" si="283"/>
        <v>0</v>
      </c>
      <c r="J88" s="302">
        <f t="shared" ref="J88:J89" si="299">IFERROR(H88/I88,0)</f>
        <v>0</v>
      </c>
      <c r="K88" s="329">
        <f t="shared" ref="K88:L88" si="284">K58+K61</f>
        <v>4</v>
      </c>
      <c r="L88" s="330">
        <f t="shared" si="284"/>
        <v>0</v>
      </c>
      <c r="M88" s="302">
        <f t="shared" ref="M88:M89" si="301">IFERROR(K88/L88,0)</f>
        <v>0</v>
      </c>
      <c r="N88" s="329">
        <f t="shared" ref="N88:O88" si="285">N58+N61</f>
        <v>5</v>
      </c>
      <c r="O88" s="330">
        <f t="shared" si="285"/>
        <v>0</v>
      </c>
      <c r="P88" s="302">
        <f t="shared" ref="P88:P89" si="303">IFERROR(N88/O88,0)</f>
        <v>0</v>
      </c>
      <c r="Q88" s="329">
        <f t="shared" ref="Q88:R88" si="286">Q58+Q61</f>
        <v>6</v>
      </c>
      <c r="R88" s="330">
        <f t="shared" si="286"/>
        <v>0</v>
      </c>
      <c r="S88" s="302">
        <f t="shared" ref="S88:S89" si="305">IFERROR(Q88/R88,0)</f>
        <v>0</v>
      </c>
      <c r="T88" s="329">
        <f t="shared" ref="T88:U88" si="287">T58+T61</f>
        <v>7</v>
      </c>
      <c r="U88" s="330">
        <f t="shared" si="287"/>
        <v>0</v>
      </c>
      <c r="V88" s="302">
        <f t="shared" ref="V88:V89" si="307">IFERROR(T88/U88,0)</f>
        <v>0</v>
      </c>
      <c r="W88" s="329">
        <f t="shared" ref="W88:X88" si="288">W58+W61</f>
        <v>8</v>
      </c>
      <c r="X88" s="330">
        <f t="shared" si="288"/>
        <v>0</v>
      </c>
      <c r="Y88" s="302">
        <f t="shared" ref="Y88:Y89" si="309">IFERROR(W88/X88,0)</f>
        <v>0</v>
      </c>
      <c r="Z88" s="329">
        <f t="shared" ref="Z88:AA88" si="289">Z58+Z61</f>
        <v>9</v>
      </c>
      <c r="AA88" s="330">
        <f t="shared" si="289"/>
        <v>0</v>
      </c>
      <c r="AB88" s="302">
        <f t="shared" ref="AB88:AB89" si="311">IFERROR(Z88/AA88,0)</f>
        <v>0</v>
      </c>
      <c r="AC88" s="329">
        <f t="shared" ref="AC88:AD88" si="290">AC58+AC61</f>
        <v>10</v>
      </c>
      <c r="AD88" s="330">
        <f t="shared" si="290"/>
        <v>0</v>
      </c>
      <c r="AE88" s="302">
        <f t="shared" ref="AE88:AE89" si="313">IFERROR(AC88/AD88,0)</f>
        <v>0</v>
      </c>
      <c r="AF88" s="329">
        <f t="shared" ref="AF88:AG88" si="291">AF58+AF61</f>
        <v>11</v>
      </c>
      <c r="AG88" s="330">
        <f t="shared" si="291"/>
        <v>0</v>
      </c>
      <c r="AH88" s="302">
        <f t="shared" ref="AH88:AH89" si="315">IFERROR(AF88/AG88,0)</f>
        <v>0</v>
      </c>
      <c r="AI88" s="329">
        <f t="shared" ref="AI88:AJ88" si="292">AI58+AI61</f>
        <v>12</v>
      </c>
      <c r="AJ88" s="330">
        <f t="shared" si="292"/>
        <v>0</v>
      </c>
      <c r="AK88" s="302">
        <f t="shared" ref="AK88:AK89" si="317">IFERROR(AI88/AJ88,0)</f>
        <v>0</v>
      </c>
      <c r="AL88" s="329">
        <f t="shared" ref="AL88:AM88" si="293">B88+E88+H88+K88+N88+Q88+T88+W88+Z88+AC88+AF88+AI88</f>
        <v>165687</v>
      </c>
      <c r="AM88" s="330">
        <f t="shared" si="293"/>
        <v>156875</v>
      </c>
      <c r="AN88" s="303">
        <f>IFERROR(AL88/AM88,0)</f>
        <v>1.056172112</v>
      </c>
      <c r="AO88" s="312" t="str">
        <f>IF(AM88=0,"",IF(AN88&gt;1,"выполнение","план не выполнен"))</f>
        <v>выполнение</v>
      </c>
    </row>
    <row r="89">
      <c r="A89" s="331" t="s">
        <v>162</v>
      </c>
      <c r="B89" s="323">
        <f t="shared" ref="B89:C89" si="294">IFERROR(B88/B$6,"")</f>
        <v>0.7276581722</v>
      </c>
      <c r="C89" s="324">
        <f t="shared" si="294"/>
        <v>0.6808810764</v>
      </c>
      <c r="D89" s="302">
        <f t="shared" si="295"/>
        <v>1.068700831</v>
      </c>
      <c r="E89" s="323" t="str">
        <f t="shared" ref="E89:F89" si="296">IFERROR(E88/E$6,"")</f>
        <v/>
      </c>
      <c r="F89" s="324" t="str">
        <f t="shared" si="296"/>
        <v/>
      </c>
      <c r="G89" s="302">
        <f t="shared" si="297"/>
        <v>0</v>
      </c>
      <c r="H89" s="323" t="str">
        <f t="shared" ref="H89:I89" si="298">IFERROR(H88/H$6,"")</f>
        <v/>
      </c>
      <c r="I89" s="324" t="str">
        <f t="shared" si="298"/>
        <v/>
      </c>
      <c r="J89" s="302">
        <f t="shared" si="299"/>
        <v>0</v>
      </c>
      <c r="K89" s="323">
        <f t="shared" ref="K89:L89" si="300">IFERROR(K88/K$6,"")</f>
        <v>1</v>
      </c>
      <c r="L89" s="324" t="str">
        <f t="shared" si="300"/>
        <v/>
      </c>
      <c r="M89" s="302">
        <f t="shared" si="301"/>
        <v>0</v>
      </c>
      <c r="N89" s="323">
        <f t="shared" ref="N89:O89" si="302">IFERROR(N88/N$6,"")</f>
        <v>1</v>
      </c>
      <c r="O89" s="324" t="str">
        <f t="shared" si="302"/>
        <v/>
      </c>
      <c r="P89" s="302">
        <f t="shared" si="303"/>
        <v>0</v>
      </c>
      <c r="Q89" s="323">
        <f t="shared" ref="Q89:R89" si="304">IFERROR(Q88/Q$6,"")</f>
        <v>1</v>
      </c>
      <c r="R89" s="324" t="str">
        <f t="shared" si="304"/>
        <v/>
      </c>
      <c r="S89" s="302">
        <f t="shared" si="305"/>
        <v>0</v>
      </c>
      <c r="T89" s="323">
        <f t="shared" ref="T89:U89" si="306">IFERROR(T88/T$6,"")</f>
        <v>1</v>
      </c>
      <c r="U89" s="324" t="str">
        <f t="shared" si="306"/>
        <v/>
      </c>
      <c r="V89" s="302">
        <f t="shared" si="307"/>
        <v>0</v>
      </c>
      <c r="W89" s="323">
        <f t="shared" ref="W89:X89" si="308">IFERROR(W88/W$6,"")</f>
        <v>1</v>
      </c>
      <c r="X89" s="324" t="str">
        <f t="shared" si="308"/>
        <v/>
      </c>
      <c r="Y89" s="302">
        <f t="shared" si="309"/>
        <v>0</v>
      </c>
      <c r="Z89" s="323">
        <f t="shared" ref="Z89:AA89" si="310">IFERROR(Z88/Z$6,"")</f>
        <v>1</v>
      </c>
      <c r="AA89" s="324" t="str">
        <f t="shared" si="310"/>
        <v/>
      </c>
      <c r="AB89" s="302">
        <f t="shared" si="311"/>
        <v>0</v>
      </c>
      <c r="AC89" s="323">
        <f t="shared" ref="AC89:AD89" si="312">IFERROR(AC88/AC$6,"")</f>
        <v>1</v>
      </c>
      <c r="AD89" s="324" t="str">
        <f t="shared" si="312"/>
        <v/>
      </c>
      <c r="AE89" s="302">
        <f t="shared" si="313"/>
        <v>0</v>
      </c>
      <c r="AF89" s="323">
        <f t="shared" ref="AF89:AG89" si="314">IFERROR(AF88/AF$6,"")</f>
        <v>1</v>
      </c>
      <c r="AG89" s="324" t="str">
        <f t="shared" si="314"/>
        <v/>
      </c>
      <c r="AH89" s="302">
        <f t="shared" si="315"/>
        <v>0</v>
      </c>
      <c r="AI89" s="323">
        <f t="shared" ref="AI89:AJ89" si="316">IFERROR(AI88/AI$6,"")</f>
        <v>1</v>
      </c>
      <c r="AJ89" s="324" t="str">
        <f t="shared" si="316"/>
        <v/>
      </c>
      <c r="AK89" s="302">
        <f t="shared" si="317"/>
        <v>0</v>
      </c>
      <c r="AL89" s="323">
        <f t="shared" ref="AL89:AM89" si="318">IFERROR(AL88/AL$6,"")</f>
        <v>0.7277442988</v>
      </c>
      <c r="AM89" s="324">
        <f t="shared" si="318"/>
        <v>0.6808810764</v>
      </c>
      <c r="AN89" s="303"/>
      <c r="AO89" s="121"/>
    </row>
    <row r="90">
      <c r="A90" s="111"/>
      <c r="B90" s="332"/>
      <c r="C90" s="333"/>
      <c r="D90" s="302"/>
      <c r="E90" s="332"/>
      <c r="F90" s="333"/>
      <c r="G90" s="302"/>
      <c r="H90" s="332"/>
      <c r="I90" s="333"/>
      <c r="J90" s="302"/>
      <c r="K90" s="332"/>
      <c r="L90" s="333"/>
      <c r="M90" s="302"/>
      <c r="N90" s="332"/>
      <c r="O90" s="333"/>
      <c r="P90" s="302"/>
      <c r="Q90" s="332"/>
      <c r="R90" s="333"/>
      <c r="S90" s="302"/>
      <c r="T90" s="332"/>
      <c r="U90" s="333"/>
      <c r="V90" s="302"/>
      <c r="W90" s="332"/>
      <c r="X90" s="333"/>
      <c r="Y90" s="302"/>
      <c r="Z90" s="332"/>
      <c r="AA90" s="333"/>
      <c r="AB90" s="302"/>
      <c r="AC90" s="332"/>
      <c r="AD90" s="333"/>
      <c r="AE90" s="302"/>
      <c r="AF90" s="332"/>
      <c r="AG90" s="333"/>
      <c r="AH90" s="302"/>
      <c r="AI90" s="332"/>
      <c r="AJ90" s="333"/>
      <c r="AK90" s="302"/>
      <c r="AL90" s="332"/>
      <c r="AM90" s="333"/>
      <c r="AN90" s="303"/>
      <c r="AO90" s="121" t="str">
        <f>IF(AM90=0,"",IF(AM90=0,0,IF(AN90&gt;1,"перерасход","экономия")))</f>
        <v/>
      </c>
    </row>
    <row r="91" ht="22.5" customHeight="1">
      <c r="A91" s="309" t="s">
        <v>140</v>
      </c>
      <c r="B91" s="334">
        <f t="shared" ref="B91:C91" si="319">B104+B128+B92</f>
        <v>-22193</v>
      </c>
      <c r="C91" s="335">
        <f t="shared" si="319"/>
        <v>-14977.97</v>
      </c>
      <c r="D91" s="302">
        <f t="shared" ref="D91:D126" si="331">IFERROR(B91/C91,0)</f>
        <v>1.481709471</v>
      </c>
      <c r="E91" s="334">
        <f t="shared" ref="E91:F91" si="320">E104+E128+E92</f>
        <v>0</v>
      </c>
      <c r="F91" s="335">
        <f t="shared" si="320"/>
        <v>0</v>
      </c>
      <c r="G91" s="302">
        <f t="shared" ref="G91:G102" si="333">IFERROR(E91/F91,0)</f>
        <v>0</v>
      </c>
      <c r="H91" s="334">
        <f t="shared" ref="H91:I91" si="321">H104+H128+H92</f>
        <v>0</v>
      </c>
      <c r="I91" s="335">
        <f t="shared" si="321"/>
        <v>0</v>
      </c>
      <c r="J91" s="302">
        <f t="shared" ref="J91:J102" si="335">IFERROR(H91/I91,0)</f>
        <v>0</v>
      </c>
      <c r="K91" s="334">
        <f t="shared" ref="K91:L91" si="322">K104+K128+K92</f>
        <v>0</v>
      </c>
      <c r="L91" s="335">
        <f t="shared" si="322"/>
        <v>0</v>
      </c>
      <c r="M91" s="302">
        <f t="shared" ref="M91:M102" si="337">IFERROR(K91/L91,0)</f>
        <v>0</v>
      </c>
      <c r="N91" s="334">
        <f t="shared" ref="N91:O91" si="323">N104+N128+N92</f>
        <v>0</v>
      </c>
      <c r="O91" s="335">
        <f t="shared" si="323"/>
        <v>0</v>
      </c>
      <c r="P91" s="302">
        <f t="shared" ref="P91:P102" si="339">IFERROR(N91/O91,0)</f>
        <v>0</v>
      </c>
      <c r="Q91" s="334">
        <f t="shared" ref="Q91:R91" si="324">Q104+Q128+Q92</f>
        <v>0</v>
      </c>
      <c r="R91" s="335">
        <f t="shared" si="324"/>
        <v>0</v>
      </c>
      <c r="S91" s="302">
        <f t="shared" ref="S91:S102" si="341">IFERROR(Q91/R91,0)</f>
        <v>0</v>
      </c>
      <c r="T91" s="334">
        <f t="shared" ref="T91:U91" si="325">T104+T128+T92</f>
        <v>0</v>
      </c>
      <c r="U91" s="335">
        <f t="shared" si="325"/>
        <v>0</v>
      </c>
      <c r="V91" s="302">
        <f t="shared" ref="V91:V102" si="343">IFERROR(T91/U91,0)</f>
        <v>0</v>
      </c>
      <c r="W91" s="334">
        <f t="shared" ref="W91:X91" si="326">W104+W128+W92</f>
        <v>0</v>
      </c>
      <c r="X91" s="335">
        <f t="shared" si="326"/>
        <v>0</v>
      </c>
      <c r="Y91" s="302">
        <f t="shared" ref="Y91:Y102" si="345">IFERROR(W91/X91,0)</f>
        <v>0</v>
      </c>
      <c r="Z91" s="334">
        <f t="shared" ref="Z91:AA91" si="327">Z104+Z128+Z92</f>
        <v>0</v>
      </c>
      <c r="AA91" s="335">
        <f t="shared" si="327"/>
        <v>0</v>
      </c>
      <c r="AB91" s="302">
        <f t="shared" ref="AB91:AB102" si="347">IFERROR(Z91/AA91,0)</f>
        <v>0</v>
      </c>
      <c r="AC91" s="334">
        <f t="shared" ref="AC91:AD91" si="328">AC104+AC128+AC92</f>
        <v>0</v>
      </c>
      <c r="AD91" s="335">
        <f t="shared" si="328"/>
        <v>0</v>
      </c>
      <c r="AE91" s="302">
        <f t="shared" ref="AE91:AE102" si="349">IFERROR(AC91/AD91,0)</f>
        <v>0</v>
      </c>
      <c r="AF91" s="334">
        <f>AF104+AF128</f>
        <v>0</v>
      </c>
      <c r="AG91" s="335">
        <f>AG104+AG128+AG92</f>
        <v>0</v>
      </c>
      <c r="AH91" s="302">
        <f t="shared" ref="AH91:AH102" si="351">IFERROR(AF91/AG91,0)</f>
        <v>0</v>
      </c>
      <c r="AI91" s="334">
        <f>AI104+AI128</f>
        <v>0</v>
      </c>
      <c r="AJ91" s="335">
        <f>AJ104+AJ128+AJ92</f>
        <v>0</v>
      </c>
      <c r="AK91" s="302">
        <f t="shared" ref="AK91:AK102" si="353">IFERROR(AI91/AJ91,0)</f>
        <v>0</v>
      </c>
      <c r="AL91" s="334">
        <f t="shared" ref="AL91:AM91" si="329">B91+E91+H91+K91+N91+Q91+T91+W91+Z91+AC91+AF91+AI91</f>
        <v>-22193</v>
      </c>
      <c r="AM91" s="335">
        <f t="shared" si="329"/>
        <v>-14977.97</v>
      </c>
      <c r="AN91" s="303">
        <f t="shared" ref="AN91:AN102" si="355">IFERROR(AL91/AM91,0)</f>
        <v>1.481709471</v>
      </c>
      <c r="AO91" s="177" t="str">
        <f>IF(AM91=0,"",IF(AN91&gt;1,"план не выполнен","выполнение"))</f>
        <v>план не выполнен</v>
      </c>
    </row>
    <row r="92">
      <c r="A92" s="136" t="s">
        <v>141</v>
      </c>
      <c r="B92" s="314">
        <f t="shared" ref="B92:C92" si="330">SUM(B93:B103)</f>
        <v>0</v>
      </c>
      <c r="C92" s="315">
        <f t="shared" si="330"/>
        <v>0</v>
      </c>
      <c r="D92" s="302">
        <f t="shared" si="331"/>
        <v>0</v>
      </c>
      <c r="E92" s="314">
        <f t="shared" ref="E92:F92" si="332">SUM(E93:E103)</f>
        <v>0</v>
      </c>
      <c r="F92" s="315">
        <f t="shared" si="332"/>
        <v>0</v>
      </c>
      <c r="G92" s="302">
        <f t="shared" si="333"/>
        <v>0</v>
      </c>
      <c r="H92" s="314">
        <f t="shared" ref="H92:I92" si="334">SUM(H93:H103)</f>
        <v>0</v>
      </c>
      <c r="I92" s="315">
        <f t="shared" si="334"/>
        <v>0</v>
      </c>
      <c r="J92" s="302">
        <f t="shared" si="335"/>
        <v>0</v>
      </c>
      <c r="K92" s="314">
        <f t="shared" ref="K92:L92" si="336">SUM(K93:K103)</f>
        <v>0</v>
      </c>
      <c r="L92" s="315">
        <f t="shared" si="336"/>
        <v>0</v>
      </c>
      <c r="M92" s="302">
        <f t="shared" si="337"/>
        <v>0</v>
      </c>
      <c r="N92" s="314">
        <f t="shared" ref="N92:O92" si="338">SUM(N93:N103)</f>
        <v>0</v>
      </c>
      <c r="O92" s="315">
        <f t="shared" si="338"/>
        <v>0</v>
      </c>
      <c r="P92" s="302">
        <f t="shared" si="339"/>
        <v>0</v>
      </c>
      <c r="Q92" s="314">
        <f t="shared" ref="Q92:R92" si="340">SUM(Q93:Q103)</f>
        <v>0</v>
      </c>
      <c r="R92" s="315">
        <f t="shared" si="340"/>
        <v>0</v>
      </c>
      <c r="S92" s="302">
        <f t="shared" si="341"/>
        <v>0</v>
      </c>
      <c r="T92" s="314">
        <f t="shared" ref="T92:U92" si="342">SUM(T93:T103)</f>
        <v>0</v>
      </c>
      <c r="U92" s="315">
        <f t="shared" si="342"/>
        <v>0</v>
      </c>
      <c r="V92" s="302">
        <f t="shared" si="343"/>
        <v>0</v>
      </c>
      <c r="W92" s="314">
        <f t="shared" ref="W92:X92" si="344">SUM(W93:W103)</f>
        <v>0</v>
      </c>
      <c r="X92" s="315">
        <f t="shared" si="344"/>
        <v>0</v>
      </c>
      <c r="Y92" s="302">
        <f t="shared" si="345"/>
        <v>0</v>
      </c>
      <c r="Z92" s="314">
        <f t="shared" ref="Z92:AA92" si="346">SUM(Z93:Z103)</f>
        <v>0</v>
      </c>
      <c r="AA92" s="315">
        <f t="shared" si="346"/>
        <v>0</v>
      </c>
      <c r="AB92" s="302">
        <f t="shared" si="347"/>
        <v>0</v>
      </c>
      <c r="AC92" s="314">
        <f t="shared" ref="AC92:AD92" si="348">SUM(AC93:AC103)</f>
        <v>0</v>
      </c>
      <c r="AD92" s="315">
        <f t="shared" si="348"/>
        <v>0</v>
      </c>
      <c r="AE92" s="302">
        <f t="shared" si="349"/>
        <v>0</v>
      </c>
      <c r="AF92" s="314">
        <f t="shared" ref="AF92:AG92" si="350">SUM(AF93:AF103)</f>
        <v>0</v>
      </c>
      <c r="AG92" s="315">
        <f t="shared" si="350"/>
        <v>0</v>
      </c>
      <c r="AH92" s="302">
        <f t="shared" si="351"/>
        <v>0</v>
      </c>
      <c r="AI92" s="314">
        <f t="shared" ref="AI92:AJ92" si="352">SUM(AI93:AI103)</f>
        <v>0</v>
      </c>
      <c r="AJ92" s="315">
        <f t="shared" si="352"/>
        <v>0</v>
      </c>
      <c r="AK92" s="302">
        <f t="shared" si="353"/>
        <v>0</v>
      </c>
      <c r="AL92" s="314">
        <f t="shared" ref="AL92:AM92" si="354">B92+E92+H92+K92+N92+Q92+T92+W92+Z92+AC92+AF92+AI92</f>
        <v>0</v>
      </c>
      <c r="AM92" s="315">
        <f t="shared" si="354"/>
        <v>0</v>
      </c>
      <c r="AN92" s="303">
        <f t="shared" si="355"/>
        <v>0</v>
      </c>
      <c r="AO92" s="141" t="str">
        <f>IF(AM92=0,"",IF(AM92=0,0,IF(AN92&gt;1,"перерасход","экономия")))</f>
        <v/>
      </c>
    </row>
    <row r="93">
      <c r="A93" s="125" t="str">
        <f>IFERROR(__xludf.DUMMYFUNCTION("iferror(filter('Статьи'!$A$1:$A175,'Статьи'!$B$1:$B175=$A$92))"),"")</f>
        <v/>
      </c>
      <c r="B93" s="307" t="str">
        <f t="shared" ref="B93:B103" si="357">if($AI$2,IFERROR(INDIRECT("'"&amp;B$4&amp;"'!"&amp;$B$2&amp;match($A93,INDIRECT("'"&amp;B$4&amp;"'!B1:B"),0)),""),
IFERROR(INDIRECT("'"&amp;B$4&amp;"!"&amp;$B$2&amp;match($A93,INDIRECT("'"&amp;B$4&amp;"'!B:B"),0)),""))</f>
        <v/>
      </c>
      <c r="C93" s="308" t="str">
        <f t="shared" ref="C93:C96" si="358">IF($AI$2,IFERROR(INDIRECT("'"&amp;C$4&amp;"'!"&amp;$C$2&amp;MATCH($A93,INDIRECT("'"&amp;C$4&amp;"'!B1:B"),0)),""),
IFERROR(INDIRECT("'"&amp;C$4&amp;"!"&amp;$B$2&amp;MATCH($A93,INDIRECT("'"&amp;C$4&amp;"'!B:B"),0)),""))</f>
        <v/>
      </c>
      <c r="D93" s="302">
        <f t="shared" si="331"/>
        <v>0</v>
      </c>
      <c r="E93" s="307" t="str">
        <f t="shared" ref="E93:E103" si="359">if($AI$2,IFERROR(INDIRECT("'"&amp;E$4&amp;"'!"&amp;$B$2&amp;match($A93,INDIRECT("'"&amp;E$4&amp;"'!B1:B"),0)),""),
IFERROR(INDIRECT("'"&amp;E$4&amp;"!"&amp;$B$2&amp;match($A93,INDIRECT("'"&amp;E$4&amp;"'!B:B"),0)),""))</f>
        <v/>
      </c>
      <c r="F93" s="308" t="str">
        <f t="shared" ref="F93:F96" si="360">IF($AI$2,IFERROR(INDIRECT("'"&amp;F$4&amp;"'!"&amp;$C$2&amp;MATCH($A93,INDIRECT("'"&amp;F$4&amp;"'!B1:B"),0)),""),
IFERROR(INDIRECT("'"&amp;F$4&amp;"!"&amp;$B$2&amp;MATCH($A93,INDIRECT("'"&amp;F$4&amp;"'!B:B"),0)),""))</f>
        <v/>
      </c>
      <c r="G93" s="302">
        <f t="shared" si="333"/>
        <v>0</v>
      </c>
      <c r="H93" s="307" t="str">
        <f t="shared" ref="H93:H103" si="361">if($AI$2,IFERROR(INDIRECT("'"&amp;H$4&amp;"'!"&amp;$B$2&amp;match($A93,INDIRECT("'"&amp;H$4&amp;"'!B1:B"),0)),""),
IFERROR(INDIRECT("'"&amp;H$4&amp;"!"&amp;$B$2&amp;match($A93,INDIRECT("'"&amp;H$4&amp;"'!B:B"),0)),""))</f>
        <v/>
      </c>
      <c r="I93" s="308" t="str">
        <f t="shared" ref="I93:I96" si="362">IF($AI$2,IFERROR(INDIRECT("'"&amp;I$4&amp;"'!"&amp;$C$2&amp;MATCH($A93,INDIRECT("'"&amp;I$4&amp;"'!B1:B"),0)),""),
IFERROR(INDIRECT("'"&amp;I$4&amp;"!"&amp;$B$2&amp;MATCH($A93,INDIRECT("'"&amp;I$4&amp;"'!B:B"),0)),""))</f>
        <v/>
      </c>
      <c r="J93" s="302">
        <f t="shared" si="335"/>
        <v>0</v>
      </c>
      <c r="K93" s="307" t="str">
        <f t="shared" ref="K93:K103" si="363">if($AI$2,IFERROR(INDIRECT("'"&amp;K$4&amp;"'!"&amp;$B$2&amp;match($A93,INDIRECT("'"&amp;K$4&amp;"'!B1:B"),0)),""),
IFERROR(INDIRECT("'"&amp;K$4&amp;"!"&amp;$B$2&amp;match($A93,INDIRECT("'"&amp;K$4&amp;"'!B:B"),0)),""))</f>
        <v/>
      </c>
      <c r="L93" s="308" t="str">
        <f t="shared" ref="L93:L96" si="364">IF($AI$2,IFERROR(INDIRECT("'"&amp;L$4&amp;"'!"&amp;$C$2&amp;MATCH($A93,INDIRECT("'"&amp;L$4&amp;"'!B1:B"),0)),""),
IFERROR(INDIRECT("'"&amp;L$4&amp;"!"&amp;$B$2&amp;MATCH($A93,INDIRECT("'"&amp;L$4&amp;"'!B:B"),0)),""))</f>
        <v/>
      </c>
      <c r="M93" s="302">
        <f t="shared" si="337"/>
        <v>0</v>
      </c>
      <c r="N93" s="307" t="str">
        <f t="shared" ref="N93:N103" si="365">if($AI$2,IFERROR(INDIRECT("'"&amp;N$4&amp;"'!"&amp;$B$2&amp;match($A93,INDIRECT("'"&amp;N$4&amp;"'!B1:B"),0)),""),
IFERROR(INDIRECT("'"&amp;N$4&amp;"!"&amp;$B$2&amp;match($A93,INDIRECT("'"&amp;N$4&amp;"'!B:B"),0)),""))</f>
        <v/>
      </c>
      <c r="O93" s="308" t="str">
        <f t="shared" ref="O93:O96" si="366">IF($AI$2,IFERROR(INDIRECT("'"&amp;O$4&amp;"'!"&amp;$C$2&amp;MATCH($A93,INDIRECT("'"&amp;O$4&amp;"'!B1:B"),0)),""),
IFERROR(INDIRECT("'"&amp;O$4&amp;"!"&amp;$B$2&amp;MATCH($A93,INDIRECT("'"&amp;O$4&amp;"'!B:B"),0)),""))</f>
        <v/>
      </c>
      <c r="P93" s="302">
        <f t="shared" si="339"/>
        <v>0</v>
      </c>
      <c r="Q93" s="307" t="str">
        <f t="shared" ref="Q93:Q103" si="367">if($AI$2,IFERROR(INDIRECT("'"&amp;Q$4&amp;"'!"&amp;$B$2&amp;match($A93,INDIRECT("'"&amp;Q$4&amp;"'!B1:B"),0)),""),
IFERROR(INDIRECT("'"&amp;Q$4&amp;"!"&amp;$B$2&amp;match($A93,INDIRECT("'"&amp;Q$4&amp;"'!B:B"),0)),""))</f>
        <v/>
      </c>
      <c r="R93" s="308" t="str">
        <f t="shared" ref="R93:R96" si="368">IF($AI$2,IFERROR(INDIRECT("'"&amp;R$4&amp;"'!"&amp;$C$2&amp;MATCH($A93,INDIRECT("'"&amp;R$4&amp;"'!B1:B"),0)),""),
IFERROR(INDIRECT("'"&amp;R$4&amp;"!"&amp;$B$2&amp;MATCH($A93,INDIRECT("'"&amp;R$4&amp;"'!B:B"),0)),""))</f>
        <v/>
      </c>
      <c r="S93" s="302">
        <f t="shared" si="341"/>
        <v>0</v>
      </c>
      <c r="T93" s="307" t="str">
        <f t="shared" ref="T93:T103" si="369">if($AI$2,IFERROR(INDIRECT("'"&amp;T$4&amp;"'!"&amp;$B$2&amp;match($A93,INDIRECT("'"&amp;T$4&amp;"'!B1:B"),0)),""),
IFERROR(INDIRECT("'"&amp;T$4&amp;"!"&amp;$B$2&amp;match($A93,INDIRECT("'"&amp;T$4&amp;"'!B:B"),0)),""))</f>
        <v/>
      </c>
      <c r="U93" s="308" t="str">
        <f t="shared" ref="U93:U96" si="370">IF($AI$2,IFERROR(INDIRECT("'"&amp;U$4&amp;"'!"&amp;$C$2&amp;MATCH($A93,INDIRECT("'"&amp;U$4&amp;"'!B1:B"),0)),""),
IFERROR(INDIRECT("'"&amp;U$4&amp;"!"&amp;$B$2&amp;MATCH($A93,INDIRECT("'"&amp;U$4&amp;"'!B:B"),0)),""))</f>
        <v/>
      </c>
      <c r="V93" s="302">
        <f t="shared" si="343"/>
        <v>0</v>
      </c>
      <c r="W93" s="307" t="str">
        <f t="shared" ref="W93:W103" si="371">if($AI$2,IFERROR(INDIRECT("'"&amp;W$4&amp;"'!"&amp;$B$2&amp;match($A93,INDIRECT("'"&amp;W$4&amp;"'!B1:B"),0)),""),
IFERROR(INDIRECT("'"&amp;W$4&amp;"!"&amp;$B$2&amp;match($A93,INDIRECT("'"&amp;W$4&amp;"'!B:B"),0)),""))</f>
        <v/>
      </c>
      <c r="X93" s="308" t="str">
        <f t="shared" ref="X93:X96" si="372">IF($AI$2,IFERROR(INDIRECT("'"&amp;X$4&amp;"'!"&amp;$C$2&amp;MATCH($A93,INDIRECT("'"&amp;X$4&amp;"'!B1:B"),0)),""),
IFERROR(INDIRECT("'"&amp;X$4&amp;"!"&amp;$B$2&amp;MATCH($A93,INDIRECT("'"&amp;X$4&amp;"'!B:B"),0)),""))</f>
        <v/>
      </c>
      <c r="Y93" s="302">
        <f t="shared" si="345"/>
        <v>0</v>
      </c>
      <c r="Z93" s="307" t="str">
        <f t="shared" ref="Z93:Z103" si="373">if($AI$2,IFERROR(INDIRECT("'"&amp;Z$4&amp;"'!"&amp;$B$2&amp;match($A93,INDIRECT("'"&amp;Z$4&amp;"'!B1:B"),0)),""),
IFERROR(INDIRECT("'"&amp;Z$4&amp;"!"&amp;$B$2&amp;match($A93,INDIRECT("'"&amp;Z$4&amp;"'!B:B"),0)),""))</f>
        <v/>
      </c>
      <c r="AA93" s="308" t="str">
        <f t="shared" ref="AA93:AA96" si="374">IF($AI$2,IFERROR(INDIRECT("'"&amp;AA$4&amp;"'!"&amp;$C$2&amp;MATCH($A93,INDIRECT("'"&amp;AA$4&amp;"'!B1:B"),0)),""),
IFERROR(INDIRECT("'"&amp;AA$4&amp;"!"&amp;$B$2&amp;MATCH($A93,INDIRECT("'"&amp;AA$4&amp;"'!B:B"),0)),""))</f>
        <v/>
      </c>
      <c r="AB93" s="302">
        <f t="shared" si="347"/>
        <v>0</v>
      </c>
      <c r="AC93" s="307" t="str">
        <f t="shared" ref="AC93:AC103" si="375">if($AI$2,IFERROR(INDIRECT("'"&amp;AC$4&amp;"'!"&amp;$B$2&amp;match($A93,INDIRECT("'"&amp;AC$4&amp;"'!B1:B"),0)),""),
IFERROR(INDIRECT("'"&amp;AC$4&amp;"!"&amp;$B$2&amp;match($A93,INDIRECT("'"&amp;AC$4&amp;"'!B:B"),0)),""))</f>
        <v/>
      </c>
      <c r="AD93" s="308" t="str">
        <f t="shared" ref="AD93:AD96" si="376">IF($AI$2,IFERROR(INDIRECT("'"&amp;AD$4&amp;"'!"&amp;$C$2&amp;MATCH($A93,INDIRECT("'"&amp;AD$4&amp;"'!B1:B"),0)),""),
IFERROR(INDIRECT("'"&amp;AD$4&amp;"!"&amp;$B$2&amp;MATCH($A93,INDIRECT("'"&amp;AD$4&amp;"'!B:B"),0)),""))</f>
        <v/>
      </c>
      <c r="AE93" s="302">
        <f t="shared" si="349"/>
        <v>0</v>
      </c>
      <c r="AF93" s="307" t="str">
        <f t="shared" ref="AF93:AF103" si="377">if($AI$2,IFERROR(INDIRECT("'"&amp;AF$4&amp;"'!"&amp;$B$2&amp;match($A93,INDIRECT("'"&amp;AF$4&amp;"'!B1:B"),0)),""),
IFERROR(INDIRECT("'"&amp;AF$4&amp;"!"&amp;$B$2&amp;match($A93,INDIRECT("'"&amp;AF$4&amp;"'!B:B"),0)),""))</f>
        <v/>
      </c>
      <c r="AG93" s="308" t="str">
        <f t="shared" ref="AG93:AG96" si="378">IF($AI$2,IFERROR(INDIRECT("'"&amp;AG$4&amp;"'!"&amp;$C$2&amp;MATCH($A93,INDIRECT("'"&amp;AG$4&amp;"'!B1:B"),0)),""),
IFERROR(INDIRECT("'"&amp;AG$4&amp;"!"&amp;$B$2&amp;MATCH($A93,INDIRECT("'"&amp;AG$4&amp;"'!B:B"),0)),""))</f>
        <v/>
      </c>
      <c r="AH93" s="302">
        <f t="shared" si="351"/>
        <v>0</v>
      </c>
      <c r="AI93" s="307" t="str">
        <f t="shared" ref="AI93:AI103" si="379">if($AI$2,IFERROR(INDIRECT("'"&amp;AI$4&amp;"'!"&amp;$B$2&amp;match($A93,INDIRECT("'"&amp;AI$4&amp;"'!B1:B"),0)),""),
IFERROR(INDIRECT("'"&amp;AI$4&amp;"!"&amp;$B$2&amp;match($A93,INDIRECT("'"&amp;AI$4&amp;"'!B:B"),0)),""))</f>
        <v/>
      </c>
      <c r="AJ93" s="308" t="str">
        <f t="shared" ref="AJ93:AJ96" si="380">IF($AI$2,IFERROR(INDIRECT("'"&amp;AJ$4&amp;"'!"&amp;$C$2&amp;MATCH($A93,INDIRECT("'"&amp;AJ$4&amp;"'!B1:B"),0)),""),
IFERROR(INDIRECT("'"&amp;AJ$4&amp;"!"&amp;$B$2&amp;MATCH($A93,INDIRECT("'"&amp;AJ$4&amp;"'!B:B"),0)),""))</f>
        <v/>
      </c>
      <c r="AK93" s="302">
        <f t="shared" si="353"/>
        <v>0</v>
      </c>
      <c r="AL93" s="307">
        <f t="shared" ref="AL93:AM93" si="356">B93+E93+H93+K93+N93+Q93+T93+W93+Z93+AC93+AF93+AI93</f>
        <v>0</v>
      </c>
      <c r="AM93" s="308">
        <f t="shared" si="356"/>
        <v>0</v>
      </c>
      <c r="AN93" s="303">
        <f t="shared" si="355"/>
        <v>0</v>
      </c>
      <c r="AO93" s="121" t="str">
        <f t="shared" ref="AO93:AO137" si="382">IF(AM93=0,"",IF(AN93=0,"обратить внимание",IF(AN93&gt;1,"перерасход","экономия")))</f>
        <v/>
      </c>
    </row>
    <row r="94">
      <c r="A94" s="176"/>
      <c r="B94" s="307" t="str">
        <f t="shared" si="357"/>
        <v/>
      </c>
      <c r="C94" s="308" t="str">
        <f t="shared" si="358"/>
        <v/>
      </c>
      <c r="D94" s="302">
        <f t="shared" si="331"/>
        <v>0</v>
      </c>
      <c r="E94" s="307" t="str">
        <f t="shared" si="359"/>
        <v/>
      </c>
      <c r="F94" s="308" t="str">
        <f t="shared" si="360"/>
        <v/>
      </c>
      <c r="G94" s="302">
        <f t="shared" si="333"/>
        <v>0</v>
      </c>
      <c r="H94" s="307" t="str">
        <f t="shared" si="361"/>
        <v/>
      </c>
      <c r="I94" s="308" t="str">
        <f t="shared" si="362"/>
        <v/>
      </c>
      <c r="J94" s="302">
        <f t="shared" si="335"/>
        <v>0</v>
      </c>
      <c r="K94" s="307" t="str">
        <f t="shared" si="363"/>
        <v/>
      </c>
      <c r="L94" s="308" t="str">
        <f t="shared" si="364"/>
        <v/>
      </c>
      <c r="M94" s="302">
        <f t="shared" si="337"/>
        <v>0</v>
      </c>
      <c r="N94" s="307" t="str">
        <f t="shared" si="365"/>
        <v/>
      </c>
      <c r="O94" s="308" t="str">
        <f t="shared" si="366"/>
        <v/>
      </c>
      <c r="P94" s="302">
        <f t="shared" si="339"/>
        <v>0</v>
      </c>
      <c r="Q94" s="307" t="str">
        <f t="shared" si="367"/>
        <v/>
      </c>
      <c r="R94" s="308" t="str">
        <f t="shared" si="368"/>
        <v/>
      </c>
      <c r="S94" s="302">
        <f t="shared" si="341"/>
        <v>0</v>
      </c>
      <c r="T94" s="307" t="str">
        <f t="shared" si="369"/>
        <v/>
      </c>
      <c r="U94" s="308" t="str">
        <f t="shared" si="370"/>
        <v/>
      </c>
      <c r="V94" s="302">
        <f t="shared" si="343"/>
        <v>0</v>
      </c>
      <c r="W94" s="307" t="str">
        <f t="shared" si="371"/>
        <v/>
      </c>
      <c r="X94" s="308" t="str">
        <f t="shared" si="372"/>
        <v/>
      </c>
      <c r="Y94" s="302">
        <f t="shared" si="345"/>
        <v>0</v>
      </c>
      <c r="Z94" s="307" t="str">
        <f t="shared" si="373"/>
        <v/>
      </c>
      <c r="AA94" s="308" t="str">
        <f t="shared" si="374"/>
        <v/>
      </c>
      <c r="AB94" s="302">
        <f t="shared" si="347"/>
        <v>0</v>
      </c>
      <c r="AC94" s="307" t="str">
        <f t="shared" si="375"/>
        <v/>
      </c>
      <c r="AD94" s="308" t="str">
        <f t="shared" si="376"/>
        <v/>
      </c>
      <c r="AE94" s="302">
        <f t="shared" si="349"/>
        <v>0</v>
      </c>
      <c r="AF94" s="307" t="str">
        <f t="shared" si="377"/>
        <v/>
      </c>
      <c r="AG94" s="308" t="str">
        <f t="shared" si="378"/>
        <v/>
      </c>
      <c r="AH94" s="302">
        <f t="shared" si="351"/>
        <v>0</v>
      </c>
      <c r="AI94" s="307" t="str">
        <f t="shared" si="379"/>
        <v/>
      </c>
      <c r="AJ94" s="308" t="str">
        <f t="shared" si="380"/>
        <v/>
      </c>
      <c r="AK94" s="302">
        <f t="shared" si="353"/>
        <v>0</v>
      </c>
      <c r="AL94" s="307">
        <f t="shared" ref="AL94:AM94" si="381">B94+E94+H94+K94+N94+Q94+T94+W94+Z94+AC94+AF94+AI94</f>
        <v>0</v>
      </c>
      <c r="AM94" s="308">
        <f t="shared" si="381"/>
        <v>0</v>
      </c>
      <c r="AN94" s="303">
        <f t="shared" si="355"/>
        <v>0</v>
      </c>
      <c r="AO94" s="312" t="str">
        <f t="shared" si="382"/>
        <v/>
      </c>
    </row>
    <row r="95">
      <c r="A95" s="176"/>
      <c r="B95" s="307" t="str">
        <f t="shared" si="357"/>
        <v/>
      </c>
      <c r="C95" s="308" t="str">
        <f t="shared" si="358"/>
        <v/>
      </c>
      <c r="D95" s="302">
        <f t="shared" si="331"/>
        <v>0</v>
      </c>
      <c r="E95" s="307" t="str">
        <f t="shared" si="359"/>
        <v/>
      </c>
      <c r="F95" s="308" t="str">
        <f t="shared" si="360"/>
        <v/>
      </c>
      <c r="G95" s="302">
        <f t="shared" si="333"/>
        <v>0</v>
      </c>
      <c r="H95" s="307" t="str">
        <f t="shared" si="361"/>
        <v/>
      </c>
      <c r="I95" s="308" t="str">
        <f t="shared" si="362"/>
        <v/>
      </c>
      <c r="J95" s="302">
        <f t="shared" si="335"/>
        <v>0</v>
      </c>
      <c r="K95" s="307" t="str">
        <f t="shared" si="363"/>
        <v/>
      </c>
      <c r="L95" s="308" t="str">
        <f t="shared" si="364"/>
        <v/>
      </c>
      <c r="M95" s="302">
        <f t="shared" si="337"/>
        <v>0</v>
      </c>
      <c r="N95" s="307" t="str">
        <f t="shared" si="365"/>
        <v/>
      </c>
      <c r="O95" s="308" t="str">
        <f t="shared" si="366"/>
        <v/>
      </c>
      <c r="P95" s="302">
        <f t="shared" si="339"/>
        <v>0</v>
      </c>
      <c r="Q95" s="307" t="str">
        <f t="shared" si="367"/>
        <v/>
      </c>
      <c r="R95" s="308" t="str">
        <f t="shared" si="368"/>
        <v/>
      </c>
      <c r="S95" s="302">
        <f t="shared" si="341"/>
        <v>0</v>
      </c>
      <c r="T95" s="307" t="str">
        <f t="shared" si="369"/>
        <v/>
      </c>
      <c r="U95" s="308" t="str">
        <f t="shared" si="370"/>
        <v/>
      </c>
      <c r="V95" s="302">
        <f t="shared" si="343"/>
        <v>0</v>
      </c>
      <c r="W95" s="307" t="str">
        <f t="shared" si="371"/>
        <v/>
      </c>
      <c r="X95" s="308" t="str">
        <f t="shared" si="372"/>
        <v/>
      </c>
      <c r="Y95" s="302">
        <f t="shared" si="345"/>
        <v>0</v>
      </c>
      <c r="Z95" s="307" t="str">
        <f t="shared" si="373"/>
        <v/>
      </c>
      <c r="AA95" s="308" t="str">
        <f t="shared" si="374"/>
        <v/>
      </c>
      <c r="AB95" s="302">
        <f t="shared" si="347"/>
        <v>0</v>
      </c>
      <c r="AC95" s="307" t="str">
        <f t="shared" si="375"/>
        <v/>
      </c>
      <c r="AD95" s="308" t="str">
        <f t="shared" si="376"/>
        <v/>
      </c>
      <c r="AE95" s="302">
        <f t="shared" si="349"/>
        <v>0</v>
      </c>
      <c r="AF95" s="307" t="str">
        <f t="shared" si="377"/>
        <v/>
      </c>
      <c r="AG95" s="308" t="str">
        <f t="shared" si="378"/>
        <v/>
      </c>
      <c r="AH95" s="302">
        <f t="shared" si="351"/>
        <v>0</v>
      </c>
      <c r="AI95" s="307" t="str">
        <f t="shared" si="379"/>
        <v/>
      </c>
      <c r="AJ95" s="308" t="str">
        <f t="shared" si="380"/>
        <v/>
      </c>
      <c r="AK95" s="302">
        <f t="shared" si="353"/>
        <v>0</v>
      </c>
      <c r="AL95" s="307">
        <f t="shared" ref="AL95:AM95" si="383">B95+E95+H95+K95+N95+Q95+T95+W95+Z95+AC95+AF95+AI95</f>
        <v>0</v>
      </c>
      <c r="AM95" s="308">
        <f t="shared" si="383"/>
        <v>0</v>
      </c>
      <c r="AN95" s="303">
        <f t="shared" si="355"/>
        <v>0</v>
      </c>
      <c r="AO95" s="312" t="str">
        <f t="shared" si="382"/>
        <v/>
      </c>
    </row>
    <row r="96" collapsed="1">
      <c r="A96" s="176"/>
      <c r="B96" s="307" t="str">
        <f t="shared" si="357"/>
        <v/>
      </c>
      <c r="C96" s="308" t="str">
        <f t="shared" si="358"/>
        <v/>
      </c>
      <c r="D96" s="302">
        <f t="shared" si="331"/>
        <v>0</v>
      </c>
      <c r="E96" s="307" t="str">
        <f t="shared" si="359"/>
        <v/>
      </c>
      <c r="F96" s="308" t="str">
        <f t="shared" si="360"/>
        <v/>
      </c>
      <c r="G96" s="302">
        <f t="shared" si="333"/>
        <v>0</v>
      </c>
      <c r="H96" s="307" t="str">
        <f t="shared" si="361"/>
        <v/>
      </c>
      <c r="I96" s="308" t="str">
        <f t="shared" si="362"/>
        <v/>
      </c>
      <c r="J96" s="302">
        <f t="shared" si="335"/>
        <v>0</v>
      </c>
      <c r="K96" s="307" t="str">
        <f t="shared" si="363"/>
        <v/>
      </c>
      <c r="L96" s="308" t="str">
        <f t="shared" si="364"/>
        <v/>
      </c>
      <c r="M96" s="302">
        <f t="shared" si="337"/>
        <v>0</v>
      </c>
      <c r="N96" s="307" t="str">
        <f t="shared" si="365"/>
        <v/>
      </c>
      <c r="O96" s="308" t="str">
        <f t="shared" si="366"/>
        <v/>
      </c>
      <c r="P96" s="302">
        <f t="shared" si="339"/>
        <v>0</v>
      </c>
      <c r="Q96" s="307" t="str">
        <f t="shared" si="367"/>
        <v/>
      </c>
      <c r="R96" s="308" t="str">
        <f t="shared" si="368"/>
        <v/>
      </c>
      <c r="S96" s="302">
        <f t="shared" si="341"/>
        <v>0</v>
      </c>
      <c r="T96" s="307" t="str">
        <f t="shared" si="369"/>
        <v/>
      </c>
      <c r="U96" s="308" t="str">
        <f t="shared" si="370"/>
        <v/>
      </c>
      <c r="V96" s="302">
        <f t="shared" si="343"/>
        <v>0</v>
      </c>
      <c r="W96" s="307" t="str">
        <f t="shared" si="371"/>
        <v/>
      </c>
      <c r="X96" s="308" t="str">
        <f t="shared" si="372"/>
        <v/>
      </c>
      <c r="Y96" s="302">
        <f t="shared" si="345"/>
        <v>0</v>
      </c>
      <c r="Z96" s="307" t="str">
        <f t="shared" si="373"/>
        <v/>
      </c>
      <c r="AA96" s="308" t="str">
        <f t="shared" si="374"/>
        <v/>
      </c>
      <c r="AB96" s="302">
        <f t="shared" si="347"/>
        <v>0</v>
      </c>
      <c r="AC96" s="307" t="str">
        <f t="shared" si="375"/>
        <v/>
      </c>
      <c r="AD96" s="308" t="str">
        <f t="shared" si="376"/>
        <v/>
      </c>
      <c r="AE96" s="302">
        <f t="shared" si="349"/>
        <v>0</v>
      </c>
      <c r="AF96" s="307" t="str">
        <f t="shared" si="377"/>
        <v/>
      </c>
      <c r="AG96" s="308" t="str">
        <f t="shared" si="378"/>
        <v/>
      </c>
      <c r="AH96" s="302">
        <f t="shared" si="351"/>
        <v>0</v>
      </c>
      <c r="AI96" s="307" t="str">
        <f t="shared" si="379"/>
        <v/>
      </c>
      <c r="AJ96" s="308" t="str">
        <f t="shared" si="380"/>
        <v/>
      </c>
      <c r="AK96" s="302">
        <f t="shared" si="353"/>
        <v>0</v>
      </c>
      <c r="AL96" s="307">
        <f t="shared" ref="AL96:AM96" si="384">B96+E96+H96+K96+N96+Q96+T96+W96+Z96+AC96+AF96+AI96</f>
        <v>0</v>
      </c>
      <c r="AM96" s="308">
        <f t="shared" si="384"/>
        <v>0</v>
      </c>
      <c r="AN96" s="303">
        <f t="shared" si="355"/>
        <v>0</v>
      </c>
      <c r="AO96" s="121" t="str">
        <f t="shared" si="382"/>
        <v/>
      </c>
    </row>
    <row r="97" hidden="1" outlineLevel="1">
      <c r="A97" s="176"/>
      <c r="B97" s="307" t="str">
        <f t="shared" si="357"/>
        <v/>
      </c>
      <c r="C97" s="308"/>
      <c r="D97" s="302">
        <f t="shared" si="331"/>
        <v>0</v>
      </c>
      <c r="E97" s="307" t="str">
        <f t="shared" si="359"/>
        <v/>
      </c>
      <c r="F97" s="308"/>
      <c r="G97" s="302">
        <f t="shared" si="333"/>
        <v>0</v>
      </c>
      <c r="H97" s="307" t="str">
        <f t="shared" si="361"/>
        <v/>
      </c>
      <c r="I97" s="308"/>
      <c r="J97" s="302">
        <f t="shared" si="335"/>
        <v>0</v>
      </c>
      <c r="K97" s="307" t="str">
        <f t="shared" si="363"/>
        <v/>
      </c>
      <c r="L97" s="308"/>
      <c r="M97" s="302">
        <f t="shared" si="337"/>
        <v>0</v>
      </c>
      <c r="N97" s="307" t="str">
        <f t="shared" si="365"/>
        <v/>
      </c>
      <c r="O97" s="308"/>
      <c r="P97" s="302">
        <f t="shared" si="339"/>
        <v>0</v>
      </c>
      <c r="Q97" s="307" t="str">
        <f t="shared" si="367"/>
        <v/>
      </c>
      <c r="R97" s="308"/>
      <c r="S97" s="302">
        <f t="shared" si="341"/>
        <v>0</v>
      </c>
      <c r="T97" s="307" t="str">
        <f t="shared" si="369"/>
        <v/>
      </c>
      <c r="U97" s="308"/>
      <c r="V97" s="302">
        <f t="shared" si="343"/>
        <v>0</v>
      </c>
      <c r="W97" s="307" t="str">
        <f t="shared" si="371"/>
        <v/>
      </c>
      <c r="X97" s="308"/>
      <c r="Y97" s="302">
        <f t="shared" si="345"/>
        <v>0</v>
      </c>
      <c r="Z97" s="307" t="str">
        <f t="shared" si="373"/>
        <v/>
      </c>
      <c r="AA97" s="308"/>
      <c r="AB97" s="302">
        <f t="shared" si="347"/>
        <v>0</v>
      </c>
      <c r="AC97" s="307" t="str">
        <f t="shared" si="375"/>
        <v/>
      </c>
      <c r="AD97" s="308"/>
      <c r="AE97" s="302">
        <f t="shared" si="349"/>
        <v>0</v>
      </c>
      <c r="AF97" s="307" t="str">
        <f t="shared" si="377"/>
        <v/>
      </c>
      <c r="AG97" s="308"/>
      <c r="AH97" s="302">
        <f t="shared" si="351"/>
        <v>0</v>
      </c>
      <c r="AI97" s="307" t="str">
        <f t="shared" si="379"/>
        <v/>
      </c>
      <c r="AJ97" s="308"/>
      <c r="AK97" s="302">
        <f t="shared" si="353"/>
        <v>0</v>
      </c>
      <c r="AL97" s="307">
        <f t="shared" ref="AL97:AM97" si="385">B97+E97+H97+K97+N97+Q97+T97+W97+Z97+AC97+AF97+AI97</f>
        <v>0</v>
      </c>
      <c r="AM97" s="308">
        <f t="shared" si="385"/>
        <v>0</v>
      </c>
      <c r="AN97" s="303">
        <f t="shared" si="355"/>
        <v>0</v>
      </c>
      <c r="AO97" s="121" t="str">
        <f t="shared" si="382"/>
        <v/>
      </c>
    </row>
    <row r="98" hidden="1" outlineLevel="1">
      <c r="A98" s="176"/>
      <c r="B98" s="307" t="str">
        <f t="shared" si="357"/>
        <v/>
      </c>
      <c r="C98" s="308"/>
      <c r="D98" s="302">
        <f t="shared" si="331"/>
        <v>0</v>
      </c>
      <c r="E98" s="307" t="str">
        <f t="shared" si="359"/>
        <v/>
      </c>
      <c r="F98" s="308"/>
      <c r="G98" s="302">
        <f t="shared" si="333"/>
        <v>0</v>
      </c>
      <c r="H98" s="307" t="str">
        <f t="shared" si="361"/>
        <v/>
      </c>
      <c r="I98" s="308"/>
      <c r="J98" s="302">
        <f t="shared" si="335"/>
        <v>0</v>
      </c>
      <c r="K98" s="307" t="str">
        <f t="shared" si="363"/>
        <v/>
      </c>
      <c r="L98" s="308"/>
      <c r="M98" s="302">
        <f t="shared" si="337"/>
        <v>0</v>
      </c>
      <c r="N98" s="307" t="str">
        <f t="shared" si="365"/>
        <v/>
      </c>
      <c r="O98" s="308"/>
      <c r="P98" s="302">
        <f t="shared" si="339"/>
        <v>0</v>
      </c>
      <c r="Q98" s="307" t="str">
        <f t="shared" si="367"/>
        <v/>
      </c>
      <c r="R98" s="308"/>
      <c r="S98" s="302">
        <f t="shared" si="341"/>
        <v>0</v>
      </c>
      <c r="T98" s="307" t="str">
        <f t="shared" si="369"/>
        <v/>
      </c>
      <c r="U98" s="308"/>
      <c r="V98" s="302">
        <f t="shared" si="343"/>
        <v>0</v>
      </c>
      <c r="W98" s="307" t="str">
        <f t="shared" si="371"/>
        <v/>
      </c>
      <c r="X98" s="308"/>
      <c r="Y98" s="302">
        <f t="shared" si="345"/>
        <v>0</v>
      </c>
      <c r="Z98" s="307" t="str">
        <f t="shared" si="373"/>
        <v/>
      </c>
      <c r="AA98" s="308"/>
      <c r="AB98" s="302">
        <f t="shared" si="347"/>
        <v>0</v>
      </c>
      <c r="AC98" s="307" t="str">
        <f t="shared" si="375"/>
        <v/>
      </c>
      <c r="AD98" s="308"/>
      <c r="AE98" s="302">
        <f t="shared" si="349"/>
        <v>0</v>
      </c>
      <c r="AF98" s="307" t="str">
        <f t="shared" si="377"/>
        <v/>
      </c>
      <c r="AG98" s="308"/>
      <c r="AH98" s="302">
        <f t="shared" si="351"/>
        <v>0</v>
      </c>
      <c r="AI98" s="307" t="str">
        <f t="shared" si="379"/>
        <v/>
      </c>
      <c r="AJ98" s="308"/>
      <c r="AK98" s="302">
        <f t="shared" si="353"/>
        <v>0</v>
      </c>
      <c r="AL98" s="307">
        <f t="shared" ref="AL98:AM98" si="386">B98+E98+H98+K98+N98+Q98+T98+W98+Z98+AC98+AF98+AI98</f>
        <v>0</v>
      </c>
      <c r="AM98" s="308">
        <f t="shared" si="386"/>
        <v>0</v>
      </c>
      <c r="AN98" s="303">
        <f t="shared" si="355"/>
        <v>0</v>
      </c>
      <c r="AO98" s="121" t="str">
        <f t="shared" si="382"/>
        <v/>
      </c>
    </row>
    <row r="99" hidden="1" outlineLevel="1">
      <c r="A99" s="176"/>
      <c r="B99" s="307" t="str">
        <f t="shared" si="357"/>
        <v/>
      </c>
      <c r="C99" s="308"/>
      <c r="D99" s="302">
        <f t="shared" si="331"/>
        <v>0</v>
      </c>
      <c r="E99" s="307" t="str">
        <f t="shared" si="359"/>
        <v/>
      </c>
      <c r="F99" s="308"/>
      <c r="G99" s="302">
        <f t="shared" si="333"/>
        <v>0</v>
      </c>
      <c r="H99" s="307" t="str">
        <f t="shared" si="361"/>
        <v/>
      </c>
      <c r="I99" s="308"/>
      <c r="J99" s="302">
        <f t="shared" si="335"/>
        <v>0</v>
      </c>
      <c r="K99" s="307" t="str">
        <f t="shared" si="363"/>
        <v/>
      </c>
      <c r="L99" s="308"/>
      <c r="M99" s="302">
        <f t="shared" si="337"/>
        <v>0</v>
      </c>
      <c r="N99" s="307" t="str">
        <f t="shared" si="365"/>
        <v/>
      </c>
      <c r="O99" s="308"/>
      <c r="P99" s="302">
        <f t="shared" si="339"/>
        <v>0</v>
      </c>
      <c r="Q99" s="307" t="str">
        <f t="shared" si="367"/>
        <v/>
      </c>
      <c r="R99" s="308"/>
      <c r="S99" s="302">
        <f t="shared" si="341"/>
        <v>0</v>
      </c>
      <c r="T99" s="307" t="str">
        <f t="shared" si="369"/>
        <v/>
      </c>
      <c r="U99" s="308"/>
      <c r="V99" s="302">
        <f t="shared" si="343"/>
        <v>0</v>
      </c>
      <c r="W99" s="307" t="str">
        <f t="shared" si="371"/>
        <v/>
      </c>
      <c r="X99" s="308"/>
      <c r="Y99" s="302">
        <f t="shared" si="345"/>
        <v>0</v>
      </c>
      <c r="Z99" s="307" t="str">
        <f t="shared" si="373"/>
        <v/>
      </c>
      <c r="AA99" s="308"/>
      <c r="AB99" s="302">
        <f t="shared" si="347"/>
        <v>0</v>
      </c>
      <c r="AC99" s="307" t="str">
        <f t="shared" si="375"/>
        <v/>
      </c>
      <c r="AD99" s="308"/>
      <c r="AE99" s="302">
        <f t="shared" si="349"/>
        <v>0</v>
      </c>
      <c r="AF99" s="307" t="str">
        <f t="shared" si="377"/>
        <v/>
      </c>
      <c r="AG99" s="308"/>
      <c r="AH99" s="302">
        <f t="shared" si="351"/>
        <v>0</v>
      </c>
      <c r="AI99" s="307" t="str">
        <f t="shared" si="379"/>
        <v/>
      </c>
      <c r="AJ99" s="308"/>
      <c r="AK99" s="302">
        <f t="shared" si="353"/>
        <v>0</v>
      </c>
      <c r="AL99" s="307">
        <f t="shared" ref="AL99:AM99" si="387">B99+E99+H99+K99+N99+Q99+T99+W99+Z99+AC99+AF99+AI99</f>
        <v>0</v>
      </c>
      <c r="AM99" s="308">
        <f t="shared" si="387"/>
        <v>0</v>
      </c>
      <c r="AN99" s="303">
        <f t="shared" si="355"/>
        <v>0</v>
      </c>
      <c r="AO99" s="121" t="str">
        <f t="shared" si="382"/>
        <v/>
      </c>
    </row>
    <row r="100" hidden="1" outlineLevel="1">
      <c r="A100" s="176"/>
      <c r="B100" s="307" t="str">
        <f t="shared" si="357"/>
        <v/>
      </c>
      <c r="C100" s="308"/>
      <c r="D100" s="302">
        <f t="shared" si="331"/>
        <v>0</v>
      </c>
      <c r="E100" s="307" t="str">
        <f t="shared" si="359"/>
        <v/>
      </c>
      <c r="F100" s="308"/>
      <c r="G100" s="302">
        <f t="shared" si="333"/>
        <v>0</v>
      </c>
      <c r="H100" s="307" t="str">
        <f t="shared" si="361"/>
        <v/>
      </c>
      <c r="I100" s="308"/>
      <c r="J100" s="302">
        <f t="shared" si="335"/>
        <v>0</v>
      </c>
      <c r="K100" s="307" t="str">
        <f t="shared" si="363"/>
        <v/>
      </c>
      <c r="L100" s="308"/>
      <c r="M100" s="302">
        <f t="shared" si="337"/>
        <v>0</v>
      </c>
      <c r="N100" s="307" t="str">
        <f t="shared" si="365"/>
        <v/>
      </c>
      <c r="O100" s="308"/>
      <c r="P100" s="302">
        <f t="shared" si="339"/>
        <v>0</v>
      </c>
      <c r="Q100" s="307" t="str">
        <f t="shared" si="367"/>
        <v/>
      </c>
      <c r="R100" s="308"/>
      <c r="S100" s="302">
        <f t="shared" si="341"/>
        <v>0</v>
      </c>
      <c r="T100" s="307" t="str">
        <f t="shared" si="369"/>
        <v/>
      </c>
      <c r="U100" s="308"/>
      <c r="V100" s="302">
        <f t="shared" si="343"/>
        <v>0</v>
      </c>
      <c r="W100" s="307" t="str">
        <f t="shared" si="371"/>
        <v/>
      </c>
      <c r="X100" s="308"/>
      <c r="Y100" s="302">
        <f t="shared" si="345"/>
        <v>0</v>
      </c>
      <c r="Z100" s="307" t="str">
        <f t="shared" si="373"/>
        <v/>
      </c>
      <c r="AA100" s="308"/>
      <c r="AB100" s="302">
        <f t="shared" si="347"/>
        <v>0</v>
      </c>
      <c r="AC100" s="307" t="str">
        <f t="shared" si="375"/>
        <v/>
      </c>
      <c r="AD100" s="308"/>
      <c r="AE100" s="302">
        <f t="shared" si="349"/>
        <v>0</v>
      </c>
      <c r="AF100" s="307" t="str">
        <f t="shared" si="377"/>
        <v/>
      </c>
      <c r="AG100" s="308"/>
      <c r="AH100" s="302">
        <f t="shared" si="351"/>
        <v>0</v>
      </c>
      <c r="AI100" s="307" t="str">
        <f t="shared" si="379"/>
        <v/>
      </c>
      <c r="AJ100" s="308"/>
      <c r="AK100" s="302">
        <f t="shared" si="353"/>
        <v>0</v>
      </c>
      <c r="AL100" s="307">
        <f t="shared" ref="AL100:AM100" si="388">B100+E100+H100+K100+N100+Q100+T100+W100+Z100+AC100+AF100+AI100</f>
        <v>0</v>
      </c>
      <c r="AM100" s="308">
        <f t="shared" si="388"/>
        <v>0</v>
      </c>
      <c r="AN100" s="303">
        <f t="shared" si="355"/>
        <v>0</v>
      </c>
      <c r="AO100" s="121" t="str">
        <f t="shared" si="382"/>
        <v/>
      </c>
    </row>
    <row r="101" hidden="1" outlineLevel="1">
      <c r="A101" s="176"/>
      <c r="B101" s="307" t="str">
        <f t="shared" si="357"/>
        <v/>
      </c>
      <c r="C101" s="308"/>
      <c r="D101" s="302">
        <f t="shared" si="331"/>
        <v>0</v>
      </c>
      <c r="E101" s="307" t="str">
        <f t="shared" si="359"/>
        <v/>
      </c>
      <c r="F101" s="308"/>
      <c r="G101" s="302">
        <f t="shared" si="333"/>
        <v>0</v>
      </c>
      <c r="H101" s="307" t="str">
        <f t="shared" si="361"/>
        <v/>
      </c>
      <c r="I101" s="308"/>
      <c r="J101" s="302">
        <f t="shared" si="335"/>
        <v>0</v>
      </c>
      <c r="K101" s="307" t="str">
        <f t="shared" si="363"/>
        <v/>
      </c>
      <c r="L101" s="308"/>
      <c r="M101" s="302">
        <f t="shared" si="337"/>
        <v>0</v>
      </c>
      <c r="N101" s="307" t="str">
        <f t="shared" si="365"/>
        <v/>
      </c>
      <c r="O101" s="308"/>
      <c r="P101" s="302">
        <f t="shared" si="339"/>
        <v>0</v>
      </c>
      <c r="Q101" s="307" t="str">
        <f t="shared" si="367"/>
        <v/>
      </c>
      <c r="R101" s="308"/>
      <c r="S101" s="302">
        <f t="shared" si="341"/>
        <v>0</v>
      </c>
      <c r="T101" s="307" t="str">
        <f t="shared" si="369"/>
        <v/>
      </c>
      <c r="U101" s="308"/>
      <c r="V101" s="302">
        <f t="shared" si="343"/>
        <v>0</v>
      </c>
      <c r="W101" s="307" t="str">
        <f t="shared" si="371"/>
        <v/>
      </c>
      <c r="X101" s="308"/>
      <c r="Y101" s="302">
        <f t="shared" si="345"/>
        <v>0</v>
      </c>
      <c r="Z101" s="307" t="str">
        <f t="shared" si="373"/>
        <v/>
      </c>
      <c r="AA101" s="308"/>
      <c r="AB101" s="302">
        <f t="shared" si="347"/>
        <v>0</v>
      </c>
      <c r="AC101" s="307" t="str">
        <f t="shared" si="375"/>
        <v/>
      </c>
      <c r="AD101" s="308"/>
      <c r="AE101" s="302">
        <f t="shared" si="349"/>
        <v>0</v>
      </c>
      <c r="AF101" s="307" t="str">
        <f t="shared" si="377"/>
        <v/>
      </c>
      <c r="AG101" s="308"/>
      <c r="AH101" s="302">
        <f t="shared" si="351"/>
        <v>0</v>
      </c>
      <c r="AI101" s="307" t="str">
        <f t="shared" si="379"/>
        <v/>
      </c>
      <c r="AJ101" s="308"/>
      <c r="AK101" s="302">
        <f t="shared" si="353"/>
        <v>0</v>
      </c>
      <c r="AL101" s="307">
        <f t="shared" ref="AL101:AM101" si="389">B101+E101+H101+K101+N101+Q101+T101+W101+Z101+AC101+AF101+AI101</f>
        <v>0</v>
      </c>
      <c r="AM101" s="308">
        <f t="shared" si="389"/>
        <v>0</v>
      </c>
      <c r="AN101" s="303">
        <f t="shared" si="355"/>
        <v>0</v>
      </c>
      <c r="AO101" s="121" t="str">
        <f t="shared" si="382"/>
        <v/>
      </c>
    </row>
    <row r="102" hidden="1" outlineLevel="1">
      <c r="A102" s="176"/>
      <c r="B102" s="307" t="str">
        <f t="shared" si="357"/>
        <v/>
      </c>
      <c r="C102" s="308"/>
      <c r="D102" s="302">
        <f t="shared" si="331"/>
        <v>0</v>
      </c>
      <c r="E102" s="307" t="str">
        <f t="shared" si="359"/>
        <v/>
      </c>
      <c r="F102" s="308"/>
      <c r="G102" s="302">
        <f t="shared" si="333"/>
        <v>0</v>
      </c>
      <c r="H102" s="307" t="str">
        <f t="shared" si="361"/>
        <v/>
      </c>
      <c r="I102" s="308"/>
      <c r="J102" s="302">
        <f t="shared" si="335"/>
        <v>0</v>
      </c>
      <c r="K102" s="307" t="str">
        <f t="shared" si="363"/>
        <v/>
      </c>
      <c r="L102" s="308"/>
      <c r="M102" s="302">
        <f t="shared" si="337"/>
        <v>0</v>
      </c>
      <c r="N102" s="307" t="str">
        <f t="shared" si="365"/>
        <v/>
      </c>
      <c r="O102" s="308"/>
      <c r="P102" s="302">
        <f t="shared" si="339"/>
        <v>0</v>
      </c>
      <c r="Q102" s="307" t="str">
        <f t="shared" si="367"/>
        <v/>
      </c>
      <c r="R102" s="308"/>
      <c r="S102" s="302">
        <f t="shared" si="341"/>
        <v>0</v>
      </c>
      <c r="T102" s="307" t="str">
        <f t="shared" si="369"/>
        <v/>
      </c>
      <c r="U102" s="308"/>
      <c r="V102" s="302">
        <f t="shared" si="343"/>
        <v>0</v>
      </c>
      <c r="W102" s="307" t="str">
        <f t="shared" si="371"/>
        <v/>
      </c>
      <c r="X102" s="308"/>
      <c r="Y102" s="302">
        <f t="shared" si="345"/>
        <v>0</v>
      </c>
      <c r="Z102" s="307" t="str">
        <f t="shared" si="373"/>
        <v/>
      </c>
      <c r="AA102" s="308"/>
      <c r="AB102" s="302">
        <f t="shared" si="347"/>
        <v>0</v>
      </c>
      <c r="AC102" s="307" t="str">
        <f t="shared" si="375"/>
        <v/>
      </c>
      <c r="AD102" s="308"/>
      <c r="AE102" s="302">
        <f t="shared" si="349"/>
        <v>0</v>
      </c>
      <c r="AF102" s="307" t="str">
        <f t="shared" si="377"/>
        <v/>
      </c>
      <c r="AG102" s="308"/>
      <c r="AH102" s="302">
        <f t="shared" si="351"/>
        <v>0</v>
      </c>
      <c r="AI102" s="307" t="str">
        <f t="shared" si="379"/>
        <v/>
      </c>
      <c r="AJ102" s="308"/>
      <c r="AK102" s="302">
        <f t="shared" si="353"/>
        <v>0</v>
      </c>
      <c r="AL102" s="307">
        <f t="shared" ref="AL102:AM102" si="390">B102+E102+H102+K102+N102+Q102+T102+W102+Z102+AC102+AF102+AI102</f>
        <v>0</v>
      </c>
      <c r="AM102" s="308">
        <f t="shared" si="390"/>
        <v>0</v>
      </c>
      <c r="AN102" s="303">
        <f t="shared" si="355"/>
        <v>0</v>
      </c>
      <c r="AO102" s="121" t="str">
        <f t="shared" si="382"/>
        <v/>
      </c>
    </row>
    <row r="103">
      <c r="A103" s="176"/>
      <c r="B103" s="307" t="str">
        <f t="shared" si="357"/>
        <v/>
      </c>
      <c r="C103" s="308"/>
      <c r="D103" s="302">
        <f t="shared" si="331"/>
        <v>0</v>
      </c>
      <c r="E103" s="307" t="str">
        <f t="shared" si="359"/>
        <v/>
      </c>
      <c r="F103" s="308"/>
      <c r="G103" s="302"/>
      <c r="H103" s="307" t="str">
        <f t="shared" si="361"/>
        <v/>
      </c>
      <c r="I103" s="308"/>
      <c r="J103" s="302"/>
      <c r="K103" s="307" t="str">
        <f t="shared" si="363"/>
        <v/>
      </c>
      <c r="L103" s="308"/>
      <c r="M103" s="302"/>
      <c r="N103" s="307" t="str">
        <f t="shared" si="365"/>
        <v/>
      </c>
      <c r="O103" s="308"/>
      <c r="P103" s="302"/>
      <c r="Q103" s="307" t="str">
        <f t="shared" si="367"/>
        <v/>
      </c>
      <c r="R103" s="308"/>
      <c r="S103" s="302"/>
      <c r="T103" s="307" t="str">
        <f t="shared" si="369"/>
        <v/>
      </c>
      <c r="U103" s="308"/>
      <c r="V103" s="302"/>
      <c r="W103" s="307" t="str">
        <f t="shared" si="371"/>
        <v/>
      </c>
      <c r="X103" s="308"/>
      <c r="Y103" s="302"/>
      <c r="Z103" s="307" t="str">
        <f t="shared" si="373"/>
        <v/>
      </c>
      <c r="AA103" s="308"/>
      <c r="AB103" s="302"/>
      <c r="AC103" s="307" t="str">
        <f t="shared" si="375"/>
        <v/>
      </c>
      <c r="AD103" s="308"/>
      <c r="AE103" s="302"/>
      <c r="AF103" s="307" t="str">
        <f t="shared" si="377"/>
        <v/>
      </c>
      <c r="AG103" s="308"/>
      <c r="AH103" s="302"/>
      <c r="AI103" s="307" t="str">
        <f t="shared" si="379"/>
        <v/>
      </c>
      <c r="AJ103" s="308"/>
      <c r="AK103" s="302"/>
      <c r="AL103" s="307"/>
      <c r="AM103" s="308"/>
      <c r="AN103" s="303"/>
      <c r="AO103" s="121" t="str">
        <f t="shared" si="382"/>
        <v/>
      </c>
    </row>
    <row r="104">
      <c r="A104" s="313" t="s">
        <v>90</v>
      </c>
      <c r="B104" s="314">
        <f t="shared" ref="B104:C104" si="391">SUM(B105:B127)</f>
        <v>-22173</v>
      </c>
      <c r="C104" s="315">
        <f t="shared" si="391"/>
        <v>-14937.97</v>
      </c>
      <c r="D104" s="302">
        <f t="shared" si="331"/>
        <v>1.484338233</v>
      </c>
      <c r="E104" s="314">
        <f t="shared" ref="E104:F104" si="392">SUM(E105:E127)</f>
        <v>0</v>
      </c>
      <c r="F104" s="315">
        <f t="shared" si="392"/>
        <v>0</v>
      </c>
      <c r="G104" s="302">
        <f t="shared" ref="G104:G126" si="404">IFERROR(E104/F104,0)</f>
        <v>0</v>
      </c>
      <c r="H104" s="314">
        <f t="shared" ref="H104:I104" si="393">SUM(H105:H127)</f>
        <v>0</v>
      </c>
      <c r="I104" s="315">
        <f t="shared" si="393"/>
        <v>0</v>
      </c>
      <c r="J104" s="302">
        <f t="shared" ref="J104:J126" si="405">IFERROR(H104/I104,0)</f>
        <v>0</v>
      </c>
      <c r="K104" s="314">
        <f t="shared" ref="K104:L104" si="394">SUM(K105:K127)</f>
        <v>0</v>
      </c>
      <c r="L104" s="315">
        <f t="shared" si="394"/>
        <v>0</v>
      </c>
      <c r="M104" s="302">
        <f t="shared" ref="M104:M126" si="406">IFERROR(K104/L104,0)</f>
        <v>0</v>
      </c>
      <c r="N104" s="314">
        <f t="shared" ref="N104:O104" si="395">SUM(N105:N127)</f>
        <v>0</v>
      </c>
      <c r="O104" s="315">
        <f t="shared" si="395"/>
        <v>0</v>
      </c>
      <c r="P104" s="302">
        <f t="shared" ref="P104:P126" si="407">IFERROR(N104/O104,0)</f>
        <v>0</v>
      </c>
      <c r="Q104" s="314">
        <f t="shared" ref="Q104:R104" si="396">SUM(Q105:Q127)</f>
        <v>0</v>
      </c>
      <c r="R104" s="315">
        <f t="shared" si="396"/>
        <v>0</v>
      </c>
      <c r="S104" s="302">
        <f t="shared" ref="S104:S126" si="408">IFERROR(Q104/R104,0)</f>
        <v>0</v>
      </c>
      <c r="T104" s="314">
        <f t="shared" ref="T104:U104" si="397">SUM(T105:T127)</f>
        <v>0</v>
      </c>
      <c r="U104" s="315">
        <f t="shared" si="397"/>
        <v>0</v>
      </c>
      <c r="V104" s="302">
        <f t="shared" ref="V104:V126" si="409">IFERROR(T104/U104,0)</f>
        <v>0</v>
      </c>
      <c r="W104" s="314">
        <f t="shared" ref="W104:X104" si="398">SUM(W105:W127)</f>
        <v>0</v>
      </c>
      <c r="X104" s="315">
        <f t="shared" si="398"/>
        <v>0</v>
      </c>
      <c r="Y104" s="302">
        <f t="shared" ref="Y104:Y126" si="410">IFERROR(W104/X104,0)</f>
        <v>0</v>
      </c>
      <c r="Z104" s="314">
        <f t="shared" ref="Z104:AA104" si="399">SUM(Z105:Z127)</f>
        <v>0</v>
      </c>
      <c r="AA104" s="315">
        <f t="shared" si="399"/>
        <v>0</v>
      </c>
      <c r="AB104" s="302">
        <f t="shared" ref="AB104:AB126" si="411">IFERROR(Z104/AA104,0)</f>
        <v>0</v>
      </c>
      <c r="AC104" s="314">
        <f t="shared" ref="AC104:AD104" si="400">SUM(AC105:AC127)</f>
        <v>0</v>
      </c>
      <c r="AD104" s="315">
        <f t="shared" si="400"/>
        <v>0</v>
      </c>
      <c r="AE104" s="302">
        <f t="shared" ref="AE104:AE126" si="412">IFERROR(AC104/AD104,0)</f>
        <v>0</v>
      </c>
      <c r="AF104" s="314">
        <f t="shared" ref="AF104:AG104" si="401">SUM(AF105:AF127)</f>
        <v>0</v>
      </c>
      <c r="AG104" s="315">
        <f t="shared" si="401"/>
        <v>0</v>
      </c>
      <c r="AH104" s="302">
        <f t="shared" ref="AH104:AH126" si="413">IFERROR(AF104/AG104,0)</f>
        <v>0</v>
      </c>
      <c r="AI104" s="314">
        <f t="shared" ref="AI104:AJ104" si="402">SUM(AI105:AI127)</f>
        <v>0</v>
      </c>
      <c r="AJ104" s="315">
        <f t="shared" si="402"/>
        <v>0</v>
      </c>
      <c r="AK104" s="302">
        <f t="shared" ref="AK104:AK126" si="414">IFERROR(AI104/AJ104,0)</f>
        <v>0</v>
      </c>
      <c r="AL104" s="314">
        <f t="shared" ref="AL104:AM104" si="403">B104+E104+H104+K104+N104+Q104+T104+W104+Z104+AC104+AF104+AI104</f>
        <v>-22173</v>
      </c>
      <c r="AM104" s="315">
        <f t="shared" si="403"/>
        <v>-14937.97</v>
      </c>
      <c r="AN104" s="303">
        <f t="shared" ref="AN104:AN126" si="416">IFERROR(AL104/AM104,0)</f>
        <v>1.484338233</v>
      </c>
      <c r="AO104" s="141" t="str">
        <f t="shared" si="382"/>
        <v>перерасход</v>
      </c>
    </row>
    <row r="105">
      <c r="A105" s="125" t="str">
        <f>IFERROR(__xludf.DUMMYFUNCTION("iferror(filter('Статьи'!$A$1:$A175,'Статьи'!$B$1:$B175=$A$104))"),"Аренда, коммунальные услуги")</f>
        <v>Аренда, коммунальные услуги</v>
      </c>
      <c r="B105" s="307">
        <f t="shared" ref="B105:B127" si="417">if($AI$2,IFERROR(INDIRECT("'"&amp;B$4&amp;"'!"&amp;$B$2&amp;match($A105,INDIRECT("'"&amp;B$4&amp;"'!B1:B"),0)),""),
IFERROR(INDIRECT("'"&amp;B$4&amp;"!"&amp;$B$2&amp;match($A105,INDIRECT("'"&amp;B$4&amp;"'!B:B"),0)),""))</f>
        <v>-5023</v>
      </c>
      <c r="C105" s="308">
        <f t="shared" ref="C105:C127" si="418">IF($AI$2,IFERROR(INDIRECT("'"&amp;C$4&amp;"'!"&amp;$C$2&amp;MATCH($A105,INDIRECT("'"&amp;C$4&amp;"'!B1:B"),0)),""),
IFERROR(INDIRECT("'"&amp;C$4&amp;"!"&amp;$B$2&amp;MATCH($A105,INDIRECT("'"&amp;C$4&amp;"'!B:B"),0)),""))</f>
        <v>-4500</v>
      </c>
      <c r="D105" s="302">
        <f t="shared" si="331"/>
        <v>1.116222222</v>
      </c>
      <c r="E105" s="307">
        <f t="shared" ref="E105:E127" si="419">if($AI$2,IFERROR(INDIRECT("'"&amp;E$4&amp;"'!"&amp;$B$2&amp;match($A105,INDIRECT("'"&amp;E$4&amp;"'!B1:B"),0)),""),
IFERROR(INDIRECT("'"&amp;E$4&amp;"!"&amp;$B$2&amp;match($A105,INDIRECT("'"&amp;E$4&amp;"'!B:B"),0)),""))</f>
        <v>0</v>
      </c>
      <c r="F105" s="308">
        <f t="shared" ref="F105:F126" si="420">IF($AI$2,IFERROR(INDIRECT("'"&amp;F$4&amp;"'!"&amp;$C$2&amp;MATCH($A105,INDIRECT("'"&amp;F$4&amp;"'!B1:B"),0)),""),
IFERROR(INDIRECT("'"&amp;F$4&amp;"!"&amp;$B$2&amp;MATCH($A105,INDIRECT("'"&amp;F$4&amp;"'!B:B"),0)),""))</f>
        <v>0</v>
      </c>
      <c r="G105" s="302">
        <f t="shared" si="404"/>
        <v>0</v>
      </c>
      <c r="H105" s="307">
        <f t="shared" ref="H105:H127" si="421">if($AI$2,IFERROR(INDIRECT("'"&amp;H$4&amp;"'!"&amp;$B$2&amp;match($A105,INDIRECT("'"&amp;H$4&amp;"'!B1:B"),0)),""),
IFERROR(INDIRECT("'"&amp;H$4&amp;"!"&amp;$B$2&amp;match($A105,INDIRECT("'"&amp;H$4&amp;"'!B:B"),0)),""))</f>
        <v>0</v>
      </c>
      <c r="I105" s="308">
        <f t="shared" ref="I105:I126" si="422">IF($AI$2,IFERROR(INDIRECT("'"&amp;I$4&amp;"'!"&amp;$C$2&amp;MATCH($A105,INDIRECT("'"&amp;I$4&amp;"'!B1:B"),0)),""),
IFERROR(INDIRECT("'"&amp;I$4&amp;"!"&amp;$B$2&amp;MATCH($A105,INDIRECT("'"&amp;I$4&amp;"'!B:B"),0)),""))</f>
        <v>0</v>
      </c>
      <c r="J105" s="302">
        <f t="shared" si="405"/>
        <v>0</v>
      </c>
      <c r="K105" s="307">
        <f t="shared" ref="K105:K127" si="423">if($AI$2,IFERROR(INDIRECT("'"&amp;K$4&amp;"'!"&amp;$B$2&amp;match($A105,INDIRECT("'"&amp;K$4&amp;"'!B1:B"),0)),""),
IFERROR(INDIRECT("'"&amp;K$4&amp;"!"&amp;$B$2&amp;match($A105,INDIRECT("'"&amp;K$4&amp;"'!B:B"),0)),""))</f>
        <v>0</v>
      </c>
      <c r="L105" s="308">
        <f t="shared" ref="L105:L126" si="424">IF($AI$2,IFERROR(INDIRECT("'"&amp;L$4&amp;"'!"&amp;$C$2&amp;MATCH($A105,INDIRECT("'"&amp;L$4&amp;"'!B1:B"),0)),""),
IFERROR(INDIRECT("'"&amp;L$4&amp;"!"&amp;$B$2&amp;MATCH($A105,INDIRECT("'"&amp;L$4&amp;"'!B:B"),0)),""))</f>
        <v>0</v>
      </c>
      <c r="M105" s="302">
        <f t="shared" si="406"/>
        <v>0</v>
      </c>
      <c r="N105" s="307">
        <f t="shared" ref="N105:N127" si="425">if($AI$2,IFERROR(INDIRECT("'"&amp;N$4&amp;"'!"&amp;$B$2&amp;match($A105,INDIRECT("'"&amp;N$4&amp;"'!B1:B"),0)),""),
IFERROR(INDIRECT("'"&amp;N$4&amp;"!"&amp;$B$2&amp;match($A105,INDIRECT("'"&amp;N$4&amp;"'!B:B"),0)),""))</f>
        <v>0</v>
      </c>
      <c r="O105" s="308">
        <f t="shared" ref="O105:O126" si="426">IF($AI$2,IFERROR(INDIRECT("'"&amp;O$4&amp;"'!"&amp;$C$2&amp;MATCH($A105,INDIRECT("'"&amp;O$4&amp;"'!B1:B"),0)),""),
IFERROR(INDIRECT("'"&amp;O$4&amp;"!"&amp;$B$2&amp;MATCH($A105,INDIRECT("'"&amp;O$4&amp;"'!B:B"),0)),""))</f>
        <v>0</v>
      </c>
      <c r="P105" s="302">
        <f t="shared" si="407"/>
        <v>0</v>
      </c>
      <c r="Q105" s="307">
        <f t="shared" ref="Q105:Q127" si="427">if($AI$2,IFERROR(INDIRECT("'"&amp;Q$4&amp;"'!"&amp;$B$2&amp;match($A105,INDIRECT("'"&amp;Q$4&amp;"'!B1:B"),0)),""),
IFERROR(INDIRECT("'"&amp;Q$4&amp;"!"&amp;$B$2&amp;match($A105,INDIRECT("'"&amp;Q$4&amp;"'!B:B"),0)),""))</f>
        <v>0</v>
      </c>
      <c r="R105" s="308">
        <f t="shared" ref="R105:R126" si="428">IF($AI$2,IFERROR(INDIRECT("'"&amp;R$4&amp;"'!"&amp;$C$2&amp;MATCH($A105,INDIRECT("'"&amp;R$4&amp;"'!B1:B"),0)),""),
IFERROR(INDIRECT("'"&amp;R$4&amp;"!"&amp;$B$2&amp;MATCH($A105,INDIRECT("'"&amp;R$4&amp;"'!B:B"),0)),""))</f>
        <v>0</v>
      </c>
      <c r="S105" s="302">
        <f t="shared" si="408"/>
        <v>0</v>
      </c>
      <c r="T105" s="307">
        <f t="shared" ref="T105:T127" si="429">if($AI$2,IFERROR(INDIRECT("'"&amp;T$4&amp;"'!"&amp;$B$2&amp;match($A105,INDIRECT("'"&amp;T$4&amp;"'!B1:B"),0)),""),
IFERROR(INDIRECT("'"&amp;T$4&amp;"!"&amp;$B$2&amp;match($A105,INDIRECT("'"&amp;T$4&amp;"'!B:B"),0)),""))</f>
        <v>0</v>
      </c>
      <c r="U105" s="308">
        <f t="shared" ref="U105:U126" si="430">IF($AI$2,IFERROR(INDIRECT("'"&amp;U$4&amp;"'!"&amp;$C$2&amp;MATCH($A105,INDIRECT("'"&amp;U$4&amp;"'!B1:B"),0)),""),
IFERROR(INDIRECT("'"&amp;U$4&amp;"!"&amp;$B$2&amp;MATCH($A105,INDIRECT("'"&amp;U$4&amp;"'!B:B"),0)),""))</f>
        <v>0</v>
      </c>
      <c r="V105" s="302">
        <f t="shared" si="409"/>
        <v>0</v>
      </c>
      <c r="W105" s="307">
        <f t="shared" ref="W105:W127" si="431">if($AI$2,IFERROR(INDIRECT("'"&amp;W$4&amp;"'!"&amp;$B$2&amp;match($A105,INDIRECT("'"&amp;W$4&amp;"'!B1:B"),0)),""),
IFERROR(INDIRECT("'"&amp;W$4&amp;"!"&amp;$B$2&amp;match($A105,INDIRECT("'"&amp;W$4&amp;"'!B:B"),0)),""))</f>
        <v>0</v>
      </c>
      <c r="X105" s="308">
        <f t="shared" ref="X105:X126" si="432">IF($AI$2,IFERROR(INDIRECT("'"&amp;X$4&amp;"'!"&amp;$C$2&amp;MATCH($A105,INDIRECT("'"&amp;X$4&amp;"'!B1:B"),0)),""),
IFERROR(INDIRECT("'"&amp;X$4&amp;"!"&amp;$B$2&amp;MATCH($A105,INDIRECT("'"&amp;X$4&amp;"'!B:B"),0)),""))</f>
        <v>0</v>
      </c>
      <c r="Y105" s="302">
        <f t="shared" si="410"/>
        <v>0</v>
      </c>
      <c r="Z105" s="307">
        <f t="shared" ref="Z105:Z127" si="433">if($AI$2,IFERROR(INDIRECT("'"&amp;Z$4&amp;"'!"&amp;$B$2&amp;match($A105,INDIRECT("'"&amp;Z$4&amp;"'!B1:B"),0)),""),
IFERROR(INDIRECT("'"&amp;Z$4&amp;"!"&amp;$B$2&amp;match($A105,INDIRECT("'"&amp;Z$4&amp;"'!B:B"),0)),""))</f>
        <v>0</v>
      </c>
      <c r="AA105" s="308">
        <f t="shared" ref="AA105:AA126" si="434">IF($AI$2,IFERROR(INDIRECT("'"&amp;AA$4&amp;"'!"&amp;$C$2&amp;MATCH($A105,INDIRECT("'"&amp;AA$4&amp;"'!B1:B"),0)),""),
IFERROR(INDIRECT("'"&amp;AA$4&amp;"!"&amp;$B$2&amp;MATCH($A105,INDIRECT("'"&amp;AA$4&amp;"'!B:B"),0)),""))</f>
        <v>0</v>
      </c>
      <c r="AB105" s="302">
        <f t="shared" si="411"/>
        <v>0</v>
      </c>
      <c r="AC105" s="307">
        <f t="shared" ref="AC105:AC127" si="435">if($AI$2,IFERROR(INDIRECT("'"&amp;AC$4&amp;"'!"&amp;$B$2&amp;match($A105,INDIRECT("'"&amp;AC$4&amp;"'!B1:B"),0)),""),
IFERROR(INDIRECT("'"&amp;AC$4&amp;"!"&amp;$B$2&amp;match($A105,INDIRECT("'"&amp;AC$4&amp;"'!B:B"),0)),""))</f>
        <v>0</v>
      </c>
      <c r="AD105" s="308">
        <f t="shared" ref="AD105:AD126" si="436">IF($AI$2,IFERROR(INDIRECT("'"&amp;AD$4&amp;"'!"&amp;$C$2&amp;MATCH($A105,INDIRECT("'"&amp;AD$4&amp;"'!B1:B"),0)),""),
IFERROR(INDIRECT("'"&amp;AD$4&amp;"!"&amp;$B$2&amp;MATCH($A105,INDIRECT("'"&amp;AD$4&amp;"'!B:B"),0)),""))</f>
        <v>0</v>
      </c>
      <c r="AE105" s="302">
        <f t="shared" si="412"/>
        <v>0</v>
      </c>
      <c r="AF105" s="307">
        <f t="shared" ref="AF105:AF127" si="437">if($AI$2,IFERROR(INDIRECT("'"&amp;AF$4&amp;"'!"&amp;$B$2&amp;match($A105,INDIRECT("'"&amp;AF$4&amp;"'!B1:B"),0)),""),
IFERROR(INDIRECT("'"&amp;AF$4&amp;"!"&amp;$B$2&amp;match($A105,INDIRECT("'"&amp;AF$4&amp;"'!B:B"),0)),""))</f>
        <v>0</v>
      </c>
      <c r="AG105" s="308">
        <f t="shared" ref="AG105:AG126" si="438">IF($AI$2,IFERROR(INDIRECT("'"&amp;AG$4&amp;"'!"&amp;$C$2&amp;MATCH($A105,INDIRECT("'"&amp;AG$4&amp;"'!B1:B"),0)),""),
IFERROR(INDIRECT("'"&amp;AG$4&amp;"!"&amp;$B$2&amp;MATCH($A105,INDIRECT("'"&amp;AG$4&amp;"'!B:B"),0)),""))</f>
        <v>0</v>
      </c>
      <c r="AH105" s="302">
        <f t="shared" si="413"/>
        <v>0</v>
      </c>
      <c r="AI105" s="307">
        <f t="shared" ref="AI105:AI127" si="439">if($AI$2,IFERROR(INDIRECT("'"&amp;AI$4&amp;"'!"&amp;$B$2&amp;match($A105,INDIRECT("'"&amp;AI$4&amp;"'!B1:B"),0)),""),
IFERROR(INDIRECT("'"&amp;AI$4&amp;"!"&amp;$B$2&amp;match($A105,INDIRECT("'"&amp;AI$4&amp;"'!B:B"),0)),""))</f>
        <v>0</v>
      </c>
      <c r="AJ105" s="308">
        <f t="shared" ref="AJ105:AJ126" si="440">IF($AI$2,IFERROR(INDIRECT("'"&amp;AJ$4&amp;"'!"&amp;$C$2&amp;MATCH($A105,INDIRECT("'"&amp;AJ$4&amp;"'!B1:B"),0)),""),
IFERROR(INDIRECT("'"&amp;AJ$4&amp;"!"&amp;$B$2&amp;MATCH($A105,INDIRECT("'"&amp;AJ$4&amp;"'!B:B"),0)),""))</f>
        <v>0</v>
      </c>
      <c r="AK105" s="302">
        <f t="shared" si="414"/>
        <v>0</v>
      </c>
      <c r="AL105" s="307">
        <f t="shared" ref="AL105:AM105" si="415">B105+E105+H105+K105+N105+Q105+T105+W105+Z105+AC105+AF105+AI105</f>
        <v>-5023</v>
      </c>
      <c r="AM105" s="308">
        <f t="shared" si="415"/>
        <v>-4500</v>
      </c>
      <c r="AN105" s="303">
        <f t="shared" si="416"/>
        <v>1.116222222</v>
      </c>
      <c r="AO105" s="121" t="str">
        <f t="shared" si="382"/>
        <v>перерасход</v>
      </c>
    </row>
    <row r="106">
      <c r="A106" s="336" t="str">
        <f>IFERROR(__xludf.DUMMYFUNCTION("""COMPUTED_VALUE"""),"Аутсорсинг и прочие услуги")</f>
        <v>Аутсорсинг и прочие услуги</v>
      </c>
      <c r="B106" s="307">
        <f t="shared" si="417"/>
        <v>-1200</v>
      </c>
      <c r="C106" s="308">
        <f t="shared" si="418"/>
        <v>-2147</v>
      </c>
      <c r="D106" s="302">
        <f t="shared" si="331"/>
        <v>0.5589194224</v>
      </c>
      <c r="E106" s="307">
        <f t="shared" si="419"/>
        <v>0</v>
      </c>
      <c r="F106" s="308">
        <f t="shared" si="420"/>
        <v>0</v>
      </c>
      <c r="G106" s="302">
        <f t="shared" si="404"/>
        <v>0</v>
      </c>
      <c r="H106" s="307">
        <f t="shared" si="421"/>
        <v>0</v>
      </c>
      <c r="I106" s="308">
        <f t="shared" si="422"/>
        <v>0</v>
      </c>
      <c r="J106" s="302">
        <f t="shared" si="405"/>
        <v>0</v>
      </c>
      <c r="K106" s="307">
        <f t="shared" si="423"/>
        <v>0</v>
      </c>
      <c r="L106" s="308">
        <f t="shared" si="424"/>
        <v>0</v>
      </c>
      <c r="M106" s="302">
        <f t="shared" si="406"/>
        <v>0</v>
      </c>
      <c r="N106" s="307">
        <f t="shared" si="425"/>
        <v>0</v>
      </c>
      <c r="O106" s="308">
        <f t="shared" si="426"/>
        <v>0</v>
      </c>
      <c r="P106" s="302">
        <f t="shared" si="407"/>
        <v>0</v>
      </c>
      <c r="Q106" s="307">
        <f t="shared" si="427"/>
        <v>0</v>
      </c>
      <c r="R106" s="308">
        <f t="shared" si="428"/>
        <v>0</v>
      </c>
      <c r="S106" s="302">
        <f t="shared" si="408"/>
        <v>0</v>
      </c>
      <c r="T106" s="307">
        <f t="shared" si="429"/>
        <v>0</v>
      </c>
      <c r="U106" s="308">
        <f t="shared" si="430"/>
        <v>0</v>
      </c>
      <c r="V106" s="302">
        <f t="shared" si="409"/>
        <v>0</v>
      </c>
      <c r="W106" s="307">
        <f t="shared" si="431"/>
        <v>0</v>
      </c>
      <c r="X106" s="308">
        <f t="shared" si="432"/>
        <v>0</v>
      </c>
      <c r="Y106" s="302">
        <f t="shared" si="410"/>
        <v>0</v>
      </c>
      <c r="Z106" s="307">
        <f t="shared" si="433"/>
        <v>0</v>
      </c>
      <c r="AA106" s="308">
        <f t="shared" si="434"/>
        <v>0</v>
      </c>
      <c r="AB106" s="302">
        <f t="shared" si="411"/>
        <v>0</v>
      </c>
      <c r="AC106" s="307">
        <f t="shared" si="435"/>
        <v>0</v>
      </c>
      <c r="AD106" s="308">
        <f t="shared" si="436"/>
        <v>0</v>
      </c>
      <c r="AE106" s="302">
        <f t="shared" si="412"/>
        <v>0</v>
      </c>
      <c r="AF106" s="307">
        <f t="shared" si="437"/>
        <v>0</v>
      </c>
      <c r="AG106" s="308">
        <f t="shared" si="438"/>
        <v>0</v>
      </c>
      <c r="AH106" s="302">
        <f t="shared" si="413"/>
        <v>0</v>
      </c>
      <c r="AI106" s="307">
        <f t="shared" si="439"/>
        <v>0</v>
      </c>
      <c r="AJ106" s="308">
        <f t="shared" si="440"/>
        <v>0</v>
      </c>
      <c r="AK106" s="302">
        <f t="shared" si="414"/>
        <v>0</v>
      </c>
      <c r="AL106" s="307">
        <f t="shared" ref="AL106:AM106" si="441">B106+E106+H106+K106+N106+Q106+T106+W106+Z106+AC106+AF106+AI106</f>
        <v>-1200</v>
      </c>
      <c r="AM106" s="308">
        <f t="shared" si="441"/>
        <v>-2147</v>
      </c>
      <c r="AN106" s="303">
        <f t="shared" si="416"/>
        <v>0.5589194224</v>
      </c>
      <c r="AO106" s="121" t="str">
        <f t="shared" si="382"/>
        <v>экономия</v>
      </c>
    </row>
    <row r="107">
      <c r="A107" s="336" t="str">
        <f>IFERROR(__xludf.DUMMYFUNCTION("""COMPUTED_VALUE"""),"Командировочные расходы")</f>
        <v>Командировочные расходы</v>
      </c>
      <c r="B107" s="307">
        <f t="shared" si="417"/>
        <v>-2000</v>
      </c>
      <c r="C107" s="308">
        <f t="shared" si="418"/>
        <v>-1800</v>
      </c>
      <c r="D107" s="302">
        <f t="shared" si="331"/>
        <v>1.111111111</v>
      </c>
      <c r="E107" s="307">
        <f t="shared" si="419"/>
        <v>0</v>
      </c>
      <c r="F107" s="308">
        <f t="shared" si="420"/>
        <v>0</v>
      </c>
      <c r="G107" s="302">
        <f t="shared" si="404"/>
        <v>0</v>
      </c>
      <c r="H107" s="307">
        <f t="shared" si="421"/>
        <v>0</v>
      </c>
      <c r="I107" s="308">
        <f t="shared" si="422"/>
        <v>0</v>
      </c>
      <c r="J107" s="302">
        <f t="shared" si="405"/>
        <v>0</v>
      </c>
      <c r="K107" s="307">
        <f t="shared" si="423"/>
        <v>0</v>
      </c>
      <c r="L107" s="308">
        <f t="shared" si="424"/>
        <v>0</v>
      </c>
      <c r="M107" s="302">
        <f t="shared" si="406"/>
        <v>0</v>
      </c>
      <c r="N107" s="307">
        <f t="shared" si="425"/>
        <v>0</v>
      </c>
      <c r="O107" s="308">
        <f t="shared" si="426"/>
        <v>0</v>
      </c>
      <c r="P107" s="302">
        <f t="shared" si="407"/>
        <v>0</v>
      </c>
      <c r="Q107" s="307">
        <f t="shared" si="427"/>
        <v>0</v>
      </c>
      <c r="R107" s="308">
        <f t="shared" si="428"/>
        <v>0</v>
      </c>
      <c r="S107" s="302">
        <f t="shared" si="408"/>
        <v>0</v>
      </c>
      <c r="T107" s="307">
        <f t="shared" si="429"/>
        <v>0</v>
      </c>
      <c r="U107" s="308">
        <f t="shared" si="430"/>
        <v>0</v>
      </c>
      <c r="V107" s="302">
        <f t="shared" si="409"/>
        <v>0</v>
      </c>
      <c r="W107" s="307">
        <f t="shared" si="431"/>
        <v>0</v>
      </c>
      <c r="X107" s="308">
        <f t="shared" si="432"/>
        <v>0</v>
      </c>
      <c r="Y107" s="302">
        <f t="shared" si="410"/>
        <v>0</v>
      </c>
      <c r="Z107" s="307">
        <f t="shared" si="433"/>
        <v>0</v>
      </c>
      <c r="AA107" s="308">
        <f t="shared" si="434"/>
        <v>0</v>
      </c>
      <c r="AB107" s="302">
        <f t="shared" si="411"/>
        <v>0</v>
      </c>
      <c r="AC107" s="307">
        <f t="shared" si="435"/>
        <v>0</v>
      </c>
      <c r="AD107" s="308">
        <f t="shared" si="436"/>
        <v>0</v>
      </c>
      <c r="AE107" s="302">
        <f t="shared" si="412"/>
        <v>0</v>
      </c>
      <c r="AF107" s="307">
        <f t="shared" si="437"/>
        <v>0</v>
      </c>
      <c r="AG107" s="308">
        <f t="shared" si="438"/>
        <v>0</v>
      </c>
      <c r="AH107" s="302">
        <f t="shared" si="413"/>
        <v>0</v>
      </c>
      <c r="AI107" s="307">
        <f t="shared" si="439"/>
        <v>0</v>
      </c>
      <c r="AJ107" s="308">
        <f t="shared" si="440"/>
        <v>0</v>
      </c>
      <c r="AK107" s="302">
        <f t="shared" si="414"/>
        <v>0</v>
      </c>
      <c r="AL107" s="307">
        <f t="shared" ref="AL107:AM107" si="442">B107+E107+H107+K107+N107+Q107+T107+W107+Z107+AC107+AF107+AI107</f>
        <v>-2000</v>
      </c>
      <c r="AM107" s="308">
        <f t="shared" si="442"/>
        <v>-1800</v>
      </c>
      <c r="AN107" s="303">
        <f t="shared" si="416"/>
        <v>1.111111111</v>
      </c>
      <c r="AO107" s="121" t="str">
        <f t="shared" si="382"/>
        <v>перерасход</v>
      </c>
    </row>
    <row r="108">
      <c r="A108" s="336" t="str">
        <f>IFERROR(__xludf.DUMMYFUNCTION("""COMPUTED_VALUE"""),"Комиссии банка")</f>
        <v>Комиссии банка</v>
      </c>
      <c r="B108" s="307">
        <f t="shared" si="417"/>
        <v>-100</v>
      </c>
      <c r="C108" s="308">
        <f t="shared" si="418"/>
        <v>-100</v>
      </c>
      <c r="D108" s="302">
        <f t="shared" si="331"/>
        <v>1</v>
      </c>
      <c r="E108" s="307">
        <f t="shared" si="419"/>
        <v>0</v>
      </c>
      <c r="F108" s="308">
        <f t="shared" si="420"/>
        <v>0</v>
      </c>
      <c r="G108" s="302">
        <f t="shared" si="404"/>
        <v>0</v>
      </c>
      <c r="H108" s="307">
        <f t="shared" si="421"/>
        <v>0</v>
      </c>
      <c r="I108" s="308">
        <f t="shared" si="422"/>
        <v>0</v>
      </c>
      <c r="J108" s="302">
        <f t="shared" si="405"/>
        <v>0</v>
      </c>
      <c r="K108" s="307">
        <f t="shared" si="423"/>
        <v>0</v>
      </c>
      <c r="L108" s="308">
        <f t="shared" si="424"/>
        <v>0</v>
      </c>
      <c r="M108" s="302">
        <f t="shared" si="406"/>
        <v>0</v>
      </c>
      <c r="N108" s="307">
        <f t="shared" si="425"/>
        <v>0</v>
      </c>
      <c r="O108" s="308">
        <f t="shared" si="426"/>
        <v>0</v>
      </c>
      <c r="P108" s="302">
        <f t="shared" si="407"/>
        <v>0</v>
      </c>
      <c r="Q108" s="307">
        <f t="shared" si="427"/>
        <v>0</v>
      </c>
      <c r="R108" s="308">
        <f t="shared" si="428"/>
        <v>0</v>
      </c>
      <c r="S108" s="302">
        <f t="shared" si="408"/>
        <v>0</v>
      </c>
      <c r="T108" s="307">
        <f t="shared" si="429"/>
        <v>0</v>
      </c>
      <c r="U108" s="308">
        <f t="shared" si="430"/>
        <v>0</v>
      </c>
      <c r="V108" s="302">
        <f t="shared" si="409"/>
        <v>0</v>
      </c>
      <c r="W108" s="307">
        <f t="shared" si="431"/>
        <v>0</v>
      </c>
      <c r="X108" s="308">
        <f t="shared" si="432"/>
        <v>0</v>
      </c>
      <c r="Y108" s="302">
        <f t="shared" si="410"/>
        <v>0</v>
      </c>
      <c r="Z108" s="307">
        <f t="shared" si="433"/>
        <v>0</v>
      </c>
      <c r="AA108" s="308">
        <f t="shared" si="434"/>
        <v>0</v>
      </c>
      <c r="AB108" s="302">
        <f t="shared" si="411"/>
        <v>0</v>
      </c>
      <c r="AC108" s="307">
        <f t="shared" si="435"/>
        <v>0</v>
      </c>
      <c r="AD108" s="308">
        <f t="shared" si="436"/>
        <v>0</v>
      </c>
      <c r="AE108" s="302">
        <f t="shared" si="412"/>
        <v>0</v>
      </c>
      <c r="AF108" s="307">
        <f t="shared" si="437"/>
        <v>0</v>
      </c>
      <c r="AG108" s="308">
        <f t="shared" si="438"/>
        <v>0</v>
      </c>
      <c r="AH108" s="302">
        <f t="shared" si="413"/>
        <v>0</v>
      </c>
      <c r="AI108" s="307">
        <f t="shared" si="439"/>
        <v>0</v>
      </c>
      <c r="AJ108" s="308">
        <f t="shared" si="440"/>
        <v>0</v>
      </c>
      <c r="AK108" s="302">
        <f t="shared" si="414"/>
        <v>0</v>
      </c>
      <c r="AL108" s="307">
        <f t="shared" ref="AL108:AM108" si="443">B108+E108+H108+K108+N108+Q108+T108+W108+Z108+AC108+AF108+AI108</f>
        <v>-100</v>
      </c>
      <c r="AM108" s="308">
        <f t="shared" si="443"/>
        <v>-100</v>
      </c>
      <c r="AN108" s="303">
        <f t="shared" si="416"/>
        <v>1</v>
      </c>
      <c r="AO108" s="121" t="str">
        <f t="shared" si="382"/>
        <v>экономия</v>
      </c>
    </row>
    <row r="109">
      <c r="A109" s="336" t="str">
        <f>IFERROR(__xludf.DUMMYFUNCTION("""COMPUTED_VALUE"""),"Обучение сотрудников")</f>
        <v>Обучение сотрудников</v>
      </c>
      <c r="B109" s="307">
        <f t="shared" si="417"/>
        <v>-8148</v>
      </c>
      <c r="C109" s="308">
        <f t="shared" si="418"/>
        <v>-5000</v>
      </c>
      <c r="D109" s="302">
        <f t="shared" si="331"/>
        <v>1.6296</v>
      </c>
      <c r="E109" s="307">
        <f t="shared" si="419"/>
        <v>0</v>
      </c>
      <c r="F109" s="308">
        <f t="shared" si="420"/>
        <v>0</v>
      </c>
      <c r="G109" s="302">
        <f t="shared" si="404"/>
        <v>0</v>
      </c>
      <c r="H109" s="307">
        <f t="shared" si="421"/>
        <v>0</v>
      </c>
      <c r="I109" s="308">
        <f t="shared" si="422"/>
        <v>0</v>
      </c>
      <c r="J109" s="302">
        <f t="shared" si="405"/>
        <v>0</v>
      </c>
      <c r="K109" s="307">
        <f t="shared" si="423"/>
        <v>0</v>
      </c>
      <c r="L109" s="308">
        <f t="shared" si="424"/>
        <v>0</v>
      </c>
      <c r="M109" s="302">
        <f t="shared" si="406"/>
        <v>0</v>
      </c>
      <c r="N109" s="307">
        <f t="shared" si="425"/>
        <v>0</v>
      </c>
      <c r="O109" s="308">
        <f t="shared" si="426"/>
        <v>0</v>
      </c>
      <c r="P109" s="302">
        <f t="shared" si="407"/>
        <v>0</v>
      </c>
      <c r="Q109" s="307">
        <f t="shared" si="427"/>
        <v>0</v>
      </c>
      <c r="R109" s="308">
        <f t="shared" si="428"/>
        <v>0</v>
      </c>
      <c r="S109" s="302">
        <f t="shared" si="408"/>
        <v>0</v>
      </c>
      <c r="T109" s="307">
        <f t="shared" si="429"/>
        <v>0</v>
      </c>
      <c r="U109" s="308">
        <f t="shared" si="430"/>
        <v>0</v>
      </c>
      <c r="V109" s="302">
        <f t="shared" si="409"/>
        <v>0</v>
      </c>
      <c r="W109" s="307">
        <f t="shared" si="431"/>
        <v>0</v>
      </c>
      <c r="X109" s="308">
        <f t="shared" si="432"/>
        <v>0</v>
      </c>
      <c r="Y109" s="302">
        <f t="shared" si="410"/>
        <v>0</v>
      </c>
      <c r="Z109" s="307">
        <f t="shared" si="433"/>
        <v>0</v>
      </c>
      <c r="AA109" s="308">
        <f t="shared" si="434"/>
        <v>0</v>
      </c>
      <c r="AB109" s="302">
        <f t="shared" si="411"/>
        <v>0</v>
      </c>
      <c r="AC109" s="307">
        <f t="shared" si="435"/>
        <v>0</v>
      </c>
      <c r="AD109" s="308">
        <f t="shared" si="436"/>
        <v>0</v>
      </c>
      <c r="AE109" s="302">
        <f t="shared" si="412"/>
        <v>0</v>
      </c>
      <c r="AF109" s="307">
        <f t="shared" si="437"/>
        <v>0</v>
      </c>
      <c r="AG109" s="308">
        <f t="shared" si="438"/>
        <v>0</v>
      </c>
      <c r="AH109" s="302">
        <f t="shared" si="413"/>
        <v>0</v>
      </c>
      <c r="AI109" s="307">
        <f t="shared" si="439"/>
        <v>0</v>
      </c>
      <c r="AJ109" s="308">
        <f t="shared" si="440"/>
        <v>0</v>
      </c>
      <c r="AK109" s="302">
        <f t="shared" si="414"/>
        <v>0</v>
      </c>
      <c r="AL109" s="307">
        <f t="shared" ref="AL109:AM109" si="444">B109+E109+H109+K109+N109+Q109+T109+W109+Z109+AC109+AF109+AI109</f>
        <v>-8148</v>
      </c>
      <c r="AM109" s="308">
        <f t="shared" si="444"/>
        <v>-5000</v>
      </c>
      <c r="AN109" s="303">
        <f t="shared" si="416"/>
        <v>1.6296</v>
      </c>
      <c r="AO109" s="121" t="str">
        <f t="shared" si="382"/>
        <v>перерасход</v>
      </c>
    </row>
    <row r="110">
      <c r="A110" s="336" t="str">
        <f>IFERROR(__xludf.DUMMYFUNCTION("""COMPUTED_VALUE"""),"Подбор персонала")</f>
        <v>Подбор персонала</v>
      </c>
      <c r="B110" s="307">
        <f t="shared" si="417"/>
        <v>-4242</v>
      </c>
      <c r="C110" s="308">
        <f t="shared" si="418"/>
        <v>0</v>
      </c>
      <c r="D110" s="302">
        <f t="shared" si="331"/>
        <v>0</v>
      </c>
      <c r="E110" s="307">
        <f t="shared" si="419"/>
        <v>0</v>
      </c>
      <c r="F110" s="308">
        <f t="shared" si="420"/>
        <v>0</v>
      </c>
      <c r="G110" s="302">
        <f t="shared" si="404"/>
        <v>0</v>
      </c>
      <c r="H110" s="307">
        <f t="shared" si="421"/>
        <v>0</v>
      </c>
      <c r="I110" s="308">
        <f t="shared" si="422"/>
        <v>0</v>
      </c>
      <c r="J110" s="302">
        <f t="shared" si="405"/>
        <v>0</v>
      </c>
      <c r="K110" s="307">
        <f t="shared" si="423"/>
        <v>0</v>
      </c>
      <c r="L110" s="308">
        <f t="shared" si="424"/>
        <v>0</v>
      </c>
      <c r="M110" s="302">
        <f t="shared" si="406"/>
        <v>0</v>
      </c>
      <c r="N110" s="307">
        <f t="shared" si="425"/>
        <v>0</v>
      </c>
      <c r="O110" s="308">
        <f t="shared" si="426"/>
        <v>0</v>
      </c>
      <c r="P110" s="302">
        <f t="shared" si="407"/>
        <v>0</v>
      </c>
      <c r="Q110" s="307">
        <f t="shared" si="427"/>
        <v>0</v>
      </c>
      <c r="R110" s="308">
        <f t="shared" si="428"/>
        <v>0</v>
      </c>
      <c r="S110" s="302">
        <f t="shared" si="408"/>
        <v>0</v>
      </c>
      <c r="T110" s="307">
        <f t="shared" si="429"/>
        <v>0</v>
      </c>
      <c r="U110" s="308">
        <f t="shared" si="430"/>
        <v>0</v>
      </c>
      <c r="V110" s="302">
        <f t="shared" si="409"/>
        <v>0</v>
      </c>
      <c r="W110" s="307">
        <f t="shared" si="431"/>
        <v>0</v>
      </c>
      <c r="X110" s="308">
        <f t="shared" si="432"/>
        <v>0</v>
      </c>
      <c r="Y110" s="302">
        <f t="shared" si="410"/>
        <v>0</v>
      </c>
      <c r="Z110" s="307">
        <f t="shared" si="433"/>
        <v>0</v>
      </c>
      <c r="AA110" s="308">
        <f t="shared" si="434"/>
        <v>0</v>
      </c>
      <c r="AB110" s="302">
        <f t="shared" si="411"/>
        <v>0</v>
      </c>
      <c r="AC110" s="307">
        <f t="shared" si="435"/>
        <v>0</v>
      </c>
      <c r="AD110" s="308">
        <f t="shared" si="436"/>
        <v>0</v>
      </c>
      <c r="AE110" s="302">
        <f t="shared" si="412"/>
        <v>0</v>
      </c>
      <c r="AF110" s="307">
        <f t="shared" si="437"/>
        <v>0</v>
      </c>
      <c r="AG110" s="308">
        <f t="shared" si="438"/>
        <v>0</v>
      </c>
      <c r="AH110" s="302">
        <f t="shared" si="413"/>
        <v>0</v>
      </c>
      <c r="AI110" s="307">
        <f t="shared" si="439"/>
        <v>0</v>
      </c>
      <c r="AJ110" s="308">
        <f t="shared" si="440"/>
        <v>0</v>
      </c>
      <c r="AK110" s="302">
        <f t="shared" si="414"/>
        <v>0</v>
      </c>
      <c r="AL110" s="307">
        <f t="shared" ref="AL110:AM110" si="445">B110+E110+H110+K110+N110+Q110+T110+W110+Z110+AC110+AF110+AI110</f>
        <v>-4242</v>
      </c>
      <c r="AM110" s="308">
        <f t="shared" si="445"/>
        <v>0</v>
      </c>
      <c r="AN110" s="303">
        <f t="shared" si="416"/>
        <v>0</v>
      </c>
      <c r="AO110" s="121" t="str">
        <f t="shared" si="382"/>
        <v/>
      </c>
    </row>
    <row r="111">
      <c r="A111" s="336" t="str">
        <f>IFERROR(__xludf.DUMMYFUNCTION("""COMPUTED_VALUE"""),"Почтовые расходы")</f>
        <v>Почтовые расходы</v>
      </c>
      <c r="B111" s="307">
        <f t="shared" si="417"/>
        <v>0</v>
      </c>
      <c r="C111" s="308">
        <f t="shared" si="418"/>
        <v>-400</v>
      </c>
      <c r="D111" s="302">
        <f t="shared" si="331"/>
        <v>0</v>
      </c>
      <c r="E111" s="307">
        <f t="shared" si="419"/>
        <v>0</v>
      </c>
      <c r="F111" s="308">
        <f t="shared" si="420"/>
        <v>0</v>
      </c>
      <c r="G111" s="302">
        <f t="shared" si="404"/>
        <v>0</v>
      </c>
      <c r="H111" s="307">
        <f t="shared" si="421"/>
        <v>0</v>
      </c>
      <c r="I111" s="308">
        <f t="shared" si="422"/>
        <v>0</v>
      </c>
      <c r="J111" s="302">
        <f t="shared" si="405"/>
        <v>0</v>
      </c>
      <c r="K111" s="307">
        <f t="shared" si="423"/>
        <v>0</v>
      </c>
      <c r="L111" s="308">
        <f t="shared" si="424"/>
        <v>0</v>
      </c>
      <c r="M111" s="302">
        <f t="shared" si="406"/>
        <v>0</v>
      </c>
      <c r="N111" s="307">
        <f t="shared" si="425"/>
        <v>0</v>
      </c>
      <c r="O111" s="308">
        <f t="shared" si="426"/>
        <v>0</v>
      </c>
      <c r="P111" s="302">
        <f t="shared" si="407"/>
        <v>0</v>
      </c>
      <c r="Q111" s="307">
        <f t="shared" si="427"/>
        <v>0</v>
      </c>
      <c r="R111" s="308">
        <f t="shared" si="428"/>
        <v>0</v>
      </c>
      <c r="S111" s="302">
        <f t="shared" si="408"/>
        <v>0</v>
      </c>
      <c r="T111" s="307">
        <f t="shared" si="429"/>
        <v>0</v>
      </c>
      <c r="U111" s="308">
        <f t="shared" si="430"/>
        <v>0</v>
      </c>
      <c r="V111" s="302">
        <f t="shared" si="409"/>
        <v>0</v>
      </c>
      <c r="W111" s="307">
        <f t="shared" si="431"/>
        <v>0</v>
      </c>
      <c r="X111" s="308">
        <f t="shared" si="432"/>
        <v>0</v>
      </c>
      <c r="Y111" s="302">
        <f t="shared" si="410"/>
        <v>0</v>
      </c>
      <c r="Z111" s="307">
        <f t="shared" si="433"/>
        <v>0</v>
      </c>
      <c r="AA111" s="308">
        <f t="shared" si="434"/>
        <v>0</v>
      </c>
      <c r="AB111" s="302">
        <f t="shared" si="411"/>
        <v>0</v>
      </c>
      <c r="AC111" s="307">
        <f t="shared" si="435"/>
        <v>0</v>
      </c>
      <c r="AD111" s="308">
        <f t="shared" si="436"/>
        <v>0</v>
      </c>
      <c r="AE111" s="302">
        <f t="shared" si="412"/>
        <v>0</v>
      </c>
      <c r="AF111" s="307">
        <f t="shared" si="437"/>
        <v>0</v>
      </c>
      <c r="AG111" s="308">
        <f t="shared" si="438"/>
        <v>0</v>
      </c>
      <c r="AH111" s="302">
        <f t="shared" si="413"/>
        <v>0</v>
      </c>
      <c r="AI111" s="307">
        <f t="shared" si="439"/>
        <v>0</v>
      </c>
      <c r="AJ111" s="308">
        <f t="shared" si="440"/>
        <v>0</v>
      </c>
      <c r="AK111" s="302">
        <f t="shared" si="414"/>
        <v>0</v>
      </c>
      <c r="AL111" s="307">
        <f t="shared" ref="AL111:AM111" si="446">B111+E111+H111+K111+N111+Q111+T111+W111+Z111+AC111+AF111+AI111</f>
        <v>0</v>
      </c>
      <c r="AM111" s="308">
        <f t="shared" si="446"/>
        <v>-400</v>
      </c>
      <c r="AN111" s="303">
        <f t="shared" si="416"/>
        <v>0</v>
      </c>
      <c r="AO111" s="121" t="str">
        <f t="shared" si="382"/>
        <v>обратить внимание</v>
      </c>
    </row>
    <row r="112">
      <c r="A112" s="196" t="str">
        <f>IFERROR(__xludf.DUMMYFUNCTION("""COMPUTED_VALUE"""),"Представительские расходы")</f>
        <v>Представительские расходы</v>
      </c>
      <c r="B112" s="307">
        <f t="shared" si="417"/>
        <v>-960</v>
      </c>
      <c r="C112" s="308">
        <f t="shared" si="418"/>
        <v>-500</v>
      </c>
      <c r="D112" s="302">
        <f t="shared" si="331"/>
        <v>1.92</v>
      </c>
      <c r="E112" s="307">
        <f t="shared" si="419"/>
        <v>0</v>
      </c>
      <c r="F112" s="308">
        <f t="shared" si="420"/>
        <v>0</v>
      </c>
      <c r="G112" s="302">
        <f t="shared" si="404"/>
        <v>0</v>
      </c>
      <c r="H112" s="307">
        <f t="shared" si="421"/>
        <v>0</v>
      </c>
      <c r="I112" s="308">
        <f t="shared" si="422"/>
        <v>0</v>
      </c>
      <c r="J112" s="302">
        <f t="shared" si="405"/>
        <v>0</v>
      </c>
      <c r="K112" s="307">
        <f t="shared" si="423"/>
        <v>0</v>
      </c>
      <c r="L112" s="308">
        <f t="shared" si="424"/>
        <v>0</v>
      </c>
      <c r="M112" s="302">
        <f t="shared" si="406"/>
        <v>0</v>
      </c>
      <c r="N112" s="307">
        <f t="shared" si="425"/>
        <v>0</v>
      </c>
      <c r="O112" s="308">
        <f t="shared" si="426"/>
        <v>0</v>
      </c>
      <c r="P112" s="302">
        <f t="shared" si="407"/>
        <v>0</v>
      </c>
      <c r="Q112" s="307">
        <f t="shared" si="427"/>
        <v>0</v>
      </c>
      <c r="R112" s="308">
        <f t="shared" si="428"/>
        <v>0</v>
      </c>
      <c r="S112" s="302">
        <f t="shared" si="408"/>
        <v>0</v>
      </c>
      <c r="T112" s="307">
        <f t="shared" si="429"/>
        <v>0</v>
      </c>
      <c r="U112" s="308">
        <f t="shared" si="430"/>
        <v>0</v>
      </c>
      <c r="V112" s="302">
        <f t="shared" si="409"/>
        <v>0</v>
      </c>
      <c r="W112" s="307">
        <f t="shared" si="431"/>
        <v>0</v>
      </c>
      <c r="X112" s="308">
        <f t="shared" si="432"/>
        <v>0</v>
      </c>
      <c r="Y112" s="302">
        <f t="shared" si="410"/>
        <v>0</v>
      </c>
      <c r="Z112" s="307">
        <f t="shared" si="433"/>
        <v>0</v>
      </c>
      <c r="AA112" s="308">
        <f t="shared" si="434"/>
        <v>0</v>
      </c>
      <c r="AB112" s="302">
        <f t="shared" si="411"/>
        <v>0</v>
      </c>
      <c r="AC112" s="307">
        <f t="shared" si="435"/>
        <v>0</v>
      </c>
      <c r="AD112" s="308">
        <f t="shared" si="436"/>
        <v>0</v>
      </c>
      <c r="AE112" s="302">
        <f t="shared" si="412"/>
        <v>0</v>
      </c>
      <c r="AF112" s="307">
        <f t="shared" si="437"/>
        <v>0</v>
      </c>
      <c r="AG112" s="308">
        <f t="shared" si="438"/>
        <v>0</v>
      </c>
      <c r="AH112" s="302">
        <f t="shared" si="413"/>
        <v>0</v>
      </c>
      <c r="AI112" s="307">
        <f t="shared" si="439"/>
        <v>0</v>
      </c>
      <c r="AJ112" s="308">
        <f t="shared" si="440"/>
        <v>0</v>
      </c>
      <c r="AK112" s="302">
        <f t="shared" si="414"/>
        <v>0</v>
      </c>
      <c r="AL112" s="307">
        <f t="shared" ref="AL112:AM112" si="447">B112+E112+H112+K112+N112+Q112+T112+W112+Z112+AC112+AF112+AI112</f>
        <v>-960</v>
      </c>
      <c r="AM112" s="308">
        <f t="shared" si="447"/>
        <v>-500</v>
      </c>
      <c r="AN112" s="303">
        <f t="shared" si="416"/>
        <v>1.92</v>
      </c>
      <c r="AO112" s="121" t="str">
        <f t="shared" si="382"/>
        <v>перерасход</v>
      </c>
    </row>
    <row r="113">
      <c r="A113" s="337" t="str">
        <f>IFERROR(__xludf.DUMMYFUNCTION("""COMPUTED_VALUE"""),"Содержание офиса")</f>
        <v>Содержание офиса</v>
      </c>
      <c r="B113" s="307">
        <f t="shared" si="417"/>
        <v>0</v>
      </c>
      <c r="C113" s="308">
        <f t="shared" si="418"/>
        <v>0</v>
      </c>
      <c r="D113" s="302">
        <f t="shared" si="331"/>
        <v>0</v>
      </c>
      <c r="E113" s="307">
        <f t="shared" si="419"/>
        <v>0</v>
      </c>
      <c r="F113" s="308">
        <f t="shared" si="420"/>
        <v>0</v>
      </c>
      <c r="G113" s="302">
        <f t="shared" si="404"/>
        <v>0</v>
      </c>
      <c r="H113" s="307">
        <f t="shared" si="421"/>
        <v>0</v>
      </c>
      <c r="I113" s="308">
        <f t="shared" si="422"/>
        <v>0</v>
      </c>
      <c r="J113" s="302">
        <f t="shared" si="405"/>
        <v>0</v>
      </c>
      <c r="K113" s="307">
        <f t="shared" si="423"/>
        <v>0</v>
      </c>
      <c r="L113" s="308">
        <f t="shared" si="424"/>
        <v>0</v>
      </c>
      <c r="M113" s="302">
        <f t="shared" si="406"/>
        <v>0</v>
      </c>
      <c r="N113" s="307">
        <f t="shared" si="425"/>
        <v>0</v>
      </c>
      <c r="O113" s="308">
        <f t="shared" si="426"/>
        <v>0</v>
      </c>
      <c r="P113" s="302">
        <f t="shared" si="407"/>
        <v>0</v>
      </c>
      <c r="Q113" s="307">
        <f t="shared" si="427"/>
        <v>0</v>
      </c>
      <c r="R113" s="308">
        <f t="shared" si="428"/>
        <v>0</v>
      </c>
      <c r="S113" s="302">
        <f t="shared" si="408"/>
        <v>0</v>
      </c>
      <c r="T113" s="307">
        <f t="shared" si="429"/>
        <v>0</v>
      </c>
      <c r="U113" s="308">
        <f t="shared" si="430"/>
        <v>0</v>
      </c>
      <c r="V113" s="302">
        <f t="shared" si="409"/>
        <v>0</v>
      </c>
      <c r="W113" s="307">
        <f t="shared" si="431"/>
        <v>0</v>
      </c>
      <c r="X113" s="308">
        <f t="shared" si="432"/>
        <v>0</v>
      </c>
      <c r="Y113" s="302">
        <f t="shared" si="410"/>
        <v>0</v>
      </c>
      <c r="Z113" s="307">
        <f t="shared" si="433"/>
        <v>0</v>
      </c>
      <c r="AA113" s="308">
        <f t="shared" si="434"/>
        <v>0</v>
      </c>
      <c r="AB113" s="302">
        <f t="shared" si="411"/>
        <v>0</v>
      </c>
      <c r="AC113" s="307">
        <f t="shared" si="435"/>
        <v>0</v>
      </c>
      <c r="AD113" s="308">
        <f t="shared" si="436"/>
        <v>0</v>
      </c>
      <c r="AE113" s="302">
        <f t="shared" si="412"/>
        <v>0</v>
      </c>
      <c r="AF113" s="307">
        <f t="shared" si="437"/>
        <v>0</v>
      </c>
      <c r="AG113" s="308">
        <f t="shared" si="438"/>
        <v>0</v>
      </c>
      <c r="AH113" s="302">
        <f t="shared" si="413"/>
        <v>0</v>
      </c>
      <c r="AI113" s="307">
        <f t="shared" si="439"/>
        <v>0</v>
      </c>
      <c r="AJ113" s="308">
        <f t="shared" si="440"/>
        <v>0</v>
      </c>
      <c r="AK113" s="302">
        <f t="shared" si="414"/>
        <v>0</v>
      </c>
      <c r="AL113" s="307">
        <f t="shared" ref="AL113:AM113" si="448">B113+E113+H113+K113+N113+Q113+T113+W113+Z113+AC113+AF113+AI113</f>
        <v>0</v>
      </c>
      <c r="AM113" s="308">
        <f t="shared" si="448"/>
        <v>0</v>
      </c>
      <c r="AN113" s="303">
        <f t="shared" si="416"/>
        <v>0</v>
      </c>
      <c r="AO113" s="121" t="str">
        <f t="shared" si="382"/>
        <v/>
      </c>
    </row>
    <row r="114">
      <c r="A114" s="336" t="str">
        <f>IFERROR(__xludf.DUMMYFUNCTION("""COMPUTED_VALUE"""),"Услуги связи + Интернет")</f>
        <v>Услуги связи + Интернет</v>
      </c>
      <c r="B114" s="307">
        <f t="shared" si="417"/>
        <v>-500</v>
      </c>
      <c r="C114" s="308">
        <f t="shared" si="418"/>
        <v>-490.97</v>
      </c>
      <c r="D114" s="302">
        <f t="shared" si="331"/>
        <v>1.018392162</v>
      </c>
      <c r="E114" s="307">
        <f t="shared" si="419"/>
        <v>0</v>
      </c>
      <c r="F114" s="308">
        <f t="shared" si="420"/>
        <v>0</v>
      </c>
      <c r="G114" s="302">
        <f t="shared" si="404"/>
        <v>0</v>
      </c>
      <c r="H114" s="307">
        <f t="shared" si="421"/>
        <v>0</v>
      </c>
      <c r="I114" s="308">
        <f t="shared" si="422"/>
        <v>0</v>
      </c>
      <c r="J114" s="302">
        <f t="shared" si="405"/>
        <v>0</v>
      </c>
      <c r="K114" s="307">
        <f t="shared" si="423"/>
        <v>0</v>
      </c>
      <c r="L114" s="308">
        <f t="shared" si="424"/>
        <v>0</v>
      </c>
      <c r="M114" s="302">
        <f t="shared" si="406"/>
        <v>0</v>
      </c>
      <c r="N114" s="307">
        <f t="shared" si="425"/>
        <v>0</v>
      </c>
      <c r="O114" s="308">
        <f t="shared" si="426"/>
        <v>0</v>
      </c>
      <c r="P114" s="302">
        <f t="shared" si="407"/>
        <v>0</v>
      </c>
      <c r="Q114" s="307">
        <f t="shared" si="427"/>
        <v>0</v>
      </c>
      <c r="R114" s="308">
        <f t="shared" si="428"/>
        <v>0</v>
      </c>
      <c r="S114" s="302">
        <f t="shared" si="408"/>
        <v>0</v>
      </c>
      <c r="T114" s="307">
        <f t="shared" si="429"/>
        <v>0</v>
      </c>
      <c r="U114" s="308">
        <f t="shared" si="430"/>
        <v>0</v>
      </c>
      <c r="V114" s="302">
        <f t="shared" si="409"/>
        <v>0</v>
      </c>
      <c r="W114" s="307">
        <f t="shared" si="431"/>
        <v>0</v>
      </c>
      <c r="X114" s="308">
        <f t="shared" si="432"/>
        <v>0</v>
      </c>
      <c r="Y114" s="302">
        <f t="shared" si="410"/>
        <v>0</v>
      </c>
      <c r="Z114" s="307">
        <f t="shared" si="433"/>
        <v>0</v>
      </c>
      <c r="AA114" s="308">
        <f t="shared" si="434"/>
        <v>0</v>
      </c>
      <c r="AB114" s="302">
        <f t="shared" si="411"/>
        <v>0</v>
      </c>
      <c r="AC114" s="307">
        <f t="shared" si="435"/>
        <v>0</v>
      </c>
      <c r="AD114" s="308">
        <f t="shared" si="436"/>
        <v>0</v>
      </c>
      <c r="AE114" s="302">
        <f t="shared" si="412"/>
        <v>0</v>
      </c>
      <c r="AF114" s="307">
        <f t="shared" si="437"/>
        <v>0</v>
      </c>
      <c r="AG114" s="308">
        <f t="shared" si="438"/>
        <v>0</v>
      </c>
      <c r="AH114" s="302">
        <f t="shared" si="413"/>
        <v>0</v>
      </c>
      <c r="AI114" s="307">
        <f t="shared" si="439"/>
        <v>0</v>
      </c>
      <c r="AJ114" s="308">
        <f t="shared" si="440"/>
        <v>0</v>
      </c>
      <c r="AK114" s="302">
        <f t="shared" si="414"/>
        <v>0</v>
      </c>
      <c r="AL114" s="307">
        <f t="shared" ref="AL114:AM114" si="449">B114+E114+H114+K114+N114+Q114+T114+W114+Z114+AC114+AF114+AI114</f>
        <v>-500</v>
      </c>
      <c r="AM114" s="308">
        <f t="shared" si="449"/>
        <v>-490.97</v>
      </c>
      <c r="AN114" s="303">
        <f t="shared" si="416"/>
        <v>1.018392162</v>
      </c>
      <c r="AO114" s="121" t="str">
        <f t="shared" si="382"/>
        <v>перерасход</v>
      </c>
    </row>
    <row r="115" collapsed="1">
      <c r="A115" s="336" t="str">
        <f>IFERROR(__xludf.DUMMYFUNCTION("""COMPUTED_VALUE"""),"Штрафы")</f>
        <v>Штрафы</v>
      </c>
      <c r="B115" s="307">
        <f t="shared" si="417"/>
        <v>0</v>
      </c>
      <c r="C115" s="308">
        <f t="shared" si="418"/>
        <v>0</v>
      </c>
      <c r="D115" s="302">
        <f t="shared" si="331"/>
        <v>0</v>
      </c>
      <c r="E115" s="307">
        <f t="shared" si="419"/>
        <v>0</v>
      </c>
      <c r="F115" s="308">
        <f t="shared" si="420"/>
        <v>0</v>
      </c>
      <c r="G115" s="302">
        <f t="shared" si="404"/>
        <v>0</v>
      </c>
      <c r="H115" s="307">
        <f t="shared" si="421"/>
        <v>0</v>
      </c>
      <c r="I115" s="308">
        <f t="shared" si="422"/>
        <v>0</v>
      </c>
      <c r="J115" s="302">
        <f t="shared" si="405"/>
        <v>0</v>
      </c>
      <c r="K115" s="307">
        <f t="shared" si="423"/>
        <v>0</v>
      </c>
      <c r="L115" s="308">
        <f t="shared" si="424"/>
        <v>0</v>
      </c>
      <c r="M115" s="302">
        <f t="shared" si="406"/>
        <v>0</v>
      </c>
      <c r="N115" s="307">
        <f t="shared" si="425"/>
        <v>0</v>
      </c>
      <c r="O115" s="308">
        <f t="shared" si="426"/>
        <v>0</v>
      </c>
      <c r="P115" s="302">
        <f t="shared" si="407"/>
        <v>0</v>
      </c>
      <c r="Q115" s="307">
        <f t="shared" si="427"/>
        <v>0</v>
      </c>
      <c r="R115" s="308">
        <f t="shared" si="428"/>
        <v>0</v>
      </c>
      <c r="S115" s="302">
        <f t="shared" si="408"/>
        <v>0</v>
      </c>
      <c r="T115" s="307">
        <f t="shared" si="429"/>
        <v>0</v>
      </c>
      <c r="U115" s="308">
        <f t="shared" si="430"/>
        <v>0</v>
      </c>
      <c r="V115" s="302">
        <f t="shared" si="409"/>
        <v>0</v>
      </c>
      <c r="W115" s="307">
        <f t="shared" si="431"/>
        <v>0</v>
      </c>
      <c r="X115" s="308">
        <f t="shared" si="432"/>
        <v>0</v>
      </c>
      <c r="Y115" s="302">
        <f t="shared" si="410"/>
        <v>0</v>
      </c>
      <c r="Z115" s="307">
        <f t="shared" si="433"/>
        <v>0</v>
      </c>
      <c r="AA115" s="308">
        <f t="shared" si="434"/>
        <v>0</v>
      </c>
      <c r="AB115" s="302">
        <f t="shared" si="411"/>
        <v>0</v>
      </c>
      <c r="AC115" s="307">
        <f t="shared" si="435"/>
        <v>0</v>
      </c>
      <c r="AD115" s="308">
        <f t="shared" si="436"/>
        <v>0</v>
      </c>
      <c r="AE115" s="302">
        <f t="shared" si="412"/>
        <v>0</v>
      </c>
      <c r="AF115" s="307">
        <f t="shared" si="437"/>
        <v>0</v>
      </c>
      <c r="AG115" s="308">
        <f t="shared" si="438"/>
        <v>0</v>
      </c>
      <c r="AH115" s="302">
        <f t="shared" si="413"/>
        <v>0</v>
      </c>
      <c r="AI115" s="307">
        <f t="shared" si="439"/>
        <v>0</v>
      </c>
      <c r="AJ115" s="308">
        <f t="shared" si="440"/>
        <v>0</v>
      </c>
      <c r="AK115" s="302">
        <f t="shared" si="414"/>
        <v>0</v>
      </c>
      <c r="AL115" s="307">
        <f t="shared" ref="AL115:AM115" si="450">B115+E115+H115+K115+N115+Q115+T115+W115+Z115+AC115+AF115+AI115</f>
        <v>0</v>
      </c>
      <c r="AM115" s="308">
        <f t="shared" si="450"/>
        <v>0</v>
      </c>
      <c r="AN115" s="303">
        <f t="shared" si="416"/>
        <v>0</v>
      </c>
      <c r="AO115" s="121" t="str">
        <f t="shared" si="382"/>
        <v/>
      </c>
    </row>
    <row r="116" hidden="1" outlineLevel="1">
      <c r="A116" s="336"/>
      <c r="B116" s="307" t="str">
        <f t="shared" si="417"/>
        <v/>
      </c>
      <c r="C116" s="308" t="str">
        <f t="shared" si="418"/>
        <v/>
      </c>
      <c r="D116" s="302">
        <f t="shared" si="331"/>
        <v>0</v>
      </c>
      <c r="E116" s="307" t="str">
        <f t="shared" si="419"/>
        <v/>
      </c>
      <c r="F116" s="308" t="str">
        <f t="shared" si="420"/>
        <v/>
      </c>
      <c r="G116" s="302">
        <f t="shared" si="404"/>
        <v>0</v>
      </c>
      <c r="H116" s="307" t="str">
        <f t="shared" si="421"/>
        <v/>
      </c>
      <c r="I116" s="308" t="str">
        <f t="shared" si="422"/>
        <v/>
      </c>
      <c r="J116" s="302">
        <f t="shared" si="405"/>
        <v>0</v>
      </c>
      <c r="K116" s="307" t="str">
        <f t="shared" si="423"/>
        <v/>
      </c>
      <c r="L116" s="308" t="str">
        <f t="shared" si="424"/>
        <v/>
      </c>
      <c r="M116" s="302">
        <f t="shared" si="406"/>
        <v>0</v>
      </c>
      <c r="N116" s="307" t="str">
        <f t="shared" si="425"/>
        <v/>
      </c>
      <c r="O116" s="308" t="str">
        <f t="shared" si="426"/>
        <v/>
      </c>
      <c r="P116" s="302">
        <f t="shared" si="407"/>
        <v>0</v>
      </c>
      <c r="Q116" s="307" t="str">
        <f t="shared" si="427"/>
        <v/>
      </c>
      <c r="R116" s="308" t="str">
        <f t="shared" si="428"/>
        <v/>
      </c>
      <c r="S116" s="302">
        <f t="shared" si="408"/>
        <v>0</v>
      </c>
      <c r="T116" s="307" t="str">
        <f t="shared" si="429"/>
        <v/>
      </c>
      <c r="U116" s="308" t="str">
        <f t="shared" si="430"/>
        <v/>
      </c>
      <c r="V116" s="302">
        <f t="shared" si="409"/>
        <v>0</v>
      </c>
      <c r="W116" s="307" t="str">
        <f t="shared" si="431"/>
        <v/>
      </c>
      <c r="X116" s="308" t="str">
        <f t="shared" si="432"/>
        <v/>
      </c>
      <c r="Y116" s="302">
        <f t="shared" si="410"/>
        <v>0</v>
      </c>
      <c r="Z116" s="307" t="str">
        <f t="shared" si="433"/>
        <v/>
      </c>
      <c r="AA116" s="308" t="str">
        <f t="shared" si="434"/>
        <v/>
      </c>
      <c r="AB116" s="302">
        <f t="shared" si="411"/>
        <v>0</v>
      </c>
      <c r="AC116" s="307" t="str">
        <f t="shared" si="435"/>
        <v/>
      </c>
      <c r="AD116" s="308" t="str">
        <f t="shared" si="436"/>
        <v/>
      </c>
      <c r="AE116" s="302">
        <f t="shared" si="412"/>
        <v>0</v>
      </c>
      <c r="AF116" s="307" t="str">
        <f t="shared" si="437"/>
        <v/>
      </c>
      <c r="AG116" s="308" t="str">
        <f t="shared" si="438"/>
        <v/>
      </c>
      <c r="AH116" s="302">
        <f t="shared" si="413"/>
        <v>0</v>
      </c>
      <c r="AI116" s="307" t="str">
        <f t="shared" si="439"/>
        <v/>
      </c>
      <c r="AJ116" s="308" t="str">
        <f t="shared" si="440"/>
        <v/>
      </c>
      <c r="AK116" s="302">
        <f t="shared" si="414"/>
        <v>0</v>
      </c>
      <c r="AL116" s="307">
        <f t="shared" ref="AL116:AM116" si="451">B116+E116+H116+K116+N116+Q116+T116+W116+Z116+AC116+AF116+AI116</f>
        <v>0</v>
      </c>
      <c r="AM116" s="308">
        <f t="shared" si="451"/>
        <v>0</v>
      </c>
      <c r="AN116" s="303">
        <f t="shared" si="416"/>
        <v>0</v>
      </c>
      <c r="AO116" s="121" t="str">
        <f t="shared" si="382"/>
        <v/>
      </c>
    </row>
    <row r="117" hidden="1" outlineLevel="1">
      <c r="A117" s="336"/>
      <c r="B117" s="307" t="str">
        <f t="shared" si="417"/>
        <v/>
      </c>
      <c r="C117" s="308" t="str">
        <f t="shared" si="418"/>
        <v/>
      </c>
      <c r="D117" s="302">
        <f t="shared" si="331"/>
        <v>0</v>
      </c>
      <c r="E117" s="307" t="str">
        <f t="shared" si="419"/>
        <v/>
      </c>
      <c r="F117" s="308" t="str">
        <f t="shared" si="420"/>
        <v/>
      </c>
      <c r="G117" s="302">
        <f t="shared" si="404"/>
        <v>0</v>
      </c>
      <c r="H117" s="307" t="str">
        <f t="shared" si="421"/>
        <v/>
      </c>
      <c r="I117" s="308" t="str">
        <f t="shared" si="422"/>
        <v/>
      </c>
      <c r="J117" s="302">
        <f t="shared" si="405"/>
        <v>0</v>
      </c>
      <c r="K117" s="307" t="str">
        <f t="shared" si="423"/>
        <v/>
      </c>
      <c r="L117" s="308" t="str">
        <f t="shared" si="424"/>
        <v/>
      </c>
      <c r="M117" s="302">
        <f t="shared" si="406"/>
        <v>0</v>
      </c>
      <c r="N117" s="307" t="str">
        <f t="shared" si="425"/>
        <v/>
      </c>
      <c r="O117" s="308" t="str">
        <f t="shared" si="426"/>
        <v/>
      </c>
      <c r="P117" s="302">
        <f t="shared" si="407"/>
        <v>0</v>
      </c>
      <c r="Q117" s="307" t="str">
        <f t="shared" si="427"/>
        <v/>
      </c>
      <c r="R117" s="308" t="str">
        <f t="shared" si="428"/>
        <v/>
      </c>
      <c r="S117" s="302">
        <f t="shared" si="408"/>
        <v>0</v>
      </c>
      <c r="T117" s="307" t="str">
        <f t="shared" si="429"/>
        <v/>
      </c>
      <c r="U117" s="308" t="str">
        <f t="shared" si="430"/>
        <v/>
      </c>
      <c r="V117" s="302">
        <f t="shared" si="409"/>
        <v>0</v>
      </c>
      <c r="W117" s="307" t="str">
        <f t="shared" si="431"/>
        <v/>
      </c>
      <c r="X117" s="308" t="str">
        <f t="shared" si="432"/>
        <v/>
      </c>
      <c r="Y117" s="302">
        <f t="shared" si="410"/>
        <v>0</v>
      </c>
      <c r="Z117" s="307" t="str">
        <f t="shared" si="433"/>
        <v/>
      </c>
      <c r="AA117" s="308" t="str">
        <f t="shared" si="434"/>
        <v/>
      </c>
      <c r="AB117" s="302">
        <f t="shared" si="411"/>
        <v>0</v>
      </c>
      <c r="AC117" s="307" t="str">
        <f t="shared" si="435"/>
        <v/>
      </c>
      <c r="AD117" s="308" t="str">
        <f t="shared" si="436"/>
        <v/>
      </c>
      <c r="AE117" s="302">
        <f t="shared" si="412"/>
        <v>0</v>
      </c>
      <c r="AF117" s="307" t="str">
        <f t="shared" si="437"/>
        <v/>
      </c>
      <c r="AG117" s="308" t="str">
        <f t="shared" si="438"/>
        <v/>
      </c>
      <c r="AH117" s="302">
        <f t="shared" si="413"/>
        <v>0</v>
      </c>
      <c r="AI117" s="307" t="str">
        <f t="shared" si="439"/>
        <v/>
      </c>
      <c r="AJ117" s="308" t="str">
        <f t="shared" si="440"/>
        <v/>
      </c>
      <c r="AK117" s="302">
        <f t="shared" si="414"/>
        <v>0</v>
      </c>
      <c r="AL117" s="307">
        <f t="shared" ref="AL117:AM117" si="452">B117+E117+H117+K117+N117+Q117+T117+W117+Z117+AC117+AF117+AI117</f>
        <v>0</v>
      </c>
      <c r="AM117" s="308">
        <f t="shared" si="452"/>
        <v>0</v>
      </c>
      <c r="AN117" s="303">
        <f t="shared" si="416"/>
        <v>0</v>
      </c>
      <c r="AO117" s="121" t="str">
        <f t="shared" si="382"/>
        <v/>
      </c>
    </row>
    <row r="118" hidden="1" outlineLevel="1">
      <c r="A118" s="336"/>
      <c r="B118" s="307" t="str">
        <f t="shared" si="417"/>
        <v/>
      </c>
      <c r="C118" s="308" t="str">
        <f t="shared" si="418"/>
        <v/>
      </c>
      <c r="D118" s="302">
        <f t="shared" si="331"/>
        <v>0</v>
      </c>
      <c r="E118" s="307" t="str">
        <f t="shared" si="419"/>
        <v/>
      </c>
      <c r="F118" s="308" t="str">
        <f t="shared" si="420"/>
        <v/>
      </c>
      <c r="G118" s="302">
        <f t="shared" si="404"/>
        <v>0</v>
      </c>
      <c r="H118" s="307" t="str">
        <f t="shared" si="421"/>
        <v/>
      </c>
      <c r="I118" s="308" t="str">
        <f t="shared" si="422"/>
        <v/>
      </c>
      <c r="J118" s="302">
        <f t="shared" si="405"/>
        <v>0</v>
      </c>
      <c r="K118" s="307" t="str">
        <f t="shared" si="423"/>
        <v/>
      </c>
      <c r="L118" s="308" t="str">
        <f t="shared" si="424"/>
        <v/>
      </c>
      <c r="M118" s="302">
        <f t="shared" si="406"/>
        <v>0</v>
      </c>
      <c r="N118" s="307" t="str">
        <f t="shared" si="425"/>
        <v/>
      </c>
      <c r="O118" s="308" t="str">
        <f t="shared" si="426"/>
        <v/>
      </c>
      <c r="P118" s="302">
        <f t="shared" si="407"/>
        <v>0</v>
      </c>
      <c r="Q118" s="307" t="str">
        <f t="shared" si="427"/>
        <v/>
      </c>
      <c r="R118" s="308" t="str">
        <f t="shared" si="428"/>
        <v/>
      </c>
      <c r="S118" s="302">
        <f t="shared" si="408"/>
        <v>0</v>
      </c>
      <c r="T118" s="307" t="str">
        <f t="shared" si="429"/>
        <v/>
      </c>
      <c r="U118" s="308" t="str">
        <f t="shared" si="430"/>
        <v/>
      </c>
      <c r="V118" s="302">
        <f t="shared" si="409"/>
        <v>0</v>
      </c>
      <c r="W118" s="307" t="str">
        <f t="shared" si="431"/>
        <v/>
      </c>
      <c r="X118" s="308" t="str">
        <f t="shared" si="432"/>
        <v/>
      </c>
      <c r="Y118" s="302">
        <f t="shared" si="410"/>
        <v>0</v>
      </c>
      <c r="Z118" s="307" t="str">
        <f t="shared" si="433"/>
        <v/>
      </c>
      <c r="AA118" s="308" t="str">
        <f t="shared" si="434"/>
        <v/>
      </c>
      <c r="AB118" s="302">
        <f t="shared" si="411"/>
        <v>0</v>
      </c>
      <c r="AC118" s="307" t="str">
        <f t="shared" si="435"/>
        <v/>
      </c>
      <c r="AD118" s="308" t="str">
        <f t="shared" si="436"/>
        <v/>
      </c>
      <c r="AE118" s="302">
        <f t="shared" si="412"/>
        <v>0</v>
      </c>
      <c r="AF118" s="307" t="str">
        <f t="shared" si="437"/>
        <v/>
      </c>
      <c r="AG118" s="308" t="str">
        <f t="shared" si="438"/>
        <v/>
      </c>
      <c r="AH118" s="302">
        <f t="shared" si="413"/>
        <v>0</v>
      </c>
      <c r="AI118" s="307" t="str">
        <f t="shared" si="439"/>
        <v/>
      </c>
      <c r="AJ118" s="308" t="str">
        <f t="shared" si="440"/>
        <v/>
      </c>
      <c r="AK118" s="302">
        <f t="shared" si="414"/>
        <v>0</v>
      </c>
      <c r="AL118" s="307">
        <f t="shared" ref="AL118:AM118" si="453">B118+E118+H118+K118+N118+Q118+T118+W118+Z118+AC118+AF118+AI118</f>
        <v>0</v>
      </c>
      <c r="AM118" s="308">
        <f t="shared" si="453"/>
        <v>0</v>
      </c>
      <c r="AN118" s="303">
        <f t="shared" si="416"/>
        <v>0</v>
      </c>
      <c r="AO118" s="121" t="str">
        <f t="shared" si="382"/>
        <v/>
      </c>
    </row>
    <row r="119" hidden="1" outlineLevel="1">
      <c r="A119" s="336"/>
      <c r="B119" s="307" t="str">
        <f t="shared" si="417"/>
        <v/>
      </c>
      <c r="C119" s="308" t="str">
        <f t="shared" si="418"/>
        <v/>
      </c>
      <c r="D119" s="302">
        <f t="shared" si="331"/>
        <v>0</v>
      </c>
      <c r="E119" s="307" t="str">
        <f t="shared" si="419"/>
        <v/>
      </c>
      <c r="F119" s="308" t="str">
        <f t="shared" si="420"/>
        <v/>
      </c>
      <c r="G119" s="302">
        <f t="shared" si="404"/>
        <v>0</v>
      </c>
      <c r="H119" s="307" t="str">
        <f t="shared" si="421"/>
        <v/>
      </c>
      <c r="I119" s="308" t="str">
        <f t="shared" si="422"/>
        <v/>
      </c>
      <c r="J119" s="302">
        <f t="shared" si="405"/>
        <v>0</v>
      </c>
      <c r="K119" s="307" t="str">
        <f t="shared" si="423"/>
        <v/>
      </c>
      <c r="L119" s="308" t="str">
        <f t="shared" si="424"/>
        <v/>
      </c>
      <c r="M119" s="302">
        <f t="shared" si="406"/>
        <v>0</v>
      </c>
      <c r="N119" s="307" t="str">
        <f t="shared" si="425"/>
        <v/>
      </c>
      <c r="O119" s="308" t="str">
        <f t="shared" si="426"/>
        <v/>
      </c>
      <c r="P119" s="302">
        <f t="shared" si="407"/>
        <v>0</v>
      </c>
      <c r="Q119" s="307" t="str">
        <f t="shared" si="427"/>
        <v/>
      </c>
      <c r="R119" s="308" t="str">
        <f t="shared" si="428"/>
        <v/>
      </c>
      <c r="S119" s="302">
        <f t="shared" si="408"/>
        <v>0</v>
      </c>
      <c r="T119" s="307" t="str">
        <f t="shared" si="429"/>
        <v/>
      </c>
      <c r="U119" s="308" t="str">
        <f t="shared" si="430"/>
        <v/>
      </c>
      <c r="V119" s="302">
        <f t="shared" si="409"/>
        <v>0</v>
      </c>
      <c r="W119" s="307" t="str">
        <f t="shared" si="431"/>
        <v/>
      </c>
      <c r="X119" s="308" t="str">
        <f t="shared" si="432"/>
        <v/>
      </c>
      <c r="Y119" s="302">
        <f t="shared" si="410"/>
        <v>0</v>
      </c>
      <c r="Z119" s="307" t="str">
        <f t="shared" si="433"/>
        <v/>
      </c>
      <c r="AA119" s="308" t="str">
        <f t="shared" si="434"/>
        <v/>
      </c>
      <c r="AB119" s="302">
        <f t="shared" si="411"/>
        <v>0</v>
      </c>
      <c r="AC119" s="307" t="str">
        <f t="shared" si="435"/>
        <v/>
      </c>
      <c r="AD119" s="308" t="str">
        <f t="shared" si="436"/>
        <v/>
      </c>
      <c r="AE119" s="302">
        <f t="shared" si="412"/>
        <v>0</v>
      </c>
      <c r="AF119" s="307" t="str">
        <f t="shared" si="437"/>
        <v/>
      </c>
      <c r="AG119" s="308" t="str">
        <f t="shared" si="438"/>
        <v/>
      </c>
      <c r="AH119" s="302">
        <f t="shared" si="413"/>
        <v>0</v>
      </c>
      <c r="AI119" s="307" t="str">
        <f t="shared" si="439"/>
        <v/>
      </c>
      <c r="AJ119" s="308" t="str">
        <f t="shared" si="440"/>
        <v/>
      </c>
      <c r="AK119" s="302">
        <f t="shared" si="414"/>
        <v>0</v>
      </c>
      <c r="AL119" s="307">
        <f t="shared" ref="AL119:AM119" si="454">B119+E119+H119+K119+N119+Q119+T119+W119+Z119+AC119+AF119+AI119</f>
        <v>0</v>
      </c>
      <c r="AM119" s="308">
        <f t="shared" si="454"/>
        <v>0</v>
      </c>
      <c r="AN119" s="303">
        <f t="shared" si="416"/>
        <v>0</v>
      </c>
      <c r="AO119" s="121" t="str">
        <f t="shared" si="382"/>
        <v/>
      </c>
    </row>
    <row r="120" hidden="1" outlineLevel="1">
      <c r="A120" s="336"/>
      <c r="B120" s="307" t="str">
        <f t="shared" si="417"/>
        <v/>
      </c>
      <c r="C120" s="308" t="str">
        <f t="shared" si="418"/>
        <v/>
      </c>
      <c r="D120" s="302">
        <f t="shared" si="331"/>
        <v>0</v>
      </c>
      <c r="E120" s="307" t="str">
        <f t="shared" si="419"/>
        <v/>
      </c>
      <c r="F120" s="308" t="str">
        <f t="shared" si="420"/>
        <v/>
      </c>
      <c r="G120" s="302">
        <f t="shared" si="404"/>
        <v>0</v>
      </c>
      <c r="H120" s="307" t="str">
        <f t="shared" si="421"/>
        <v/>
      </c>
      <c r="I120" s="308" t="str">
        <f t="shared" si="422"/>
        <v/>
      </c>
      <c r="J120" s="302">
        <f t="shared" si="405"/>
        <v>0</v>
      </c>
      <c r="K120" s="307" t="str">
        <f t="shared" si="423"/>
        <v/>
      </c>
      <c r="L120" s="308" t="str">
        <f t="shared" si="424"/>
        <v/>
      </c>
      <c r="M120" s="302">
        <f t="shared" si="406"/>
        <v>0</v>
      </c>
      <c r="N120" s="307" t="str">
        <f t="shared" si="425"/>
        <v/>
      </c>
      <c r="O120" s="308" t="str">
        <f t="shared" si="426"/>
        <v/>
      </c>
      <c r="P120" s="302">
        <f t="shared" si="407"/>
        <v>0</v>
      </c>
      <c r="Q120" s="307" t="str">
        <f t="shared" si="427"/>
        <v/>
      </c>
      <c r="R120" s="308" t="str">
        <f t="shared" si="428"/>
        <v/>
      </c>
      <c r="S120" s="302">
        <f t="shared" si="408"/>
        <v>0</v>
      </c>
      <c r="T120" s="307" t="str">
        <f t="shared" si="429"/>
        <v/>
      </c>
      <c r="U120" s="308" t="str">
        <f t="shared" si="430"/>
        <v/>
      </c>
      <c r="V120" s="302">
        <f t="shared" si="409"/>
        <v>0</v>
      </c>
      <c r="W120" s="307" t="str">
        <f t="shared" si="431"/>
        <v/>
      </c>
      <c r="X120" s="308" t="str">
        <f t="shared" si="432"/>
        <v/>
      </c>
      <c r="Y120" s="302">
        <f t="shared" si="410"/>
        <v>0</v>
      </c>
      <c r="Z120" s="307" t="str">
        <f t="shared" si="433"/>
        <v/>
      </c>
      <c r="AA120" s="308" t="str">
        <f t="shared" si="434"/>
        <v/>
      </c>
      <c r="AB120" s="302">
        <f t="shared" si="411"/>
        <v>0</v>
      </c>
      <c r="AC120" s="307" t="str">
        <f t="shared" si="435"/>
        <v/>
      </c>
      <c r="AD120" s="308" t="str">
        <f t="shared" si="436"/>
        <v/>
      </c>
      <c r="AE120" s="302">
        <f t="shared" si="412"/>
        <v>0</v>
      </c>
      <c r="AF120" s="307" t="str">
        <f t="shared" si="437"/>
        <v/>
      </c>
      <c r="AG120" s="308" t="str">
        <f t="shared" si="438"/>
        <v/>
      </c>
      <c r="AH120" s="302">
        <f t="shared" si="413"/>
        <v>0</v>
      </c>
      <c r="AI120" s="307" t="str">
        <f t="shared" si="439"/>
        <v/>
      </c>
      <c r="AJ120" s="308" t="str">
        <f t="shared" si="440"/>
        <v/>
      </c>
      <c r="AK120" s="302">
        <f t="shared" si="414"/>
        <v>0</v>
      </c>
      <c r="AL120" s="307">
        <f t="shared" ref="AL120:AM120" si="455">B120+E120+H120+K120+N120+Q120+T120+W120+Z120+AC120+AF120+AI120</f>
        <v>0</v>
      </c>
      <c r="AM120" s="308">
        <f t="shared" si="455"/>
        <v>0</v>
      </c>
      <c r="AN120" s="303">
        <f t="shared" si="416"/>
        <v>0</v>
      </c>
      <c r="AO120" s="121" t="str">
        <f t="shared" si="382"/>
        <v/>
      </c>
    </row>
    <row r="121" hidden="1" outlineLevel="1">
      <c r="A121" s="336"/>
      <c r="B121" s="307" t="str">
        <f t="shared" si="417"/>
        <v/>
      </c>
      <c r="C121" s="308" t="str">
        <f t="shared" si="418"/>
        <v/>
      </c>
      <c r="D121" s="302">
        <f t="shared" si="331"/>
        <v>0</v>
      </c>
      <c r="E121" s="307" t="str">
        <f t="shared" si="419"/>
        <v/>
      </c>
      <c r="F121" s="308" t="str">
        <f t="shared" si="420"/>
        <v/>
      </c>
      <c r="G121" s="302">
        <f t="shared" si="404"/>
        <v>0</v>
      </c>
      <c r="H121" s="307" t="str">
        <f t="shared" si="421"/>
        <v/>
      </c>
      <c r="I121" s="308" t="str">
        <f t="shared" si="422"/>
        <v/>
      </c>
      <c r="J121" s="302">
        <f t="shared" si="405"/>
        <v>0</v>
      </c>
      <c r="K121" s="307" t="str">
        <f t="shared" si="423"/>
        <v/>
      </c>
      <c r="L121" s="308" t="str">
        <f t="shared" si="424"/>
        <v/>
      </c>
      <c r="M121" s="302">
        <f t="shared" si="406"/>
        <v>0</v>
      </c>
      <c r="N121" s="307" t="str">
        <f t="shared" si="425"/>
        <v/>
      </c>
      <c r="O121" s="308" t="str">
        <f t="shared" si="426"/>
        <v/>
      </c>
      <c r="P121" s="302">
        <f t="shared" si="407"/>
        <v>0</v>
      </c>
      <c r="Q121" s="307" t="str">
        <f t="shared" si="427"/>
        <v/>
      </c>
      <c r="R121" s="308" t="str">
        <f t="shared" si="428"/>
        <v/>
      </c>
      <c r="S121" s="302">
        <f t="shared" si="408"/>
        <v>0</v>
      </c>
      <c r="T121" s="307" t="str">
        <f t="shared" si="429"/>
        <v/>
      </c>
      <c r="U121" s="308" t="str">
        <f t="shared" si="430"/>
        <v/>
      </c>
      <c r="V121" s="302">
        <f t="shared" si="409"/>
        <v>0</v>
      </c>
      <c r="W121" s="307" t="str">
        <f t="shared" si="431"/>
        <v/>
      </c>
      <c r="X121" s="308" t="str">
        <f t="shared" si="432"/>
        <v/>
      </c>
      <c r="Y121" s="302">
        <f t="shared" si="410"/>
        <v>0</v>
      </c>
      <c r="Z121" s="307" t="str">
        <f t="shared" si="433"/>
        <v/>
      </c>
      <c r="AA121" s="308" t="str">
        <f t="shared" si="434"/>
        <v/>
      </c>
      <c r="AB121" s="302">
        <f t="shared" si="411"/>
        <v>0</v>
      </c>
      <c r="AC121" s="307" t="str">
        <f t="shared" si="435"/>
        <v/>
      </c>
      <c r="AD121" s="308" t="str">
        <f t="shared" si="436"/>
        <v/>
      </c>
      <c r="AE121" s="302">
        <f t="shared" si="412"/>
        <v>0</v>
      </c>
      <c r="AF121" s="307" t="str">
        <f t="shared" si="437"/>
        <v/>
      </c>
      <c r="AG121" s="308" t="str">
        <f t="shared" si="438"/>
        <v/>
      </c>
      <c r="AH121" s="302">
        <f t="shared" si="413"/>
        <v>0</v>
      </c>
      <c r="AI121" s="307" t="str">
        <f t="shared" si="439"/>
        <v/>
      </c>
      <c r="AJ121" s="308" t="str">
        <f t="shared" si="440"/>
        <v/>
      </c>
      <c r="AK121" s="302">
        <f t="shared" si="414"/>
        <v>0</v>
      </c>
      <c r="AL121" s="307">
        <f t="shared" ref="AL121:AM121" si="456">B121+E121+H121+K121+N121+Q121+T121+W121+Z121+AC121+AF121+AI121</f>
        <v>0</v>
      </c>
      <c r="AM121" s="308">
        <f t="shared" si="456"/>
        <v>0</v>
      </c>
      <c r="AN121" s="303">
        <f t="shared" si="416"/>
        <v>0</v>
      </c>
      <c r="AO121" s="121" t="str">
        <f t="shared" si="382"/>
        <v/>
      </c>
    </row>
    <row r="122" hidden="1" outlineLevel="1">
      <c r="A122" s="336"/>
      <c r="B122" s="307" t="str">
        <f t="shared" si="417"/>
        <v/>
      </c>
      <c r="C122" s="308" t="str">
        <f t="shared" si="418"/>
        <v/>
      </c>
      <c r="D122" s="302">
        <f t="shared" si="331"/>
        <v>0</v>
      </c>
      <c r="E122" s="307" t="str">
        <f t="shared" si="419"/>
        <v/>
      </c>
      <c r="F122" s="308" t="str">
        <f t="shared" si="420"/>
        <v/>
      </c>
      <c r="G122" s="302">
        <f t="shared" si="404"/>
        <v>0</v>
      </c>
      <c r="H122" s="307" t="str">
        <f t="shared" si="421"/>
        <v/>
      </c>
      <c r="I122" s="308" t="str">
        <f t="shared" si="422"/>
        <v/>
      </c>
      <c r="J122" s="302">
        <f t="shared" si="405"/>
        <v>0</v>
      </c>
      <c r="K122" s="307" t="str">
        <f t="shared" si="423"/>
        <v/>
      </c>
      <c r="L122" s="308" t="str">
        <f t="shared" si="424"/>
        <v/>
      </c>
      <c r="M122" s="302">
        <f t="shared" si="406"/>
        <v>0</v>
      </c>
      <c r="N122" s="307" t="str">
        <f t="shared" si="425"/>
        <v/>
      </c>
      <c r="O122" s="308" t="str">
        <f t="shared" si="426"/>
        <v/>
      </c>
      <c r="P122" s="302">
        <f t="shared" si="407"/>
        <v>0</v>
      </c>
      <c r="Q122" s="307" t="str">
        <f t="shared" si="427"/>
        <v/>
      </c>
      <c r="R122" s="308" t="str">
        <f t="shared" si="428"/>
        <v/>
      </c>
      <c r="S122" s="302">
        <f t="shared" si="408"/>
        <v>0</v>
      </c>
      <c r="T122" s="307" t="str">
        <f t="shared" si="429"/>
        <v/>
      </c>
      <c r="U122" s="308" t="str">
        <f t="shared" si="430"/>
        <v/>
      </c>
      <c r="V122" s="302">
        <f t="shared" si="409"/>
        <v>0</v>
      </c>
      <c r="W122" s="307" t="str">
        <f t="shared" si="431"/>
        <v/>
      </c>
      <c r="X122" s="308" t="str">
        <f t="shared" si="432"/>
        <v/>
      </c>
      <c r="Y122" s="302">
        <f t="shared" si="410"/>
        <v>0</v>
      </c>
      <c r="Z122" s="307" t="str">
        <f t="shared" si="433"/>
        <v/>
      </c>
      <c r="AA122" s="308" t="str">
        <f t="shared" si="434"/>
        <v/>
      </c>
      <c r="AB122" s="302">
        <f t="shared" si="411"/>
        <v>0</v>
      </c>
      <c r="AC122" s="307" t="str">
        <f t="shared" si="435"/>
        <v/>
      </c>
      <c r="AD122" s="308" t="str">
        <f t="shared" si="436"/>
        <v/>
      </c>
      <c r="AE122" s="302">
        <f t="shared" si="412"/>
        <v>0</v>
      </c>
      <c r="AF122" s="307" t="str">
        <f t="shared" si="437"/>
        <v/>
      </c>
      <c r="AG122" s="308" t="str">
        <f t="shared" si="438"/>
        <v/>
      </c>
      <c r="AH122" s="302">
        <f t="shared" si="413"/>
        <v>0</v>
      </c>
      <c r="AI122" s="307" t="str">
        <f t="shared" si="439"/>
        <v/>
      </c>
      <c r="AJ122" s="308" t="str">
        <f t="shared" si="440"/>
        <v/>
      </c>
      <c r="AK122" s="302">
        <f t="shared" si="414"/>
        <v>0</v>
      </c>
      <c r="AL122" s="307">
        <f t="shared" ref="AL122:AM122" si="457">B122+E122+H122+K122+N122+Q122+T122+W122+Z122+AC122+AF122+AI122</f>
        <v>0</v>
      </c>
      <c r="AM122" s="308">
        <f t="shared" si="457"/>
        <v>0</v>
      </c>
      <c r="AN122" s="303">
        <f t="shared" si="416"/>
        <v>0</v>
      </c>
      <c r="AO122" s="121" t="str">
        <f t="shared" si="382"/>
        <v/>
      </c>
    </row>
    <row r="123" hidden="1" outlineLevel="1">
      <c r="A123" s="336"/>
      <c r="B123" s="307" t="str">
        <f t="shared" si="417"/>
        <v/>
      </c>
      <c r="C123" s="308" t="str">
        <f t="shared" si="418"/>
        <v/>
      </c>
      <c r="D123" s="302">
        <f t="shared" si="331"/>
        <v>0</v>
      </c>
      <c r="E123" s="307" t="str">
        <f t="shared" si="419"/>
        <v/>
      </c>
      <c r="F123" s="308" t="str">
        <f t="shared" si="420"/>
        <v/>
      </c>
      <c r="G123" s="302">
        <f t="shared" si="404"/>
        <v>0</v>
      </c>
      <c r="H123" s="307" t="str">
        <f t="shared" si="421"/>
        <v/>
      </c>
      <c r="I123" s="308" t="str">
        <f t="shared" si="422"/>
        <v/>
      </c>
      <c r="J123" s="302">
        <f t="shared" si="405"/>
        <v>0</v>
      </c>
      <c r="K123" s="307" t="str">
        <f t="shared" si="423"/>
        <v/>
      </c>
      <c r="L123" s="308" t="str">
        <f t="shared" si="424"/>
        <v/>
      </c>
      <c r="M123" s="302">
        <f t="shared" si="406"/>
        <v>0</v>
      </c>
      <c r="N123" s="307" t="str">
        <f t="shared" si="425"/>
        <v/>
      </c>
      <c r="O123" s="308" t="str">
        <f t="shared" si="426"/>
        <v/>
      </c>
      <c r="P123" s="302">
        <f t="shared" si="407"/>
        <v>0</v>
      </c>
      <c r="Q123" s="307" t="str">
        <f t="shared" si="427"/>
        <v/>
      </c>
      <c r="R123" s="308" t="str">
        <f t="shared" si="428"/>
        <v/>
      </c>
      <c r="S123" s="302">
        <f t="shared" si="408"/>
        <v>0</v>
      </c>
      <c r="T123" s="307" t="str">
        <f t="shared" si="429"/>
        <v/>
      </c>
      <c r="U123" s="308" t="str">
        <f t="shared" si="430"/>
        <v/>
      </c>
      <c r="V123" s="302">
        <f t="shared" si="409"/>
        <v>0</v>
      </c>
      <c r="W123" s="307" t="str">
        <f t="shared" si="431"/>
        <v/>
      </c>
      <c r="X123" s="308" t="str">
        <f t="shared" si="432"/>
        <v/>
      </c>
      <c r="Y123" s="302">
        <f t="shared" si="410"/>
        <v>0</v>
      </c>
      <c r="Z123" s="307" t="str">
        <f t="shared" si="433"/>
        <v/>
      </c>
      <c r="AA123" s="308" t="str">
        <f t="shared" si="434"/>
        <v/>
      </c>
      <c r="AB123" s="302">
        <f t="shared" si="411"/>
        <v>0</v>
      </c>
      <c r="AC123" s="307" t="str">
        <f t="shared" si="435"/>
        <v/>
      </c>
      <c r="AD123" s="308" t="str">
        <f t="shared" si="436"/>
        <v/>
      </c>
      <c r="AE123" s="302">
        <f t="shared" si="412"/>
        <v>0</v>
      </c>
      <c r="AF123" s="307" t="str">
        <f t="shared" si="437"/>
        <v/>
      </c>
      <c r="AG123" s="308" t="str">
        <f t="shared" si="438"/>
        <v/>
      </c>
      <c r="AH123" s="302">
        <f t="shared" si="413"/>
        <v>0</v>
      </c>
      <c r="AI123" s="307" t="str">
        <f t="shared" si="439"/>
        <v/>
      </c>
      <c r="AJ123" s="308" t="str">
        <f t="shared" si="440"/>
        <v/>
      </c>
      <c r="AK123" s="302">
        <f t="shared" si="414"/>
        <v>0</v>
      </c>
      <c r="AL123" s="307">
        <f t="shared" ref="AL123:AM123" si="458">B123+E123+H123+K123+N123+Q123+T123+W123+Z123+AC123+AF123+AI123</f>
        <v>0</v>
      </c>
      <c r="AM123" s="308">
        <f t="shared" si="458"/>
        <v>0</v>
      </c>
      <c r="AN123" s="303">
        <f t="shared" si="416"/>
        <v>0</v>
      </c>
      <c r="AO123" s="121" t="str">
        <f t="shared" si="382"/>
        <v/>
      </c>
    </row>
    <row r="124" hidden="1" outlineLevel="1">
      <c r="A124" s="336"/>
      <c r="B124" s="307" t="str">
        <f t="shared" si="417"/>
        <v/>
      </c>
      <c r="C124" s="308" t="str">
        <f t="shared" si="418"/>
        <v/>
      </c>
      <c r="D124" s="302">
        <f t="shared" si="331"/>
        <v>0</v>
      </c>
      <c r="E124" s="307" t="str">
        <f t="shared" si="419"/>
        <v/>
      </c>
      <c r="F124" s="308" t="str">
        <f t="shared" si="420"/>
        <v/>
      </c>
      <c r="G124" s="302">
        <f t="shared" si="404"/>
        <v>0</v>
      </c>
      <c r="H124" s="307" t="str">
        <f t="shared" si="421"/>
        <v/>
      </c>
      <c r="I124" s="308" t="str">
        <f t="shared" si="422"/>
        <v/>
      </c>
      <c r="J124" s="302">
        <f t="shared" si="405"/>
        <v>0</v>
      </c>
      <c r="K124" s="307" t="str">
        <f t="shared" si="423"/>
        <v/>
      </c>
      <c r="L124" s="308" t="str">
        <f t="shared" si="424"/>
        <v/>
      </c>
      <c r="M124" s="302">
        <f t="shared" si="406"/>
        <v>0</v>
      </c>
      <c r="N124" s="307" t="str">
        <f t="shared" si="425"/>
        <v/>
      </c>
      <c r="O124" s="308" t="str">
        <f t="shared" si="426"/>
        <v/>
      </c>
      <c r="P124" s="302">
        <f t="shared" si="407"/>
        <v>0</v>
      </c>
      <c r="Q124" s="307" t="str">
        <f t="shared" si="427"/>
        <v/>
      </c>
      <c r="R124" s="308" t="str">
        <f t="shared" si="428"/>
        <v/>
      </c>
      <c r="S124" s="302">
        <f t="shared" si="408"/>
        <v>0</v>
      </c>
      <c r="T124" s="307" t="str">
        <f t="shared" si="429"/>
        <v/>
      </c>
      <c r="U124" s="308" t="str">
        <f t="shared" si="430"/>
        <v/>
      </c>
      <c r="V124" s="302">
        <f t="shared" si="409"/>
        <v>0</v>
      </c>
      <c r="W124" s="307" t="str">
        <f t="shared" si="431"/>
        <v/>
      </c>
      <c r="X124" s="308" t="str">
        <f t="shared" si="432"/>
        <v/>
      </c>
      <c r="Y124" s="302">
        <f t="shared" si="410"/>
        <v>0</v>
      </c>
      <c r="Z124" s="307" t="str">
        <f t="shared" si="433"/>
        <v/>
      </c>
      <c r="AA124" s="308" t="str">
        <f t="shared" si="434"/>
        <v/>
      </c>
      <c r="AB124" s="302">
        <f t="shared" si="411"/>
        <v>0</v>
      </c>
      <c r="AC124" s="307" t="str">
        <f t="shared" si="435"/>
        <v/>
      </c>
      <c r="AD124" s="308" t="str">
        <f t="shared" si="436"/>
        <v/>
      </c>
      <c r="AE124" s="302">
        <f t="shared" si="412"/>
        <v>0</v>
      </c>
      <c r="AF124" s="307" t="str">
        <f t="shared" si="437"/>
        <v/>
      </c>
      <c r="AG124" s="308" t="str">
        <f t="shared" si="438"/>
        <v/>
      </c>
      <c r="AH124" s="302">
        <f t="shared" si="413"/>
        <v>0</v>
      </c>
      <c r="AI124" s="307" t="str">
        <f t="shared" si="439"/>
        <v/>
      </c>
      <c r="AJ124" s="308" t="str">
        <f t="shared" si="440"/>
        <v/>
      </c>
      <c r="AK124" s="302">
        <f t="shared" si="414"/>
        <v>0</v>
      </c>
      <c r="AL124" s="307">
        <f t="shared" ref="AL124:AM124" si="459">B124+E124+H124+K124+N124+Q124+T124+W124+Z124+AC124+AF124+AI124</f>
        <v>0</v>
      </c>
      <c r="AM124" s="308">
        <f t="shared" si="459"/>
        <v>0</v>
      </c>
      <c r="AN124" s="303">
        <f t="shared" si="416"/>
        <v>0</v>
      </c>
      <c r="AO124" s="121" t="str">
        <f t="shared" si="382"/>
        <v/>
      </c>
    </row>
    <row r="125" hidden="1" outlineLevel="1">
      <c r="A125" s="111"/>
      <c r="B125" s="307" t="str">
        <f t="shared" si="417"/>
        <v/>
      </c>
      <c r="C125" s="308" t="str">
        <f t="shared" si="418"/>
        <v/>
      </c>
      <c r="D125" s="302">
        <f t="shared" si="331"/>
        <v>0</v>
      </c>
      <c r="E125" s="307" t="str">
        <f t="shared" si="419"/>
        <v/>
      </c>
      <c r="F125" s="308" t="str">
        <f t="shared" si="420"/>
        <v/>
      </c>
      <c r="G125" s="302">
        <f t="shared" si="404"/>
        <v>0</v>
      </c>
      <c r="H125" s="307" t="str">
        <f t="shared" si="421"/>
        <v/>
      </c>
      <c r="I125" s="308" t="str">
        <f t="shared" si="422"/>
        <v/>
      </c>
      <c r="J125" s="302">
        <f t="shared" si="405"/>
        <v>0</v>
      </c>
      <c r="K125" s="307" t="str">
        <f t="shared" si="423"/>
        <v/>
      </c>
      <c r="L125" s="308" t="str">
        <f t="shared" si="424"/>
        <v/>
      </c>
      <c r="M125" s="302">
        <f t="shared" si="406"/>
        <v>0</v>
      </c>
      <c r="N125" s="307" t="str">
        <f t="shared" si="425"/>
        <v/>
      </c>
      <c r="O125" s="308" t="str">
        <f t="shared" si="426"/>
        <v/>
      </c>
      <c r="P125" s="302">
        <f t="shared" si="407"/>
        <v>0</v>
      </c>
      <c r="Q125" s="307" t="str">
        <f t="shared" si="427"/>
        <v/>
      </c>
      <c r="R125" s="308" t="str">
        <f t="shared" si="428"/>
        <v/>
      </c>
      <c r="S125" s="302">
        <f t="shared" si="408"/>
        <v>0</v>
      </c>
      <c r="T125" s="307" t="str">
        <f t="shared" si="429"/>
        <v/>
      </c>
      <c r="U125" s="308" t="str">
        <f t="shared" si="430"/>
        <v/>
      </c>
      <c r="V125" s="302">
        <f t="shared" si="409"/>
        <v>0</v>
      </c>
      <c r="W125" s="307" t="str">
        <f t="shared" si="431"/>
        <v/>
      </c>
      <c r="X125" s="308" t="str">
        <f t="shared" si="432"/>
        <v/>
      </c>
      <c r="Y125" s="302">
        <f t="shared" si="410"/>
        <v>0</v>
      </c>
      <c r="Z125" s="307" t="str">
        <f t="shared" si="433"/>
        <v/>
      </c>
      <c r="AA125" s="308" t="str">
        <f t="shared" si="434"/>
        <v/>
      </c>
      <c r="AB125" s="302">
        <f t="shared" si="411"/>
        <v>0</v>
      </c>
      <c r="AC125" s="307" t="str">
        <f t="shared" si="435"/>
        <v/>
      </c>
      <c r="AD125" s="308" t="str">
        <f t="shared" si="436"/>
        <v/>
      </c>
      <c r="AE125" s="302">
        <f t="shared" si="412"/>
        <v>0</v>
      </c>
      <c r="AF125" s="307" t="str">
        <f t="shared" si="437"/>
        <v/>
      </c>
      <c r="AG125" s="308" t="str">
        <f t="shared" si="438"/>
        <v/>
      </c>
      <c r="AH125" s="302">
        <f t="shared" si="413"/>
        <v>0</v>
      </c>
      <c r="AI125" s="307" t="str">
        <f t="shared" si="439"/>
        <v/>
      </c>
      <c r="AJ125" s="308" t="str">
        <f t="shared" si="440"/>
        <v/>
      </c>
      <c r="AK125" s="302">
        <f t="shared" si="414"/>
        <v>0</v>
      </c>
      <c r="AL125" s="307">
        <f t="shared" ref="AL125:AM125" si="460">B125+E125+H125+K125+N125+Q125+T125+W125+Z125+AC125+AF125+AI125</f>
        <v>0</v>
      </c>
      <c r="AM125" s="308">
        <f t="shared" si="460"/>
        <v>0</v>
      </c>
      <c r="AN125" s="303">
        <f t="shared" si="416"/>
        <v>0</v>
      </c>
      <c r="AO125" s="121" t="str">
        <f t="shared" si="382"/>
        <v/>
      </c>
    </row>
    <row r="126" hidden="1" outlineLevel="1">
      <c r="A126" s="111"/>
      <c r="B126" s="307" t="str">
        <f t="shared" si="417"/>
        <v/>
      </c>
      <c r="C126" s="308" t="str">
        <f t="shared" si="418"/>
        <v/>
      </c>
      <c r="D126" s="302">
        <f t="shared" si="331"/>
        <v>0</v>
      </c>
      <c r="E126" s="307" t="str">
        <f t="shared" si="419"/>
        <v/>
      </c>
      <c r="F126" s="308" t="str">
        <f t="shared" si="420"/>
        <v/>
      </c>
      <c r="G126" s="302">
        <f t="shared" si="404"/>
        <v>0</v>
      </c>
      <c r="H126" s="307" t="str">
        <f t="shared" si="421"/>
        <v/>
      </c>
      <c r="I126" s="308" t="str">
        <f t="shared" si="422"/>
        <v/>
      </c>
      <c r="J126" s="302">
        <f t="shared" si="405"/>
        <v>0</v>
      </c>
      <c r="K126" s="307" t="str">
        <f t="shared" si="423"/>
        <v/>
      </c>
      <c r="L126" s="308" t="str">
        <f t="shared" si="424"/>
        <v/>
      </c>
      <c r="M126" s="302">
        <f t="shared" si="406"/>
        <v>0</v>
      </c>
      <c r="N126" s="307" t="str">
        <f t="shared" si="425"/>
        <v/>
      </c>
      <c r="O126" s="308" t="str">
        <f t="shared" si="426"/>
        <v/>
      </c>
      <c r="P126" s="302">
        <f t="shared" si="407"/>
        <v>0</v>
      </c>
      <c r="Q126" s="307" t="str">
        <f t="shared" si="427"/>
        <v/>
      </c>
      <c r="R126" s="308" t="str">
        <f t="shared" si="428"/>
        <v/>
      </c>
      <c r="S126" s="302">
        <f t="shared" si="408"/>
        <v>0</v>
      </c>
      <c r="T126" s="307" t="str">
        <f t="shared" si="429"/>
        <v/>
      </c>
      <c r="U126" s="308" t="str">
        <f t="shared" si="430"/>
        <v/>
      </c>
      <c r="V126" s="302">
        <f t="shared" si="409"/>
        <v>0</v>
      </c>
      <c r="W126" s="307" t="str">
        <f t="shared" si="431"/>
        <v/>
      </c>
      <c r="X126" s="308" t="str">
        <f t="shared" si="432"/>
        <v/>
      </c>
      <c r="Y126" s="302">
        <f t="shared" si="410"/>
        <v>0</v>
      </c>
      <c r="Z126" s="307" t="str">
        <f t="shared" si="433"/>
        <v/>
      </c>
      <c r="AA126" s="308" t="str">
        <f t="shared" si="434"/>
        <v/>
      </c>
      <c r="AB126" s="302">
        <f t="shared" si="411"/>
        <v>0</v>
      </c>
      <c r="AC126" s="307" t="str">
        <f t="shared" si="435"/>
        <v/>
      </c>
      <c r="AD126" s="308" t="str">
        <f t="shared" si="436"/>
        <v/>
      </c>
      <c r="AE126" s="302">
        <f t="shared" si="412"/>
        <v>0</v>
      </c>
      <c r="AF126" s="307" t="str">
        <f t="shared" si="437"/>
        <v/>
      </c>
      <c r="AG126" s="308" t="str">
        <f t="shared" si="438"/>
        <v/>
      </c>
      <c r="AH126" s="302">
        <f t="shared" si="413"/>
        <v>0</v>
      </c>
      <c r="AI126" s="307" t="str">
        <f t="shared" si="439"/>
        <v/>
      </c>
      <c r="AJ126" s="308" t="str">
        <f t="shared" si="440"/>
        <v/>
      </c>
      <c r="AK126" s="302">
        <f t="shared" si="414"/>
        <v>0</v>
      </c>
      <c r="AL126" s="307">
        <f t="shared" ref="AL126:AM126" si="461">B126+E126+H126+K126+N126+Q126+T126+W126+Z126+AC126+AF126+AI126</f>
        <v>0</v>
      </c>
      <c r="AM126" s="308">
        <f t="shared" si="461"/>
        <v>0</v>
      </c>
      <c r="AN126" s="303">
        <f t="shared" si="416"/>
        <v>0</v>
      </c>
      <c r="AO126" s="121" t="str">
        <f t="shared" si="382"/>
        <v/>
      </c>
    </row>
    <row r="127">
      <c r="A127" s="111"/>
      <c r="B127" s="307" t="str">
        <f t="shared" si="417"/>
        <v/>
      </c>
      <c r="C127" s="308" t="str">
        <f t="shared" si="418"/>
        <v/>
      </c>
      <c r="D127" s="302"/>
      <c r="E127" s="307" t="str">
        <f t="shared" si="419"/>
        <v/>
      </c>
      <c r="F127" s="308"/>
      <c r="G127" s="302"/>
      <c r="H127" s="307" t="str">
        <f t="shared" si="421"/>
        <v/>
      </c>
      <c r="I127" s="308"/>
      <c r="J127" s="302"/>
      <c r="K127" s="307" t="str">
        <f t="shared" si="423"/>
        <v/>
      </c>
      <c r="L127" s="308"/>
      <c r="M127" s="302"/>
      <c r="N127" s="307" t="str">
        <f t="shared" si="425"/>
        <v/>
      </c>
      <c r="O127" s="308"/>
      <c r="P127" s="302"/>
      <c r="Q127" s="307" t="str">
        <f t="shared" si="427"/>
        <v/>
      </c>
      <c r="R127" s="308"/>
      <c r="S127" s="302"/>
      <c r="T127" s="307" t="str">
        <f t="shared" si="429"/>
        <v/>
      </c>
      <c r="U127" s="308"/>
      <c r="V127" s="302"/>
      <c r="W127" s="307" t="str">
        <f t="shared" si="431"/>
        <v/>
      </c>
      <c r="X127" s="308"/>
      <c r="Y127" s="302"/>
      <c r="Z127" s="307" t="str">
        <f t="shared" si="433"/>
        <v/>
      </c>
      <c r="AA127" s="308"/>
      <c r="AB127" s="302"/>
      <c r="AC127" s="307" t="str">
        <f t="shared" si="435"/>
        <v/>
      </c>
      <c r="AD127" s="308"/>
      <c r="AE127" s="302"/>
      <c r="AF127" s="307" t="str">
        <f t="shared" si="437"/>
        <v/>
      </c>
      <c r="AG127" s="308"/>
      <c r="AH127" s="302"/>
      <c r="AI127" s="307" t="str">
        <f t="shared" si="439"/>
        <v/>
      </c>
      <c r="AJ127" s="308"/>
      <c r="AK127" s="302"/>
      <c r="AL127" s="307"/>
      <c r="AM127" s="308"/>
      <c r="AN127" s="303"/>
      <c r="AO127" s="121" t="str">
        <f t="shared" si="382"/>
        <v/>
      </c>
    </row>
    <row r="128">
      <c r="A128" s="313" t="s">
        <v>107</v>
      </c>
      <c r="B128" s="314">
        <f t="shared" ref="B128:C128" si="462">SUM(B129:B137)</f>
        <v>-20</v>
      </c>
      <c r="C128" s="315">
        <f t="shared" si="462"/>
        <v>-40</v>
      </c>
      <c r="D128" s="302">
        <f t="shared" ref="D128:D139" si="475">IFERROR(B128/C128,0)</f>
        <v>0.5</v>
      </c>
      <c r="E128" s="314">
        <f t="shared" ref="E128:F128" si="463">SUM(E129:E137)</f>
        <v>0</v>
      </c>
      <c r="F128" s="315">
        <f t="shared" si="463"/>
        <v>0</v>
      </c>
      <c r="G128" s="302">
        <f t="shared" ref="G128:G139" si="476">IFERROR(E128/F128,0)</f>
        <v>0</v>
      </c>
      <c r="H128" s="314">
        <f t="shared" ref="H128:I128" si="464">SUM(H129:H137)</f>
        <v>0</v>
      </c>
      <c r="I128" s="315">
        <f t="shared" si="464"/>
        <v>0</v>
      </c>
      <c r="J128" s="302">
        <f t="shared" ref="J128:J139" si="477">IFERROR(H128/I128,0)</f>
        <v>0</v>
      </c>
      <c r="K128" s="314">
        <f t="shared" ref="K128:L128" si="465">SUM(K129:K137)</f>
        <v>0</v>
      </c>
      <c r="L128" s="315">
        <f t="shared" si="465"/>
        <v>0</v>
      </c>
      <c r="M128" s="302">
        <f t="shared" ref="M128:M139" si="478">IFERROR(K128/L128,0)</f>
        <v>0</v>
      </c>
      <c r="N128" s="314">
        <f t="shared" ref="N128:O128" si="466">SUM(N129:N137)</f>
        <v>0</v>
      </c>
      <c r="O128" s="315">
        <f t="shared" si="466"/>
        <v>0</v>
      </c>
      <c r="P128" s="302">
        <f t="shared" ref="P128:P139" si="479">IFERROR(N128/O128,0)</f>
        <v>0</v>
      </c>
      <c r="Q128" s="314">
        <f t="shared" ref="Q128:R128" si="467">SUM(Q129:Q137)</f>
        <v>0</v>
      </c>
      <c r="R128" s="315">
        <f t="shared" si="467"/>
        <v>0</v>
      </c>
      <c r="S128" s="302">
        <f t="shared" ref="S128:S139" si="480">IFERROR(Q128/R128,0)</f>
        <v>0</v>
      </c>
      <c r="T128" s="314">
        <f t="shared" ref="T128:U128" si="468">SUM(T129:T137)</f>
        <v>0</v>
      </c>
      <c r="U128" s="315">
        <f t="shared" si="468"/>
        <v>0</v>
      </c>
      <c r="V128" s="302">
        <f t="shared" ref="V128:V139" si="481">IFERROR(T128/U128,0)</f>
        <v>0</v>
      </c>
      <c r="W128" s="314">
        <f t="shared" ref="W128:X128" si="469">SUM(W129:W137)</f>
        <v>0</v>
      </c>
      <c r="X128" s="315">
        <f t="shared" si="469"/>
        <v>0</v>
      </c>
      <c r="Y128" s="302">
        <f t="shared" ref="Y128:Y139" si="482">IFERROR(W128/X128,0)</f>
        <v>0</v>
      </c>
      <c r="Z128" s="314">
        <f t="shared" ref="Z128:AA128" si="470">SUM(Z129:Z137)</f>
        <v>0</v>
      </c>
      <c r="AA128" s="315">
        <f t="shared" si="470"/>
        <v>0</v>
      </c>
      <c r="AB128" s="302">
        <f t="shared" ref="AB128:AB139" si="483">IFERROR(Z128/AA128,0)</f>
        <v>0</v>
      </c>
      <c r="AC128" s="314">
        <f t="shared" ref="AC128:AD128" si="471">SUM(AC129:AC137)</f>
        <v>0</v>
      </c>
      <c r="AD128" s="315">
        <f t="shared" si="471"/>
        <v>0</v>
      </c>
      <c r="AE128" s="302">
        <f t="shared" ref="AE128:AE139" si="484">IFERROR(AC128/AD128,0)</f>
        <v>0</v>
      </c>
      <c r="AF128" s="314">
        <f t="shared" ref="AF128:AG128" si="472">SUM(AF129:AF137)</f>
        <v>0</v>
      </c>
      <c r="AG128" s="315">
        <f t="shared" si="472"/>
        <v>0</v>
      </c>
      <c r="AH128" s="302">
        <f t="shared" ref="AH128:AH139" si="485">IFERROR(AF128/AG128,0)</f>
        <v>0</v>
      </c>
      <c r="AI128" s="314">
        <f t="shared" ref="AI128:AJ128" si="473">SUM(AI129:AI137)</f>
        <v>0</v>
      </c>
      <c r="AJ128" s="315">
        <f t="shared" si="473"/>
        <v>0</v>
      </c>
      <c r="AK128" s="302">
        <f t="shared" ref="AK128:AK139" si="486">IFERROR(AI128/AJ128,0)</f>
        <v>0</v>
      </c>
      <c r="AL128" s="314">
        <f t="shared" ref="AL128:AM128" si="474">B128+E128+H128+K128+N128+Q128+T128+W128+Z128+AC128+AF128+AI128</f>
        <v>-20</v>
      </c>
      <c r="AM128" s="315">
        <f t="shared" si="474"/>
        <v>-40</v>
      </c>
      <c r="AN128" s="303">
        <f t="shared" ref="AN128:AN138" si="488">IFERROR(AL128/AM128,0)</f>
        <v>0.5</v>
      </c>
      <c r="AO128" s="141" t="str">
        <f t="shared" si="382"/>
        <v>экономия</v>
      </c>
    </row>
    <row r="129" collapsed="1">
      <c r="A129" s="125" t="str">
        <f>IFERROR(__xludf.DUMMYFUNCTION("iferror(filter('Статьи'!$A$1:$A175,'Статьи'!$B$1:$B175=$A$128))"),"Подписка на сайты по поиску клиентов")</f>
        <v>Подписка на сайты по поиску клиентов</v>
      </c>
      <c r="B129" s="307">
        <f t="shared" ref="B129:B137" si="489">if($AI$2,IFERROR(INDIRECT("'"&amp;B$4&amp;"'!"&amp;$B$2&amp;match($A129,INDIRECT("'"&amp;B$4&amp;"'!B1:B"),0)),""),
IFERROR(INDIRECT("'"&amp;B$4&amp;"!"&amp;$B$2&amp;match($A129,INDIRECT("'"&amp;B$4&amp;"'!B:B"),0)),""))</f>
        <v>-20</v>
      </c>
      <c r="C129" s="308">
        <f t="array" ref="C129">IF($AI$2,IFERROR(INDIRECT("'"&amp;C$4&amp;"'!"&amp;$C$2&amp;MATCH($A129,INDIRECT("'"&amp;C$4&amp;"'!B1:B"),0)),""),
IFERROR(INDIRECT("'"&amp;C$4&amp;"!"&amp;$B$2&amp;MATCH($A129,INDIRECT("'"&amp;C$4&amp;"'!B:B"),0)),""))</f>
        <v>-40</v>
      </c>
      <c r="D129" s="302">
        <f t="shared" si="475"/>
        <v>0.5</v>
      </c>
      <c r="E129" s="307">
        <f t="shared" ref="E129:E137" si="490">if($AI$2,IFERROR(INDIRECT("'"&amp;E$4&amp;"'!"&amp;$B$2&amp;match($A129,INDIRECT("'"&amp;E$4&amp;"'!B1:B"),0)),""),
IFERROR(INDIRECT("'"&amp;E$4&amp;"!"&amp;$B$2&amp;match($A129,INDIRECT("'"&amp;E$4&amp;"'!B:B"),0)),""))</f>
        <v>0</v>
      </c>
      <c r="F129" s="308">
        <f t="array" ref="F129">IF($AI$2,IFERROR(INDIRECT("'"&amp;F$4&amp;"'!"&amp;$C$2&amp;MATCH($A129,INDIRECT("'"&amp;F$4&amp;"'!B1:B"),0)),""),
IFERROR(INDIRECT("'"&amp;F$4&amp;"!"&amp;$B$2&amp;MATCH($A129,INDIRECT("'"&amp;F$4&amp;"'!B:B"),0)),""))</f>
        <v>0</v>
      </c>
      <c r="G129" s="302">
        <f t="shared" si="476"/>
        <v>0</v>
      </c>
      <c r="H129" s="307">
        <f t="shared" ref="H129:H137" si="491">if($AI$2,IFERROR(INDIRECT("'"&amp;H$4&amp;"'!"&amp;$B$2&amp;match($A129,INDIRECT("'"&amp;H$4&amp;"'!B1:B"),0)),""),
IFERROR(INDIRECT("'"&amp;H$4&amp;"!"&amp;$B$2&amp;match($A129,INDIRECT("'"&amp;H$4&amp;"'!B:B"),0)),""))</f>
        <v>0</v>
      </c>
      <c r="I129" s="308">
        <f t="array" ref="I129">IF($AI$2,IFERROR(INDIRECT("'"&amp;I$4&amp;"'!"&amp;$C$2&amp;MATCH($A129,INDIRECT("'"&amp;I$4&amp;"'!B1:B"),0)),""),
IFERROR(INDIRECT("'"&amp;I$4&amp;"!"&amp;$B$2&amp;MATCH($A129,INDIRECT("'"&amp;I$4&amp;"'!B:B"),0)),""))</f>
        <v>0</v>
      </c>
      <c r="J129" s="302">
        <f t="shared" si="477"/>
        <v>0</v>
      </c>
      <c r="K129" s="307">
        <f t="shared" ref="K129:K137" si="492">if($AI$2,IFERROR(INDIRECT("'"&amp;K$4&amp;"'!"&amp;$B$2&amp;match($A129,INDIRECT("'"&amp;K$4&amp;"'!B1:B"),0)),""),
IFERROR(INDIRECT("'"&amp;K$4&amp;"!"&amp;$B$2&amp;match($A129,INDIRECT("'"&amp;K$4&amp;"'!B:B"),0)),""))</f>
        <v>0</v>
      </c>
      <c r="L129" s="308">
        <f t="array" ref="L129">IF($AI$2,IFERROR(INDIRECT("'"&amp;L$4&amp;"'!"&amp;$C$2&amp;MATCH($A129,INDIRECT("'"&amp;L$4&amp;"'!B1:B"),0)),""),
IFERROR(INDIRECT("'"&amp;L$4&amp;"!"&amp;$B$2&amp;MATCH($A129,INDIRECT("'"&amp;L$4&amp;"'!B:B"),0)),""))</f>
        <v>0</v>
      </c>
      <c r="M129" s="302">
        <f t="shared" si="478"/>
        <v>0</v>
      </c>
      <c r="N129" s="307">
        <f t="shared" ref="N129:N137" si="493">if($AI$2,IFERROR(INDIRECT("'"&amp;N$4&amp;"'!"&amp;$B$2&amp;match($A129,INDIRECT("'"&amp;N$4&amp;"'!B1:B"),0)),""),
IFERROR(INDIRECT("'"&amp;N$4&amp;"!"&amp;$B$2&amp;match($A129,INDIRECT("'"&amp;N$4&amp;"'!B:B"),0)),""))</f>
        <v>0</v>
      </c>
      <c r="O129" s="308">
        <f t="array" ref="O129">IF($AI$2,IFERROR(INDIRECT("'"&amp;O$4&amp;"'!"&amp;$C$2&amp;MATCH($A129,INDIRECT("'"&amp;O$4&amp;"'!B1:B"),0)),""),
IFERROR(INDIRECT("'"&amp;O$4&amp;"!"&amp;$B$2&amp;MATCH($A129,INDIRECT("'"&amp;O$4&amp;"'!B:B"),0)),""))</f>
        <v>0</v>
      </c>
      <c r="P129" s="302">
        <f t="shared" si="479"/>
        <v>0</v>
      </c>
      <c r="Q129" s="307">
        <f t="shared" ref="Q129:Q137" si="494">if($AI$2,IFERROR(INDIRECT("'"&amp;Q$4&amp;"'!"&amp;$B$2&amp;match($A129,INDIRECT("'"&amp;Q$4&amp;"'!B1:B"),0)),""),
IFERROR(INDIRECT("'"&amp;Q$4&amp;"!"&amp;$B$2&amp;match($A129,INDIRECT("'"&amp;Q$4&amp;"'!B:B"),0)),""))</f>
        <v>0</v>
      </c>
      <c r="R129" s="308">
        <f t="array" ref="R129">IF($AI$2,IFERROR(INDIRECT("'"&amp;R$4&amp;"'!"&amp;$C$2&amp;MATCH($A129,INDIRECT("'"&amp;R$4&amp;"'!B1:B"),0)),""),
IFERROR(INDIRECT("'"&amp;R$4&amp;"!"&amp;$B$2&amp;MATCH($A129,INDIRECT("'"&amp;R$4&amp;"'!B:B"),0)),""))</f>
        <v>0</v>
      </c>
      <c r="S129" s="302">
        <f t="shared" si="480"/>
        <v>0</v>
      </c>
      <c r="T129" s="307">
        <f t="shared" ref="T129:T137" si="495">if($AI$2,IFERROR(INDIRECT("'"&amp;T$4&amp;"'!"&amp;$B$2&amp;match($A129,INDIRECT("'"&amp;T$4&amp;"'!B1:B"),0)),""),
IFERROR(INDIRECT("'"&amp;T$4&amp;"!"&amp;$B$2&amp;match($A129,INDIRECT("'"&amp;T$4&amp;"'!B:B"),0)),""))</f>
        <v>0</v>
      </c>
      <c r="U129" s="308">
        <f t="array" ref="U129">IF($AI$2,IFERROR(INDIRECT("'"&amp;U$4&amp;"'!"&amp;$C$2&amp;MATCH($A129,INDIRECT("'"&amp;U$4&amp;"'!B1:B"),0)),""),
IFERROR(INDIRECT("'"&amp;U$4&amp;"!"&amp;$B$2&amp;MATCH($A129,INDIRECT("'"&amp;U$4&amp;"'!B:B"),0)),""))</f>
        <v>0</v>
      </c>
      <c r="V129" s="302">
        <f t="shared" si="481"/>
        <v>0</v>
      </c>
      <c r="W129" s="307">
        <f t="shared" ref="W129:W137" si="496">if($AI$2,IFERROR(INDIRECT("'"&amp;W$4&amp;"'!"&amp;$B$2&amp;match($A129,INDIRECT("'"&amp;W$4&amp;"'!B1:B"),0)),""),
IFERROR(INDIRECT("'"&amp;W$4&amp;"!"&amp;$B$2&amp;match($A129,INDIRECT("'"&amp;W$4&amp;"'!B:B"),0)),""))</f>
        <v>0</v>
      </c>
      <c r="X129" s="308">
        <f t="array" ref="X129">IF($AI$2,IFERROR(INDIRECT("'"&amp;X$4&amp;"'!"&amp;$C$2&amp;MATCH($A129,INDIRECT("'"&amp;X$4&amp;"'!B1:B"),0)),""),
IFERROR(INDIRECT("'"&amp;X$4&amp;"!"&amp;$B$2&amp;MATCH($A129,INDIRECT("'"&amp;X$4&amp;"'!B:B"),0)),""))</f>
        <v>0</v>
      </c>
      <c r="Y129" s="302">
        <f t="shared" si="482"/>
        <v>0</v>
      </c>
      <c r="Z129" s="307">
        <f t="shared" ref="Z129:Z137" si="497">if($AI$2,IFERROR(INDIRECT("'"&amp;Z$4&amp;"'!"&amp;$B$2&amp;match($A129,INDIRECT("'"&amp;Z$4&amp;"'!B1:B"),0)),""),
IFERROR(INDIRECT("'"&amp;Z$4&amp;"!"&amp;$B$2&amp;match($A129,INDIRECT("'"&amp;Z$4&amp;"'!B:B"),0)),""))</f>
        <v>0</v>
      </c>
      <c r="AA129" s="308">
        <f t="array" ref="AA129">IF($AI$2,IFERROR(INDIRECT("'"&amp;AA$4&amp;"'!"&amp;$C$2&amp;MATCH($A129,INDIRECT("'"&amp;AA$4&amp;"'!B1:B"),0)),""),
IFERROR(INDIRECT("'"&amp;AA$4&amp;"!"&amp;$B$2&amp;MATCH($A129,INDIRECT("'"&amp;AA$4&amp;"'!B:B"),0)),""))</f>
        <v>0</v>
      </c>
      <c r="AB129" s="302">
        <f t="shared" si="483"/>
        <v>0</v>
      </c>
      <c r="AC129" s="307">
        <f t="shared" ref="AC129:AC137" si="498">if($AI$2,IFERROR(INDIRECT("'"&amp;AC$4&amp;"'!"&amp;$B$2&amp;match($A129,INDIRECT("'"&amp;AC$4&amp;"'!B1:B"),0)),""),
IFERROR(INDIRECT("'"&amp;AC$4&amp;"!"&amp;$B$2&amp;match($A129,INDIRECT("'"&amp;AC$4&amp;"'!B:B"),0)),""))</f>
        <v>0</v>
      </c>
      <c r="AD129" s="308">
        <f t="array" ref="AD129">IF($AI$2,IFERROR(INDIRECT("'"&amp;AD$4&amp;"'!"&amp;$C$2&amp;MATCH($A129,INDIRECT("'"&amp;AD$4&amp;"'!B1:B"),0)),""),
IFERROR(INDIRECT("'"&amp;AD$4&amp;"!"&amp;$B$2&amp;MATCH($A129,INDIRECT("'"&amp;AD$4&amp;"'!B:B"),0)),""))</f>
        <v>0</v>
      </c>
      <c r="AE129" s="302">
        <f t="shared" si="484"/>
        <v>0</v>
      </c>
      <c r="AF129" s="307">
        <f t="shared" ref="AF129:AF137" si="499">if($AI$2,IFERROR(INDIRECT("'"&amp;AF$4&amp;"'!"&amp;$B$2&amp;match($A129,INDIRECT("'"&amp;AF$4&amp;"'!B1:B"),0)),""),
IFERROR(INDIRECT("'"&amp;AF$4&amp;"!"&amp;$B$2&amp;match($A129,INDIRECT("'"&amp;AF$4&amp;"'!B:B"),0)),""))</f>
        <v>0</v>
      </c>
      <c r="AG129" s="308">
        <f t="array" ref="AG129">IF($AI$2,IFERROR(INDIRECT("'"&amp;AG$4&amp;"'!"&amp;$C$2&amp;MATCH($A129,INDIRECT("'"&amp;AG$4&amp;"'!B1:B"),0)),""),
IFERROR(INDIRECT("'"&amp;AG$4&amp;"!"&amp;$B$2&amp;MATCH($A129,INDIRECT("'"&amp;AG$4&amp;"'!B:B"),0)),""))</f>
        <v>0</v>
      </c>
      <c r="AH129" s="302">
        <f t="shared" si="485"/>
        <v>0</v>
      </c>
      <c r="AI129" s="307">
        <f t="shared" ref="AI129:AI137" si="500">if($AI$2,IFERROR(INDIRECT("'"&amp;AI$4&amp;"'!"&amp;$B$2&amp;match($A129,INDIRECT("'"&amp;AI$4&amp;"'!B1:B"),0)),""),
IFERROR(INDIRECT("'"&amp;AI$4&amp;"!"&amp;$B$2&amp;match($A129,INDIRECT("'"&amp;AI$4&amp;"'!B:B"),0)),""))</f>
        <v>0</v>
      </c>
      <c r="AJ129" s="308">
        <f t="array" ref="AJ129">IF($AI$2,IFERROR(INDIRECT("'"&amp;AJ$4&amp;"'!"&amp;$C$2&amp;MATCH($A129,INDIRECT("'"&amp;AJ$4&amp;"'!B1:B"),0)),""),
IFERROR(INDIRECT("'"&amp;AJ$4&amp;"!"&amp;$B$2&amp;MATCH($A129,INDIRECT("'"&amp;AJ$4&amp;"'!B:B"),0)),""))</f>
        <v>0</v>
      </c>
      <c r="AK129" s="302">
        <f t="shared" si="486"/>
        <v>0</v>
      </c>
      <c r="AL129" s="307">
        <f t="shared" ref="AL129:AM129" si="487">B129+E129+H129+K129+N129+Q129+T129+W129+Z129+AC129+AF129+AI129</f>
        <v>-20</v>
      </c>
      <c r="AM129" s="308">
        <f t="shared" si="487"/>
        <v>-40</v>
      </c>
      <c r="AN129" s="303">
        <f t="shared" si="488"/>
        <v>0.5</v>
      </c>
      <c r="AO129" s="121" t="str">
        <f t="shared" si="382"/>
        <v>экономия</v>
      </c>
    </row>
    <row r="130" hidden="1" outlineLevel="1">
      <c r="A130" s="111"/>
      <c r="B130" s="307" t="str">
        <f t="shared" si="489"/>
        <v/>
      </c>
      <c r="C130" s="308"/>
      <c r="D130" s="302">
        <f t="shared" si="475"/>
        <v>0</v>
      </c>
      <c r="E130" s="307" t="str">
        <f t="shared" si="490"/>
        <v/>
      </c>
      <c r="F130" s="308"/>
      <c r="G130" s="302">
        <f t="shared" si="476"/>
        <v>0</v>
      </c>
      <c r="H130" s="307" t="str">
        <f t="shared" si="491"/>
        <v/>
      </c>
      <c r="I130" s="308"/>
      <c r="J130" s="302">
        <f t="shared" si="477"/>
        <v>0</v>
      </c>
      <c r="K130" s="307" t="str">
        <f t="shared" si="492"/>
        <v/>
      </c>
      <c r="L130" s="308"/>
      <c r="M130" s="302">
        <f t="shared" si="478"/>
        <v>0</v>
      </c>
      <c r="N130" s="307" t="str">
        <f t="shared" si="493"/>
        <v/>
      </c>
      <c r="O130" s="308"/>
      <c r="P130" s="302">
        <f t="shared" si="479"/>
        <v>0</v>
      </c>
      <c r="Q130" s="307" t="str">
        <f t="shared" si="494"/>
        <v/>
      </c>
      <c r="R130" s="308"/>
      <c r="S130" s="302">
        <f t="shared" si="480"/>
        <v>0</v>
      </c>
      <c r="T130" s="307" t="str">
        <f t="shared" si="495"/>
        <v/>
      </c>
      <c r="U130" s="308"/>
      <c r="V130" s="302">
        <f t="shared" si="481"/>
        <v>0</v>
      </c>
      <c r="W130" s="307" t="str">
        <f t="shared" si="496"/>
        <v/>
      </c>
      <c r="X130" s="308"/>
      <c r="Y130" s="302">
        <f t="shared" si="482"/>
        <v>0</v>
      </c>
      <c r="Z130" s="307" t="str">
        <f t="shared" si="497"/>
        <v/>
      </c>
      <c r="AA130" s="308"/>
      <c r="AB130" s="302">
        <f t="shared" si="483"/>
        <v>0</v>
      </c>
      <c r="AC130" s="307" t="str">
        <f t="shared" si="498"/>
        <v/>
      </c>
      <c r="AD130" s="308"/>
      <c r="AE130" s="302">
        <f t="shared" si="484"/>
        <v>0</v>
      </c>
      <c r="AF130" s="307" t="str">
        <f t="shared" si="499"/>
        <v/>
      </c>
      <c r="AG130" s="308"/>
      <c r="AH130" s="302">
        <f t="shared" si="485"/>
        <v>0</v>
      </c>
      <c r="AI130" s="307" t="str">
        <f t="shared" si="500"/>
        <v/>
      </c>
      <c r="AJ130" s="308"/>
      <c r="AK130" s="302">
        <f t="shared" si="486"/>
        <v>0</v>
      </c>
      <c r="AL130" s="307">
        <f t="shared" ref="AL130:AM130" si="501">B130+E130+H130+K130+N130+Q130+T130+W130+Z130+AC130+AF130+AI130</f>
        <v>0</v>
      </c>
      <c r="AM130" s="308">
        <f t="shared" si="501"/>
        <v>0</v>
      </c>
      <c r="AN130" s="303">
        <f t="shared" si="488"/>
        <v>0</v>
      </c>
      <c r="AO130" s="121" t="str">
        <f t="shared" si="382"/>
        <v/>
      </c>
    </row>
    <row r="131" hidden="1" outlineLevel="1">
      <c r="A131" s="111"/>
      <c r="B131" s="307" t="str">
        <f t="shared" si="489"/>
        <v/>
      </c>
      <c r="C131" s="308"/>
      <c r="D131" s="302">
        <f t="shared" si="475"/>
        <v>0</v>
      </c>
      <c r="E131" s="307" t="str">
        <f t="shared" si="490"/>
        <v/>
      </c>
      <c r="F131" s="308"/>
      <c r="G131" s="302">
        <f t="shared" si="476"/>
        <v>0</v>
      </c>
      <c r="H131" s="307" t="str">
        <f t="shared" si="491"/>
        <v/>
      </c>
      <c r="I131" s="308"/>
      <c r="J131" s="302">
        <f t="shared" si="477"/>
        <v>0</v>
      </c>
      <c r="K131" s="307" t="str">
        <f t="shared" si="492"/>
        <v/>
      </c>
      <c r="L131" s="308"/>
      <c r="M131" s="302">
        <f t="shared" si="478"/>
        <v>0</v>
      </c>
      <c r="N131" s="307" t="str">
        <f t="shared" si="493"/>
        <v/>
      </c>
      <c r="O131" s="308"/>
      <c r="P131" s="302">
        <f t="shared" si="479"/>
        <v>0</v>
      </c>
      <c r="Q131" s="307" t="str">
        <f t="shared" si="494"/>
        <v/>
      </c>
      <c r="R131" s="308"/>
      <c r="S131" s="302">
        <f t="shared" si="480"/>
        <v>0</v>
      </c>
      <c r="T131" s="307" t="str">
        <f t="shared" si="495"/>
        <v/>
      </c>
      <c r="U131" s="308"/>
      <c r="V131" s="302">
        <f t="shared" si="481"/>
        <v>0</v>
      </c>
      <c r="W131" s="307" t="str">
        <f t="shared" si="496"/>
        <v/>
      </c>
      <c r="X131" s="308"/>
      <c r="Y131" s="302">
        <f t="shared" si="482"/>
        <v>0</v>
      </c>
      <c r="Z131" s="307" t="str">
        <f t="shared" si="497"/>
        <v/>
      </c>
      <c r="AA131" s="308"/>
      <c r="AB131" s="302">
        <f t="shared" si="483"/>
        <v>0</v>
      </c>
      <c r="AC131" s="307" t="str">
        <f t="shared" si="498"/>
        <v/>
      </c>
      <c r="AD131" s="308"/>
      <c r="AE131" s="302">
        <f t="shared" si="484"/>
        <v>0</v>
      </c>
      <c r="AF131" s="307" t="str">
        <f t="shared" si="499"/>
        <v/>
      </c>
      <c r="AG131" s="308"/>
      <c r="AH131" s="302">
        <f t="shared" si="485"/>
        <v>0</v>
      </c>
      <c r="AI131" s="307" t="str">
        <f t="shared" si="500"/>
        <v/>
      </c>
      <c r="AJ131" s="308"/>
      <c r="AK131" s="302">
        <f t="shared" si="486"/>
        <v>0</v>
      </c>
      <c r="AL131" s="307">
        <f t="shared" ref="AL131:AM131" si="502">B131+E131+H131+K131+N131+Q131+T131+W131+Z131+AC131+AF131+AI131</f>
        <v>0</v>
      </c>
      <c r="AM131" s="308">
        <f t="shared" si="502"/>
        <v>0</v>
      </c>
      <c r="AN131" s="303">
        <f t="shared" si="488"/>
        <v>0</v>
      </c>
      <c r="AO131" s="121" t="str">
        <f t="shared" si="382"/>
        <v/>
      </c>
    </row>
    <row r="132" hidden="1" outlineLevel="1">
      <c r="A132" s="111"/>
      <c r="B132" s="307" t="str">
        <f t="shared" si="489"/>
        <v/>
      </c>
      <c r="C132" s="308"/>
      <c r="D132" s="302">
        <f t="shared" si="475"/>
        <v>0</v>
      </c>
      <c r="E132" s="307" t="str">
        <f t="shared" si="490"/>
        <v/>
      </c>
      <c r="F132" s="308"/>
      <c r="G132" s="302">
        <f t="shared" si="476"/>
        <v>0</v>
      </c>
      <c r="H132" s="307" t="str">
        <f t="shared" si="491"/>
        <v/>
      </c>
      <c r="I132" s="308"/>
      <c r="J132" s="302">
        <f t="shared" si="477"/>
        <v>0</v>
      </c>
      <c r="K132" s="307" t="str">
        <f t="shared" si="492"/>
        <v/>
      </c>
      <c r="L132" s="308"/>
      <c r="M132" s="302">
        <f t="shared" si="478"/>
        <v>0</v>
      </c>
      <c r="N132" s="307" t="str">
        <f t="shared" si="493"/>
        <v/>
      </c>
      <c r="O132" s="308"/>
      <c r="P132" s="302">
        <f t="shared" si="479"/>
        <v>0</v>
      </c>
      <c r="Q132" s="307" t="str">
        <f t="shared" si="494"/>
        <v/>
      </c>
      <c r="R132" s="308"/>
      <c r="S132" s="302">
        <f t="shared" si="480"/>
        <v>0</v>
      </c>
      <c r="T132" s="307" t="str">
        <f t="shared" si="495"/>
        <v/>
      </c>
      <c r="U132" s="308"/>
      <c r="V132" s="302">
        <f t="shared" si="481"/>
        <v>0</v>
      </c>
      <c r="W132" s="307" t="str">
        <f t="shared" si="496"/>
        <v/>
      </c>
      <c r="X132" s="308"/>
      <c r="Y132" s="302">
        <f t="shared" si="482"/>
        <v>0</v>
      </c>
      <c r="Z132" s="307" t="str">
        <f t="shared" si="497"/>
        <v/>
      </c>
      <c r="AA132" s="308"/>
      <c r="AB132" s="302">
        <f t="shared" si="483"/>
        <v>0</v>
      </c>
      <c r="AC132" s="307" t="str">
        <f t="shared" si="498"/>
        <v/>
      </c>
      <c r="AD132" s="308"/>
      <c r="AE132" s="302">
        <f t="shared" si="484"/>
        <v>0</v>
      </c>
      <c r="AF132" s="307" t="str">
        <f t="shared" si="499"/>
        <v/>
      </c>
      <c r="AG132" s="308"/>
      <c r="AH132" s="302">
        <f t="shared" si="485"/>
        <v>0</v>
      </c>
      <c r="AI132" s="307" t="str">
        <f t="shared" si="500"/>
        <v/>
      </c>
      <c r="AJ132" s="308"/>
      <c r="AK132" s="302">
        <f t="shared" si="486"/>
        <v>0</v>
      </c>
      <c r="AL132" s="307">
        <f t="shared" ref="AL132:AM132" si="503">B132+E132+H132+K132+N132+Q132+T132+W132+Z132+AC132+AF132+AI132</f>
        <v>0</v>
      </c>
      <c r="AM132" s="308">
        <f t="shared" si="503"/>
        <v>0</v>
      </c>
      <c r="AN132" s="303">
        <f t="shared" si="488"/>
        <v>0</v>
      </c>
      <c r="AO132" s="121" t="str">
        <f t="shared" si="382"/>
        <v/>
      </c>
    </row>
    <row r="133" ht="15.75" hidden="1" customHeight="1" outlineLevel="1">
      <c r="A133" s="111"/>
      <c r="B133" s="307" t="str">
        <f t="shared" si="489"/>
        <v/>
      </c>
      <c r="C133" s="308"/>
      <c r="D133" s="302">
        <f t="shared" si="475"/>
        <v>0</v>
      </c>
      <c r="E133" s="307" t="str">
        <f t="shared" si="490"/>
        <v/>
      </c>
      <c r="F133" s="308"/>
      <c r="G133" s="302">
        <f t="shared" si="476"/>
        <v>0</v>
      </c>
      <c r="H133" s="307" t="str">
        <f t="shared" si="491"/>
        <v/>
      </c>
      <c r="I133" s="308"/>
      <c r="J133" s="302">
        <f t="shared" si="477"/>
        <v>0</v>
      </c>
      <c r="K133" s="307" t="str">
        <f t="shared" si="492"/>
        <v/>
      </c>
      <c r="L133" s="308"/>
      <c r="M133" s="302">
        <f t="shared" si="478"/>
        <v>0</v>
      </c>
      <c r="N133" s="307" t="str">
        <f t="shared" si="493"/>
        <v/>
      </c>
      <c r="O133" s="308"/>
      <c r="P133" s="302">
        <f t="shared" si="479"/>
        <v>0</v>
      </c>
      <c r="Q133" s="307" t="str">
        <f t="shared" si="494"/>
        <v/>
      </c>
      <c r="R133" s="308"/>
      <c r="S133" s="302">
        <f t="shared" si="480"/>
        <v>0</v>
      </c>
      <c r="T133" s="307" t="str">
        <f t="shared" si="495"/>
        <v/>
      </c>
      <c r="U133" s="308"/>
      <c r="V133" s="302">
        <f t="shared" si="481"/>
        <v>0</v>
      </c>
      <c r="W133" s="307" t="str">
        <f t="shared" si="496"/>
        <v/>
      </c>
      <c r="X133" s="308"/>
      <c r="Y133" s="302">
        <f t="shared" si="482"/>
        <v>0</v>
      </c>
      <c r="Z133" s="307" t="str">
        <f t="shared" si="497"/>
        <v/>
      </c>
      <c r="AA133" s="308"/>
      <c r="AB133" s="302">
        <f t="shared" si="483"/>
        <v>0</v>
      </c>
      <c r="AC133" s="307" t="str">
        <f t="shared" si="498"/>
        <v/>
      </c>
      <c r="AD133" s="308"/>
      <c r="AE133" s="302">
        <f t="shared" si="484"/>
        <v>0</v>
      </c>
      <c r="AF133" s="307" t="str">
        <f t="shared" si="499"/>
        <v/>
      </c>
      <c r="AG133" s="308"/>
      <c r="AH133" s="302">
        <f t="shared" si="485"/>
        <v>0</v>
      </c>
      <c r="AI133" s="307" t="str">
        <f t="shared" si="500"/>
        <v/>
      </c>
      <c r="AJ133" s="308"/>
      <c r="AK133" s="302">
        <f t="shared" si="486"/>
        <v>0</v>
      </c>
      <c r="AL133" s="307">
        <f t="shared" ref="AL133:AM133" si="504">B133+E133+H133+K133+N133+Q133+T133+W133+Z133+AC133+AF133+AI133</f>
        <v>0</v>
      </c>
      <c r="AM133" s="308">
        <f t="shared" si="504"/>
        <v>0</v>
      </c>
      <c r="AN133" s="303">
        <f t="shared" si="488"/>
        <v>0</v>
      </c>
      <c r="AO133" s="121" t="str">
        <f t="shared" si="382"/>
        <v/>
      </c>
    </row>
    <row r="134" ht="15.75" hidden="1" customHeight="1" outlineLevel="1">
      <c r="A134" s="111"/>
      <c r="B134" s="307" t="str">
        <f t="shared" si="489"/>
        <v/>
      </c>
      <c r="C134" s="308"/>
      <c r="D134" s="302">
        <f t="shared" si="475"/>
        <v>0</v>
      </c>
      <c r="E134" s="307" t="str">
        <f t="shared" si="490"/>
        <v/>
      </c>
      <c r="F134" s="308"/>
      <c r="G134" s="302">
        <f t="shared" si="476"/>
        <v>0</v>
      </c>
      <c r="H134" s="307" t="str">
        <f t="shared" si="491"/>
        <v/>
      </c>
      <c r="I134" s="308"/>
      <c r="J134" s="302">
        <f t="shared" si="477"/>
        <v>0</v>
      </c>
      <c r="K134" s="307" t="str">
        <f t="shared" si="492"/>
        <v/>
      </c>
      <c r="L134" s="308"/>
      <c r="M134" s="302">
        <f t="shared" si="478"/>
        <v>0</v>
      </c>
      <c r="N134" s="307" t="str">
        <f t="shared" si="493"/>
        <v/>
      </c>
      <c r="O134" s="308"/>
      <c r="P134" s="302">
        <f t="shared" si="479"/>
        <v>0</v>
      </c>
      <c r="Q134" s="307" t="str">
        <f t="shared" si="494"/>
        <v/>
      </c>
      <c r="R134" s="308"/>
      <c r="S134" s="302">
        <f t="shared" si="480"/>
        <v>0</v>
      </c>
      <c r="T134" s="307" t="str">
        <f t="shared" si="495"/>
        <v/>
      </c>
      <c r="U134" s="308"/>
      <c r="V134" s="302">
        <f t="shared" si="481"/>
        <v>0</v>
      </c>
      <c r="W134" s="307" t="str">
        <f t="shared" si="496"/>
        <v/>
      </c>
      <c r="X134" s="308"/>
      <c r="Y134" s="302">
        <f t="shared" si="482"/>
        <v>0</v>
      </c>
      <c r="Z134" s="307" t="str">
        <f t="shared" si="497"/>
        <v/>
      </c>
      <c r="AA134" s="308"/>
      <c r="AB134" s="302">
        <f t="shared" si="483"/>
        <v>0</v>
      </c>
      <c r="AC134" s="307" t="str">
        <f t="shared" si="498"/>
        <v/>
      </c>
      <c r="AD134" s="308"/>
      <c r="AE134" s="302">
        <f t="shared" si="484"/>
        <v>0</v>
      </c>
      <c r="AF134" s="307" t="str">
        <f t="shared" si="499"/>
        <v/>
      </c>
      <c r="AG134" s="308"/>
      <c r="AH134" s="302">
        <f t="shared" si="485"/>
        <v>0</v>
      </c>
      <c r="AI134" s="307" t="str">
        <f t="shared" si="500"/>
        <v/>
      </c>
      <c r="AJ134" s="308"/>
      <c r="AK134" s="302">
        <f t="shared" si="486"/>
        <v>0</v>
      </c>
      <c r="AL134" s="307">
        <f t="shared" ref="AL134:AM134" si="505">B134+E134+H134+K134+N134+Q134+T134+W134+Z134+AC134+AF134+AI134</f>
        <v>0</v>
      </c>
      <c r="AM134" s="308">
        <f t="shared" si="505"/>
        <v>0</v>
      </c>
      <c r="AN134" s="303">
        <f t="shared" si="488"/>
        <v>0</v>
      </c>
      <c r="AO134" s="121" t="str">
        <f t="shared" si="382"/>
        <v/>
      </c>
    </row>
    <row r="135" ht="15.75" hidden="1" customHeight="1" outlineLevel="1">
      <c r="A135" s="111"/>
      <c r="B135" s="307" t="str">
        <f t="shared" si="489"/>
        <v/>
      </c>
      <c r="C135" s="308"/>
      <c r="D135" s="302">
        <f t="shared" si="475"/>
        <v>0</v>
      </c>
      <c r="E135" s="307" t="str">
        <f t="shared" si="490"/>
        <v/>
      </c>
      <c r="F135" s="308"/>
      <c r="G135" s="302">
        <f t="shared" si="476"/>
        <v>0</v>
      </c>
      <c r="H135" s="307" t="str">
        <f t="shared" si="491"/>
        <v/>
      </c>
      <c r="I135" s="308"/>
      <c r="J135" s="302">
        <f t="shared" si="477"/>
        <v>0</v>
      </c>
      <c r="K135" s="307" t="str">
        <f t="shared" si="492"/>
        <v/>
      </c>
      <c r="L135" s="308"/>
      <c r="M135" s="302">
        <f t="shared" si="478"/>
        <v>0</v>
      </c>
      <c r="N135" s="307" t="str">
        <f t="shared" si="493"/>
        <v/>
      </c>
      <c r="O135" s="308"/>
      <c r="P135" s="302">
        <f t="shared" si="479"/>
        <v>0</v>
      </c>
      <c r="Q135" s="307" t="str">
        <f t="shared" si="494"/>
        <v/>
      </c>
      <c r="R135" s="308"/>
      <c r="S135" s="302">
        <f t="shared" si="480"/>
        <v>0</v>
      </c>
      <c r="T135" s="307" t="str">
        <f t="shared" si="495"/>
        <v/>
      </c>
      <c r="U135" s="308"/>
      <c r="V135" s="302">
        <f t="shared" si="481"/>
        <v>0</v>
      </c>
      <c r="W135" s="307" t="str">
        <f t="shared" si="496"/>
        <v/>
      </c>
      <c r="X135" s="308"/>
      <c r="Y135" s="302">
        <f t="shared" si="482"/>
        <v>0</v>
      </c>
      <c r="Z135" s="307" t="str">
        <f t="shared" si="497"/>
        <v/>
      </c>
      <c r="AA135" s="308"/>
      <c r="AB135" s="302">
        <f t="shared" si="483"/>
        <v>0</v>
      </c>
      <c r="AC135" s="307" t="str">
        <f t="shared" si="498"/>
        <v/>
      </c>
      <c r="AD135" s="308"/>
      <c r="AE135" s="302">
        <f t="shared" si="484"/>
        <v>0</v>
      </c>
      <c r="AF135" s="307" t="str">
        <f t="shared" si="499"/>
        <v/>
      </c>
      <c r="AG135" s="308"/>
      <c r="AH135" s="302">
        <f t="shared" si="485"/>
        <v>0</v>
      </c>
      <c r="AI135" s="307" t="str">
        <f t="shared" si="500"/>
        <v/>
      </c>
      <c r="AJ135" s="308"/>
      <c r="AK135" s="302">
        <f t="shared" si="486"/>
        <v>0</v>
      </c>
      <c r="AL135" s="307">
        <f t="shared" ref="AL135:AM135" si="506">B135+E135+H135+K135+N135+Q135+T135+W135+Z135+AC135+AF135+AI135</f>
        <v>0</v>
      </c>
      <c r="AM135" s="308">
        <f t="shared" si="506"/>
        <v>0</v>
      </c>
      <c r="AN135" s="303">
        <f t="shared" si="488"/>
        <v>0</v>
      </c>
      <c r="AO135" s="121" t="str">
        <f t="shared" si="382"/>
        <v/>
      </c>
    </row>
    <row r="136" ht="15.75" hidden="1" customHeight="1" outlineLevel="1">
      <c r="A136" s="111"/>
      <c r="B136" s="307" t="str">
        <f t="shared" si="489"/>
        <v/>
      </c>
      <c r="C136" s="308"/>
      <c r="D136" s="302">
        <f t="shared" si="475"/>
        <v>0</v>
      </c>
      <c r="E136" s="307" t="str">
        <f t="shared" si="490"/>
        <v/>
      </c>
      <c r="F136" s="308"/>
      <c r="G136" s="302">
        <f t="shared" si="476"/>
        <v>0</v>
      </c>
      <c r="H136" s="307" t="str">
        <f t="shared" si="491"/>
        <v/>
      </c>
      <c r="I136" s="308"/>
      <c r="J136" s="302">
        <f t="shared" si="477"/>
        <v>0</v>
      </c>
      <c r="K136" s="307" t="str">
        <f t="shared" si="492"/>
        <v/>
      </c>
      <c r="L136" s="308"/>
      <c r="M136" s="302">
        <f t="shared" si="478"/>
        <v>0</v>
      </c>
      <c r="N136" s="307" t="str">
        <f t="shared" si="493"/>
        <v/>
      </c>
      <c r="O136" s="308"/>
      <c r="P136" s="302">
        <f t="shared" si="479"/>
        <v>0</v>
      </c>
      <c r="Q136" s="307" t="str">
        <f t="shared" si="494"/>
        <v/>
      </c>
      <c r="R136" s="308"/>
      <c r="S136" s="302">
        <f t="shared" si="480"/>
        <v>0</v>
      </c>
      <c r="T136" s="307" t="str">
        <f t="shared" si="495"/>
        <v/>
      </c>
      <c r="U136" s="308"/>
      <c r="V136" s="302">
        <f t="shared" si="481"/>
        <v>0</v>
      </c>
      <c r="W136" s="307" t="str">
        <f t="shared" si="496"/>
        <v/>
      </c>
      <c r="X136" s="308"/>
      <c r="Y136" s="302">
        <f t="shared" si="482"/>
        <v>0</v>
      </c>
      <c r="Z136" s="307" t="str">
        <f t="shared" si="497"/>
        <v/>
      </c>
      <c r="AA136" s="308"/>
      <c r="AB136" s="302">
        <f t="shared" si="483"/>
        <v>0</v>
      </c>
      <c r="AC136" s="307" t="str">
        <f t="shared" si="498"/>
        <v/>
      </c>
      <c r="AD136" s="308"/>
      <c r="AE136" s="302">
        <f t="shared" si="484"/>
        <v>0</v>
      </c>
      <c r="AF136" s="307" t="str">
        <f t="shared" si="499"/>
        <v/>
      </c>
      <c r="AG136" s="308"/>
      <c r="AH136" s="302">
        <f t="shared" si="485"/>
        <v>0</v>
      </c>
      <c r="AI136" s="307" t="str">
        <f t="shared" si="500"/>
        <v/>
      </c>
      <c r="AJ136" s="308"/>
      <c r="AK136" s="302">
        <f t="shared" si="486"/>
        <v>0</v>
      </c>
      <c r="AL136" s="307">
        <f t="shared" ref="AL136:AM136" si="507">B136+E136+H136+K136+N136+Q136+T136+W136+Z136+AC136+AF136+AI136</f>
        <v>0</v>
      </c>
      <c r="AM136" s="308">
        <f t="shared" si="507"/>
        <v>0</v>
      </c>
      <c r="AN136" s="303">
        <f t="shared" si="488"/>
        <v>0</v>
      </c>
      <c r="AO136" s="121" t="str">
        <f t="shared" si="382"/>
        <v/>
      </c>
    </row>
    <row r="137" ht="15.75" customHeight="1">
      <c r="A137" s="111"/>
      <c r="B137" s="307" t="str">
        <f t="shared" si="489"/>
        <v/>
      </c>
      <c r="C137" s="308"/>
      <c r="D137" s="302">
        <f t="shared" si="475"/>
        <v>0</v>
      </c>
      <c r="E137" s="307" t="str">
        <f t="shared" si="490"/>
        <v/>
      </c>
      <c r="F137" s="308"/>
      <c r="G137" s="302">
        <f t="shared" si="476"/>
        <v>0</v>
      </c>
      <c r="H137" s="307" t="str">
        <f t="shared" si="491"/>
        <v/>
      </c>
      <c r="I137" s="308"/>
      <c r="J137" s="302">
        <f t="shared" si="477"/>
        <v>0</v>
      </c>
      <c r="K137" s="307" t="str">
        <f t="shared" si="492"/>
        <v/>
      </c>
      <c r="L137" s="308"/>
      <c r="M137" s="302">
        <f t="shared" si="478"/>
        <v>0</v>
      </c>
      <c r="N137" s="307" t="str">
        <f t="shared" si="493"/>
        <v/>
      </c>
      <c r="O137" s="308"/>
      <c r="P137" s="302">
        <f t="shared" si="479"/>
        <v>0</v>
      </c>
      <c r="Q137" s="307" t="str">
        <f t="shared" si="494"/>
        <v/>
      </c>
      <c r="R137" s="308"/>
      <c r="S137" s="302">
        <f t="shared" si="480"/>
        <v>0</v>
      </c>
      <c r="T137" s="307" t="str">
        <f t="shared" si="495"/>
        <v/>
      </c>
      <c r="U137" s="308"/>
      <c r="V137" s="302">
        <f t="shared" si="481"/>
        <v>0</v>
      </c>
      <c r="W137" s="307" t="str">
        <f t="shared" si="496"/>
        <v/>
      </c>
      <c r="X137" s="308"/>
      <c r="Y137" s="302">
        <f t="shared" si="482"/>
        <v>0</v>
      </c>
      <c r="Z137" s="307" t="str">
        <f t="shared" si="497"/>
        <v/>
      </c>
      <c r="AA137" s="308"/>
      <c r="AB137" s="302">
        <f t="shared" si="483"/>
        <v>0</v>
      </c>
      <c r="AC137" s="307" t="str">
        <f t="shared" si="498"/>
        <v/>
      </c>
      <c r="AD137" s="308"/>
      <c r="AE137" s="302">
        <f t="shared" si="484"/>
        <v>0</v>
      </c>
      <c r="AF137" s="307" t="str">
        <f t="shared" si="499"/>
        <v/>
      </c>
      <c r="AG137" s="308"/>
      <c r="AH137" s="302">
        <f t="shared" si="485"/>
        <v>0</v>
      </c>
      <c r="AI137" s="307" t="str">
        <f t="shared" si="500"/>
        <v/>
      </c>
      <c r="AJ137" s="308"/>
      <c r="AK137" s="302">
        <f t="shared" si="486"/>
        <v>0</v>
      </c>
      <c r="AL137" s="307">
        <f t="shared" ref="AL137:AM137" si="508">B137+E137+H137+K137+N137+Q137+T137+W137+Z137+AC137+AF137+AI137</f>
        <v>0</v>
      </c>
      <c r="AM137" s="308">
        <f t="shared" si="508"/>
        <v>0</v>
      </c>
      <c r="AN137" s="303">
        <f t="shared" si="488"/>
        <v>0</v>
      </c>
      <c r="AO137" s="121" t="str">
        <f t="shared" si="382"/>
        <v/>
      </c>
    </row>
    <row r="138">
      <c r="A138" s="319" t="s">
        <v>163</v>
      </c>
      <c r="B138" s="320">
        <f t="shared" ref="B138:C138" si="509">B88+B91</f>
        <v>143422</v>
      </c>
      <c r="C138" s="321">
        <f t="shared" si="509"/>
        <v>141897.03</v>
      </c>
      <c r="D138" s="302">
        <f t="shared" si="475"/>
        <v>1.010747018</v>
      </c>
      <c r="E138" s="320">
        <f t="shared" ref="E138:F138" si="510">E88+E91</f>
        <v>0</v>
      </c>
      <c r="F138" s="321">
        <f t="shared" si="510"/>
        <v>0</v>
      </c>
      <c r="G138" s="302">
        <f t="shared" si="476"/>
        <v>0</v>
      </c>
      <c r="H138" s="320">
        <f t="shared" ref="H138:I138" si="511">H88+H91</f>
        <v>0</v>
      </c>
      <c r="I138" s="321">
        <f t="shared" si="511"/>
        <v>0</v>
      </c>
      <c r="J138" s="302">
        <f t="shared" si="477"/>
        <v>0</v>
      </c>
      <c r="K138" s="320">
        <f t="shared" ref="K138:L138" si="512">K88+K91</f>
        <v>4</v>
      </c>
      <c r="L138" s="321">
        <f t="shared" si="512"/>
        <v>0</v>
      </c>
      <c r="M138" s="302">
        <f t="shared" si="478"/>
        <v>0</v>
      </c>
      <c r="N138" s="320">
        <f t="shared" ref="N138:O138" si="513">N88+N91</f>
        <v>5</v>
      </c>
      <c r="O138" s="321">
        <f t="shared" si="513"/>
        <v>0</v>
      </c>
      <c r="P138" s="302">
        <f t="shared" si="479"/>
        <v>0</v>
      </c>
      <c r="Q138" s="320">
        <f t="shared" ref="Q138:R138" si="514">Q88+Q91</f>
        <v>6</v>
      </c>
      <c r="R138" s="321">
        <f t="shared" si="514"/>
        <v>0</v>
      </c>
      <c r="S138" s="302">
        <f t="shared" si="480"/>
        <v>0</v>
      </c>
      <c r="T138" s="320">
        <f t="shared" ref="T138:U138" si="515">T88+T91</f>
        <v>7</v>
      </c>
      <c r="U138" s="321">
        <f t="shared" si="515"/>
        <v>0</v>
      </c>
      <c r="V138" s="302">
        <f t="shared" si="481"/>
        <v>0</v>
      </c>
      <c r="W138" s="320">
        <f t="shared" ref="W138:X138" si="516">W88+W91</f>
        <v>8</v>
      </c>
      <c r="X138" s="321">
        <f t="shared" si="516"/>
        <v>0</v>
      </c>
      <c r="Y138" s="302">
        <f t="shared" si="482"/>
        <v>0</v>
      </c>
      <c r="Z138" s="320">
        <f t="shared" ref="Z138:AA138" si="517">Z88+Z91</f>
        <v>9</v>
      </c>
      <c r="AA138" s="321">
        <f t="shared" si="517"/>
        <v>0</v>
      </c>
      <c r="AB138" s="302">
        <f t="shared" si="483"/>
        <v>0</v>
      </c>
      <c r="AC138" s="320">
        <f t="shared" ref="AC138:AD138" si="518">AC88+AC91</f>
        <v>10</v>
      </c>
      <c r="AD138" s="321">
        <f t="shared" si="518"/>
        <v>0</v>
      </c>
      <c r="AE138" s="302">
        <f t="shared" si="484"/>
        <v>0</v>
      </c>
      <c r="AF138" s="320">
        <f t="shared" ref="AF138:AG138" si="519">AF88+AF91</f>
        <v>11</v>
      </c>
      <c r="AG138" s="321">
        <f t="shared" si="519"/>
        <v>0</v>
      </c>
      <c r="AH138" s="302">
        <f t="shared" si="485"/>
        <v>0</v>
      </c>
      <c r="AI138" s="320">
        <f t="shared" ref="AI138:AJ138" si="520">AI88+AI91</f>
        <v>12</v>
      </c>
      <c r="AJ138" s="321">
        <f t="shared" si="520"/>
        <v>0</v>
      </c>
      <c r="AK138" s="302">
        <f t="shared" si="486"/>
        <v>0</v>
      </c>
      <c r="AL138" s="320">
        <f t="shared" ref="AL138:AM138" si="521">B138+E138+H138+K138+N138+Q138+T138+W138+Z138+AC138+AF138+AI138</f>
        <v>143494</v>
      </c>
      <c r="AM138" s="321">
        <f t="shared" si="521"/>
        <v>141897.03</v>
      </c>
      <c r="AN138" s="303">
        <f t="shared" si="488"/>
        <v>1.011254429</v>
      </c>
      <c r="AO138" s="312" t="str">
        <f>IF(AM138=0,"",IF(AN138&gt;1,"выполнение","план не выполнен"))</f>
        <v>выполнение</v>
      </c>
    </row>
    <row r="139">
      <c r="A139" s="338" t="s">
        <v>164</v>
      </c>
      <c r="B139" s="323">
        <f t="shared" ref="B139:C139" si="522">IFERROR(B138/B$6,"")</f>
        <v>0.6301493849</v>
      </c>
      <c r="C139" s="324">
        <f t="shared" si="522"/>
        <v>0.615872526</v>
      </c>
      <c r="D139" s="302">
        <f t="shared" si="475"/>
        <v>1.023181516</v>
      </c>
      <c r="E139" s="323" t="str">
        <f t="shared" ref="E139:F139" si="523">IFERROR(E138/E$6,"")</f>
        <v/>
      </c>
      <c r="F139" s="324" t="str">
        <f t="shared" si="523"/>
        <v/>
      </c>
      <c r="G139" s="302">
        <f t="shared" si="476"/>
        <v>0</v>
      </c>
      <c r="H139" s="323" t="str">
        <f t="shared" ref="H139:I139" si="524">IFERROR(H138/H$6,"")</f>
        <v/>
      </c>
      <c r="I139" s="324" t="str">
        <f t="shared" si="524"/>
        <v/>
      </c>
      <c r="J139" s="302">
        <f t="shared" si="477"/>
        <v>0</v>
      </c>
      <c r="K139" s="323">
        <f t="shared" ref="K139:L139" si="525">IFERROR(K138/K$6,"")</f>
        <v>1</v>
      </c>
      <c r="L139" s="324" t="str">
        <f t="shared" si="525"/>
        <v/>
      </c>
      <c r="M139" s="302">
        <f t="shared" si="478"/>
        <v>0</v>
      </c>
      <c r="N139" s="323">
        <f t="shared" ref="N139:O139" si="526">IFERROR(N138/N$6,"")</f>
        <v>1</v>
      </c>
      <c r="O139" s="324" t="str">
        <f t="shared" si="526"/>
        <v/>
      </c>
      <c r="P139" s="302">
        <f t="shared" si="479"/>
        <v>0</v>
      </c>
      <c r="Q139" s="323">
        <f t="shared" ref="Q139:R139" si="527">IFERROR(Q138/Q$6,"")</f>
        <v>1</v>
      </c>
      <c r="R139" s="324" t="str">
        <f t="shared" si="527"/>
        <v/>
      </c>
      <c r="S139" s="302">
        <f t="shared" si="480"/>
        <v>0</v>
      </c>
      <c r="T139" s="323">
        <f t="shared" ref="T139:U139" si="528">IFERROR(T138/T$6,"")</f>
        <v>1</v>
      </c>
      <c r="U139" s="324" t="str">
        <f t="shared" si="528"/>
        <v/>
      </c>
      <c r="V139" s="302">
        <f t="shared" si="481"/>
        <v>0</v>
      </c>
      <c r="W139" s="323">
        <f t="shared" ref="W139:X139" si="529">IFERROR(W138/W$6,"")</f>
        <v>1</v>
      </c>
      <c r="X139" s="324" t="str">
        <f t="shared" si="529"/>
        <v/>
      </c>
      <c r="Y139" s="302">
        <f t="shared" si="482"/>
        <v>0</v>
      </c>
      <c r="Z139" s="323">
        <f t="shared" ref="Z139:AA139" si="530">IFERROR(Z138/Z$6,"")</f>
        <v>1</v>
      </c>
      <c r="AA139" s="324" t="str">
        <f t="shared" si="530"/>
        <v/>
      </c>
      <c r="AB139" s="302">
        <f t="shared" si="483"/>
        <v>0</v>
      </c>
      <c r="AC139" s="323">
        <f t="shared" ref="AC139:AD139" si="531">IFERROR(AC138/AC$6,"")</f>
        <v>1</v>
      </c>
      <c r="AD139" s="324" t="str">
        <f t="shared" si="531"/>
        <v/>
      </c>
      <c r="AE139" s="302">
        <f t="shared" si="484"/>
        <v>0</v>
      </c>
      <c r="AF139" s="323">
        <f t="shared" ref="AF139:AG139" si="532">IFERROR(AF138/AF$6,"")</f>
        <v>1</v>
      </c>
      <c r="AG139" s="324" t="str">
        <f t="shared" si="532"/>
        <v/>
      </c>
      <c r="AH139" s="302">
        <f t="shared" si="485"/>
        <v>0</v>
      </c>
      <c r="AI139" s="323">
        <f t="shared" ref="AI139:AJ139" si="533">IFERROR(AI138/AI$6,"")</f>
        <v>1</v>
      </c>
      <c r="AJ139" s="324" t="str">
        <f t="shared" si="533"/>
        <v/>
      </c>
      <c r="AK139" s="302">
        <f t="shared" si="486"/>
        <v>0</v>
      </c>
      <c r="AL139" s="323">
        <f t="shared" ref="AL139:AM139" si="534">IFERROR(AL138/AL$6,"")</f>
        <v>0.6302663481</v>
      </c>
      <c r="AM139" s="324">
        <f t="shared" si="534"/>
        <v>0.615872526</v>
      </c>
      <c r="AN139" s="303"/>
      <c r="AO139" s="121"/>
    </row>
    <row r="140">
      <c r="A140" s="316"/>
      <c r="B140" s="325"/>
      <c r="C140" s="326"/>
      <c r="D140" s="302"/>
      <c r="E140" s="325"/>
      <c r="F140" s="326"/>
      <c r="G140" s="302"/>
      <c r="H140" s="325"/>
      <c r="I140" s="326"/>
      <c r="J140" s="302"/>
      <c r="K140" s="325"/>
      <c r="L140" s="326"/>
      <c r="M140" s="302"/>
      <c r="N140" s="325"/>
      <c r="O140" s="326"/>
      <c r="P140" s="302"/>
      <c r="Q140" s="325"/>
      <c r="R140" s="326"/>
      <c r="S140" s="302"/>
      <c r="T140" s="325"/>
      <c r="U140" s="326"/>
      <c r="V140" s="302"/>
      <c r="W140" s="325"/>
      <c r="X140" s="326"/>
      <c r="Y140" s="302"/>
      <c r="Z140" s="325"/>
      <c r="AA140" s="326"/>
      <c r="AB140" s="302"/>
      <c r="AC140" s="325"/>
      <c r="AD140" s="326"/>
      <c r="AE140" s="302"/>
      <c r="AF140" s="325"/>
      <c r="AG140" s="326"/>
      <c r="AH140" s="302"/>
      <c r="AI140" s="325"/>
      <c r="AJ140" s="326"/>
      <c r="AK140" s="302"/>
      <c r="AL140" s="325">
        <f t="shared" ref="AL140:AM140" si="535">B140+E140+H140+K140+N140+Q140+T140+W140+Z140+AC140+AF140+AI140</f>
        <v>0</v>
      </c>
      <c r="AM140" s="326">
        <f t="shared" si="535"/>
        <v>0</v>
      </c>
      <c r="AN140" s="303"/>
      <c r="AO140" s="121" t="str">
        <f>IF(AM140=0,"",IF(AN140=0,"обратить внимание",IF(AN140&gt;1,"перерасход","экономия")))</f>
        <v/>
      </c>
    </row>
    <row r="141">
      <c r="A141" s="136" t="s">
        <v>111</v>
      </c>
      <c r="B141" s="314">
        <f t="shared" ref="B141:C141" si="536">SUM(B142:B147)</f>
        <v>3</v>
      </c>
      <c r="C141" s="315">
        <f t="shared" si="536"/>
        <v>10</v>
      </c>
      <c r="D141" s="302">
        <f t="shared" ref="D141:D146" si="549">IFERROR(B141/C141,0)</f>
        <v>0.3</v>
      </c>
      <c r="E141" s="314">
        <f t="shared" ref="E141:F141" si="537">SUM(E142:E147)</f>
        <v>0</v>
      </c>
      <c r="F141" s="315">
        <f t="shared" si="537"/>
        <v>0</v>
      </c>
      <c r="G141" s="302">
        <f t="shared" ref="G141:G146" si="550">IFERROR(E141/F141,0)</f>
        <v>0</v>
      </c>
      <c r="H141" s="314">
        <f t="shared" ref="H141:I141" si="538">SUM(H142:H147)</f>
        <v>0</v>
      </c>
      <c r="I141" s="315">
        <f t="shared" si="538"/>
        <v>0</v>
      </c>
      <c r="J141" s="302">
        <f t="shared" ref="J141:J146" si="551">IFERROR(H141/I141,0)</f>
        <v>0</v>
      </c>
      <c r="K141" s="314">
        <f t="shared" ref="K141:L141" si="539">SUM(K142:K147)</f>
        <v>0</v>
      </c>
      <c r="L141" s="315">
        <f t="shared" si="539"/>
        <v>0</v>
      </c>
      <c r="M141" s="302">
        <f t="shared" ref="M141:M146" si="552">IFERROR(K141/L141,0)</f>
        <v>0</v>
      </c>
      <c r="N141" s="314">
        <f t="shared" ref="N141:O141" si="540">SUM(N142:N147)</f>
        <v>0</v>
      </c>
      <c r="O141" s="315">
        <f t="shared" si="540"/>
        <v>0</v>
      </c>
      <c r="P141" s="302">
        <f t="shared" ref="P141:P146" si="553">IFERROR(N141/O141,0)</f>
        <v>0</v>
      </c>
      <c r="Q141" s="314">
        <f t="shared" ref="Q141:R141" si="541">SUM(Q142:Q147)</f>
        <v>0</v>
      </c>
      <c r="R141" s="315">
        <f t="shared" si="541"/>
        <v>0</v>
      </c>
      <c r="S141" s="302">
        <f t="shared" ref="S141:S146" si="554">IFERROR(Q141/R141,0)</f>
        <v>0</v>
      </c>
      <c r="T141" s="314">
        <f t="shared" ref="T141:U141" si="542">SUM(T142:T147)</f>
        <v>0</v>
      </c>
      <c r="U141" s="315">
        <f t="shared" si="542"/>
        <v>0</v>
      </c>
      <c r="V141" s="302">
        <f t="shared" ref="V141:V146" si="555">IFERROR(T141/U141,0)</f>
        <v>0</v>
      </c>
      <c r="W141" s="314">
        <f t="shared" ref="W141:X141" si="543">SUM(W142:W147)</f>
        <v>0</v>
      </c>
      <c r="X141" s="315">
        <f t="shared" si="543"/>
        <v>0</v>
      </c>
      <c r="Y141" s="302">
        <f t="shared" ref="Y141:Y146" si="556">IFERROR(W141/X141,0)</f>
        <v>0</v>
      </c>
      <c r="Z141" s="314">
        <f t="shared" ref="Z141:AA141" si="544">SUM(Z142:Z147)</f>
        <v>0</v>
      </c>
      <c r="AA141" s="315">
        <f t="shared" si="544"/>
        <v>0</v>
      </c>
      <c r="AB141" s="302">
        <f t="shared" ref="AB141:AB146" si="557">IFERROR(Z141/AA141,0)</f>
        <v>0</v>
      </c>
      <c r="AC141" s="314">
        <f t="shared" ref="AC141:AD141" si="545">SUM(AC142:AC147)</f>
        <v>0</v>
      </c>
      <c r="AD141" s="315">
        <f t="shared" si="545"/>
        <v>0</v>
      </c>
      <c r="AE141" s="302">
        <f t="shared" ref="AE141:AE146" si="558">IFERROR(AC141/AD141,0)</f>
        <v>0</v>
      </c>
      <c r="AF141" s="314">
        <f t="shared" ref="AF141:AG141" si="546">SUM(AF142:AF147)</f>
        <v>0</v>
      </c>
      <c r="AG141" s="315">
        <f t="shared" si="546"/>
        <v>0</v>
      </c>
      <c r="AH141" s="302">
        <f t="shared" ref="AH141:AH146" si="559">IFERROR(AF141/AG141,0)</f>
        <v>0</v>
      </c>
      <c r="AI141" s="314">
        <f t="shared" ref="AI141:AJ141" si="547">SUM(AI142:AI147)</f>
        <v>0</v>
      </c>
      <c r="AJ141" s="315">
        <f t="shared" si="547"/>
        <v>0</v>
      </c>
      <c r="AK141" s="302">
        <f t="shared" ref="AK141:AK146" si="560">IFERROR(AI141/AJ141,0)</f>
        <v>0</v>
      </c>
      <c r="AL141" s="314">
        <f t="shared" ref="AL141:AM141" si="548">B141+E141+H141+K141+N141+Q141+T141+W141+Z141+AC141+AF141+AI141</f>
        <v>3</v>
      </c>
      <c r="AM141" s="315">
        <f t="shared" si="548"/>
        <v>10</v>
      </c>
      <c r="AN141" s="303">
        <f t="shared" ref="AN141:AN146" si="562">IFERROR(AL141/AM141,0)</f>
        <v>0.3</v>
      </c>
      <c r="AO141" s="312" t="str">
        <f>IF(AM141=0,"",IF(AN141&gt;1,"выполнение","план не выполнен"))</f>
        <v>план не выполнен</v>
      </c>
    </row>
    <row r="142">
      <c r="A142" s="125" t="str">
        <f>IFERROR(__xludf.DUMMYFUNCTION("iferror(filter('Статьи'!$A$1:$A175,'Статьи'!$B$1:$B175=$A$141))"),"Поступления прочие")</f>
        <v>Поступления прочие</v>
      </c>
      <c r="B142" s="307">
        <f t="shared" ref="B142:B147" si="563">if($AI$2,IFERROR(INDIRECT("'"&amp;B$4&amp;"'!"&amp;$B$2&amp;match($A142,INDIRECT("'"&amp;B$4&amp;"'!B1:B"),0)),""),
IFERROR(INDIRECT("'"&amp;B$4&amp;"!"&amp;$B$2&amp;match($A142,INDIRECT("'"&amp;B$4&amp;"'!B:B"),0)),""))</f>
        <v>3</v>
      </c>
      <c r="C142" s="308">
        <f t="shared" ref="C142:C146" si="564">IF($AI$2,IFERROR(INDIRECT("'"&amp;C$4&amp;"'!"&amp;$C$2&amp;MATCH($A142,INDIRECT("'"&amp;C$4&amp;"'!B1:B"),0)),""),
IFERROR(INDIRECT("'"&amp;C$4&amp;"!"&amp;$B$2&amp;MATCH($A142,INDIRECT("'"&amp;C$4&amp;"'!B:B"),0)),""))</f>
        <v>10</v>
      </c>
      <c r="D142" s="302">
        <f t="shared" si="549"/>
        <v>0.3</v>
      </c>
      <c r="E142" s="307">
        <f t="shared" ref="E142:E147" si="565">if($AI$2,IFERROR(INDIRECT("'"&amp;E$4&amp;"'!"&amp;$B$2&amp;match($A142,INDIRECT("'"&amp;E$4&amp;"'!B1:B"),0)),""),
IFERROR(INDIRECT("'"&amp;E$4&amp;"!"&amp;$B$2&amp;match($A142,INDIRECT("'"&amp;E$4&amp;"'!B:B"),0)),""))</f>
        <v>0</v>
      </c>
      <c r="F142" s="308">
        <f t="shared" ref="F142:F146" si="566">IF($AI$2,IFERROR(INDIRECT("'"&amp;F$4&amp;"'!"&amp;$C$2&amp;MATCH($A142,INDIRECT("'"&amp;F$4&amp;"'!B1:B"),0)),""),
IFERROR(INDIRECT("'"&amp;F$4&amp;"!"&amp;$B$2&amp;MATCH($A142,INDIRECT("'"&amp;F$4&amp;"'!B:B"),0)),""))</f>
        <v>0</v>
      </c>
      <c r="G142" s="302">
        <f t="shared" si="550"/>
        <v>0</v>
      </c>
      <c r="H142" s="307">
        <f t="shared" ref="H142:H147" si="567">if($AI$2,IFERROR(INDIRECT("'"&amp;H$4&amp;"'!"&amp;$B$2&amp;match($A142,INDIRECT("'"&amp;H$4&amp;"'!B1:B"),0)),""),
IFERROR(INDIRECT("'"&amp;H$4&amp;"!"&amp;$B$2&amp;match($A142,INDIRECT("'"&amp;H$4&amp;"'!B:B"),0)),""))</f>
        <v>0</v>
      </c>
      <c r="I142" s="308">
        <f t="shared" ref="I142:I146" si="568">IF($AI$2,IFERROR(INDIRECT("'"&amp;I$4&amp;"'!"&amp;$C$2&amp;MATCH($A142,INDIRECT("'"&amp;I$4&amp;"'!B1:B"),0)),""),
IFERROR(INDIRECT("'"&amp;I$4&amp;"!"&amp;$B$2&amp;MATCH($A142,INDIRECT("'"&amp;I$4&amp;"'!B:B"),0)),""))</f>
        <v>0</v>
      </c>
      <c r="J142" s="302">
        <f t="shared" si="551"/>
        <v>0</v>
      </c>
      <c r="K142" s="307">
        <f t="shared" ref="K142:K147" si="569">if($AI$2,IFERROR(INDIRECT("'"&amp;K$4&amp;"'!"&amp;$B$2&amp;match($A142,INDIRECT("'"&amp;K$4&amp;"'!B1:B"),0)),""),
IFERROR(INDIRECT("'"&amp;K$4&amp;"!"&amp;$B$2&amp;match($A142,INDIRECT("'"&amp;K$4&amp;"'!B:B"),0)),""))</f>
        <v>0</v>
      </c>
      <c r="L142" s="308">
        <f t="shared" ref="L142:L146" si="570">IF($AI$2,IFERROR(INDIRECT("'"&amp;L$4&amp;"'!"&amp;$C$2&amp;MATCH($A142,INDIRECT("'"&amp;L$4&amp;"'!B1:B"),0)),""),
IFERROR(INDIRECT("'"&amp;L$4&amp;"!"&amp;$B$2&amp;MATCH($A142,INDIRECT("'"&amp;L$4&amp;"'!B:B"),0)),""))</f>
        <v>0</v>
      </c>
      <c r="M142" s="302">
        <f t="shared" si="552"/>
        <v>0</v>
      </c>
      <c r="N142" s="307">
        <f t="shared" ref="N142:N147" si="571">if($AI$2,IFERROR(INDIRECT("'"&amp;N$4&amp;"'!"&amp;$B$2&amp;match($A142,INDIRECT("'"&amp;N$4&amp;"'!B1:B"),0)),""),
IFERROR(INDIRECT("'"&amp;N$4&amp;"!"&amp;$B$2&amp;match($A142,INDIRECT("'"&amp;N$4&amp;"'!B:B"),0)),""))</f>
        <v>0</v>
      </c>
      <c r="O142" s="308">
        <f t="shared" ref="O142:O146" si="572">IF($AI$2,IFERROR(INDIRECT("'"&amp;O$4&amp;"'!"&amp;$C$2&amp;MATCH($A142,INDIRECT("'"&amp;O$4&amp;"'!B1:B"),0)),""),
IFERROR(INDIRECT("'"&amp;O$4&amp;"!"&amp;$B$2&amp;MATCH($A142,INDIRECT("'"&amp;O$4&amp;"'!B:B"),0)),""))</f>
        <v>0</v>
      </c>
      <c r="P142" s="302">
        <f t="shared" si="553"/>
        <v>0</v>
      </c>
      <c r="Q142" s="307">
        <f t="shared" ref="Q142:Q147" si="573">if($AI$2,IFERROR(INDIRECT("'"&amp;Q$4&amp;"'!"&amp;$B$2&amp;match($A142,INDIRECT("'"&amp;Q$4&amp;"'!B1:B"),0)),""),
IFERROR(INDIRECT("'"&amp;Q$4&amp;"!"&amp;$B$2&amp;match($A142,INDIRECT("'"&amp;Q$4&amp;"'!B:B"),0)),""))</f>
        <v>0</v>
      </c>
      <c r="R142" s="308">
        <f t="shared" ref="R142:R146" si="574">IF($AI$2,IFERROR(INDIRECT("'"&amp;R$4&amp;"'!"&amp;$C$2&amp;MATCH($A142,INDIRECT("'"&amp;R$4&amp;"'!B1:B"),0)),""),
IFERROR(INDIRECT("'"&amp;R$4&amp;"!"&amp;$B$2&amp;MATCH($A142,INDIRECT("'"&amp;R$4&amp;"'!B:B"),0)),""))</f>
        <v>0</v>
      </c>
      <c r="S142" s="302">
        <f t="shared" si="554"/>
        <v>0</v>
      </c>
      <c r="T142" s="307">
        <f t="shared" ref="T142:T147" si="575">if($AI$2,IFERROR(INDIRECT("'"&amp;T$4&amp;"'!"&amp;$B$2&amp;match($A142,INDIRECT("'"&amp;T$4&amp;"'!B1:B"),0)),""),
IFERROR(INDIRECT("'"&amp;T$4&amp;"!"&amp;$B$2&amp;match($A142,INDIRECT("'"&amp;T$4&amp;"'!B:B"),0)),""))</f>
        <v>0</v>
      </c>
      <c r="U142" s="308">
        <f t="shared" ref="U142:U146" si="576">IF($AI$2,IFERROR(INDIRECT("'"&amp;U$4&amp;"'!"&amp;$C$2&amp;MATCH($A142,INDIRECT("'"&amp;U$4&amp;"'!B1:B"),0)),""),
IFERROR(INDIRECT("'"&amp;U$4&amp;"!"&amp;$B$2&amp;MATCH($A142,INDIRECT("'"&amp;U$4&amp;"'!B:B"),0)),""))</f>
        <v>0</v>
      </c>
      <c r="V142" s="302">
        <f t="shared" si="555"/>
        <v>0</v>
      </c>
      <c r="W142" s="307">
        <f t="shared" ref="W142:W147" si="577">if($AI$2,IFERROR(INDIRECT("'"&amp;W$4&amp;"'!"&amp;$B$2&amp;match($A142,INDIRECT("'"&amp;W$4&amp;"'!B1:B"),0)),""),
IFERROR(INDIRECT("'"&amp;W$4&amp;"!"&amp;$B$2&amp;match($A142,INDIRECT("'"&amp;W$4&amp;"'!B:B"),0)),""))</f>
        <v>0</v>
      </c>
      <c r="X142" s="308">
        <f t="shared" ref="X142:X146" si="578">IF($AI$2,IFERROR(INDIRECT("'"&amp;X$4&amp;"'!"&amp;$C$2&amp;MATCH($A142,INDIRECT("'"&amp;X$4&amp;"'!B1:B"),0)),""),
IFERROR(INDIRECT("'"&amp;X$4&amp;"!"&amp;$B$2&amp;MATCH($A142,INDIRECT("'"&amp;X$4&amp;"'!B:B"),0)),""))</f>
        <v>0</v>
      </c>
      <c r="Y142" s="302">
        <f t="shared" si="556"/>
        <v>0</v>
      </c>
      <c r="Z142" s="307">
        <f t="shared" ref="Z142:Z147" si="579">if($AI$2,IFERROR(INDIRECT("'"&amp;Z$4&amp;"'!"&amp;$B$2&amp;match($A142,INDIRECT("'"&amp;Z$4&amp;"'!B1:B"),0)),""),
IFERROR(INDIRECT("'"&amp;Z$4&amp;"!"&amp;$B$2&amp;match($A142,INDIRECT("'"&amp;Z$4&amp;"'!B:B"),0)),""))</f>
        <v>0</v>
      </c>
      <c r="AA142" s="308">
        <f t="shared" ref="AA142:AA146" si="580">IF($AI$2,IFERROR(INDIRECT("'"&amp;AA$4&amp;"'!"&amp;$C$2&amp;MATCH($A142,INDIRECT("'"&amp;AA$4&amp;"'!B1:B"),0)),""),
IFERROR(INDIRECT("'"&amp;AA$4&amp;"!"&amp;$B$2&amp;MATCH($A142,INDIRECT("'"&amp;AA$4&amp;"'!B:B"),0)),""))</f>
        <v>0</v>
      </c>
      <c r="AB142" s="302">
        <f t="shared" si="557"/>
        <v>0</v>
      </c>
      <c r="AC142" s="307">
        <f t="shared" ref="AC142:AC147" si="581">if($AI$2,IFERROR(INDIRECT("'"&amp;AC$4&amp;"'!"&amp;$B$2&amp;match($A142,INDIRECT("'"&amp;AC$4&amp;"'!B1:B"),0)),""),
IFERROR(INDIRECT("'"&amp;AC$4&amp;"!"&amp;$B$2&amp;match($A142,INDIRECT("'"&amp;AC$4&amp;"'!B:B"),0)),""))</f>
        <v>0</v>
      </c>
      <c r="AD142" s="308">
        <f t="shared" ref="AD142:AD146" si="582">IF($AI$2,IFERROR(INDIRECT("'"&amp;AD$4&amp;"'!"&amp;$C$2&amp;MATCH($A142,INDIRECT("'"&amp;AD$4&amp;"'!B1:B"),0)),""),
IFERROR(INDIRECT("'"&amp;AD$4&amp;"!"&amp;$B$2&amp;MATCH($A142,INDIRECT("'"&amp;AD$4&amp;"'!B:B"),0)),""))</f>
        <v>0</v>
      </c>
      <c r="AE142" s="302">
        <f t="shared" si="558"/>
        <v>0</v>
      </c>
      <c r="AF142" s="307">
        <f t="shared" ref="AF142:AF147" si="583">if($AI$2,IFERROR(INDIRECT("'"&amp;AF$4&amp;"'!"&amp;$B$2&amp;match($A142,INDIRECT("'"&amp;AF$4&amp;"'!B1:B"),0)),""),
IFERROR(INDIRECT("'"&amp;AF$4&amp;"!"&amp;$B$2&amp;match($A142,INDIRECT("'"&amp;AF$4&amp;"'!B:B"),0)),""))</f>
        <v>0</v>
      </c>
      <c r="AG142" s="308">
        <f t="shared" ref="AG142:AG146" si="584">IF($AI$2,IFERROR(INDIRECT("'"&amp;AG$4&amp;"'!"&amp;$C$2&amp;MATCH($A142,INDIRECT("'"&amp;AG$4&amp;"'!B1:B"),0)),""),
IFERROR(INDIRECT("'"&amp;AG$4&amp;"!"&amp;$B$2&amp;MATCH($A142,INDIRECT("'"&amp;AG$4&amp;"'!B:B"),0)),""))</f>
        <v>0</v>
      </c>
      <c r="AH142" s="302">
        <f t="shared" si="559"/>
        <v>0</v>
      </c>
      <c r="AI142" s="307">
        <f t="shared" ref="AI142:AI147" si="585">if($AI$2,IFERROR(INDIRECT("'"&amp;AI$4&amp;"'!"&amp;$B$2&amp;match($A142,INDIRECT("'"&amp;AI$4&amp;"'!B1:B"),0)),""),
IFERROR(INDIRECT("'"&amp;AI$4&amp;"!"&amp;$B$2&amp;match($A142,INDIRECT("'"&amp;AI$4&amp;"'!B:B"),0)),""))</f>
        <v>0</v>
      </c>
      <c r="AJ142" s="308">
        <f t="shared" ref="AJ142:AJ146" si="586">IF($AI$2,IFERROR(INDIRECT("'"&amp;AJ$4&amp;"'!"&amp;$C$2&amp;MATCH($A142,INDIRECT("'"&amp;AJ$4&amp;"'!B1:B"),0)),""),
IFERROR(INDIRECT("'"&amp;AJ$4&amp;"!"&amp;$B$2&amp;MATCH($A142,INDIRECT("'"&amp;AJ$4&amp;"'!B:B"),0)),""))</f>
        <v>0</v>
      </c>
      <c r="AK142" s="302">
        <f t="shared" si="560"/>
        <v>0</v>
      </c>
      <c r="AL142" s="307">
        <f t="shared" ref="AL142:AM142" si="561">B142+E142+H142+K142+N142+Q142+T142+W142+Z142+AC142+AF142+AI142</f>
        <v>3</v>
      </c>
      <c r="AM142" s="308">
        <f t="shared" si="561"/>
        <v>10</v>
      </c>
      <c r="AN142" s="303">
        <f t="shared" si="562"/>
        <v>0.3</v>
      </c>
      <c r="AO142" s="121" t="str">
        <f t="shared" ref="AO142:AO147" si="588">IF(AM142=0,"",IF(AN142=0,"обратить внимание",IF(AN142&gt;1,"выполнение","план не выполнен")))</f>
        <v>план не выполнен</v>
      </c>
    </row>
    <row r="143">
      <c r="A143" s="125" t="str">
        <f>IFERROR(__xludf.DUMMYFUNCTION("""COMPUTED_VALUE"""),"Поступления страховые выплаты")</f>
        <v>Поступления страховые выплаты</v>
      </c>
      <c r="B143" s="307">
        <f t="shared" si="563"/>
        <v>0</v>
      </c>
      <c r="C143" s="308">
        <f t="shared" si="564"/>
        <v>0</v>
      </c>
      <c r="D143" s="302">
        <f t="shared" si="549"/>
        <v>0</v>
      </c>
      <c r="E143" s="307">
        <f t="shared" si="565"/>
        <v>0</v>
      </c>
      <c r="F143" s="308">
        <f t="shared" si="566"/>
        <v>0</v>
      </c>
      <c r="G143" s="302">
        <f t="shared" si="550"/>
        <v>0</v>
      </c>
      <c r="H143" s="307">
        <f t="shared" si="567"/>
        <v>0</v>
      </c>
      <c r="I143" s="308">
        <f t="shared" si="568"/>
        <v>0</v>
      </c>
      <c r="J143" s="302">
        <f t="shared" si="551"/>
        <v>0</v>
      </c>
      <c r="K143" s="307">
        <f t="shared" si="569"/>
        <v>0</v>
      </c>
      <c r="L143" s="308">
        <f t="shared" si="570"/>
        <v>0</v>
      </c>
      <c r="M143" s="302">
        <f t="shared" si="552"/>
        <v>0</v>
      </c>
      <c r="N143" s="307">
        <f t="shared" si="571"/>
        <v>0</v>
      </c>
      <c r="O143" s="308">
        <f t="shared" si="572"/>
        <v>0</v>
      </c>
      <c r="P143" s="302">
        <f t="shared" si="553"/>
        <v>0</v>
      </c>
      <c r="Q143" s="307">
        <f t="shared" si="573"/>
        <v>0</v>
      </c>
      <c r="R143" s="308">
        <f t="shared" si="574"/>
        <v>0</v>
      </c>
      <c r="S143" s="302">
        <f t="shared" si="554"/>
        <v>0</v>
      </c>
      <c r="T143" s="307">
        <f t="shared" si="575"/>
        <v>0</v>
      </c>
      <c r="U143" s="308">
        <f t="shared" si="576"/>
        <v>0</v>
      </c>
      <c r="V143" s="302">
        <f t="shared" si="555"/>
        <v>0</v>
      </c>
      <c r="W143" s="307">
        <f t="shared" si="577"/>
        <v>0</v>
      </c>
      <c r="X143" s="308">
        <f t="shared" si="578"/>
        <v>0</v>
      </c>
      <c r="Y143" s="302">
        <f t="shared" si="556"/>
        <v>0</v>
      </c>
      <c r="Z143" s="307">
        <f t="shared" si="579"/>
        <v>0</v>
      </c>
      <c r="AA143" s="308">
        <f t="shared" si="580"/>
        <v>0</v>
      </c>
      <c r="AB143" s="302">
        <f t="shared" si="557"/>
        <v>0</v>
      </c>
      <c r="AC143" s="307">
        <f t="shared" si="581"/>
        <v>0</v>
      </c>
      <c r="AD143" s="308">
        <f t="shared" si="582"/>
        <v>0</v>
      </c>
      <c r="AE143" s="302">
        <f t="shared" si="558"/>
        <v>0</v>
      </c>
      <c r="AF143" s="307">
        <f t="shared" si="583"/>
        <v>0</v>
      </c>
      <c r="AG143" s="308">
        <f t="shared" si="584"/>
        <v>0</v>
      </c>
      <c r="AH143" s="302">
        <f t="shared" si="559"/>
        <v>0</v>
      </c>
      <c r="AI143" s="307">
        <f t="shared" si="585"/>
        <v>0</v>
      </c>
      <c r="AJ143" s="308">
        <f t="shared" si="586"/>
        <v>0</v>
      </c>
      <c r="AK143" s="302">
        <f t="shared" si="560"/>
        <v>0</v>
      </c>
      <c r="AL143" s="307">
        <f t="shared" ref="AL143:AM143" si="587">B143+E143+H143+K143+N143+Q143+T143+W143+Z143+AC143+AF143+AI143</f>
        <v>0</v>
      </c>
      <c r="AM143" s="308">
        <f t="shared" si="587"/>
        <v>0</v>
      </c>
      <c r="AN143" s="303">
        <f t="shared" si="562"/>
        <v>0</v>
      </c>
      <c r="AO143" s="121" t="str">
        <f t="shared" si="588"/>
        <v/>
      </c>
    </row>
    <row r="144">
      <c r="A144" s="125" t="str">
        <f>IFERROR(__xludf.DUMMYFUNCTION("""COMPUTED_VALUE"""),"Продажа ОС")</f>
        <v>Продажа ОС</v>
      </c>
      <c r="B144" s="307">
        <f t="shared" si="563"/>
        <v>0</v>
      </c>
      <c r="C144" s="308">
        <f t="shared" si="564"/>
        <v>0</v>
      </c>
      <c r="D144" s="302">
        <f t="shared" si="549"/>
        <v>0</v>
      </c>
      <c r="E144" s="307">
        <f t="shared" si="565"/>
        <v>0</v>
      </c>
      <c r="F144" s="308">
        <f t="shared" si="566"/>
        <v>0</v>
      </c>
      <c r="G144" s="302">
        <f t="shared" si="550"/>
        <v>0</v>
      </c>
      <c r="H144" s="307">
        <f t="shared" si="567"/>
        <v>0</v>
      </c>
      <c r="I144" s="308">
        <f t="shared" si="568"/>
        <v>0</v>
      </c>
      <c r="J144" s="302">
        <f t="shared" si="551"/>
        <v>0</v>
      </c>
      <c r="K144" s="307">
        <f t="shared" si="569"/>
        <v>0</v>
      </c>
      <c r="L144" s="308">
        <f t="shared" si="570"/>
        <v>0</v>
      </c>
      <c r="M144" s="302">
        <f t="shared" si="552"/>
        <v>0</v>
      </c>
      <c r="N144" s="307">
        <f t="shared" si="571"/>
        <v>0</v>
      </c>
      <c r="O144" s="308">
        <f t="shared" si="572"/>
        <v>0</v>
      </c>
      <c r="P144" s="302">
        <f t="shared" si="553"/>
        <v>0</v>
      </c>
      <c r="Q144" s="307">
        <f t="shared" si="573"/>
        <v>0</v>
      </c>
      <c r="R144" s="308">
        <f t="shared" si="574"/>
        <v>0</v>
      </c>
      <c r="S144" s="302">
        <f t="shared" si="554"/>
        <v>0</v>
      </c>
      <c r="T144" s="307">
        <f t="shared" si="575"/>
        <v>0</v>
      </c>
      <c r="U144" s="308">
        <f t="shared" si="576"/>
        <v>0</v>
      </c>
      <c r="V144" s="302">
        <f t="shared" si="555"/>
        <v>0</v>
      </c>
      <c r="W144" s="307">
        <f t="shared" si="577"/>
        <v>0</v>
      </c>
      <c r="X144" s="308">
        <f t="shared" si="578"/>
        <v>0</v>
      </c>
      <c r="Y144" s="302">
        <f t="shared" si="556"/>
        <v>0</v>
      </c>
      <c r="Z144" s="307">
        <f t="shared" si="579"/>
        <v>0</v>
      </c>
      <c r="AA144" s="308">
        <f t="shared" si="580"/>
        <v>0</v>
      </c>
      <c r="AB144" s="302">
        <f t="shared" si="557"/>
        <v>0</v>
      </c>
      <c r="AC144" s="307">
        <f t="shared" si="581"/>
        <v>0</v>
      </c>
      <c r="AD144" s="308">
        <f t="shared" si="582"/>
        <v>0</v>
      </c>
      <c r="AE144" s="302">
        <f t="shared" si="558"/>
        <v>0</v>
      </c>
      <c r="AF144" s="307">
        <f t="shared" si="583"/>
        <v>0</v>
      </c>
      <c r="AG144" s="308">
        <f t="shared" si="584"/>
        <v>0</v>
      </c>
      <c r="AH144" s="302">
        <f t="shared" si="559"/>
        <v>0</v>
      </c>
      <c r="AI144" s="307">
        <f t="shared" si="585"/>
        <v>0</v>
      </c>
      <c r="AJ144" s="308">
        <f t="shared" si="586"/>
        <v>0</v>
      </c>
      <c r="AK144" s="302">
        <f t="shared" si="560"/>
        <v>0</v>
      </c>
      <c r="AL144" s="307">
        <f t="shared" ref="AL144:AM144" si="589">B144+E144+H144+K144+N144+Q144+T144+W144+Z144+AC144+AF144+AI144</f>
        <v>0</v>
      </c>
      <c r="AM144" s="308">
        <f t="shared" si="589"/>
        <v>0</v>
      </c>
      <c r="AN144" s="303">
        <f t="shared" si="562"/>
        <v>0</v>
      </c>
      <c r="AO144" s="312" t="str">
        <f t="shared" si="588"/>
        <v/>
      </c>
    </row>
    <row r="145">
      <c r="A145" s="125" t="str">
        <f>IFERROR(__xludf.DUMMYFUNCTION("""COMPUTED_VALUE"""),"Прочие поступления от фин. операций")</f>
        <v>Прочие поступления от фин. операций</v>
      </c>
      <c r="B145" s="307">
        <f t="shared" si="563"/>
        <v>0</v>
      </c>
      <c r="C145" s="308">
        <f t="shared" si="564"/>
        <v>0</v>
      </c>
      <c r="D145" s="302">
        <f t="shared" si="549"/>
        <v>0</v>
      </c>
      <c r="E145" s="307">
        <f t="shared" si="565"/>
        <v>0</v>
      </c>
      <c r="F145" s="308">
        <f t="shared" si="566"/>
        <v>0</v>
      </c>
      <c r="G145" s="302">
        <f t="shared" si="550"/>
        <v>0</v>
      </c>
      <c r="H145" s="307">
        <f t="shared" si="567"/>
        <v>0</v>
      </c>
      <c r="I145" s="308">
        <f t="shared" si="568"/>
        <v>0</v>
      </c>
      <c r="J145" s="302">
        <f t="shared" si="551"/>
        <v>0</v>
      </c>
      <c r="K145" s="307">
        <f t="shared" si="569"/>
        <v>0</v>
      </c>
      <c r="L145" s="308">
        <f t="shared" si="570"/>
        <v>0</v>
      </c>
      <c r="M145" s="302">
        <f t="shared" si="552"/>
        <v>0</v>
      </c>
      <c r="N145" s="307">
        <f t="shared" si="571"/>
        <v>0</v>
      </c>
      <c r="O145" s="308">
        <f t="shared" si="572"/>
        <v>0</v>
      </c>
      <c r="P145" s="302">
        <f t="shared" si="553"/>
        <v>0</v>
      </c>
      <c r="Q145" s="307">
        <f t="shared" si="573"/>
        <v>0</v>
      </c>
      <c r="R145" s="308">
        <f t="shared" si="574"/>
        <v>0</v>
      </c>
      <c r="S145" s="302">
        <f t="shared" si="554"/>
        <v>0</v>
      </c>
      <c r="T145" s="307">
        <f t="shared" si="575"/>
        <v>0</v>
      </c>
      <c r="U145" s="308">
        <f t="shared" si="576"/>
        <v>0</v>
      </c>
      <c r="V145" s="302">
        <f t="shared" si="555"/>
        <v>0</v>
      </c>
      <c r="W145" s="307">
        <f t="shared" si="577"/>
        <v>0</v>
      </c>
      <c r="X145" s="308">
        <f t="shared" si="578"/>
        <v>0</v>
      </c>
      <c r="Y145" s="302">
        <f t="shared" si="556"/>
        <v>0</v>
      </c>
      <c r="Z145" s="307">
        <f t="shared" si="579"/>
        <v>0</v>
      </c>
      <c r="AA145" s="308">
        <f t="shared" si="580"/>
        <v>0</v>
      </c>
      <c r="AB145" s="302">
        <f t="shared" si="557"/>
        <v>0</v>
      </c>
      <c r="AC145" s="307">
        <f t="shared" si="581"/>
        <v>0</v>
      </c>
      <c r="AD145" s="308">
        <f t="shared" si="582"/>
        <v>0</v>
      </c>
      <c r="AE145" s="302">
        <f t="shared" si="558"/>
        <v>0</v>
      </c>
      <c r="AF145" s="307">
        <f t="shared" si="583"/>
        <v>0</v>
      </c>
      <c r="AG145" s="308">
        <f t="shared" si="584"/>
        <v>0</v>
      </c>
      <c r="AH145" s="302">
        <f t="shared" si="559"/>
        <v>0</v>
      </c>
      <c r="AI145" s="307">
        <f t="shared" si="585"/>
        <v>0</v>
      </c>
      <c r="AJ145" s="308">
        <f t="shared" si="586"/>
        <v>0</v>
      </c>
      <c r="AK145" s="302">
        <f t="shared" si="560"/>
        <v>0</v>
      </c>
      <c r="AL145" s="307">
        <f t="shared" ref="AL145:AM145" si="590">B145+E145+H145+K145+N145+Q145+T145+W145+Z145+AC145+AF145+AI145</f>
        <v>0</v>
      </c>
      <c r="AM145" s="308">
        <f t="shared" si="590"/>
        <v>0</v>
      </c>
      <c r="AN145" s="303">
        <f t="shared" si="562"/>
        <v>0</v>
      </c>
      <c r="AO145" s="121" t="str">
        <f t="shared" si="588"/>
        <v/>
      </c>
    </row>
    <row r="146">
      <c r="A146" s="125"/>
      <c r="B146" s="307" t="str">
        <f t="shared" si="563"/>
        <v/>
      </c>
      <c r="C146" s="308" t="str">
        <f t="shared" si="564"/>
        <v/>
      </c>
      <c r="D146" s="302">
        <f t="shared" si="549"/>
        <v>0</v>
      </c>
      <c r="E146" s="307" t="str">
        <f t="shared" si="565"/>
        <v/>
      </c>
      <c r="F146" s="308" t="str">
        <f t="shared" si="566"/>
        <v/>
      </c>
      <c r="G146" s="302">
        <f t="shared" si="550"/>
        <v>0</v>
      </c>
      <c r="H146" s="307" t="str">
        <f t="shared" si="567"/>
        <v/>
      </c>
      <c r="I146" s="308" t="str">
        <f t="shared" si="568"/>
        <v/>
      </c>
      <c r="J146" s="302">
        <f t="shared" si="551"/>
        <v>0</v>
      </c>
      <c r="K146" s="307" t="str">
        <f t="shared" si="569"/>
        <v/>
      </c>
      <c r="L146" s="308" t="str">
        <f t="shared" si="570"/>
        <v/>
      </c>
      <c r="M146" s="302">
        <f t="shared" si="552"/>
        <v>0</v>
      </c>
      <c r="N146" s="307" t="str">
        <f t="shared" si="571"/>
        <v/>
      </c>
      <c r="O146" s="308" t="str">
        <f t="shared" si="572"/>
        <v/>
      </c>
      <c r="P146" s="302">
        <f t="shared" si="553"/>
        <v>0</v>
      </c>
      <c r="Q146" s="307" t="str">
        <f t="shared" si="573"/>
        <v/>
      </c>
      <c r="R146" s="308" t="str">
        <f t="shared" si="574"/>
        <v/>
      </c>
      <c r="S146" s="302">
        <f t="shared" si="554"/>
        <v>0</v>
      </c>
      <c r="T146" s="307" t="str">
        <f t="shared" si="575"/>
        <v/>
      </c>
      <c r="U146" s="308" t="str">
        <f t="shared" si="576"/>
        <v/>
      </c>
      <c r="V146" s="302">
        <f t="shared" si="555"/>
        <v>0</v>
      </c>
      <c r="W146" s="307" t="str">
        <f t="shared" si="577"/>
        <v/>
      </c>
      <c r="X146" s="308" t="str">
        <f t="shared" si="578"/>
        <v/>
      </c>
      <c r="Y146" s="302">
        <f t="shared" si="556"/>
        <v>0</v>
      </c>
      <c r="Z146" s="307" t="str">
        <f t="shared" si="579"/>
        <v/>
      </c>
      <c r="AA146" s="308" t="str">
        <f t="shared" si="580"/>
        <v/>
      </c>
      <c r="AB146" s="302">
        <f t="shared" si="557"/>
        <v>0</v>
      </c>
      <c r="AC146" s="307" t="str">
        <f t="shared" si="581"/>
        <v/>
      </c>
      <c r="AD146" s="308" t="str">
        <f t="shared" si="582"/>
        <v/>
      </c>
      <c r="AE146" s="302">
        <f t="shared" si="558"/>
        <v>0</v>
      </c>
      <c r="AF146" s="307" t="str">
        <f t="shared" si="583"/>
        <v/>
      </c>
      <c r="AG146" s="308" t="str">
        <f t="shared" si="584"/>
        <v/>
      </c>
      <c r="AH146" s="302">
        <f t="shared" si="559"/>
        <v>0</v>
      </c>
      <c r="AI146" s="307" t="str">
        <f t="shared" si="585"/>
        <v/>
      </c>
      <c r="AJ146" s="308" t="str">
        <f t="shared" si="586"/>
        <v/>
      </c>
      <c r="AK146" s="302">
        <f t="shared" si="560"/>
        <v>0</v>
      </c>
      <c r="AL146" s="307">
        <f t="shared" ref="AL146:AM146" si="591">B146+E146+H146+K146+N146+Q146+T146+W146+Z146+AC146+AF146+AI146</f>
        <v>0</v>
      </c>
      <c r="AM146" s="308">
        <f t="shared" si="591"/>
        <v>0</v>
      </c>
      <c r="AN146" s="303">
        <f t="shared" si="562"/>
        <v>0</v>
      </c>
      <c r="AO146" s="121" t="str">
        <f t="shared" si="588"/>
        <v/>
      </c>
    </row>
    <row r="147">
      <c r="A147" s="125"/>
      <c r="B147" s="307" t="str">
        <f t="shared" si="563"/>
        <v/>
      </c>
      <c r="C147" s="308"/>
      <c r="D147" s="302"/>
      <c r="E147" s="307" t="str">
        <f t="shared" si="565"/>
        <v/>
      </c>
      <c r="F147" s="308"/>
      <c r="G147" s="302"/>
      <c r="H147" s="307" t="str">
        <f t="shared" si="567"/>
        <v/>
      </c>
      <c r="I147" s="308"/>
      <c r="J147" s="302"/>
      <c r="K147" s="307" t="str">
        <f t="shared" si="569"/>
        <v/>
      </c>
      <c r="L147" s="308"/>
      <c r="M147" s="302"/>
      <c r="N147" s="307" t="str">
        <f t="shared" si="571"/>
        <v/>
      </c>
      <c r="O147" s="308"/>
      <c r="P147" s="302"/>
      <c r="Q147" s="307" t="str">
        <f t="shared" si="573"/>
        <v/>
      </c>
      <c r="R147" s="308"/>
      <c r="S147" s="302"/>
      <c r="T147" s="307" t="str">
        <f t="shared" si="575"/>
        <v/>
      </c>
      <c r="U147" s="308"/>
      <c r="V147" s="302"/>
      <c r="W147" s="307" t="str">
        <f t="shared" si="577"/>
        <v/>
      </c>
      <c r="X147" s="308"/>
      <c r="Y147" s="302"/>
      <c r="Z147" s="307" t="str">
        <f t="shared" si="579"/>
        <v/>
      </c>
      <c r="AA147" s="308"/>
      <c r="AB147" s="302"/>
      <c r="AC147" s="307" t="str">
        <f t="shared" si="581"/>
        <v/>
      </c>
      <c r="AD147" s="308"/>
      <c r="AE147" s="302"/>
      <c r="AF147" s="307" t="str">
        <f t="shared" si="583"/>
        <v/>
      </c>
      <c r="AG147" s="308"/>
      <c r="AH147" s="302"/>
      <c r="AI147" s="307" t="str">
        <f t="shared" si="585"/>
        <v/>
      </c>
      <c r="AJ147" s="308"/>
      <c r="AK147" s="302"/>
      <c r="AL147" s="307">
        <f t="shared" ref="AL147:AM147" si="592">B147+E147+H147+K147+N147+Q147+T147+W147+Z147+AC147+AF147+AI147</f>
        <v>0</v>
      </c>
      <c r="AM147" s="308">
        <f t="shared" si="592"/>
        <v>0</v>
      </c>
      <c r="AN147" s="303"/>
      <c r="AO147" s="121" t="str">
        <f t="shared" si="588"/>
        <v/>
      </c>
    </row>
    <row r="148">
      <c r="A148" s="313" t="s">
        <v>101</v>
      </c>
      <c r="B148" s="314">
        <f t="shared" ref="B148:C148" si="593">SUM(B149:B164)</f>
        <v>-45100</v>
      </c>
      <c r="C148" s="315">
        <f t="shared" si="593"/>
        <v>-44750</v>
      </c>
      <c r="D148" s="302">
        <f t="shared" ref="D148:D155" si="606">IFERROR(B148/C148,0)</f>
        <v>1.007821229</v>
      </c>
      <c r="E148" s="314">
        <f t="shared" ref="E148:F148" si="594">SUM(E149:E164)</f>
        <v>0</v>
      </c>
      <c r="F148" s="315">
        <f t="shared" si="594"/>
        <v>0</v>
      </c>
      <c r="G148" s="302">
        <f t="shared" ref="G148:G155" si="607">IFERROR(E148/F148,0)</f>
        <v>0</v>
      </c>
      <c r="H148" s="314">
        <f t="shared" ref="H148:I148" si="595">SUM(H149:H164)</f>
        <v>0</v>
      </c>
      <c r="I148" s="315">
        <f t="shared" si="595"/>
        <v>0</v>
      </c>
      <c r="J148" s="302">
        <f t="shared" ref="J148:J155" si="608">IFERROR(H148/I148,0)</f>
        <v>0</v>
      </c>
      <c r="K148" s="314">
        <f t="shared" ref="K148:L148" si="596">SUM(K149:K164)</f>
        <v>0</v>
      </c>
      <c r="L148" s="315">
        <f t="shared" si="596"/>
        <v>0</v>
      </c>
      <c r="M148" s="302">
        <f t="shared" ref="M148:M155" si="609">IFERROR(K148/L148,0)</f>
        <v>0</v>
      </c>
      <c r="N148" s="314">
        <f t="shared" ref="N148:O148" si="597">SUM(N149:N164)</f>
        <v>0</v>
      </c>
      <c r="O148" s="315">
        <f t="shared" si="597"/>
        <v>0</v>
      </c>
      <c r="P148" s="302">
        <f t="shared" ref="P148:P155" si="610">IFERROR(N148/O148,0)</f>
        <v>0</v>
      </c>
      <c r="Q148" s="314">
        <f t="shared" ref="Q148:R148" si="598">SUM(Q149:Q164)</f>
        <v>0</v>
      </c>
      <c r="R148" s="315">
        <f t="shared" si="598"/>
        <v>0</v>
      </c>
      <c r="S148" s="302">
        <f t="shared" ref="S148:S155" si="611">IFERROR(Q148/R148,0)</f>
        <v>0</v>
      </c>
      <c r="T148" s="314">
        <f t="shared" ref="T148:U148" si="599">SUM(T149:T164)</f>
        <v>0</v>
      </c>
      <c r="U148" s="315">
        <f t="shared" si="599"/>
        <v>0</v>
      </c>
      <c r="V148" s="302">
        <f t="shared" ref="V148:V155" si="612">IFERROR(T148/U148,0)</f>
        <v>0</v>
      </c>
      <c r="W148" s="314">
        <f t="shared" ref="W148:X148" si="600">SUM(W149:W164)</f>
        <v>0</v>
      </c>
      <c r="X148" s="315">
        <f t="shared" si="600"/>
        <v>0</v>
      </c>
      <c r="Y148" s="302">
        <f t="shared" ref="Y148:Y155" si="613">IFERROR(W148/X148,0)</f>
        <v>0</v>
      </c>
      <c r="Z148" s="314">
        <f t="shared" ref="Z148:AA148" si="601">SUM(Z149:Z164)</f>
        <v>0</v>
      </c>
      <c r="AA148" s="315">
        <f t="shared" si="601"/>
        <v>0</v>
      </c>
      <c r="AB148" s="302">
        <f t="shared" ref="AB148:AB155" si="614">IFERROR(Z148/AA148,0)</f>
        <v>0</v>
      </c>
      <c r="AC148" s="314">
        <f t="shared" ref="AC148:AD148" si="602">SUM(AC149:AC164)</f>
        <v>0</v>
      </c>
      <c r="AD148" s="315">
        <f t="shared" si="602"/>
        <v>0</v>
      </c>
      <c r="AE148" s="302">
        <f t="shared" ref="AE148:AE155" si="615">IFERROR(AC148/AD148,0)</f>
        <v>0</v>
      </c>
      <c r="AF148" s="314">
        <f t="shared" ref="AF148:AG148" si="603">SUM(AF149:AF164)</f>
        <v>0</v>
      </c>
      <c r="AG148" s="315">
        <f t="shared" si="603"/>
        <v>0</v>
      </c>
      <c r="AH148" s="302">
        <f t="shared" ref="AH148:AH155" si="616">IFERROR(AF148/AG148,0)</f>
        <v>0</v>
      </c>
      <c r="AI148" s="314">
        <f t="shared" ref="AI148:AJ148" si="604">SUM(AI149:AI164)</f>
        <v>0</v>
      </c>
      <c r="AJ148" s="315">
        <f t="shared" si="604"/>
        <v>0</v>
      </c>
      <c r="AK148" s="302">
        <f t="shared" ref="AK148:AK155" si="617">IFERROR(AI148/AJ148,0)</f>
        <v>0</v>
      </c>
      <c r="AL148" s="314">
        <f t="shared" ref="AL148:AM148" si="605">B148+E148+H148+K148+N148+Q148+T148+W148+Z148+AC148+AF148+AI148</f>
        <v>-45100</v>
      </c>
      <c r="AM148" s="315">
        <f t="shared" si="605"/>
        <v>-44750</v>
      </c>
      <c r="AN148" s="303">
        <f t="shared" ref="AN148:AN155" si="619">IFERROR(AL148/AM148,0)</f>
        <v>1.007821229</v>
      </c>
      <c r="AO148" s="312" t="str">
        <f>IF(AM148=0,"",IF(AN148&gt;1,"план не выполнен","выполнение"))</f>
        <v>план не выполнен</v>
      </c>
    </row>
    <row r="149">
      <c r="A149" s="125" t="str">
        <f>IFERROR(__xludf.DUMMYFUNCTION("iferror(filter('Статьи'!$A$1:$A175,'Статьи'!$B$1:$B175=$A$148))"),"Курсовые разницы")</f>
        <v>Курсовые разницы</v>
      </c>
      <c r="B149" s="307">
        <f t="shared" ref="B149:B155" si="620">if($AI$2,IFERROR(INDIRECT("'"&amp;B$4&amp;"'!"&amp;$B$2&amp;match($A149,INDIRECT("'"&amp;B$4&amp;"'!B1:B"),0)),""),
IFERROR(INDIRECT("'"&amp;B$4&amp;"!"&amp;$B$2&amp;match($A149,INDIRECT("'"&amp;B$4&amp;"'!B:B"),0)),""))</f>
        <v>0</v>
      </c>
      <c r="C149" s="308">
        <f t="shared" ref="C149:C155" si="621">IF($AI$2,IFERROR(INDIRECT("'"&amp;C$4&amp;"'!"&amp;$C$2&amp;MATCH($A149,INDIRECT("'"&amp;C$4&amp;"'!B1:B"),0)),""),
IFERROR(INDIRECT("'"&amp;C$4&amp;"!"&amp;$B$2&amp;MATCH($A149,INDIRECT("'"&amp;C$4&amp;"'!B:B"),0)),""))</f>
        <v>0</v>
      </c>
      <c r="D149" s="302">
        <f t="shared" si="606"/>
        <v>0</v>
      </c>
      <c r="E149" s="307">
        <f t="shared" ref="E149:E155" si="622">if($AI$2,IFERROR(INDIRECT("'"&amp;E$4&amp;"'!"&amp;$B$2&amp;match($A149,INDIRECT("'"&amp;E$4&amp;"'!B1:B"),0)),""),
IFERROR(INDIRECT("'"&amp;E$4&amp;"!"&amp;$B$2&amp;match($A149,INDIRECT("'"&amp;E$4&amp;"'!B:B"),0)),""))</f>
        <v>0</v>
      </c>
      <c r="F149" s="308">
        <f t="shared" ref="F149:F155" si="623">IF($AI$2,IFERROR(INDIRECT("'"&amp;F$4&amp;"'!"&amp;$C$2&amp;MATCH($A149,INDIRECT("'"&amp;F$4&amp;"'!B1:B"),0)),""),
IFERROR(INDIRECT("'"&amp;F$4&amp;"!"&amp;$B$2&amp;MATCH($A149,INDIRECT("'"&amp;F$4&amp;"'!B:B"),0)),""))</f>
        <v>0</v>
      </c>
      <c r="G149" s="302">
        <f t="shared" si="607"/>
        <v>0</v>
      </c>
      <c r="H149" s="307">
        <f t="shared" ref="H149:H155" si="624">if($AI$2,IFERROR(INDIRECT("'"&amp;H$4&amp;"'!"&amp;$B$2&amp;match($A149,INDIRECT("'"&amp;H$4&amp;"'!B1:B"),0)),""),
IFERROR(INDIRECT("'"&amp;H$4&amp;"!"&amp;$B$2&amp;match($A149,INDIRECT("'"&amp;H$4&amp;"'!B:B"),0)),""))</f>
        <v>0</v>
      </c>
      <c r="I149" s="308">
        <f t="shared" ref="I149:I155" si="625">IF($AI$2,IFERROR(INDIRECT("'"&amp;I$4&amp;"'!"&amp;$C$2&amp;MATCH($A149,INDIRECT("'"&amp;I$4&amp;"'!B1:B"),0)),""),
IFERROR(INDIRECT("'"&amp;I$4&amp;"!"&amp;$B$2&amp;MATCH($A149,INDIRECT("'"&amp;I$4&amp;"'!B:B"),0)),""))</f>
        <v>0</v>
      </c>
      <c r="J149" s="302">
        <f t="shared" si="608"/>
        <v>0</v>
      </c>
      <c r="K149" s="307">
        <f t="shared" ref="K149:K155" si="626">if($AI$2,IFERROR(INDIRECT("'"&amp;K$4&amp;"'!"&amp;$B$2&amp;match($A149,INDIRECT("'"&amp;K$4&amp;"'!B1:B"),0)),""),
IFERROR(INDIRECT("'"&amp;K$4&amp;"!"&amp;$B$2&amp;match($A149,INDIRECT("'"&amp;K$4&amp;"'!B:B"),0)),""))</f>
        <v>0</v>
      </c>
      <c r="L149" s="308">
        <f t="shared" ref="L149:L155" si="627">IF($AI$2,IFERROR(INDIRECT("'"&amp;L$4&amp;"'!"&amp;$C$2&amp;MATCH($A149,INDIRECT("'"&amp;L$4&amp;"'!B1:B"),0)),""),
IFERROR(INDIRECT("'"&amp;L$4&amp;"!"&amp;$B$2&amp;MATCH($A149,INDIRECT("'"&amp;L$4&amp;"'!B:B"),0)),""))</f>
        <v>0</v>
      </c>
      <c r="M149" s="302">
        <f t="shared" si="609"/>
        <v>0</v>
      </c>
      <c r="N149" s="307">
        <f t="shared" ref="N149:N155" si="628">if($AI$2,IFERROR(INDIRECT("'"&amp;N$4&amp;"'!"&amp;$B$2&amp;match($A149,INDIRECT("'"&amp;N$4&amp;"'!B1:B"),0)),""),
IFERROR(INDIRECT("'"&amp;N$4&amp;"!"&amp;$B$2&amp;match($A149,INDIRECT("'"&amp;N$4&amp;"'!B:B"),0)),""))</f>
        <v>0</v>
      </c>
      <c r="O149" s="308">
        <f t="shared" ref="O149:O155" si="629">IF($AI$2,IFERROR(INDIRECT("'"&amp;O$4&amp;"'!"&amp;$C$2&amp;MATCH($A149,INDIRECT("'"&amp;O$4&amp;"'!B1:B"),0)),""),
IFERROR(INDIRECT("'"&amp;O$4&amp;"!"&amp;$B$2&amp;MATCH($A149,INDIRECT("'"&amp;O$4&amp;"'!B:B"),0)),""))</f>
        <v>0</v>
      </c>
      <c r="P149" s="302">
        <f t="shared" si="610"/>
        <v>0</v>
      </c>
      <c r="Q149" s="307">
        <f t="shared" ref="Q149:Q155" si="630">if($AI$2,IFERROR(INDIRECT("'"&amp;Q$4&amp;"'!"&amp;$B$2&amp;match($A149,INDIRECT("'"&amp;Q$4&amp;"'!B1:B"),0)),""),
IFERROR(INDIRECT("'"&amp;Q$4&amp;"!"&amp;$B$2&amp;match($A149,INDIRECT("'"&amp;Q$4&amp;"'!B:B"),0)),""))</f>
        <v>0</v>
      </c>
      <c r="R149" s="308">
        <f t="shared" ref="R149:R155" si="631">IF($AI$2,IFERROR(INDIRECT("'"&amp;R$4&amp;"'!"&amp;$C$2&amp;MATCH($A149,INDIRECT("'"&amp;R$4&amp;"'!B1:B"),0)),""),
IFERROR(INDIRECT("'"&amp;R$4&amp;"!"&amp;$B$2&amp;MATCH($A149,INDIRECT("'"&amp;R$4&amp;"'!B:B"),0)),""))</f>
        <v>0</v>
      </c>
      <c r="S149" s="302">
        <f t="shared" si="611"/>
        <v>0</v>
      </c>
      <c r="T149" s="307">
        <f t="shared" ref="T149:T155" si="632">if($AI$2,IFERROR(INDIRECT("'"&amp;T$4&amp;"'!"&amp;$B$2&amp;match($A149,INDIRECT("'"&amp;T$4&amp;"'!B1:B"),0)),""),
IFERROR(INDIRECT("'"&amp;T$4&amp;"!"&amp;$B$2&amp;match($A149,INDIRECT("'"&amp;T$4&amp;"'!B:B"),0)),""))</f>
        <v>0</v>
      </c>
      <c r="U149" s="308">
        <f t="shared" ref="U149:U155" si="633">IF($AI$2,IFERROR(INDIRECT("'"&amp;U$4&amp;"'!"&amp;$C$2&amp;MATCH($A149,INDIRECT("'"&amp;U$4&amp;"'!B1:B"),0)),""),
IFERROR(INDIRECT("'"&amp;U$4&amp;"!"&amp;$B$2&amp;MATCH($A149,INDIRECT("'"&amp;U$4&amp;"'!B:B"),0)),""))</f>
        <v>0</v>
      </c>
      <c r="V149" s="302">
        <f t="shared" si="612"/>
        <v>0</v>
      </c>
      <c r="W149" s="307">
        <f t="shared" ref="W149:W155" si="634">if($AI$2,IFERROR(INDIRECT("'"&amp;W$4&amp;"'!"&amp;$B$2&amp;match($A149,INDIRECT("'"&amp;W$4&amp;"'!B1:B"),0)),""),
IFERROR(INDIRECT("'"&amp;W$4&amp;"!"&amp;$B$2&amp;match($A149,INDIRECT("'"&amp;W$4&amp;"'!B:B"),0)),""))</f>
        <v>0</v>
      </c>
      <c r="X149" s="308">
        <f t="shared" ref="X149:X155" si="635">IF($AI$2,IFERROR(INDIRECT("'"&amp;X$4&amp;"'!"&amp;$C$2&amp;MATCH($A149,INDIRECT("'"&amp;X$4&amp;"'!B1:B"),0)),""),
IFERROR(INDIRECT("'"&amp;X$4&amp;"!"&amp;$B$2&amp;MATCH($A149,INDIRECT("'"&amp;X$4&amp;"'!B:B"),0)),""))</f>
        <v>0</v>
      </c>
      <c r="Y149" s="302">
        <f t="shared" si="613"/>
        <v>0</v>
      </c>
      <c r="Z149" s="307">
        <f t="shared" ref="Z149:Z155" si="636">if($AI$2,IFERROR(INDIRECT("'"&amp;Z$4&amp;"'!"&amp;$B$2&amp;match($A149,INDIRECT("'"&amp;Z$4&amp;"'!B1:B"),0)),""),
IFERROR(INDIRECT("'"&amp;Z$4&amp;"!"&amp;$B$2&amp;match($A149,INDIRECT("'"&amp;Z$4&amp;"'!B:B"),0)),""))</f>
        <v>0</v>
      </c>
      <c r="AA149" s="308">
        <f t="shared" ref="AA149:AA155" si="637">IF($AI$2,IFERROR(INDIRECT("'"&amp;AA$4&amp;"'!"&amp;$C$2&amp;MATCH($A149,INDIRECT("'"&amp;AA$4&amp;"'!B1:B"),0)),""),
IFERROR(INDIRECT("'"&amp;AA$4&amp;"!"&amp;$B$2&amp;MATCH($A149,INDIRECT("'"&amp;AA$4&amp;"'!B:B"),0)),""))</f>
        <v>0</v>
      </c>
      <c r="AB149" s="302">
        <f t="shared" si="614"/>
        <v>0</v>
      </c>
      <c r="AC149" s="307">
        <f t="shared" ref="AC149:AC155" si="638">if($AI$2,IFERROR(INDIRECT("'"&amp;AC$4&amp;"'!"&amp;$B$2&amp;match($A149,INDIRECT("'"&amp;AC$4&amp;"'!B1:B"),0)),""),
IFERROR(INDIRECT("'"&amp;AC$4&amp;"!"&amp;$B$2&amp;match($A149,INDIRECT("'"&amp;AC$4&amp;"'!B:B"),0)),""))</f>
        <v>0</v>
      </c>
      <c r="AD149" s="308">
        <f t="shared" ref="AD149:AD155" si="639">IF($AI$2,IFERROR(INDIRECT("'"&amp;AD$4&amp;"'!"&amp;$C$2&amp;MATCH($A149,INDIRECT("'"&amp;AD$4&amp;"'!B1:B"),0)),""),
IFERROR(INDIRECT("'"&amp;AD$4&amp;"!"&amp;$B$2&amp;MATCH($A149,INDIRECT("'"&amp;AD$4&amp;"'!B:B"),0)),""))</f>
        <v>0</v>
      </c>
      <c r="AE149" s="302">
        <f t="shared" si="615"/>
        <v>0</v>
      </c>
      <c r="AF149" s="307">
        <f t="shared" ref="AF149:AF155" si="640">if($AI$2,IFERROR(INDIRECT("'"&amp;AF$4&amp;"'!"&amp;$B$2&amp;match($A149,INDIRECT("'"&amp;AF$4&amp;"'!B1:B"),0)),""),
IFERROR(INDIRECT("'"&amp;AF$4&amp;"!"&amp;$B$2&amp;match($A149,INDIRECT("'"&amp;AF$4&amp;"'!B:B"),0)),""))</f>
        <v>0</v>
      </c>
      <c r="AG149" s="308">
        <f t="shared" ref="AG149:AG155" si="641">IF($AI$2,IFERROR(INDIRECT("'"&amp;AG$4&amp;"'!"&amp;$C$2&amp;MATCH($A149,INDIRECT("'"&amp;AG$4&amp;"'!B1:B"),0)),""),
IFERROR(INDIRECT("'"&amp;AG$4&amp;"!"&amp;$B$2&amp;MATCH($A149,INDIRECT("'"&amp;AG$4&amp;"'!B:B"),0)),""))</f>
        <v>0</v>
      </c>
      <c r="AH149" s="302">
        <f t="shared" si="616"/>
        <v>0</v>
      </c>
      <c r="AI149" s="307">
        <f t="shared" ref="AI149:AI155" si="642">if($AI$2,IFERROR(INDIRECT("'"&amp;AI$4&amp;"'!"&amp;$B$2&amp;match($A149,INDIRECT("'"&amp;AI$4&amp;"'!B1:B"),0)),""),
IFERROR(INDIRECT("'"&amp;AI$4&amp;"!"&amp;$B$2&amp;match($A149,INDIRECT("'"&amp;AI$4&amp;"'!B:B"),0)),""))</f>
        <v>0</v>
      </c>
      <c r="AJ149" s="308">
        <f t="shared" ref="AJ149:AJ155" si="643">IF($AI$2,IFERROR(INDIRECT("'"&amp;AJ$4&amp;"'!"&amp;$C$2&amp;MATCH($A149,INDIRECT("'"&amp;AJ$4&amp;"'!B1:B"),0)),""),
IFERROR(INDIRECT("'"&amp;AJ$4&amp;"!"&amp;$B$2&amp;MATCH($A149,INDIRECT("'"&amp;AJ$4&amp;"'!B:B"),0)),""))</f>
        <v>0</v>
      </c>
      <c r="AK149" s="302">
        <f t="shared" si="617"/>
        <v>0</v>
      </c>
      <c r="AL149" s="307">
        <f t="shared" ref="AL149:AM149" si="618">B149+E149+H149+K149+N149+Q149+T149+W149+Z149+AC149+AF149+AI149</f>
        <v>0</v>
      </c>
      <c r="AM149" s="308">
        <f t="shared" si="618"/>
        <v>0</v>
      </c>
      <c r="AN149" s="303">
        <f t="shared" si="619"/>
        <v>0</v>
      </c>
      <c r="AO149" s="121" t="str">
        <f t="shared" ref="AO149:AO165" si="645">IF(AM149=0,"",IF(AN149=0,"обратить внимание",IF(AN149&gt;1,"перерасход","экономия")))</f>
        <v/>
      </c>
    </row>
    <row r="150">
      <c r="A150" s="125" t="str">
        <f>IFERROR(__xludf.DUMMYFUNCTION("""COMPUTED_VALUE"""),"Налог  на прибыль УСН 6%")</f>
        <v>Налог  на прибыль УСН 6%</v>
      </c>
      <c r="B150" s="307">
        <f t="shared" si="620"/>
        <v>-5900</v>
      </c>
      <c r="C150" s="308">
        <f t="shared" si="621"/>
        <v>-6000</v>
      </c>
      <c r="D150" s="302">
        <f t="shared" si="606"/>
        <v>0.9833333333</v>
      </c>
      <c r="E150" s="307">
        <f t="shared" si="622"/>
        <v>0</v>
      </c>
      <c r="F150" s="308">
        <f t="shared" si="623"/>
        <v>0</v>
      </c>
      <c r="G150" s="302">
        <f t="shared" si="607"/>
        <v>0</v>
      </c>
      <c r="H150" s="307">
        <f t="shared" si="624"/>
        <v>0</v>
      </c>
      <c r="I150" s="308">
        <f t="shared" si="625"/>
        <v>0</v>
      </c>
      <c r="J150" s="302">
        <f t="shared" si="608"/>
        <v>0</v>
      </c>
      <c r="K150" s="307">
        <f t="shared" si="626"/>
        <v>0</v>
      </c>
      <c r="L150" s="308">
        <f t="shared" si="627"/>
        <v>0</v>
      </c>
      <c r="M150" s="302">
        <f t="shared" si="609"/>
        <v>0</v>
      </c>
      <c r="N150" s="307">
        <f t="shared" si="628"/>
        <v>0</v>
      </c>
      <c r="O150" s="308">
        <f t="shared" si="629"/>
        <v>0</v>
      </c>
      <c r="P150" s="302">
        <f t="shared" si="610"/>
        <v>0</v>
      </c>
      <c r="Q150" s="307">
        <f t="shared" si="630"/>
        <v>0</v>
      </c>
      <c r="R150" s="308">
        <f t="shared" si="631"/>
        <v>0</v>
      </c>
      <c r="S150" s="302">
        <f t="shared" si="611"/>
        <v>0</v>
      </c>
      <c r="T150" s="307">
        <f t="shared" si="632"/>
        <v>0</v>
      </c>
      <c r="U150" s="308">
        <f t="shared" si="633"/>
        <v>0</v>
      </c>
      <c r="V150" s="302">
        <f t="shared" si="612"/>
        <v>0</v>
      </c>
      <c r="W150" s="307">
        <f t="shared" si="634"/>
        <v>0</v>
      </c>
      <c r="X150" s="308">
        <f t="shared" si="635"/>
        <v>0</v>
      </c>
      <c r="Y150" s="302">
        <f t="shared" si="613"/>
        <v>0</v>
      </c>
      <c r="Z150" s="307">
        <f t="shared" si="636"/>
        <v>0</v>
      </c>
      <c r="AA150" s="308">
        <f t="shared" si="637"/>
        <v>0</v>
      </c>
      <c r="AB150" s="302">
        <f t="shared" si="614"/>
        <v>0</v>
      </c>
      <c r="AC150" s="307">
        <f t="shared" si="638"/>
        <v>0</v>
      </c>
      <c r="AD150" s="308">
        <f t="shared" si="639"/>
        <v>0</v>
      </c>
      <c r="AE150" s="302">
        <f t="shared" si="615"/>
        <v>0</v>
      </c>
      <c r="AF150" s="307">
        <f t="shared" si="640"/>
        <v>0</v>
      </c>
      <c r="AG150" s="308">
        <f t="shared" si="641"/>
        <v>0</v>
      </c>
      <c r="AH150" s="302">
        <f t="shared" si="616"/>
        <v>0</v>
      </c>
      <c r="AI150" s="307">
        <f t="shared" si="642"/>
        <v>0</v>
      </c>
      <c r="AJ150" s="308">
        <f t="shared" si="643"/>
        <v>0</v>
      </c>
      <c r="AK150" s="302">
        <f t="shared" si="617"/>
        <v>0</v>
      </c>
      <c r="AL150" s="307">
        <f t="shared" ref="AL150:AM150" si="644">B150+E150+H150+K150+N150+Q150+T150+W150+Z150+AC150+AF150+AI150</f>
        <v>-5900</v>
      </c>
      <c r="AM150" s="308">
        <f t="shared" si="644"/>
        <v>-6000</v>
      </c>
      <c r="AN150" s="303">
        <f t="shared" si="619"/>
        <v>0.9833333333</v>
      </c>
      <c r="AO150" s="121" t="str">
        <f t="shared" si="645"/>
        <v>экономия</v>
      </c>
    </row>
    <row r="151">
      <c r="A151" s="125" t="str">
        <f>IFERROR(__xludf.DUMMYFUNCTION("""COMPUTED_VALUE"""),"Налог на прибыль 20%")</f>
        <v>Налог на прибыль 20%</v>
      </c>
      <c r="B151" s="307">
        <f t="shared" si="620"/>
        <v>0</v>
      </c>
      <c r="C151" s="308">
        <f t="shared" si="621"/>
        <v>0</v>
      </c>
      <c r="D151" s="302">
        <f t="shared" si="606"/>
        <v>0</v>
      </c>
      <c r="E151" s="307">
        <f t="shared" si="622"/>
        <v>0</v>
      </c>
      <c r="F151" s="308">
        <f t="shared" si="623"/>
        <v>0</v>
      </c>
      <c r="G151" s="302">
        <f t="shared" si="607"/>
        <v>0</v>
      </c>
      <c r="H151" s="307">
        <f t="shared" si="624"/>
        <v>0</v>
      </c>
      <c r="I151" s="308">
        <f t="shared" si="625"/>
        <v>0</v>
      </c>
      <c r="J151" s="302">
        <f t="shared" si="608"/>
        <v>0</v>
      </c>
      <c r="K151" s="307">
        <f t="shared" si="626"/>
        <v>0</v>
      </c>
      <c r="L151" s="308">
        <f t="shared" si="627"/>
        <v>0</v>
      </c>
      <c r="M151" s="302">
        <f t="shared" si="609"/>
        <v>0</v>
      </c>
      <c r="N151" s="307">
        <f t="shared" si="628"/>
        <v>0</v>
      </c>
      <c r="O151" s="308">
        <f t="shared" si="629"/>
        <v>0</v>
      </c>
      <c r="P151" s="302">
        <f t="shared" si="610"/>
        <v>0</v>
      </c>
      <c r="Q151" s="307">
        <f t="shared" si="630"/>
        <v>0</v>
      </c>
      <c r="R151" s="308">
        <f t="shared" si="631"/>
        <v>0</v>
      </c>
      <c r="S151" s="302">
        <f t="shared" si="611"/>
        <v>0</v>
      </c>
      <c r="T151" s="307">
        <f t="shared" si="632"/>
        <v>0</v>
      </c>
      <c r="U151" s="308">
        <f t="shared" si="633"/>
        <v>0</v>
      </c>
      <c r="V151" s="302">
        <f t="shared" si="612"/>
        <v>0</v>
      </c>
      <c r="W151" s="307">
        <f t="shared" si="634"/>
        <v>0</v>
      </c>
      <c r="X151" s="308">
        <f t="shared" si="635"/>
        <v>0</v>
      </c>
      <c r="Y151" s="302">
        <f t="shared" si="613"/>
        <v>0</v>
      </c>
      <c r="Z151" s="307">
        <f t="shared" si="636"/>
        <v>0</v>
      </c>
      <c r="AA151" s="308">
        <f t="shared" si="637"/>
        <v>0</v>
      </c>
      <c r="AB151" s="302">
        <f t="shared" si="614"/>
        <v>0</v>
      </c>
      <c r="AC151" s="307">
        <f t="shared" si="638"/>
        <v>0</v>
      </c>
      <c r="AD151" s="308">
        <f t="shared" si="639"/>
        <v>0</v>
      </c>
      <c r="AE151" s="302">
        <f t="shared" si="615"/>
        <v>0</v>
      </c>
      <c r="AF151" s="307">
        <f t="shared" si="640"/>
        <v>0</v>
      </c>
      <c r="AG151" s="308">
        <f t="shared" si="641"/>
        <v>0</v>
      </c>
      <c r="AH151" s="302">
        <f t="shared" si="616"/>
        <v>0</v>
      </c>
      <c r="AI151" s="307">
        <f t="shared" si="642"/>
        <v>0</v>
      </c>
      <c r="AJ151" s="308">
        <f t="shared" si="643"/>
        <v>0</v>
      </c>
      <c r="AK151" s="302">
        <f t="shared" si="617"/>
        <v>0</v>
      </c>
      <c r="AL151" s="307">
        <f t="shared" ref="AL151:AM151" si="646">B151+E151+H151+K151+N151+Q151+T151+W151+Z151+AC151+AF151+AI151</f>
        <v>0</v>
      </c>
      <c r="AM151" s="308">
        <f t="shared" si="646"/>
        <v>0</v>
      </c>
      <c r="AN151" s="303">
        <f t="shared" si="619"/>
        <v>0</v>
      </c>
      <c r="AO151" s="312" t="str">
        <f t="shared" si="645"/>
        <v/>
      </c>
    </row>
    <row r="152">
      <c r="A152" s="125" t="str">
        <f>IFERROR(__xludf.DUMMYFUNCTION("""COMPUTED_VALUE"""),"Амортизация ОС")</f>
        <v>Амортизация ОС</v>
      </c>
      <c r="B152" s="307">
        <f t="shared" si="620"/>
        <v>-36000</v>
      </c>
      <c r="C152" s="308">
        <f t="shared" si="621"/>
        <v>-36000</v>
      </c>
      <c r="D152" s="302">
        <f t="shared" si="606"/>
        <v>1</v>
      </c>
      <c r="E152" s="307">
        <f t="shared" si="622"/>
        <v>0</v>
      </c>
      <c r="F152" s="308">
        <f t="shared" si="623"/>
        <v>0</v>
      </c>
      <c r="G152" s="302">
        <f t="shared" si="607"/>
        <v>0</v>
      </c>
      <c r="H152" s="307">
        <f t="shared" si="624"/>
        <v>0</v>
      </c>
      <c r="I152" s="308">
        <f t="shared" si="625"/>
        <v>0</v>
      </c>
      <c r="J152" s="302">
        <f t="shared" si="608"/>
        <v>0</v>
      </c>
      <c r="K152" s="307">
        <f t="shared" si="626"/>
        <v>0</v>
      </c>
      <c r="L152" s="308">
        <f t="shared" si="627"/>
        <v>0</v>
      </c>
      <c r="M152" s="302">
        <f t="shared" si="609"/>
        <v>0</v>
      </c>
      <c r="N152" s="307">
        <f t="shared" si="628"/>
        <v>0</v>
      </c>
      <c r="O152" s="308">
        <f t="shared" si="629"/>
        <v>0</v>
      </c>
      <c r="P152" s="302">
        <f t="shared" si="610"/>
        <v>0</v>
      </c>
      <c r="Q152" s="307">
        <f t="shared" si="630"/>
        <v>0</v>
      </c>
      <c r="R152" s="308">
        <f t="shared" si="631"/>
        <v>0</v>
      </c>
      <c r="S152" s="302">
        <f t="shared" si="611"/>
        <v>0</v>
      </c>
      <c r="T152" s="307">
        <f t="shared" si="632"/>
        <v>0</v>
      </c>
      <c r="U152" s="308">
        <f t="shared" si="633"/>
        <v>0</v>
      </c>
      <c r="V152" s="302">
        <f t="shared" si="612"/>
        <v>0</v>
      </c>
      <c r="W152" s="307">
        <f t="shared" si="634"/>
        <v>0</v>
      </c>
      <c r="X152" s="308">
        <f t="shared" si="635"/>
        <v>0</v>
      </c>
      <c r="Y152" s="302">
        <f t="shared" si="613"/>
        <v>0</v>
      </c>
      <c r="Z152" s="307">
        <f t="shared" si="636"/>
        <v>0</v>
      </c>
      <c r="AA152" s="308">
        <f t="shared" si="637"/>
        <v>0</v>
      </c>
      <c r="AB152" s="302">
        <f t="shared" si="614"/>
        <v>0</v>
      </c>
      <c r="AC152" s="307">
        <f t="shared" si="638"/>
        <v>0</v>
      </c>
      <c r="AD152" s="308">
        <f t="shared" si="639"/>
        <v>0</v>
      </c>
      <c r="AE152" s="302">
        <f t="shared" si="615"/>
        <v>0</v>
      </c>
      <c r="AF152" s="307">
        <f t="shared" si="640"/>
        <v>0</v>
      </c>
      <c r="AG152" s="308">
        <f t="shared" si="641"/>
        <v>0</v>
      </c>
      <c r="AH152" s="302">
        <f t="shared" si="616"/>
        <v>0</v>
      </c>
      <c r="AI152" s="307">
        <f t="shared" si="642"/>
        <v>0</v>
      </c>
      <c r="AJ152" s="308">
        <f t="shared" si="643"/>
        <v>0</v>
      </c>
      <c r="AK152" s="302">
        <f t="shared" si="617"/>
        <v>0</v>
      </c>
      <c r="AL152" s="307">
        <f t="shared" ref="AL152:AM152" si="647">B152+E152+H152+K152+N152+Q152+T152+W152+Z152+AC152+AF152+AI152</f>
        <v>-36000</v>
      </c>
      <c r="AM152" s="308">
        <f t="shared" si="647"/>
        <v>-36000</v>
      </c>
      <c r="AN152" s="303">
        <f t="shared" si="619"/>
        <v>1</v>
      </c>
      <c r="AO152" s="121" t="str">
        <f t="shared" si="645"/>
        <v>экономия</v>
      </c>
    </row>
    <row r="153">
      <c r="A153" s="125" t="str">
        <f>IFERROR(__xludf.DUMMYFUNCTION("""COMPUTED_VALUE"""),"Прочие расходы")</f>
        <v>Прочие расходы</v>
      </c>
      <c r="B153" s="307">
        <f t="shared" si="620"/>
        <v>0</v>
      </c>
      <c r="C153" s="308">
        <f t="shared" si="621"/>
        <v>0</v>
      </c>
      <c r="D153" s="302">
        <f t="shared" si="606"/>
        <v>0</v>
      </c>
      <c r="E153" s="307">
        <f t="shared" si="622"/>
        <v>0</v>
      </c>
      <c r="F153" s="308">
        <f t="shared" si="623"/>
        <v>0</v>
      </c>
      <c r="G153" s="302">
        <f t="shared" si="607"/>
        <v>0</v>
      </c>
      <c r="H153" s="307">
        <f t="shared" si="624"/>
        <v>0</v>
      </c>
      <c r="I153" s="308">
        <f t="shared" si="625"/>
        <v>0</v>
      </c>
      <c r="J153" s="302">
        <f t="shared" si="608"/>
        <v>0</v>
      </c>
      <c r="K153" s="307">
        <f t="shared" si="626"/>
        <v>0</v>
      </c>
      <c r="L153" s="308">
        <f t="shared" si="627"/>
        <v>0</v>
      </c>
      <c r="M153" s="302">
        <f t="shared" si="609"/>
        <v>0</v>
      </c>
      <c r="N153" s="307">
        <f t="shared" si="628"/>
        <v>0</v>
      </c>
      <c r="O153" s="308">
        <f t="shared" si="629"/>
        <v>0</v>
      </c>
      <c r="P153" s="302">
        <f t="shared" si="610"/>
        <v>0</v>
      </c>
      <c r="Q153" s="307">
        <f t="shared" si="630"/>
        <v>0</v>
      </c>
      <c r="R153" s="308">
        <f t="shared" si="631"/>
        <v>0</v>
      </c>
      <c r="S153" s="302">
        <f t="shared" si="611"/>
        <v>0</v>
      </c>
      <c r="T153" s="307">
        <f t="shared" si="632"/>
        <v>0</v>
      </c>
      <c r="U153" s="308">
        <f t="shared" si="633"/>
        <v>0</v>
      </c>
      <c r="V153" s="302">
        <f t="shared" si="612"/>
        <v>0</v>
      </c>
      <c r="W153" s="307">
        <f t="shared" si="634"/>
        <v>0</v>
      </c>
      <c r="X153" s="308">
        <f t="shared" si="635"/>
        <v>0</v>
      </c>
      <c r="Y153" s="302">
        <f t="shared" si="613"/>
        <v>0</v>
      </c>
      <c r="Z153" s="307">
        <f t="shared" si="636"/>
        <v>0</v>
      </c>
      <c r="AA153" s="308">
        <f t="shared" si="637"/>
        <v>0</v>
      </c>
      <c r="AB153" s="302">
        <f t="shared" si="614"/>
        <v>0</v>
      </c>
      <c r="AC153" s="307">
        <f t="shared" si="638"/>
        <v>0</v>
      </c>
      <c r="AD153" s="308">
        <f t="shared" si="639"/>
        <v>0</v>
      </c>
      <c r="AE153" s="302">
        <f t="shared" si="615"/>
        <v>0</v>
      </c>
      <c r="AF153" s="307">
        <f t="shared" si="640"/>
        <v>0</v>
      </c>
      <c r="AG153" s="308">
        <f t="shared" si="641"/>
        <v>0</v>
      </c>
      <c r="AH153" s="302">
        <f t="shared" si="616"/>
        <v>0</v>
      </c>
      <c r="AI153" s="307">
        <f t="shared" si="642"/>
        <v>0</v>
      </c>
      <c r="AJ153" s="308">
        <f t="shared" si="643"/>
        <v>0</v>
      </c>
      <c r="AK153" s="302">
        <f t="shared" si="617"/>
        <v>0</v>
      </c>
      <c r="AL153" s="307">
        <f t="shared" ref="AL153:AM153" si="648">B153+E153+H153+K153+N153+Q153+T153+W153+Z153+AC153+AF153+AI153</f>
        <v>0</v>
      </c>
      <c r="AM153" s="308">
        <f t="shared" si="648"/>
        <v>0</v>
      </c>
      <c r="AN153" s="303">
        <f t="shared" si="619"/>
        <v>0</v>
      </c>
      <c r="AO153" s="121" t="str">
        <f t="shared" si="645"/>
        <v/>
      </c>
    </row>
    <row r="154">
      <c r="A154" s="125" t="str">
        <f>IFERROR(__xludf.DUMMYFUNCTION("""COMPUTED_VALUE"""),"Ремонт ОС")</f>
        <v>Ремонт ОС</v>
      </c>
      <c r="B154" s="307">
        <f t="shared" si="620"/>
        <v>0</v>
      </c>
      <c r="C154" s="308">
        <f t="shared" si="621"/>
        <v>0</v>
      </c>
      <c r="D154" s="302">
        <f t="shared" si="606"/>
        <v>0</v>
      </c>
      <c r="E154" s="307">
        <f t="shared" si="622"/>
        <v>0</v>
      </c>
      <c r="F154" s="308">
        <f t="shared" si="623"/>
        <v>0</v>
      </c>
      <c r="G154" s="302">
        <f t="shared" si="607"/>
        <v>0</v>
      </c>
      <c r="H154" s="307">
        <f t="shared" si="624"/>
        <v>0</v>
      </c>
      <c r="I154" s="308">
        <f t="shared" si="625"/>
        <v>0</v>
      </c>
      <c r="J154" s="302">
        <f t="shared" si="608"/>
        <v>0</v>
      </c>
      <c r="K154" s="307">
        <f t="shared" si="626"/>
        <v>0</v>
      </c>
      <c r="L154" s="308">
        <f t="shared" si="627"/>
        <v>0</v>
      </c>
      <c r="M154" s="302">
        <f t="shared" si="609"/>
        <v>0</v>
      </c>
      <c r="N154" s="307">
        <f t="shared" si="628"/>
        <v>0</v>
      </c>
      <c r="O154" s="308">
        <f t="shared" si="629"/>
        <v>0</v>
      </c>
      <c r="P154" s="302">
        <f t="shared" si="610"/>
        <v>0</v>
      </c>
      <c r="Q154" s="307">
        <f t="shared" si="630"/>
        <v>0</v>
      </c>
      <c r="R154" s="308">
        <f t="shared" si="631"/>
        <v>0</v>
      </c>
      <c r="S154" s="302">
        <f t="shared" si="611"/>
        <v>0</v>
      </c>
      <c r="T154" s="307">
        <f t="shared" si="632"/>
        <v>0</v>
      </c>
      <c r="U154" s="308">
        <f t="shared" si="633"/>
        <v>0</v>
      </c>
      <c r="V154" s="302">
        <f t="shared" si="612"/>
        <v>0</v>
      </c>
      <c r="W154" s="307">
        <f t="shared" si="634"/>
        <v>0</v>
      </c>
      <c r="X154" s="308">
        <f t="shared" si="635"/>
        <v>0</v>
      </c>
      <c r="Y154" s="302">
        <f t="shared" si="613"/>
        <v>0</v>
      </c>
      <c r="Z154" s="307">
        <f t="shared" si="636"/>
        <v>0</v>
      </c>
      <c r="AA154" s="308">
        <f t="shared" si="637"/>
        <v>0</v>
      </c>
      <c r="AB154" s="302">
        <f t="shared" si="614"/>
        <v>0</v>
      </c>
      <c r="AC154" s="307">
        <f t="shared" si="638"/>
        <v>0</v>
      </c>
      <c r="AD154" s="308">
        <f t="shared" si="639"/>
        <v>0</v>
      </c>
      <c r="AE154" s="302">
        <f t="shared" si="615"/>
        <v>0</v>
      </c>
      <c r="AF154" s="307">
        <f t="shared" si="640"/>
        <v>0</v>
      </c>
      <c r="AG154" s="308">
        <f t="shared" si="641"/>
        <v>0</v>
      </c>
      <c r="AH154" s="302">
        <f t="shared" si="616"/>
        <v>0</v>
      </c>
      <c r="AI154" s="307">
        <f t="shared" si="642"/>
        <v>0</v>
      </c>
      <c r="AJ154" s="308">
        <f t="shared" si="643"/>
        <v>0</v>
      </c>
      <c r="AK154" s="302">
        <f t="shared" si="617"/>
        <v>0</v>
      </c>
      <c r="AL154" s="307">
        <f t="shared" ref="AL154:AM154" si="649">B154+E154+H154+K154+N154+Q154+T154+W154+Z154+AC154+AF154+AI154</f>
        <v>0</v>
      </c>
      <c r="AM154" s="308">
        <f t="shared" si="649"/>
        <v>0</v>
      </c>
      <c r="AN154" s="303">
        <f t="shared" si="619"/>
        <v>0</v>
      </c>
      <c r="AO154" s="121" t="str">
        <f t="shared" si="645"/>
        <v/>
      </c>
    </row>
    <row r="155" collapsed="1">
      <c r="A155" s="125" t="str">
        <f>IFERROR(__xludf.DUMMYFUNCTION("""COMPUTED_VALUE"""),"Оплаты %  кредиты")</f>
        <v>Оплаты %  кредиты</v>
      </c>
      <c r="B155" s="307">
        <f t="shared" si="620"/>
        <v>-3200</v>
      </c>
      <c r="C155" s="308">
        <f t="shared" si="621"/>
        <v>-2750</v>
      </c>
      <c r="D155" s="302">
        <f t="shared" si="606"/>
        <v>1.163636364</v>
      </c>
      <c r="E155" s="307">
        <f t="shared" si="622"/>
        <v>0</v>
      </c>
      <c r="F155" s="308">
        <f t="shared" si="623"/>
        <v>0</v>
      </c>
      <c r="G155" s="302">
        <f t="shared" si="607"/>
        <v>0</v>
      </c>
      <c r="H155" s="307">
        <f t="shared" si="624"/>
        <v>0</v>
      </c>
      <c r="I155" s="308">
        <f t="shared" si="625"/>
        <v>0</v>
      </c>
      <c r="J155" s="302">
        <f t="shared" si="608"/>
        <v>0</v>
      </c>
      <c r="K155" s="307">
        <f t="shared" si="626"/>
        <v>0</v>
      </c>
      <c r="L155" s="308">
        <f t="shared" si="627"/>
        <v>0</v>
      </c>
      <c r="M155" s="302">
        <f t="shared" si="609"/>
        <v>0</v>
      </c>
      <c r="N155" s="307">
        <f t="shared" si="628"/>
        <v>0</v>
      </c>
      <c r="O155" s="308">
        <f t="shared" si="629"/>
        <v>0</v>
      </c>
      <c r="P155" s="302">
        <f t="shared" si="610"/>
        <v>0</v>
      </c>
      <c r="Q155" s="307">
        <f t="shared" si="630"/>
        <v>0</v>
      </c>
      <c r="R155" s="308">
        <f t="shared" si="631"/>
        <v>0</v>
      </c>
      <c r="S155" s="302">
        <f t="shared" si="611"/>
        <v>0</v>
      </c>
      <c r="T155" s="307">
        <f t="shared" si="632"/>
        <v>0</v>
      </c>
      <c r="U155" s="308">
        <f t="shared" si="633"/>
        <v>0</v>
      </c>
      <c r="V155" s="302">
        <f t="shared" si="612"/>
        <v>0</v>
      </c>
      <c r="W155" s="307">
        <f t="shared" si="634"/>
        <v>0</v>
      </c>
      <c r="X155" s="308">
        <f t="shared" si="635"/>
        <v>0</v>
      </c>
      <c r="Y155" s="302">
        <f t="shared" si="613"/>
        <v>0</v>
      </c>
      <c r="Z155" s="307">
        <f t="shared" si="636"/>
        <v>0</v>
      </c>
      <c r="AA155" s="308">
        <f t="shared" si="637"/>
        <v>0</v>
      </c>
      <c r="AB155" s="302">
        <f t="shared" si="614"/>
        <v>0</v>
      </c>
      <c r="AC155" s="307">
        <f t="shared" si="638"/>
        <v>0</v>
      </c>
      <c r="AD155" s="308">
        <f t="shared" si="639"/>
        <v>0</v>
      </c>
      <c r="AE155" s="302">
        <f t="shared" si="615"/>
        <v>0</v>
      </c>
      <c r="AF155" s="307">
        <f t="shared" si="640"/>
        <v>0</v>
      </c>
      <c r="AG155" s="308">
        <f t="shared" si="641"/>
        <v>0</v>
      </c>
      <c r="AH155" s="302">
        <f t="shared" si="616"/>
        <v>0</v>
      </c>
      <c r="AI155" s="307">
        <f t="shared" si="642"/>
        <v>0</v>
      </c>
      <c r="AJ155" s="308">
        <f t="shared" si="643"/>
        <v>0</v>
      </c>
      <c r="AK155" s="302">
        <f t="shared" si="617"/>
        <v>0</v>
      </c>
      <c r="AL155" s="307">
        <f t="shared" ref="AL155:AM155" si="650">B155+E155+H155+K155+N155+Q155+T155+W155+Z155+AC155+AF155+AI155</f>
        <v>-3200</v>
      </c>
      <c r="AM155" s="308">
        <f t="shared" si="650"/>
        <v>-2750</v>
      </c>
      <c r="AN155" s="303">
        <f t="shared" si="619"/>
        <v>1.163636364</v>
      </c>
      <c r="AO155" s="121" t="str">
        <f t="shared" si="645"/>
        <v>перерасход</v>
      </c>
    </row>
    <row r="156" hidden="1" outlineLevel="1">
      <c r="A156" s="316"/>
      <c r="B156" s="307"/>
      <c r="C156" s="308"/>
      <c r="D156" s="302"/>
      <c r="E156" s="307"/>
      <c r="F156" s="308"/>
      <c r="G156" s="302"/>
      <c r="H156" s="307"/>
      <c r="I156" s="308"/>
      <c r="J156" s="302"/>
      <c r="K156" s="307"/>
      <c r="L156" s="308"/>
      <c r="M156" s="302"/>
      <c r="N156" s="307"/>
      <c r="O156" s="308"/>
      <c r="P156" s="302"/>
      <c r="Q156" s="307"/>
      <c r="R156" s="308"/>
      <c r="S156" s="302"/>
      <c r="T156" s="307"/>
      <c r="U156" s="308"/>
      <c r="V156" s="302"/>
      <c r="W156" s="307"/>
      <c r="X156" s="308"/>
      <c r="Y156" s="302"/>
      <c r="Z156" s="307"/>
      <c r="AA156" s="308"/>
      <c r="AB156" s="302"/>
      <c r="AC156" s="307"/>
      <c r="AD156" s="308"/>
      <c r="AE156" s="302"/>
      <c r="AF156" s="307"/>
      <c r="AG156" s="308"/>
      <c r="AH156" s="302"/>
      <c r="AI156" s="307"/>
      <c r="AJ156" s="308"/>
      <c r="AK156" s="302"/>
      <c r="AL156" s="307"/>
      <c r="AM156" s="308"/>
      <c r="AN156" s="303"/>
      <c r="AO156" s="121" t="str">
        <f t="shared" si="645"/>
        <v/>
      </c>
    </row>
    <row r="157" hidden="1" outlineLevel="1">
      <c r="A157" s="316"/>
      <c r="B157" s="307"/>
      <c r="C157" s="308"/>
      <c r="D157" s="302"/>
      <c r="E157" s="307"/>
      <c r="F157" s="308"/>
      <c r="G157" s="302"/>
      <c r="H157" s="307"/>
      <c r="I157" s="308"/>
      <c r="J157" s="302"/>
      <c r="K157" s="307"/>
      <c r="L157" s="308"/>
      <c r="M157" s="302"/>
      <c r="N157" s="307"/>
      <c r="O157" s="308"/>
      <c r="P157" s="302"/>
      <c r="Q157" s="307"/>
      <c r="R157" s="308"/>
      <c r="S157" s="302"/>
      <c r="T157" s="307"/>
      <c r="U157" s="308"/>
      <c r="V157" s="302"/>
      <c r="W157" s="307"/>
      <c r="X157" s="308"/>
      <c r="Y157" s="302"/>
      <c r="Z157" s="307"/>
      <c r="AA157" s="308"/>
      <c r="AB157" s="302"/>
      <c r="AC157" s="307"/>
      <c r="AD157" s="308"/>
      <c r="AE157" s="302"/>
      <c r="AF157" s="307"/>
      <c r="AG157" s="308"/>
      <c r="AH157" s="302"/>
      <c r="AI157" s="307"/>
      <c r="AJ157" s="308"/>
      <c r="AK157" s="302"/>
      <c r="AL157" s="307"/>
      <c r="AM157" s="308"/>
      <c r="AN157" s="303"/>
      <c r="AO157" s="121" t="str">
        <f t="shared" si="645"/>
        <v/>
      </c>
    </row>
    <row r="158" hidden="1" outlineLevel="1">
      <c r="A158" s="316"/>
      <c r="B158" s="307"/>
      <c r="C158" s="308"/>
      <c r="D158" s="302"/>
      <c r="E158" s="307"/>
      <c r="F158" s="308"/>
      <c r="G158" s="302"/>
      <c r="H158" s="307"/>
      <c r="I158" s="308"/>
      <c r="J158" s="302"/>
      <c r="K158" s="307"/>
      <c r="L158" s="308"/>
      <c r="M158" s="302"/>
      <c r="N158" s="307"/>
      <c r="O158" s="308"/>
      <c r="P158" s="302"/>
      <c r="Q158" s="307"/>
      <c r="R158" s="308"/>
      <c r="S158" s="302"/>
      <c r="T158" s="307"/>
      <c r="U158" s="308"/>
      <c r="V158" s="302"/>
      <c r="W158" s="307"/>
      <c r="X158" s="308"/>
      <c r="Y158" s="302"/>
      <c r="Z158" s="307"/>
      <c r="AA158" s="308"/>
      <c r="AB158" s="302"/>
      <c r="AC158" s="307"/>
      <c r="AD158" s="308"/>
      <c r="AE158" s="302"/>
      <c r="AF158" s="307"/>
      <c r="AG158" s="308"/>
      <c r="AH158" s="302"/>
      <c r="AI158" s="307"/>
      <c r="AJ158" s="308"/>
      <c r="AK158" s="302"/>
      <c r="AL158" s="307"/>
      <c r="AM158" s="308"/>
      <c r="AN158" s="303"/>
      <c r="AO158" s="121" t="str">
        <f t="shared" si="645"/>
        <v/>
      </c>
    </row>
    <row r="159" hidden="1" outlineLevel="1">
      <c r="A159" s="316"/>
      <c r="B159" s="307"/>
      <c r="C159" s="308"/>
      <c r="D159" s="302"/>
      <c r="E159" s="307"/>
      <c r="F159" s="308"/>
      <c r="G159" s="302"/>
      <c r="H159" s="307"/>
      <c r="I159" s="308"/>
      <c r="J159" s="302"/>
      <c r="K159" s="307"/>
      <c r="L159" s="308"/>
      <c r="M159" s="302"/>
      <c r="N159" s="307"/>
      <c r="O159" s="308"/>
      <c r="P159" s="302"/>
      <c r="Q159" s="307"/>
      <c r="R159" s="308"/>
      <c r="S159" s="302"/>
      <c r="T159" s="307"/>
      <c r="U159" s="308"/>
      <c r="V159" s="302"/>
      <c r="W159" s="307"/>
      <c r="X159" s="308"/>
      <c r="Y159" s="302"/>
      <c r="Z159" s="307"/>
      <c r="AA159" s="308"/>
      <c r="AB159" s="302"/>
      <c r="AC159" s="307"/>
      <c r="AD159" s="308"/>
      <c r="AE159" s="302"/>
      <c r="AF159" s="307"/>
      <c r="AG159" s="308"/>
      <c r="AH159" s="302"/>
      <c r="AI159" s="307"/>
      <c r="AJ159" s="308"/>
      <c r="AK159" s="302"/>
      <c r="AL159" s="307"/>
      <c r="AM159" s="308"/>
      <c r="AN159" s="303"/>
      <c r="AO159" s="121" t="str">
        <f t="shared" si="645"/>
        <v/>
      </c>
    </row>
    <row r="160" hidden="1" outlineLevel="1">
      <c r="A160" s="316"/>
      <c r="B160" s="307"/>
      <c r="C160" s="308"/>
      <c r="D160" s="302"/>
      <c r="E160" s="307"/>
      <c r="F160" s="308"/>
      <c r="G160" s="302"/>
      <c r="H160" s="307"/>
      <c r="I160" s="308"/>
      <c r="J160" s="302"/>
      <c r="K160" s="307"/>
      <c r="L160" s="308"/>
      <c r="M160" s="302"/>
      <c r="N160" s="307"/>
      <c r="O160" s="308"/>
      <c r="P160" s="302"/>
      <c r="Q160" s="307"/>
      <c r="R160" s="308"/>
      <c r="S160" s="302"/>
      <c r="T160" s="307"/>
      <c r="U160" s="308"/>
      <c r="V160" s="302"/>
      <c r="W160" s="307"/>
      <c r="X160" s="308"/>
      <c r="Y160" s="302"/>
      <c r="Z160" s="307"/>
      <c r="AA160" s="308"/>
      <c r="AB160" s="302"/>
      <c r="AC160" s="307"/>
      <c r="AD160" s="308"/>
      <c r="AE160" s="302"/>
      <c r="AF160" s="307"/>
      <c r="AG160" s="308"/>
      <c r="AH160" s="302"/>
      <c r="AI160" s="307"/>
      <c r="AJ160" s="308"/>
      <c r="AK160" s="302"/>
      <c r="AL160" s="307"/>
      <c r="AM160" s="308"/>
      <c r="AN160" s="303"/>
      <c r="AO160" s="121" t="str">
        <f t="shared" si="645"/>
        <v/>
      </c>
    </row>
    <row r="161" hidden="1" outlineLevel="1">
      <c r="A161" s="316"/>
      <c r="B161" s="307"/>
      <c r="C161" s="308"/>
      <c r="D161" s="302"/>
      <c r="E161" s="307"/>
      <c r="F161" s="308"/>
      <c r="G161" s="302"/>
      <c r="H161" s="307"/>
      <c r="I161" s="308"/>
      <c r="J161" s="302"/>
      <c r="K161" s="307"/>
      <c r="L161" s="308"/>
      <c r="M161" s="302"/>
      <c r="N161" s="307"/>
      <c r="O161" s="308"/>
      <c r="P161" s="302"/>
      <c r="Q161" s="307"/>
      <c r="R161" s="308"/>
      <c r="S161" s="302"/>
      <c r="T161" s="307"/>
      <c r="U161" s="308"/>
      <c r="V161" s="302"/>
      <c r="W161" s="307"/>
      <c r="X161" s="308"/>
      <c r="Y161" s="302"/>
      <c r="Z161" s="307"/>
      <c r="AA161" s="308"/>
      <c r="AB161" s="302"/>
      <c r="AC161" s="307"/>
      <c r="AD161" s="308"/>
      <c r="AE161" s="302"/>
      <c r="AF161" s="307"/>
      <c r="AG161" s="308"/>
      <c r="AH161" s="302"/>
      <c r="AI161" s="307"/>
      <c r="AJ161" s="308"/>
      <c r="AK161" s="302"/>
      <c r="AL161" s="307"/>
      <c r="AM161" s="308"/>
      <c r="AN161" s="303"/>
      <c r="AO161" s="121" t="str">
        <f t="shared" si="645"/>
        <v/>
      </c>
    </row>
    <row r="162" hidden="1" outlineLevel="1">
      <c r="A162" s="316"/>
      <c r="B162" s="307"/>
      <c r="C162" s="308"/>
      <c r="D162" s="302"/>
      <c r="E162" s="307"/>
      <c r="F162" s="308"/>
      <c r="G162" s="302"/>
      <c r="H162" s="307"/>
      <c r="I162" s="308"/>
      <c r="J162" s="302"/>
      <c r="K162" s="307"/>
      <c r="L162" s="308"/>
      <c r="M162" s="302"/>
      <c r="N162" s="307"/>
      <c r="O162" s="308"/>
      <c r="P162" s="302"/>
      <c r="Q162" s="307"/>
      <c r="R162" s="308"/>
      <c r="S162" s="302"/>
      <c r="T162" s="307"/>
      <c r="U162" s="308"/>
      <c r="V162" s="302"/>
      <c r="W162" s="307"/>
      <c r="X162" s="308"/>
      <c r="Y162" s="302"/>
      <c r="Z162" s="307"/>
      <c r="AA162" s="308"/>
      <c r="AB162" s="302"/>
      <c r="AC162" s="307"/>
      <c r="AD162" s="308"/>
      <c r="AE162" s="302"/>
      <c r="AF162" s="307"/>
      <c r="AG162" s="308"/>
      <c r="AH162" s="302"/>
      <c r="AI162" s="307"/>
      <c r="AJ162" s="308"/>
      <c r="AK162" s="302"/>
      <c r="AL162" s="307"/>
      <c r="AM162" s="308"/>
      <c r="AN162" s="303"/>
      <c r="AO162" s="121" t="str">
        <f t="shared" si="645"/>
        <v/>
      </c>
    </row>
    <row r="163" hidden="1" outlineLevel="1">
      <c r="A163" s="316"/>
      <c r="B163" s="307"/>
      <c r="C163" s="308"/>
      <c r="D163" s="302"/>
      <c r="E163" s="307"/>
      <c r="F163" s="308"/>
      <c r="G163" s="302"/>
      <c r="H163" s="307"/>
      <c r="I163" s="308"/>
      <c r="J163" s="302"/>
      <c r="K163" s="307"/>
      <c r="L163" s="308"/>
      <c r="M163" s="302"/>
      <c r="N163" s="307"/>
      <c r="O163" s="308"/>
      <c r="P163" s="302"/>
      <c r="Q163" s="307"/>
      <c r="R163" s="308"/>
      <c r="S163" s="302"/>
      <c r="T163" s="307"/>
      <c r="U163" s="308"/>
      <c r="V163" s="302"/>
      <c r="W163" s="307"/>
      <c r="X163" s="308"/>
      <c r="Y163" s="302"/>
      <c r="Z163" s="307"/>
      <c r="AA163" s="308"/>
      <c r="AB163" s="302"/>
      <c r="AC163" s="307"/>
      <c r="AD163" s="308"/>
      <c r="AE163" s="302"/>
      <c r="AF163" s="307"/>
      <c r="AG163" s="308"/>
      <c r="AH163" s="302"/>
      <c r="AI163" s="307"/>
      <c r="AJ163" s="308"/>
      <c r="AK163" s="302"/>
      <c r="AL163" s="307"/>
      <c r="AM163" s="308"/>
      <c r="AN163" s="303"/>
      <c r="AO163" s="121" t="str">
        <f t="shared" si="645"/>
        <v/>
      </c>
    </row>
    <row r="164" hidden="1" outlineLevel="1">
      <c r="A164" s="316"/>
      <c r="B164" s="307" t="str">
        <f t="array" ref="B164">if($AI$2,IFERROR(INDIRECT("'"&amp;B$4&amp;"'!"&amp;$B$2&amp;match($A164,INDIRECT("'"&amp;B$4&amp;"'!B1:B"),0)),""),
IFERROR(INDIRECT("'"&amp;B$4&amp;"!"&amp;$B$2&amp;match($A164,INDIRECT("'"&amp;B$4&amp;"'!B:B"),0)),""))</f>
        <v/>
      </c>
      <c r="C164" s="308" t="str">
        <f t="array" ref="C164">IF($AI$2,IFERROR(INDIRECT("'"&amp;C$4&amp;"'!"&amp;$C$2&amp;MATCH($A164,INDIRECT("'"&amp;C$4&amp;"'!B1:B"),0)),""),
IFERROR(INDIRECT("'"&amp;C$4&amp;"!"&amp;$B$2&amp;MATCH($A164,INDIRECT("'"&amp;C$4&amp;"'!B:B"),0)),""))</f>
        <v/>
      </c>
      <c r="D164" s="302">
        <f>IFERROR(B164/C164,0)</f>
        <v>0</v>
      </c>
      <c r="E164" s="307" t="str">
        <f t="array" ref="E164">if($AI$2,IFERROR(INDIRECT("'"&amp;E$4&amp;"'!"&amp;$B$2&amp;match($A164,INDIRECT("'"&amp;E$4&amp;"'!B1:B"),0)),""),
IFERROR(INDIRECT("'"&amp;E$4&amp;"!"&amp;$B$2&amp;match($A164,INDIRECT("'"&amp;E$4&amp;"'!B:B"),0)),""))</f>
        <v/>
      </c>
      <c r="F164" s="308" t="str">
        <f t="array" ref="F164">IF($AI$2,IFERROR(INDIRECT("'"&amp;F$4&amp;"'!"&amp;$C$2&amp;MATCH($A164,INDIRECT("'"&amp;F$4&amp;"'!B1:B"),0)),""),
IFERROR(INDIRECT("'"&amp;F$4&amp;"!"&amp;$B$2&amp;MATCH($A164,INDIRECT("'"&amp;F$4&amp;"'!B:B"),0)),""))</f>
        <v/>
      </c>
      <c r="G164" s="302">
        <f>IFERROR(E164/F164,0)</f>
        <v>0</v>
      </c>
      <c r="H164" s="307" t="str">
        <f t="array" ref="H164">if($AI$2,IFERROR(INDIRECT("'"&amp;H$4&amp;"'!"&amp;$B$2&amp;match($A164,INDIRECT("'"&amp;H$4&amp;"'!B1:B"),0)),""),
IFERROR(INDIRECT("'"&amp;H$4&amp;"!"&amp;$B$2&amp;match($A164,INDIRECT("'"&amp;H$4&amp;"'!B:B"),0)),""))</f>
        <v/>
      </c>
      <c r="I164" s="308" t="str">
        <f t="array" ref="I164">IF($AI$2,IFERROR(INDIRECT("'"&amp;I$4&amp;"'!"&amp;$C$2&amp;MATCH($A164,INDIRECT("'"&amp;I$4&amp;"'!B1:B"),0)),""),
IFERROR(INDIRECT("'"&amp;I$4&amp;"!"&amp;$B$2&amp;MATCH($A164,INDIRECT("'"&amp;I$4&amp;"'!B:B"),0)),""))</f>
        <v/>
      </c>
      <c r="J164" s="302">
        <f>IFERROR(H164/I164,0)</f>
        <v>0</v>
      </c>
      <c r="K164" s="307" t="str">
        <f t="array" ref="K164">if($AI$2,IFERROR(INDIRECT("'"&amp;K$4&amp;"'!"&amp;$B$2&amp;match($A164,INDIRECT("'"&amp;K$4&amp;"'!B1:B"),0)),""),
IFERROR(INDIRECT("'"&amp;K$4&amp;"!"&amp;$B$2&amp;match($A164,INDIRECT("'"&amp;K$4&amp;"'!B:B"),0)),""))</f>
        <v/>
      </c>
      <c r="L164" s="308" t="str">
        <f t="array" ref="L164">IF($AI$2,IFERROR(INDIRECT("'"&amp;L$4&amp;"'!"&amp;$C$2&amp;MATCH($A164,INDIRECT("'"&amp;L$4&amp;"'!B1:B"),0)),""),
IFERROR(INDIRECT("'"&amp;L$4&amp;"!"&amp;$B$2&amp;MATCH($A164,INDIRECT("'"&amp;L$4&amp;"'!B:B"),0)),""))</f>
        <v/>
      </c>
      <c r="M164" s="302">
        <f>IFERROR(K164/L164,0)</f>
        <v>0</v>
      </c>
      <c r="N164" s="307" t="str">
        <f t="array" ref="N164">if($AI$2,IFERROR(INDIRECT("'"&amp;N$4&amp;"'!"&amp;$B$2&amp;match($A164,INDIRECT("'"&amp;N$4&amp;"'!B1:B"),0)),""),
IFERROR(INDIRECT("'"&amp;N$4&amp;"!"&amp;$B$2&amp;match($A164,INDIRECT("'"&amp;N$4&amp;"'!B:B"),0)),""))</f>
        <v/>
      </c>
      <c r="O164" s="308" t="str">
        <f t="array" ref="O164">IF($AI$2,IFERROR(INDIRECT("'"&amp;O$4&amp;"'!"&amp;$C$2&amp;MATCH($A164,INDIRECT("'"&amp;O$4&amp;"'!B1:B"),0)),""),
IFERROR(INDIRECT("'"&amp;O$4&amp;"!"&amp;$B$2&amp;MATCH($A164,INDIRECT("'"&amp;O$4&amp;"'!B:B"),0)),""))</f>
        <v/>
      </c>
      <c r="P164" s="302">
        <f>IFERROR(N164/O164,0)</f>
        <v>0</v>
      </c>
      <c r="Q164" s="307" t="str">
        <f t="array" ref="Q164">if($AI$2,IFERROR(INDIRECT("'"&amp;Q$4&amp;"'!"&amp;$B$2&amp;match($A164,INDIRECT("'"&amp;Q$4&amp;"'!B1:B"),0)),""),
IFERROR(INDIRECT("'"&amp;Q$4&amp;"!"&amp;$B$2&amp;match($A164,INDIRECT("'"&amp;Q$4&amp;"'!B:B"),0)),""))</f>
        <v/>
      </c>
      <c r="R164" s="308" t="str">
        <f t="array" ref="R164">IF($AI$2,IFERROR(INDIRECT("'"&amp;R$4&amp;"'!"&amp;$C$2&amp;MATCH($A164,INDIRECT("'"&amp;R$4&amp;"'!B1:B"),0)),""),
IFERROR(INDIRECT("'"&amp;R$4&amp;"!"&amp;$B$2&amp;MATCH($A164,INDIRECT("'"&amp;R$4&amp;"'!B:B"),0)),""))</f>
        <v/>
      </c>
      <c r="S164" s="302">
        <f>IFERROR(Q164/R164,0)</f>
        <v>0</v>
      </c>
      <c r="T164" s="307" t="str">
        <f t="array" ref="T164">if($AI$2,IFERROR(INDIRECT("'"&amp;T$4&amp;"'!"&amp;$B$2&amp;match($A164,INDIRECT("'"&amp;T$4&amp;"'!B1:B"),0)),""),
IFERROR(INDIRECT("'"&amp;T$4&amp;"!"&amp;$B$2&amp;match($A164,INDIRECT("'"&amp;T$4&amp;"'!B:B"),0)),""))</f>
        <v/>
      </c>
      <c r="U164" s="308" t="str">
        <f t="array" ref="U164">IF($AI$2,IFERROR(INDIRECT("'"&amp;U$4&amp;"'!"&amp;$C$2&amp;MATCH($A164,INDIRECT("'"&amp;U$4&amp;"'!B1:B"),0)),""),
IFERROR(INDIRECT("'"&amp;U$4&amp;"!"&amp;$B$2&amp;MATCH($A164,INDIRECT("'"&amp;U$4&amp;"'!B:B"),0)),""))</f>
        <v/>
      </c>
      <c r="V164" s="302">
        <f>IFERROR(T164/U164,0)</f>
        <v>0</v>
      </c>
      <c r="W164" s="307" t="str">
        <f t="array" ref="W164">if($AI$2,IFERROR(INDIRECT("'"&amp;W$4&amp;"'!"&amp;$B$2&amp;match($A164,INDIRECT("'"&amp;W$4&amp;"'!B1:B"),0)),""),
IFERROR(INDIRECT("'"&amp;W$4&amp;"!"&amp;$B$2&amp;match($A164,INDIRECT("'"&amp;W$4&amp;"'!B:B"),0)),""))</f>
        <v/>
      </c>
      <c r="X164" s="308" t="str">
        <f t="array" ref="X164">IF($AI$2,IFERROR(INDIRECT("'"&amp;X$4&amp;"'!"&amp;$C$2&amp;MATCH($A164,INDIRECT("'"&amp;X$4&amp;"'!B1:B"),0)),""),
IFERROR(INDIRECT("'"&amp;X$4&amp;"!"&amp;$B$2&amp;MATCH($A164,INDIRECT("'"&amp;X$4&amp;"'!B:B"),0)),""))</f>
        <v/>
      </c>
      <c r="Y164" s="302">
        <f>IFERROR(W164/X164,0)</f>
        <v>0</v>
      </c>
      <c r="Z164" s="307" t="str">
        <f t="array" ref="Z164">if($AI$2,IFERROR(INDIRECT("'"&amp;Z$4&amp;"'!"&amp;$B$2&amp;match($A164,INDIRECT("'"&amp;Z$4&amp;"'!B1:B"),0)),""),
IFERROR(INDIRECT("'"&amp;Z$4&amp;"!"&amp;$B$2&amp;match($A164,INDIRECT("'"&amp;Z$4&amp;"'!B:B"),0)),""))</f>
        <v/>
      </c>
      <c r="AA164" s="308" t="str">
        <f t="array" ref="AA164">IF($AI$2,IFERROR(INDIRECT("'"&amp;AA$4&amp;"'!"&amp;$C$2&amp;MATCH($A164,INDIRECT("'"&amp;AA$4&amp;"'!B1:B"),0)),""),
IFERROR(INDIRECT("'"&amp;AA$4&amp;"!"&amp;$B$2&amp;MATCH($A164,INDIRECT("'"&amp;AA$4&amp;"'!B:B"),0)),""))</f>
        <v/>
      </c>
      <c r="AB164" s="302">
        <f>IFERROR(Z164/AA164,0)</f>
        <v>0</v>
      </c>
      <c r="AC164" s="307" t="str">
        <f t="array" ref="AC164">if($AI$2,IFERROR(INDIRECT("'"&amp;AC$4&amp;"'!"&amp;$B$2&amp;match($A164,INDIRECT("'"&amp;AC$4&amp;"'!B1:B"),0)),""),
IFERROR(INDIRECT("'"&amp;AC$4&amp;"!"&amp;$B$2&amp;match($A164,INDIRECT("'"&amp;AC$4&amp;"'!B:B"),0)),""))</f>
        <v/>
      </c>
      <c r="AD164" s="308" t="str">
        <f t="array" ref="AD164">IF($AI$2,IFERROR(INDIRECT("'"&amp;AD$4&amp;"'!"&amp;$C$2&amp;MATCH($A164,INDIRECT("'"&amp;AD$4&amp;"'!B1:B"),0)),""),
IFERROR(INDIRECT("'"&amp;AD$4&amp;"!"&amp;$B$2&amp;MATCH($A164,INDIRECT("'"&amp;AD$4&amp;"'!B:B"),0)),""))</f>
        <v/>
      </c>
      <c r="AE164" s="302">
        <f>IFERROR(AC164/AD164,0)</f>
        <v>0</v>
      </c>
      <c r="AF164" s="307" t="str">
        <f t="array" ref="AF164">if($AI$2,IFERROR(INDIRECT("'"&amp;AF$4&amp;"'!"&amp;$B$2&amp;match($A164,INDIRECT("'"&amp;AF$4&amp;"'!B1:B"),0)),""),
IFERROR(INDIRECT("'"&amp;AF$4&amp;"!"&amp;$B$2&amp;match($A164,INDIRECT("'"&amp;AF$4&amp;"'!B:B"),0)),""))</f>
        <v/>
      </c>
      <c r="AG164" s="308" t="str">
        <f t="array" ref="AG164">IF($AI$2,IFERROR(INDIRECT("'"&amp;AG$4&amp;"'!"&amp;$C$2&amp;MATCH($A164,INDIRECT("'"&amp;AG$4&amp;"'!B1:B"),0)),""),
IFERROR(INDIRECT("'"&amp;AG$4&amp;"!"&amp;$B$2&amp;MATCH($A164,INDIRECT("'"&amp;AG$4&amp;"'!B:B"),0)),""))</f>
        <v/>
      </c>
      <c r="AH164" s="302">
        <f>IFERROR(AF164/AG164,0)</f>
        <v>0</v>
      </c>
      <c r="AI164" s="307" t="str">
        <f t="array" ref="AI164">if($AI$2,IFERROR(INDIRECT("'"&amp;AI$4&amp;"'!"&amp;$B$2&amp;match($A164,INDIRECT("'"&amp;AI$4&amp;"'!B1:B"),0)),""),
IFERROR(INDIRECT("'"&amp;AI$4&amp;"!"&amp;$B$2&amp;match($A164,INDIRECT("'"&amp;AI$4&amp;"'!B:B"),0)),""))</f>
        <v/>
      </c>
      <c r="AJ164" s="308" t="str">
        <f t="array" ref="AJ164">IF($AI$2,IFERROR(INDIRECT("'"&amp;AJ$4&amp;"'!"&amp;$C$2&amp;MATCH($A164,INDIRECT("'"&amp;AJ$4&amp;"'!B1:B"),0)),""),
IFERROR(INDIRECT("'"&amp;AJ$4&amp;"!"&amp;$B$2&amp;MATCH($A164,INDIRECT("'"&amp;AJ$4&amp;"'!B:B"),0)),""))</f>
        <v/>
      </c>
      <c r="AK164" s="302">
        <f>IFERROR(AI164/AJ164,0)</f>
        <v>0</v>
      </c>
      <c r="AL164" s="307">
        <f t="shared" ref="AL164:AM164" si="651">B164+E164+H164+K164+N164+Q164+T164+W164+Z164+AC164+AF164+AI164</f>
        <v>0</v>
      </c>
      <c r="AM164" s="308">
        <f t="shared" si="651"/>
        <v>0</v>
      </c>
      <c r="AN164" s="303">
        <f>IFERROR(AL164/AM164,0)</f>
        <v>0</v>
      </c>
      <c r="AO164" s="121" t="str">
        <f t="shared" si="645"/>
        <v/>
      </c>
    </row>
    <row r="165">
      <c r="A165" s="339"/>
      <c r="B165" s="340"/>
      <c r="C165" s="341"/>
      <c r="D165" s="302"/>
      <c r="E165" s="340"/>
      <c r="F165" s="341"/>
      <c r="G165" s="302"/>
      <c r="H165" s="340"/>
      <c r="I165" s="341"/>
      <c r="J165" s="302"/>
      <c r="K165" s="340"/>
      <c r="L165" s="341"/>
      <c r="M165" s="302"/>
      <c r="N165" s="340"/>
      <c r="O165" s="341"/>
      <c r="P165" s="302"/>
      <c r="Q165" s="340"/>
      <c r="R165" s="341"/>
      <c r="S165" s="302"/>
      <c r="T165" s="340"/>
      <c r="U165" s="341"/>
      <c r="V165" s="302"/>
      <c r="W165" s="340"/>
      <c r="X165" s="341"/>
      <c r="Y165" s="302"/>
      <c r="Z165" s="340"/>
      <c r="AA165" s="341"/>
      <c r="AB165" s="302"/>
      <c r="AC165" s="340"/>
      <c r="AD165" s="341"/>
      <c r="AE165" s="302"/>
      <c r="AF165" s="340"/>
      <c r="AG165" s="341"/>
      <c r="AH165" s="302"/>
      <c r="AI165" s="340"/>
      <c r="AJ165" s="341"/>
      <c r="AK165" s="302"/>
      <c r="AL165" s="340">
        <f t="shared" ref="AL165:AM165" si="652">B165+E165+H165+K165+N165+Q165+T165+W165+Z165+AC165+AF165+AI165</f>
        <v>0</v>
      </c>
      <c r="AM165" s="341">
        <f t="shared" si="652"/>
        <v>0</v>
      </c>
      <c r="AN165" s="303"/>
      <c r="AO165" s="121" t="str">
        <f t="shared" si="645"/>
        <v/>
      </c>
    </row>
    <row r="166">
      <c r="A166" s="319" t="s">
        <v>144</v>
      </c>
      <c r="B166" s="320">
        <f t="shared" ref="B166:C166" si="653">B138+B148+B141</f>
        <v>98325</v>
      </c>
      <c r="C166" s="321">
        <f t="shared" si="653"/>
        <v>97157.03</v>
      </c>
      <c r="D166" s="302">
        <f t="shared" ref="D166:D167" si="667">IFERROR(B166/C166,0)</f>
        <v>1.012021467</v>
      </c>
      <c r="E166" s="320">
        <f t="shared" ref="E166:F166" si="654">E138+E148+E141</f>
        <v>0</v>
      </c>
      <c r="F166" s="321">
        <f t="shared" si="654"/>
        <v>0</v>
      </c>
      <c r="G166" s="302">
        <f t="shared" ref="G166:G167" si="669">IFERROR(E166/F166,0)</f>
        <v>0</v>
      </c>
      <c r="H166" s="320">
        <f t="shared" ref="H166:I166" si="655">H138+H148+H141</f>
        <v>0</v>
      </c>
      <c r="I166" s="321">
        <f t="shared" si="655"/>
        <v>0</v>
      </c>
      <c r="J166" s="302">
        <f t="shared" ref="J166:J167" si="671">IFERROR(H166/I166,0)</f>
        <v>0</v>
      </c>
      <c r="K166" s="320">
        <f t="shared" ref="K166:L166" si="656">K138+K148+K141</f>
        <v>4</v>
      </c>
      <c r="L166" s="321">
        <f t="shared" si="656"/>
        <v>0</v>
      </c>
      <c r="M166" s="302">
        <f t="shared" ref="M166:M167" si="673">IFERROR(K166/L166,0)</f>
        <v>0</v>
      </c>
      <c r="N166" s="320">
        <f t="shared" ref="N166:O166" si="657">N138+N148+N141</f>
        <v>5</v>
      </c>
      <c r="O166" s="321">
        <f t="shared" si="657"/>
        <v>0</v>
      </c>
      <c r="P166" s="302">
        <f t="shared" ref="P166:P167" si="675">IFERROR(N166/O166,0)</f>
        <v>0</v>
      </c>
      <c r="Q166" s="320">
        <f t="shared" ref="Q166:R166" si="658">Q138+Q148+Q141</f>
        <v>6</v>
      </c>
      <c r="R166" s="321">
        <f t="shared" si="658"/>
        <v>0</v>
      </c>
      <c r="S166" s="302">
        <f t="shared" ref="S166:S167" si="677">IFERROR(Q166/R166,0)</f>
        <v>0</v>
      </c>
      <c r="T166" s="320">
        <f t="shared" ref="T166:U166" si="659">T138+T148+T141</f>
        <v>7</v>
      </c>
      <c r="U166" s="321">
        <f t="shared" si="659"/>
        <v>0</v>
      </c>
      <c r="V166" s="302">
        <f t="shared" ref="V166:V167" si="679">IFERROR(T166/U166,0)</f>
        <v>0</v>
      </c>
      <c r="W166" s="320">
        <f t="shared" ref="W166:X166" si="660">W138+W148+W141</f>
        <v>8</v>
      </c>
      <c r="X166" s="321">
        <f t="shared" si="660"/>
        <v>0</v>
      </c>
      <c r="Y166" s="302">
        <f t="shared" ref="Y166:Y167" si="681">IFERROR(W166/X166,0)</f>
        <v>0</v>
      </c>
      <c r="Z166" s="320">
        <f t="shared" ref="Z166:AA166" si="661">Z138+Z148+Z141</f>
        <v>9</v>
      </c>
      <c r="AA166" s="321">
        <f t="shared" si="661"/>
        <v>0</v>
      </c>
      <c r="AB166" s="302">
        <f t="shared" ref="AB166:AB167" si="683">IFERROR(Z166/AA166,0)</f>
        <v>0</v>
      </c>
      <c r="AC166" s="320">
        <f t="shared" ref="AC166:AD166" si="662">AC138+AC148+AC141</f>
        <v>10</v>
      </c>
      <c r="AD166" s="321">
        <f t="shared" si="662"/>
        <v>0</v>
      </c>
      <c r="AE166" s="302">
        <f t="shared" ref="AE166:AE167" si="685">IFERROR(AC166/AD166,0)</f>
        <v>0</v>
      </c>
      <c r="AF166" s="320">
        <f t="shared" ref="AF166:AG166" si="663">AF138+AF148+AF141</f>
        <v>11</v>
      </c>
      <c r="AG166" s="321">
        <f t="shared" si="663"/>
        <v>0</v>
      </c>
      <c r="AH166" s="302">
        <f t="shared" ref="AH166:AH167" si="687">IFERROR(AF166/AG166,0)</f>
        <v>0</v>
      </c>
      <c r="AI166" s="320">
        <f t="shared" ref="AI166:AJ166" si="664">AI138+AI148+AI141</f>
        <v>12</v>
      </c>
      <c r="AJ166" s="321">
        <f t="shared" si="664"/>
        <v>0</v>
      </c>
      <c r="AK166" s="302">
        <f t="shared" ref="AK166:AK167" si="689">IFERROR(AI166/AJ166,0)</f>
        <v>0</v>
      </c>
      <c r="AL166" s="320">
        <f t="shared" ref="AL166:AM166" si="665">B166+E166+H166+K166+N166+Q166+T166+W166+Z166+AC166+AF166+AI166</f>
        <v>98397</v>
      </c>
      <c r="AM166" s="321">
        <f t="shared" si="665"/>
        <v>97157.03</v>
      </c>
      <c r="AN166" s="303">
        <f>IFERROR(AL166/AM166,0)</f>
        <v>1.012762535</v>
      </c>
      <c r="AO166" s="312" t="str">
        <f>IF(AM166=0,"",IF(AN166&gt;1,"выполнение","план не выполнен"))</f>
        <v>выполнение</v>
      </c>
    </row>
    <row r="167">
      <c r="A167" s="342" t="s">
        <v>145</v>
      </c>
      <c r="B167" s="343">
        <f t="shared" ref="B167:C167" si="666">IFERROR(B166/B$6,"")</f>
        <v>0.4320079086</v>
      </c>
      <c r="C167" s="344">
        <f t="shared" si="666"/>
        <v>0.4216884983</v>
      </c>
      <c r="D167" s="345">
        <f t="shared" si="667"/>
        <v>1.024471643</v>
      </c>
      <c r="E167" s="343" t="str">
        <f t="shared" ref="E167:F167" si="668">IFERROR(E166/E$6,"")</f>
        <v/>
      </c>
      <c r="F167" s="344" t="str">
        <f t="shared" si="668"/>
        <v/>
      </c>
      <c r="G167" s="345">
        <f t="shared" si="669"/>
        <v>0</v>
      </c>
      <c r="H167" s="343" t="str">
        <f t="shared" ref="H167:I167" si="670">IFERROR(H166/H$6,"")</f>
        <v/>
      </c>
      <c r="I167" s="344" t="str">
        <f t="shared" si="670"/>
        <v/>
      </c>
      <c r="J167" s="345">
        <f t="shared" si="671"/>
        <v>0</v>
      </c>
      <c r="K167" s="343">
        <f t="shared" ref="K167:L167" si="672">IFERROR(K166/K$6,"")</f>
        <v>1</v>
      </c>
      <c r="L167" s="344" t="str">
        <f t="shared" si="672"/>
        <v/>
      </c>
      <c r="M167" s="345">
        <f t="shared" si="673"/>
        <v>0</v>
      </c>
      <c r="N167" s="343">
        <f t="shared" ref="N167:O167" si="674">IFERROR(N166/N$6,"")</f>
        <v>1</v>
      </c>
      <c r="O167" s="344" t="str">
        <f t="shared" si="674"/>
        <v/>
      </c>
      <c r="P167" s="345">
        <f t="shared" si="675"/>
        <v>0</v>
      </c>
      <c r="Q167" s="343">
        <f t="shared" ref="Q167:R167" si="676">IFERROR(Q166/Q$6,"")</f>
        <v>1</v>
      </c>
      <c r="R167" s="344" t="str">
        <f t="shared" si="676"/>
        <v/>
      </c>
      <c r="S167" s="345">
        <f t="shared" si="677"/>
        <v>0</v>
      </c>
      <c r="T167" s="343">
        <f t="shared" ref="T167:U167" si="678">IFERROR(T166/T$6,"")</f>
        <v>1</v>
      </c>
      <c r="U167" s="344" t="str">
        <f t="shared" si="678"/>
        <v/>
      </c>
      <c r="V167" s="345">
        <f t="shared" si="679"/>
        <v>0</v>
      </c>
      <c r="W167" s="343">
        <f t="shared" ref="W167:X167" si="680">IFERROR(W166/W$6,"")</f>
        <v>1</v>
      </c>
      <c r="X167" s="344" t="str">
        <f t="shared" si="680"/>
        <v/>
      </c>
      <c r="Y167" s="345">
        <f t="shared" si="681"/>
        <v>0</v>
      </c>
      <c r="Z167" s="343">
        <f t="shared" ref="Z167:AA167" si="682">IFERROR(Z166/Z$6,"")</f>
        <v>1</v>
      </c>
      <c r="AA167" s="344" t="str">
        <f t="shared" si="682"/>
        <v/>
      </c>
      <c r="AB167" s="345">
        <f t="shared" si="683"/>
        <v>0</v>
      </c>
      <c r="AC167" s="343">
        <f t="shared" ref="AC167:AD167" si="684">IFERROR(AC166/AC$6,"")</f>
        <v>1</v>
      </c>
      <c r="AD167" s="344" t="str">
        <f t="shared" si="684"/>
        <v/>
      </c>
      <c r="AE167" s="345">
        <f t="shared" si="685"/>
        <v>0</v>
      </c>
      <c r="AF167" s="343">
        <f t="shared" ref="AF167:AG167" si="686">IFERROR(AF166/AF$6,"")</f>
        <v>1</v>
      </c>
      <c r="AG167" s="344" t="str">
        <f t="shared" si="686"/>
        <v/>
      </c>
      <c r="AH167" s="345">
        <f t="shared" si="687"/>
        <v>0</v>
      </c>
      <c r="AI167" s="343">
        <f t="shared" ref="AI167:AJ167" si="688">IFERROR(AI166/AI$6,"")</f>
        <v>1</v>
      </c>
      <c r="AJ167" s="344" t="str">
        <f t="shared" si="688"/>
        <v/>
      </c>
      <c r="AK167" s="345">
        <f t="shared" si="689"/>
        <v>0</v>
      </c>
      <c r="AL167" s="343">
        <f t="shared" ref="AL167:AM167" si="690">IFERROR(AL166/AL$6,"")</f>
        <v>0.4321875329</v>
      </c>
      <c r="AM167" s="344">
        <f t="shared" si="690"/>
        <v>0.4216884983</v>
      </c>
      <c r="AN167" s="346"/>
      <c r="AO167" s="347"/>
    </row>
    <row r="168">
      <c r="A168" s="316"/>
      <c r="B168" s="348"/>
      <c r="C168" s="348"/>
      <c r="D168" s="278"/>
      <c r="E168" s="348"/>
      <c r="F168" s="348"/>
      <c r="G168" s="278"/>
      <c r="H168" s="348"/>
      <c r="I168" s="348"/>
      <c r="J168" s="278"/>
      <c r="K168" s="348"/>
      <c r="L168" s="348"/>
      <c r="M168" s="278"/>
      <c r="N168" s="348"/>
      <c r="O168" s="348"/>
      <c r="P168" s="278"/>
      <c r="Q168" s="348"/>
      <c r="R168" s="348"/>
      <c r="S168" s="278"/>
      <c r="T168" s="348"/>
      <c r="U168" s="348"/>
      <c r="V168" s="278"/>
      <c r="W168" s="348"/>
      <c r="X168" s="348"/>
      <c r="Y168" s="278"/>
      <c r="Z168" s="348"/>
      <c r="AA168" s="348"/>
      <c r="AB168" s="278"/>
      <c r="AC168" s="348"/>
      <c r="AD168" s="348"/>
      <c r="AE168" s="278"/>
      <c r="AF168" s="348"/>
      <c r="AG168" s="348"/>
      <c r="AH168" s="278"/>
      <c r="AI168" s="348"/>
      <c r="AJ168" s="348"/>
      <c r="AK168" s="278"/>
      <c r="AL168" s="348"/>
      <c r="AM168" s="348"/>
      <c r="AN168" s="278"/>
      <c r="AO168" s="219"/>
    </row>
    <row r="169">
      <c r="A169" s="316"/>
      <c r="B169" s="326"/>
      <c r="C169" s="326"/>
      <c r="D169" s="349"/>
      <c r="E169" s="326"/>
      <c r="F169" s="326"/>
      <c r="G169" s="349"/>
      <c r="H169" s="326"/>
      <c r="I169" s="326"/>
      <c r="J169" s="349"/>
      <c r="K169" s="326"/>
      <c r="L169" s="326"/>
      <c r="M169" s="349"/>
      <c r="N169" s="326"/>
      <c r="O169" s="326"/>
      <c r="P169" s="349"/>
      <c r="Q169" s="326"/>
      <c r="R169" s="326"/>
      <c r="S169" s="349"/>
      <c r="T169" s="326"/>
      <c r="U169" s="326"/>
      <c r="V169" s="349"/>
      <c r="W169" s="326"/>
      <c r="X169" s="326"/>
      <c r="Y169" s="349"/>
      <c r="Z169" s="326"/>
      <c r="AA169" s="326"/>
      <c r="AB169" s="349"/>
      <c r="AC169" s="326"/>
      <c r="AD169" s="326"/>
      <c r="AE169" s="349"/>
      <c r="AF169" s="326"/>
      <c r="AG169" s="326"/>
      <c r="AH169" s="349"/>
      <c r="AI169" s="326"/>
      <c r="AJ169" s="326"/>
      <c r="AK169" s="349"/>
      <c r="AL169" s="221" t="s">
        <v>146</v>
      </c>
      <c r="AO169" s="219"/>
    </row>
    <row r="170">
      <c r="A170" s="316"/>
      <c r="B170" s="326"/>
      <c r="C170" s="326"/>
      <c r="D170" s="349"/>
      <c r="E170" s="326"/>
      <c r="F170" s="326"/>
      <c r="G170" s="349"/>
      <c r="H170" s="326"/>
      <c r="I170" s="326"/>
      <c r="J170" s="349"/>
      <c r="K170" s="326"/>
      <c r="L170" s="326"/>
      <c r="M170" s="349"/>
      <c r="N170" s="326"/>
      <c r="O170" s="326"/>
      <c r="P170" s="349"/>
      <c r="Q170" s="326"/>
      <c r="R170" s="326"/>
      <c r="S170" s="349"/>
      <c r="T170" s="326"/>
      <c r="U170" s="326"/>
      <c r="V170" s="349"/>
      <c r="W170" s="326"/>
      <c r="X170" s="326"/>
      <c r="Y170" s="349"/>
      <c r="Z170" s="326"/>
      <c r="AA170" s="326"/>
      <c r="AB170" s="349"/>
      <c r="AC170" s="326"/>
      <c r="AD170" s="326"/>
      <c r="AE170" s="349"/>
      <c r="AF170" s="326"/>
      <c r="AG170" s="326"/>
      <c r="AH170" s="349"/>
      <c r="AI170" s="326"/>
      <c r="AJ170" s="326"/>
      <c r="AK170" s="349"/>
      <c r="AL170" s="222" t="s">
        <v>147</v>
      </c>
      <c r="AM170" s="223" t="s">
        <v>148</v>
      </c>
      <c r="AN170" s="224" t="s">
        <v>149</v>
      </c>
      <c r="AO170" s="219"/>
    </row>
    <row r="171">
      <c r="A171" s="316"/>
      <c r="B171" s="326"/>
      <c r="C171" s="326"/>
      <c r="D171" s="349"/>
      <c r="E171" s="326"/>
      <c r="F171" s="326"/>
      <c r="G171" s="349"/>
      <c r="H171" s="326"/>
      <c r="I171" s="326"/>
      <c r="J171" s="349"/>
      <c r="K171" s="326"/>
      <c r="L171" s="326"/>
      <c r="M171" s="349"/>
      <c r="N171" s="326"/>
      <c r="O171" s="326"/>
      <c r="P171" s="349"/>
      <c r="Q171" s="326"/>
      <c r="R171" s="326"/>
      <c r="S171" s="349"/>
      <c r="T171" s="326"/>
      <c r="U171" s="326"/>
      <c r="V171" s="349"/>
      <c r="W171" s="326"/>
      <c r="X171" s="326"/>
      <c r="Y171" s="349"/>
      <c r="Z171" s="326"/>
      <c r="AA171" s="326"/>
      <c r="AB171" s="349"/>
      <c r="AC171" s="326"/>
      <c r="AD171" s="326"/>
      <c r="AE171" s="349"/>
      <c r="AF171" s="326"/>
      <c r="AG171" s="326"/>
      <c r="AH171" s="349"/>
      <c r="AI171" s="326"/>
      <c r="AJ171" s="326"/>
      <c r="AK171" s="349"/>
      <c r="AL171" s="225" t="s">
        <v>150</v>
      </c>
      <c r="AM171" s="226">
        <f>AL6</f>
        <v>227672</v>
      </c>
      <c r="AN171" s="227">
        <f>AN6</f>
        <v>0.9881597222</v>
      </c>
      <c r="AO171" s="121"/>
    </row>
    <row r="172">
      <c r="A172" s="316"/>
      <c r="B172" s="326"/>
      <c r="C172" s="350"/>
      <c r="D172" s="349"/>
      <c r="E172" s="350"/>
      <c r="F172" s="350"/>
      <c r="G172" s="349"/>
      <c r="H172" s="350"/>
      <c r="I172" s="350"/>
      <c r="J172" s="349"/>
      <c r="K172" s="350"/>
      <c r="L172" s="350"/>
      <c r="M172" s="349"/>
      <c r="N172" s="350"/>
      <c r="O172" s="350"/>
      <c r="P172" s="349"/>
      <c r="Q172" s="350"/>
      <c r="R172" s="350"/>
      <c r="S172" s="349"/>
      <c r="T172" s="350"/>
      <c r="U172" s="350"/>
      <c r="V172" s="349"/>
      <c r="W172" s="350"/>
      <c r="X172" s="350"/>
      <c r="Y172" s="349"/>
      <c r="Z172" s="350"/>
      <c r="AA172" s="350"/>
      <c r="AB172" s="349"/>
      <c r="AC172" s="350"/>
      <c r="AD172" s="350"/>
      <c r="AE172" s="349"/>
      <c r="AF172" s="350"/>
      <c r="AG172" s="350"/>
      <c r="AH172" s="349"/>
      <c r="AI172" s="350"/>
      <c r="AJ172" s="350"/>
      <c r="AK172" s="349"/>
      <c r="AL172" s="228" t="s">
        <v>151</v>
      </c>
      <c r="AM172" s="226">
        <f>AL15</f>
        <v>-61985</v>
      </c>
      <c r="AN172" s="227">
        <f>AN15</f>
        <v>0.8430465828</v>
      </c>
      <c r="AO172" s="121"/>
    </row>
    <row r="173">
      <c r="A173" s="316"/>
      <c r="B173" s="326"/>
      <c r="C173" s="350"/>
      <c r="D173" s="349"/>
      <c r="E173" s="350"/>
      <c r="F173" s="350"/>
      <c r="G173" s="349"/>
      <c r="H173" s="350"/>
      <c r="I173" s="350"/>
      <c r="J173" s="349"/>
      <c r="K173" s="350"/>
      <c r="L173" s="350"/>
      <c r="M173" s="349"/>
      <c r="N173" s="350"/>
      <c r="O173" s="350"/>
      <c r="P173" s="349"/>
      <c r="Q173" s="350"/>
      <c r="R173" s="350"/>
      <c r="S173" s="349"/>
      <c r="T173" s="350"/>
      <c r="U173" s="350"/>
      <c r="V173" s="349"/>
      <c r="W173" s="350"/>
      <c r="X173" s="350"/>
      <c r="Y173" s="349"/>
      <c r="Z173" s="350"/>
      <c r="AA173" s="350"/>
      <c r="AB173" s="349"/>
      <c r="AC173" s="350"/>
      <c r="AD173" s="350"/>
      <c r="AE173" s="349"/>
      <c r="AF173" s="350"/>
      <c r="AG173" s="350"/>
      <c r="AH173" s="349"/>
      <c r="AI173" s="350"/>
      <c r="AJ173" s="350"/>
      <c r="AK173" s="349"/>
      <c r="AL173" s="228" t="s">
        <v>152</v>
      </c>
      <c r="AM173" s="226">
        <f>AL91</f>
        <v>-22193</v>
      </c>
      <c r="AN173" s="227">
        <f>AN91</f>
        <v>1.481709471</v>
      </c>
      <c r="AO173" s="121"/>
    </row>
    <row r="174">
      <c r="A174" s="316"/>
      <c r="B174" s="326"/>
      <c r="C174" s="350"/>
      <c r="D174" s="349"/>
      <c r="E174" s="350"/>
      <c r="F174" s="350"/>
      <c r="G174" s="349"/>
      <c r="H174" s="350"/>
      <c r="I174" s="350"/>
      <c r="J174" s="349"/>
      <c r="K174" s="350"/>
      <c r="L174" s="350"/>
      <c r="M174" s="349"/>
      <c r="N174" s="350"/>
      <c r="O174" s="350"/>
      <c r="P174" s="349"/>
      <c r="Q174" s="350"/>
      <c r="R174" s="350"/>
      <c r="S174" s="349"/>
      <c r="T174" s="350"/>
      <c r="U174" s="350"/>
      <c r="V174" s="349"/>
      <c r="W174" s="350"/>
      <c r="X174" s="350"/>
      <c r="Y174" s="349"/>
      <c r="Z174" s="350"/>
      <c r="AA174" s="350"/>
      <c r="AB174" s="349"/>
      <c r="AC174" s="350"/>
      <c r="AD174" s="350"/>
      <c r="AE174" s="349"/>
      <c r="AF174" s="350"/>
      <c r="AG174" s="350"/>
      <c r="AH174" s="349"/>
      <c r="AI174" s="350"/>
      <c r="AJ174" s="350"/>
      <c r="AK174" s="349"/>
      <c r="AL174" s="225" t="s">
        <v>153</v>
      </c>
      <c r="AM174" s="226">
        <f>AL166</f>
        <v>98397</v>
      </c>
      <c r="AN174" s="227">
        <f>AN166</f>
        <v>1.012762535</v>
      </c>
      <c r="AO174" s="121"/>
    </row>
    <row r="175">
      <c r="A175" s="316"/>
      <c r="B175" s="326"/>
      <c r="C175" s="350"/>
      <c r="D175" s="349"/>
      <c r="E175" s="350"/>
      <c r="F175" s="350"/>
      <c r="G175" s="349"/>
      <c r="H175" s="350"/>
      <c r="I175" s="350"/>
      <c r="J175" s="349"/>
      <c r="K175" s="350"/>
      <c r="L175" s="350"/>
      <c r="M175" s="349"/>
      <c r="N175" s="350"/>
      <c r="O175" s="350"/>
      <c r="P175" s="349"/>
      <c r="Q175" s="350"/>
      <c r="R175" s="350"/>
      <c r="S175" s="349"/>
      <c r="T175" s="350"/>
      <c r="U175" s="350"/>
      <c r="V175" s="349"/>
      <c r="W175" s="350"/>
      <c r="X175" s="350"/>
      <c r="Y175" s="349"/>
      <c r="Z175" s="350"/>
      <c r="AA175" s="350"/>
      <c r="AB175" s="349"/>
      <c r="AC175" s="350"/>
      <c r="AD175" s="350"/>
      <c r="AE175" s="349"/>
      <c r="AF175" s="350"/>
      <c r="AG175" s="350"/>
      <c r="AH175" s="349"/>
      <c r="AI175" s="350"/>
      <c r="AJ175" s="350"/>
      <c r="AK175" s="349"/>
      <c r="AL175" s="350"/>
      <c r="AM175" s="350"/>
      <c r="AN175" s="349"/>
      <c r="AO175" s="121"/>
    </row>
  </sheetData>
  <mergeCells count="1">
    <mergeCell ref="AL169:AN169"/>
  </mergeCells>
  <conditionalFormatting sqref="AO5:AO175 AN170:AN174">
    <cfRule type="containsText" dxfId="2" priority="1" operator="containsText" text="выполнение">
      <formula>NOT(ISERROR(SEARCH(("выполнение"),(AO5))))</formula>
    </cfRule>
  </conditionalFormatting>
  <conditionalFormatting sqref="AO5:AO175 AN170:AN174">
    <cfRule type="containsText" dxfId="3" priority="2" operator="containsText" text="план не выполнен">
      <formula>NOT(ISERROR(SEARCH(("план не выполнен"),(AO5))))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.75"/>
    <col customWidth="1" min="14" max="14" width="3.38"/>
  </cols>
  <sheetData>
    <row r="1">
      <c r="A1" s="351" t="s">
        <v>168</v>
      </c>
    </row>
    <row r="2">
      <c r="J2" s="352"/>
      <c r="K2" s="353"/>
      <c r="L2" s="353"/>
      <c r="M2" s="353"/>
      <c r="N2" s="354"/>
    </row>
    <row r="3">
      <c r="J3" s="355"/>
      <c r="K3" s="356" t="s">
        <v>169</v>
      </c>
      <c r="L3" s="357"/>
      <c r="M3" s="357"/>
      <c r="N3" s="358"/>
    </row>
    <row r="4">
      <c r="J4" s="355"/>
      <c r="K4" s="359" t="s">
        <v>170</v>
      </c>
      <c r="L4" s="357"/>
      <c r="M4" s="357"/>
      <c r="N4" s="358"/>
    </row>
    <row r="5">
      <c r="J5" s="355"/>
      <c r="K5" s="357"/>
      <c r="L5" s="357"/>
      <c r="M5" s="357"/>
      <c r="N5" s="358"/>
    </row>
    <row r="6">
      <c r="J6" s="355"/>
      <c r="K6" s="357"/>
      <c r="L6" s="357"/>
      <c r="M6" s="357"/>
      <c r="N6" s="358"/>
    </row>
    <row r="7">
      <c r="J7" s="360"/>
      <c r="K7" s="361"/>
      <c r="L7" s="361"/>
      <c r="M7" s="361"/>
      <c r="N7" s="362"/>
    </row>
    <row r="22">
      <c r="A22" s="351" t="s">
        <v>171</v>
      </c>
    </row>
    <row r="23">
      <c r="J23" s="352"/>
      <c r="K23" s="353"/>
      <c r="L23" s="353"/>
      <c r="M23" s="353"/>
      <c r="N23" s="354"/>
    </row>
    <row r="24">
      <c r="J24" s="355"/>
      <c r="K24" s="363" t="s">
        <v>172</v>
      </c>
      <c r="L24" s="364"/>
      <c r="M24" s="365"/>
      <c r="N24" s="358"/>
    </row>
    <row r="25">
      <c r="J25" s="355"/>
      <c r="K25" s="366" t="s">
        <v>173</v>
      </c>
      <c r="L25" s="364"/>
      <c r="M25" s="365"/>
      <c r="N25" s="358"/>
    </row>
    <row r="26">
      <c r="J26" s="355"/>
      <c r="K26" s="357"/>
      <c r="L26" s="357"/>
      <c r="M26" s="357"/>
      <c r="N26" s="358"/>
    </row>
    <row r="27">
      <c r="J27" s="355"/>
      <c r="K27" s="366" t="s">
        <v>174</v>
      </c>
      <c r="L27" s="364"/>
      <c r="M27" s="365"/>
      <c r="N27" s="358"/>
    </row>
    <row r="28">
      <c r="J28" s="360"/>
      <c r="K28" s="361"/>
      <c r="L28" s="361"/>
      <c r="M28" s="361"/>
      <c r="N28" s="362"/>
    </row>
    <row r="39">
      <c r="A39" s="351" t="s">
        <v>175</v>
      </c>
    </row>
    <row r="40">
      <c r="J40" s="352"/>
      <c r="K40" s="353"/>
      <c r="L40" s="353"/>
      <c r="M40" s="353"/>
      <c r="N40" s="354"/>
    </row>
    <row r="41">
      <c r="J41" s="355"/>
      <c r="K41" s="363" t="s">
        <v>176</v>
      </c>
      <c r="L41" s="364"/>
      <c r="M41" s="365"/>
      <c r="N41" s="358"/>
    </row>
    <row r="42">
      <c r="J42" s="355"/>
      <c r="K42" s="366" t="s">
        <v>173</v>
      </c>
      <c r="L42" s="364"/>
      <c r="M42" s="365"/>
      <c r="N42" s="358"/>
    </row>
    <row r="43">
      <c r="J43" s="355"/>
      <c r="K43" s="357"/>
      <c r="L43" s="357"/>
      <c r="M43" s="357"/>
      <c r="N43" s="358"/>
    </row>
    <row r="44">
      <c r="J44" s="355"/>
      <c r="K44" s="366" t="s">
        <v>174</v>
      </c>
      <c r="L44" s="364"/>
      <c r="M44" s="365"/>
      <c r="N44" s="358"/>
    </row>
    <row r="45">
      <c r="J45" s="360"/>
      <c r="K45" s="361"/>
      <c r="L45" s="361"/>
      <c r="M45" s="361"/>
      <c r="N45" s="362"/>
    </row>
    <row r="56">
      <c r="A56" s="351" t="s">
        <v>177</v>
      </c>
    </row>
    <row r="57">
      <c r="J57" s="352"/>
      <c r="K57" s="353"/>
      <c r="L57" s="353"/>
      <c r="M57" s="353"/>
      <c r="N57" s="354"/>
    </row>
    <row r="58">
      <c r="J58" s="355"/>
      <c r="K58" s="363" t="s">
        <v>178</v>
      </c>
      <c r="L58" s="364"/>
      <c r="M58" s="365"/>
      <c r="N58" s="358"/>
    </row>
    <row r="59">
      <c r="J59" s="355"/>
      <c r="K59" s="366" t="s">
        <v>173</v>
      </c>
      <c r="L59" s="364"/>
      <c r="M59" s="365"/>
      <c r="N59" s="358"/>
    </row>
    <row r="60">
      <c r="J60" s="355"/>
      <c r="K60" s="357"/>
      <c r="L60" s="357"/>
      <c r="M60" s="357"/>
      <c r="N60" s="358"/>
    </row>
    <row r="61">
      <c r="J61" s="355"/>
      <c r="K61" s="366" t="s">
        <v>174</v>
      </c>
      <c r="L61" s="364"/>
      <c r="M61" s="365"/>
      <c r="N61" s="358"/>
    </row>
    <row r="62">
      <c r="J62" s="360"/>
      <c r="K62" s="361"/>
      <c r="L62" s="361"/>
      <c r="M62" s="361"/>
      <c r="N62" s="362"/>
    </row>
    <row r="79">
      <c r="A79" s="351" t="s">
        <v>179</v>
      </c>
    </row>
    <row r="80">
      <c r="J80" s="352"/>
      <c r="K80" s="353"/>
      <c r="L80" s="353"/>
      <c r="M80" s="353"/>
      <c r="N80" s="354"/>
    </row>
    <row r="81">
      <c r="J81" s="355"/>
      <c r="K81" s="363" t="s">
        <v>180</v>
      </c>
      <c r="L81" s="364"/>
      <c r="M81" s="365"/>
      <c r="N81" s="358"/>
    </row>
    <row r="82">
      <c r="J82" s="355"/>
      <c r="K82" s="366" t="s">
        <v>181</v>
      </c>
      <c r="L82" s="364"/>
      <c r="M82" s="365"/>
      <c r="N82" s="358"/>
    </row>
    <row r="83">
      <c r="J83" s="355"/>
      <c r="K83" s="357"/>
      <c r="L83" s="357"/>
      <c r="M83" s="357"/>
      <c r="N83" s="358"/>
    </row>
    <row r="84">
      <c r="J84" s="355"/>
      <c r="K84" s="366"/>
      <c r="L84" s="364"/>
      <c r="M84" s="365"/>
      <c r="N84" s="358"/>
    </row>
    <row r="85">
      <c r="J85" s="360"/>
      <c r="K85" s="361"/>
      <c r="L85" s="361"/>
      <c r="M85" s="361"/>
      <c r="N85" s="362"/>
    </row>
    <row r="97">
      <c r="A97" s="351" t="s">
        <v>182</v>
      </c>
    </row>
    <row r="98">
      <c r="J98" s="352"/>
      <c r="K98" s="353"/>
      <c r="L98" s="353"/>
      <c r="M98" s="353"/>
      <c r="N98" s="354"/>
    </row>
    <row r="99">
      <c r="J99" s="355"/>
      <c r="K99" s="363" t="s">
        <v>183</v>
      </c>
      <c r="L99" s="364"/>
      <c r="M99" s="365"/>
      <c r="N99" s="358"/>
    </row>
    <row r="100">
      <c r="J100" s="355"/>
      <c r="K100" s="366" t="s">
        <v>184</v>
      </c>
      <c r="L100" s="364"/>
      <c r="M100" s="365"/>
      <c r="N100" s="358"/>
    </row>
    <row r="101">
      <c r="J101" s="355"/>
      <c r="K101" s="357"/>
      <c r="L101" s="357"/>
      <c r="M101" s="357"/>
      <c r="N101" s="358"/>
    </row>
    <row r="102">
      <c r="J102" s="355"/>
      <c r="K102" s="366" t="s">
        <v>185</v>
      </c>
      <c r="L102" s="364"/>
      <c r="M102" s="365"/>
      <c r="N102" s="358"/>
    </row>
    <row r="103">
      <c r="J103" s="360"/>
      <c r="K103" s="361"/>
      <c r="L103" s="361"/>
      <c r="M103" s="361"/>
      <c r="N103" s="362"/>
    </row>
    <row r="117">
      <c r="A117" s="351" t="s">
        <v>186</v>
      </c>
    </row>
    <row r="118">
      <c r="J118" s="352"/>
      <c r="K118" s="353"/>
      <c r="L118" s="353"/>
      <c r="M118" s="353"/>
      <c r="N118" s="354"/>
    </row>
    <row r="119">
      <c r="J119" s="355"/>
      <c r="K119" s="363" t="s">
        <v>187</v>
      </c>
      <c r="L119" s="364"/>
      <c r="M119" s="365"/>
      <c r="N119" s="358"/>
    </row>
    <row r="120">
      <c r="J120" s="355"/>
      <c r="K120" s="366" t="s">
        <v>184</v>
      </c>
      <c r="L120" s="364"/>
      <c r="M120" s="365"/>
      <c r="N120" s="358"/>
    </row>
    <row r="121">
      <c r="J121" s="355"/>
      <c r="K121" s="357"/>
      <c r="L121" s="357"/>
      <c r="M121" s="357"/>
      <c r="N121" s="358"/>
    </row>
    <row r="122">
      <c r="J122" s="355"/>
      <c r="K122" s="366" t="s">
        <v>188</v>
      </c>
      <c r="L122" s="364"/>
      <c r="M122" s="365"/>
      <c r="N122" s="358"/>
    </row>
    <row r="123">
      <c r="J123" s="360"/>
      <c r="K123" s="361"/>
      <c r="L123" s="361"/>
      <c r="M123" s="361"/>
      <c r="N123" s="362"/>
    </row>
    <row r="134">
      <c r="A134" s="351" t="s">
        <v>189</v>
      </c>
    </row>
    <row r="136">
      <c r="J136" s="352"/>
      <c r="K136" s="353"/>
      <c r="L136" s="353"/>
      <c r="M136" s="353"/>
      <c r="N136" s="354"/>
    </row>
    <row r="137">
      <c r="J137" s="355"/>
      <c r="K137" s="363" t="s">
        <v>190</v>
      </c>
      <c r="L137" s="364"/>
      <c r="M137" s="365"/>
      <c r="N137" s="358"/>
    </row>
    <row r="138">
      <c r="J138" s="355"/>
      <c r="K138" s="366" t="s">
        <v>184</v>
      </c>
      <c r="L138" s="364"/>
      <c r="M138" s="365"/>
      <c r="N138" s="358"/>
    </row>
    <row r="139">
      <c r="J139" s="355"/>
      <c r="K139" s="357"/>
      <c r="L139" s="357"/>
      <c r="M139" s="357"/>
      <c r="N139" s="358"/>
    </row>
    <row r="140">
      <c r="J140" s="355"/>
      <c r="K140" s="366" t="s">
        <v>191</v>
      </c>
      <c r="L140" s="364"/>
      <c r="M140" s="365"/>
      <c r="N140" s="358"/>
    </row>
    <row r="141">
      <c r="J141" s="360"/>
      <c r="K141" s="361"/>
      <c r="L141" s="361"/>
      <c r="M141" s="361"/>
      <c r="N141" s="362"/>
    </row>
  </sheetData>
  <mergeCells count="21">
    <mergeCell ref="K24:M24"/>
    <mergeCell ref="K25:M25"/>
    <mergeCell ref="K27:M27"/>
    <mergeCell ref="K41:M41"/>
    <mergeCell ref="K42:M42"/>
    <mergeCell ref="K44:M44"/>
    <mergeCell ref="K58:M58"/>
    <mergeCell ref="K102:M102"/>
    <mergeCell ref="K119:M119"/>
    <mergeCell ref="K120:M120"/>
    <mergeCell ref="K122:M122"/>
    <mergeCell ref="K137:M137"/>
    <mergeCell ref="K138:M138"/>
    <mergeCell ref="K140:M140"/>
    <mergeCell ref="K59:M59"/>
    <mergeCell ref="K61:M61"/>
    <mergeCell ref="K81:M81"/>
    <mergeCell ref="K82:M82"/>
    <mergeCell ref="K84:M84"/>
    <mergeCell ref="K99:M99"/>
    <mergeCell ref="K100:M100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367" t="s">
        <v>192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9"/>
    </row>
    <row r="2">
      <c r="A2" s="370" t="s">
        <v>193</v>
      </c>
      <c r="B2" s="370">
        <v>1.0</v>
      </c>
      <c r="C2" s="370">
        <v>2.0</v>
      </c>
      <c r="D2" s="370">
        <v>3.0</v>
      </c>
      <c r="E2" s="370">
        <v>4.0</v>
      </c>
      <c r="F2" s="370">
        <v>5.0</v>
      </c>
      <c r="G2" s="370">
        <v>6.0</v>
      </c>
      <c r="H2" s="370">
        <v>7.0</v>
      </c>
      <c r="I2" s="370">
        <v>8.0</v>
      </c>
      <c r="J2" s="370">
        <v>9.0</v>
      </c>
      <c r="K2" s="370">
        <v>10.0</v>
      </c>
      <c r="L2" s="370">
        <v>11.0</v>
      </c>
      <c r="M2" s="370">
        <v>12.0</v>
      </c>
      <c r="N2" s="371"/>
    </row>
    <row r="3">
      <c r="A3" s="372" t="s">
        <v>86</v>
      </c>
      <c r="B3" s="373">
        <f>'Факт'!B5</f>
        <v>227600</v>
      </c>
      <c r="C3" s="373">
        <f>'Факт'!C5</f>
        <v>0</v>
      </c>
      <c r="D3" s="373">
        <f>'Факт'!D5</f>
        <v>0</v>
      </c>
      <c r="E3" s="373">
        <f>'Факт'!E5</f>
        <v>4</v>
      </c>
      <c r="F3" s="373">
        <f>'Факт'!F5</f>
        <v>5</v>
      </c>
      <c r="G3" s="373">
        <f>'Факт'!G5</f>
        <v>6</v>
      </c>
      <c r="H3" s="373">
        <f>'Факт'!H5</f>
        <v>7</v>
      </c>
      <c r="I3" s="373">
        <f>'Факт'!I5</f>
        <v>8</v>
      </c>
      <c r="J3" s="373">
        <f>'Факт'!J5</f>
        <v>9</v>
      </c>
      <c r="K3" s="373">
        <f>'Факт'!K5</f>
        <v>10</v>
      </c>
      <c r="L3" s="373">
        <f>'Факт'!L5</f>
        <v>11</v>
      </c>
      <c r="M3" s="373">
        <f>'Факт'!M5</f>
        <v>12</v>
      </c>
      <c r="N3" s="373">
        <f t="shared" ref="N3:N8" si="1">SUM(B3:M3)</f>
        <v>227672</v>
      </c>
    </row>
    <row r="4">
      <c r="A4" s="372" t="s">
        <v>135</v>
      </c>
      <c r="B4" s="373">
        <f>-('Факт'!B14+'Факт'!B72)</f>
        <v>61985</v>
      </c>
      <c r="C4" s="373">
        <f>-('Факт'!C14+'Факт'!C72)</f>
        <v>0</v>
      </c>
      <c r="D4" s="373">
        <f>-('Факт'!D14+'Факт'!D72)</f>
        <v>0</v>
      </c>
      <c r="E4" s="373">
        <f>-('Факт'!E14+'Факт'!E72)</f>
        <v>0</v>
      </c>
      <c r="F4" s="373">
        <f>-('Факт'!F14+'Факт'!F72)</f>
        <v>0</v>
      </c>
      <c r="G4" s="373">
        <f>-('Факт'!G14+'Факт'!G72)</f>
        <v>0</v>
      </c>
      <c r="H4" s="373">
        <f>-('Факт'!H14+'Факт'!H72)</f>
        <v>0</v>
      </c>
      <c r="I4" s="373">
        <f>-('Факт'!I14+'Факт'!I72)</f>
        <v>0</v>
      </c>
      <c r="J4" s="373">
        <f>-('Факт'!J14+'Факт'!J72)</f>
        <v>0</v>
      </c>
      <c r="K4" s="373">
        <f>-('Факт'!K14+'Факт'!K72)</f>
        <v>0</v>
      </c>
      <c r="L4" s="373">
        <f>-('Факт'!L14+'Факт'!L72)</f>
        <v>0</v>
      </c>
      <c r="M4" s="373">
        <f>-('Факт'!M14+'Факт'!M72)</f>
        <v>0</v>
      </c>
      <c r="N4" s="373">
        <f t="shared" si="1"/>
        <v>61985</v>
      </c>
    </row>
    <row r="5">
      <c r="A5" s="372" t="s">
        <v>194</v>
      </c>
      <c r="B5" s="373">
        <f>-'Факт'!B85</f>
        <v>22173</v>
      </c>
      <c r="C5" s="373">
        <f>-'Факт'!C85</f>
        <v>0</v>
      </c>
      <c r="D5" s="373">
        <f>-'Факт'!D85</f>
        <v>0</v>
      </c>
      <c r="E5" s="373">
        <f>-'Факт'!E85</f>
        <v>0</v>
      </c>
      <c r="F5" s="373">
        <f>-'Факт'!F85</f>
        <v>0</v>
      </c>
      <c r="G5" s="373">
        <f>-'Факт'!G85</f>
        <v>0</v>
      </c>
      <c r="H5" s="373">
        <f>-'Факт'!H85</f>
        <v>0</v>
      </c>
      <c r="I5" s="373">
        <f>-'Факт'!I85</f>
        <v>0</v>
      </c>
      <c r="J5" s="373">
        <f>-'Факт'!J85</f>
        <v>0</v>
      </c>
      <c r="K5" s="373">
        <f>-'Факт'!K85</f>
        <v>0</v>
      </c>
      <c r="L5" s="373">
        <f>-'Факт'!L85</f>
        <v>0</v>
      </c>
      <c r="M5" s="373">
        <f>-'Факт'!M85</f>
        <v>0</v>
      </c>
      <c r="N5" s="373">
        <f t="shared" si="1"/>
        <v>22173</v>
      </c>
    </row>
    <row r="6">
      <c r="A6" s="372" t="s">
        <v>195</v>
      </c>
      <c r="B6" s="373">
        <f>-'Факт'!B112</f>
        <v>20</v>
      </c>
      <c r="C6" s="373">
        <f>-'Факт'!C112</f>
        <v>0</v>
      </c>
      <c r="D6" s="373">
        <f>-'Факт'!D112</f>
        <v>0</v>
      </c>
      <c r="E6" s="373">
        <f>-'Факт'!E112</f>
        <v>0</v>
      </c>
      <c r="F6" s="373">
        <f>-'Факт'!F112</f>
        <v>0</v>
      </c>
      <c r="G6" s="373">
        <f>-'Факт'!G112</f>
        <v>0</v>
      </c>
      <c r="H6" s="373">
        <f>-'Факт'!H112</f>
        <v>0</v>
      </c>
      <c r="I6" s="373">
        <f>-'Факт'!I112</f>
        <v>0</v>
      </c>
      <c r="J6" s="373">
        <f>-'Факт'!J112</f>
        <v>0</v>
      </c>
      <c r="K6" s="373">
        <f>-'Факт'!K112</f>
        <v>0</v>
      </c>
      <c r="L6" s="373">
        <f>-'Факт'!L112</f>
        <v>0</v>
      </c>
      <c r="M6" s="373">
        <f>-'Факт'!M112</f>
        <v>0</v>
      </c>
      <c r="N6" s="373">
        <f t="shared" si="1"/>
        <v>20</v>
      </c>
    </row>
    <row r="7">
      <c r="A7" s="372" t="s">
        <v>111</v>
      </c>
      <c r="B7" s="373">
        <f>-'Факт'!B132</f>
        <v>-3</v>
      </c>
      <c r="C7" s="373">
        <f>-'Факт'!C132</f>
        <v>0</v>
      </c>
      <c r="D7" s="373">
        <f>-'Факт'!D132</f>
        <v>0</v>
      </c>
      <c r="E7" s="373">
        <f>-'Факт'!E132</f>
        <v>0</v>
      </c>
      <c r="F7" s="373">
        <f>-'Факт'!F132</f>
        <v>0</v>
      </c>
      <c r="G7" s="373">
        <f>-'Факт'!G132</f>
        <v>0</v>
      </c>
      <c r="H7" s="373">
        <f>-'Факт'!H132</f>
        <v>0</v>
      </c>
      <c r="I7" s="373">
        <f>-'Факт'!I132</f>
        <v>0</v>
      </c>
      <c r="J7" s="373">
        <f>-'Факт'!J132</f>
        <v>0</v>
      </c>
      <c r="K7" s="373">
        <f>-'Факт'!K132</f>
        <v>0</v>
      </c>
      <c r="L7" s="373">
        <f>-'Факт'!L132</f>
        <v>0</v>
      </c>
      <c r="M7" s="373">
        <f>-'Факт'!M132</f>
        <v>0</v>
      </c>
      <c r="N7" s="373">
        <f t="shared" si="1"/>
        <v>-3</v>
      </c>
    </row>
    <row r="8">
      <c r="A8" s="372" t="s">
        <v>101</v>
      </c>
      <c r="B8" s="373">
        <f>-'Факт'!B142</f>
        <v>45100</v>
      </c>
      <c r="C8" s="373">
        <f>-'Факт'!C142</f>
        <v>0</v>
      </c>
      <c r="D8" s="373">
        <f>-'Факт'!D142</f>
        <v>0</v>
      </c>
      <c r="E8" s="373">
        <f>-'Факт'!E142</f>
        <v>0</v>
      </c>
      <c r="F8" s="373">
        <f>-'Факт'!F142</f>
        <v>0</v>
      </c>
      <c r="G8" s="373">
        <f>-'Факт'!G142</f>
        <v>0</v>
      </c>
      <c r="H8" s="373">
        <f>-'Факт'!H142</f>
        <v>0</v>
      </c>
      <c r="I8" s="373">
        <f>-'Факт'!I142</f>
        <v>0</v>
      </c>
      <c r="J8" s="373">
        <f>-'Факт'!J142</f>
        <v>0</v>
      </c>
      <c r="K8" s="373">
        <f>-'Факт'!K142</f>
        <v>0</v>
      </c>
      <c r="L8" s="373">
        <f>-'Факт'!L142</f>
        <v>0</v>
      </c>
      <c r="M8" s="373">
        <f>-'Факт'!M142</f>
        <v>0</v>
      </c>
      <c r="N8" s="373">
        <f t="shared" si="1"/>
        <v>45100</v>
      </c>
    </row>
    <row r="10">
      <c r="A10" s="370" t="s">
        <v>193</v>
      </c>
      <c r="B10" s="370">
        <v>1.0</v>
      </c>
      <c r="C10" s="370">
        <v>2.0</v>
      </c>
      <c r="D10" s="370">
        <v>3.0</v>
      </c>
      <c r="E10" s="370">
        <v>4.0</v>
      </c>
      <c r="F10" s="370">
        <v>5.0</v>
      </c>
      <c r="G10" s="370">
        <v>6.0</v>
      </c>
      <c r="H10" s="370">
        <v>7.0</v>
      </c>
      <c r="I10" s="370">
        <v>8.0</v>
      </c>
      <c r="J10" s="370">
        <v>9.0</v>
      </c>
      <c r="K10" s="370">
        <v>10.0</v>
      </c>
      <c r="L10" s="370">
        <v>11.0</v>
      </c>
      <c r="M10" s="370">
        <v>12.0</v>
      </c>
      <c r="N10" s="371"/>
    </row>
    <row r="11">
      <c r="A11" s="372" t="s">
        <v>196</v>
      </c>
      <c r="B11" s="374">
        <f t="shared" ref="B11:N11" si="2">iferror(B4/B$3,0)</f>
        <v>0.2723418278</v>
      </c>
      <c r="C11" s="374">
        <f t="shared" si="2"/>
        <v>0</v>
      </c>
      <c r="D11" s="374">
        <f t="shared" si="2"/>
        <v>0</v>
      </c>
      <c r="E11" s="374">
        <f t="shared" si="2"/>
        <v>0</v>
      </c>
      <c r="F11" s="374">
        <f t="shared" si="2"/>
        <v>0</v>
      </c>
      <c r="G11" s="374">
        <f t="shared" si="2"/>
        <v>0</v>
      </c>
      <c r="H11" s="374">
        <f t="shared" si="2"/>
        <v>0</v>
      </c>
      <c r="I11" s="374">
        <f t="shared" si="2"/>
        <v>0</v>
      </c>
      <c r="J11" s="374">
        <f t="shared" si="2"/>
        <v>0</v>
      </c>
      <c r="K11" s="374">
        <f t="shared" si="2"/>
        <v>0</v>
      </c>
      <c r="L11" s="374">
        <f t="shared" si="2"/>
        <v>0</v>
      </c>
      <c r="M11" s="374">
        <f t="shared" si="2"/>
        <v>0</v>
      </c>
      <c r="N11" s="374">
        <f t="shared" si="2"/>
        <v>0.2722557012</v>
      </c>
    </row>
    <row r="12">
      <c r="A12" s="372" t="s">
        <v>197</v>
      </c>
      <c r="B12" s="374">
        <f t="shared" ref="B12:N12" si="3">iferror(B5/B$3,0)</f>
        <v>0.09742091388</v>
      </c>
      <c r="C12" s="374">
        <f t="shared" si="3"/>
        <v>0</v>
      </c>
      <c r="D12" s="374">
        <f t="shared" si="3"/>
        <v>0</v>
      </c>
      <c r="E12" s="374">
        <f t="shared" si="3"/>
        <v>0</v>
      </c>
      <c r="F12" s="374">
        <f t="shared" si="3"/>
        <v>0</v>
      </c>
      <c r="G12" s="374">
        <f t="shared" si="3"/>
        <v>0</v>
      </c>
      <c r="H12" s="374">
        <f t="shared" si="3"/>
        <v>0</v>
      </c>
      <c r="I12" s="374">
        <f t="shared" si="3"/>
        <v>0</v>
      </c>
      <c r="J12" s="374">
        <f t="shared" si="3"/>
        <v>0</v>
      </c>
      <c r="K12" s="374">
        <f t="shared" si="3"/>
        <v>0</v>
      </c>
      <c r="L12" s="374">
        <f t="shared" si="3"/>
        <v>0</v>
      </c>
      <c r="M12" s="374">
        <f t="shared" si="3"/>
        <v>0</v>
      </c>
      <c r="N12" s="374">
        <f t="shared" si="3"/>
        <v>0.09739010506</v>
      </c>
    </row>
    <row r="13">
      <c r="A13" s="372" t="s">
        <v>198</v>
      </c>
      <c r="B13" s="374">
        <f t="shared" ref="B13:N13" si="4">iferror(B6/B$3,0)</f>
        <v>0.00008787346221</v>
      </c>
      <c r="C13" s="374">
        <f t="shared" si="4"/>
        <v>0</v>
      </c>
      <c r="D13" s="374">
        <f t="shared" si="4"/>
        <v>0</v>
      </c>
      <c r="E13" s="374">
        <f t="shared" si="4"/>
        <v>0</v>
      </c>
      <c r="F13" s="374">
        <f t="shared" si="4"/>
        <v>0</v>
      </c>
      <c r="G13" s="374">
        <f t="shared" si="4"/>
        <v>0</v>
      </c>
      <c r="H13" s="374">
        <f t="shared" si="4"/>
        <v>0</v>
      </c>
      <c r="I13" s="374">
        <f t="shared" si="4"/>
        <v>0</v>
      </c>
      <c r="J13" s="374">
        <f t="shared" si="4"/>
        <v>0</v>
      </c>
      <c r="K13" s="374">
        <f t="shared" si="4"/>
        <v>0</v>
      </c>
      <c r="L13" s="374">
        <f t="shared" si="4"/>
        <v>0</v>
      </c>
      <c r="M13" s="374">
        <f t="shared" si="4"/>
        <v>0</v>
      </c>
      <c r="N13" s="374">
        <f t="shared" si="4"/>
        <v>0.00008784567272</v>
      </c>
    </row>
    <row r="14">
      <c r="A14" s="372" t="s">
        <v>199</v>
      </c>
      <c r="B14" s="374">
        <f t="shared" ref="B14:N14" si="5">iferror(B8/B$3,0)</f>
        <v>0.1981546573</v>
      </c>
      <c r="C14" s="374">
        <f t="shared" si="5"/>
        <v>0</v>
      </c>
      <c r="D14" s="374">
        <f t="shared" si="5"/>
        <v>0</v>
      </c>
      <c r="E14" s="374">
        <f t="shared" si="5"/>
        <v>0</v>
      </c>
      <c r="F14" s="374">
        <f t="shared" si="5"/>
        <v>0</v>
      </c>
      <c r="G14" s="374">
        <f t="shared" si="5"/>
        <v>0</v>
      </c>
      <c r="H14" s="374">
        <f t="shared" si="5"/>
        <v>0</v>
      </c>
      <c r="I14" s="374">
        <f t="shared" si="5"/>
        <v>0</v>
      </c>
      <c r="J14" s="374">
        <f t="shared" si="5"/>
        <v>0</v>
      </c>
      <c r="K14" s="374">
        <f t="shared" si="5"/>
        <v>0</v>
      </c>
      <c r="L14" s="374">
        <f t="shared" si="5"/>
        <v>0</v>
      </c>
      <c r="M14" s="374">
        <f t="shared" si="5"/>
        <v>0</v>
      </c>
      <c r="N14" s="374">
        <f t="shared" si="5"/>
        <v>0.198091992</v>
      </c>
    </row>
    <row r="16">
      <c r="A16" s="370" t="s">
        <v>194</v>
      </c>
    </row>
    <row r="17">
      <c r="A17" s="372" t="s">
        <v>197</v>
      </c>
      <c r="B17" s="374">
        <f t="shared" ref="B17:N17" si="6">iferror(B5/B$3,0)</f>
        <v>0.09742091388</v>
      </c>
      <c r="C17" s="374">
        <f t="shared" si="6"/>
        <v>0</v>
      </c>
      <c r="D17" s="374">
        <f t="shared" si="6"/>
        <v>0</v>
      </c>
      <c r="E17" s="374">
        <f t="shared" si="6"/>
        <v>0</v>
      </c>
      <c r="F17" s="374">
        <f t="shared" si="6"/>
        <v>0</v>
      </c>
      <c r="G17" s="374">
        <f t="shared" si="6"/>
        <v>0</v>
      </c>
      <c r="H17" s="374">
        <f t="shared" si="6"/>
        <v>0</v>
      </c>
      <c r="I17" s="374">
        <f t="shared" si="6"/>
        <v>0</v>
      </c>
      <c r="J17" s="374">
        <f t="shared" si="6"/>
        <v>0</v>
      </c>
      <c r="K17" s="374">
        <f t="shared" si="6"/>
        <v>0</v>
      </c>
      <c r="L17" s="374">
        <f t="shared" si="6"/>
        <v>0</v>
      </c>
      <c r="M17" s="374">
        <f t="shared" si="6"/>
        <v>0</v>
      </c>
      <c r="N17" s="374">
        <f t="shared" si="6"/>
        <v>0.09739010506</v>
      </c>
    </row>
    <row r="18">
      <c r="A18" s="372" t="s">
        <v>200</v>
      </c>
      <c r="B18" s="375">
        <v>0.045</v>
      </c>
      <c r="C18" s="375">
        <v>0.045</v>
      </c>
      <c r="D18" s="375">
        <v>0.045</v>
      </c>
      <c r="E18" s="375">
        <v>0.045</v>
      </c>
      <c r="F18" s="375">
        <v>0.045</v>
      </c>
      <c r="G18" s="375">
        <v>0.045</v>
      </c>
      <c r="H18" s="375">
        <v>0.045</v>
      </c>
      <c r="I18" s="375">
        <v>0.045</v>
      </c>
      <c r="J18" s="375">
        <v>0.045</v>
      </c>
      <c r="K18" s="375">
        <v>0.045</v>
      </c>
      <c r="L18" s="375">
        <v>0.045</v>
      </c>
      <c r="M18" s="375">
        <v>0.045</v>
      </c>
    </row>
    <row r="19">
      <c r="A19" s="372" t="s">
        <v>201</v>
      </c>
      <c r="B19" s="375">
        <v>0.06</v>
      </c>
      <c r="C19" s="375">
        <v>0.06</v>
      </c>
      <c r="D19" s="375">
        <v>0.06</v>
      </c>
      <c r="E19" s="375">
        <v>0.06</v>
      </c>
      <c r="F19" s="375">
        <v>0.06</v>
      </c>
      <c r="G19" s="375">
        <v>0.06</v>
      </c>
      <c r="H19" s="375">
        <v>0.06</v>
      </c>
      <c r="I19" s="375">
        <v>0.06</v>
      </c>
      <c r="J19" s="375">
        <v>0.06</v>
      </c>
      <c r="K19" s="375">
        <v>0.06</v>
      </c>
      <c r="L19" s="375">
        <v>0.06</v>
      </c>
      <c r="M19" s="375">
        <v>0.06</v>
      </c>
    </row>
    <row r="21">
      <c r="A21" s="370" t="s">
        <v>195</v>
      </c>
    </row>
    <row r="22">
      <c r="A22" s="372" t="s">
        <v>198</v>
      </c>
      <c r="B22" s="374">
        <f t="shared" ref="B22:M22" si="7">iferror(B6/B$3,0)</f>
        <v>0.00008787346221</v>
      </c>
      <c r="C22" s="374">
        <f t="shared" si="7"/>
        <v>0</v>
      </c>
      <c r="D22" s="374">
        <f t="shared" si="7"/>
        <v>0</v>
      </c>
      <c r="E22" s="374">
        <f t="shared" si="7"/>
        <v>0</v>
      </c>
      <c r="F22" s="374">
        <f t="shared" si="7"/>
        <v>0</v>
      </c>
      <c r="G22" s="374">
        <f t="shared" si="7"/>
        <v>0</v>
      </c>
      <c r="H22" s="374">
        <f t="shared" si="7"/>
        <v>0</v>
      </c>
      <c r="I22" s="374">
        <f t="shared" si="7"/>
        <v>0</v>
      </c>
      <c r="J22" s="374">
        <f t="shared" si="7"/>
        <v>0</v>
      </c>
      <c r="K22" s="374">
        <f t="shared" si="7"/>
        <v>0</v>
      </c>
      <c r="L22" s="374">
        <f t="shared" si="7"/>
        <v>0</v>
      </c>
      <c r="M22" s="374">
        <f t="shared" si="7"/>
        <v>0</v>
      </c>
      <c r="N22" s="374"/>
    </row>
    <row r="23">
      <c r="A23" s="372" t="s">
        <v>202</v>
      </c>
      <c r="B23" s="375">
        <v>0.002</v>
      </c>
      <c r="C23" s="375">
        <v>0.002</v>
      </c>
      <c r="D23" s="375">
        <v>0.002</v>
      </c>
      <c r="E23" s="375">
        <v>0.002</v>
      </c>
      <c r="F23" s="375">
        <v>0.002</v>
      </c>
      <c r="G23" s="375">
        <v>0.002</v>
      </c>
      <c r="H23" s="375">
        <v>0.002</v>
      </c>
      <c r="I23" s="375">
        <v>0.002</v>
      </c>
      <c r="J23" s="375">
        <v>0.002</v>
      </c>
      <c r="K23" s="375">
        <v>0.002</v>
      </c>
      <c r="L23" s="375">
        <v>0.002</v>
      </c>
      <c r="M23" s="375">
        <v>0.002</v>
      </c>
      <c r="N23" s="375"/>
    </row>
    <row r="24">
      <c r="A24" s="372" t="s">
        <v>203</v>
      </c>
      <c r="B24" s="375">
        <v>0.005</v>
      </c>
      <c r="C24" s="375">
        <v>0.005</v>
      </c>
      <c r="D24" s="375">
        <v>0.005</v>
      </c>
      <c r="E24" s="375">
        <v>0.005</v>
      </c>
      <c r="F24" s="375">
        <v>0.005</v>
      </c>
      <c r="G24" s="375">
        <v>0.005</v>
      </c>
      <c r="H24" s="375">
        <v>0.005</v>
      </c>
      <c r="I24" s="375">
        <v>0.005</v>
      </c>
      <c r="J24" s="375">
        <v>0.005</v>
      </c>
      <c r="K24" s="375">
        <v>0.005</v>
      </c>
      <c r="L24" s="375">
        <v>0.005</v>
      </c>
      <c r="M24" s="375">
        <v>0.005</v>
      </c>
      <c r="N24" s="376"/>
    </row>
    <row r="26">
      <c r="A26" s="370" t="s">
        <v>135</v>
      </c>
    </row>
    <row r="27">
      <c r="A27" s="372" t="s">
        <v>204</v>
      </c>
      <c r="B27" s="374">
        <f t="shared" ref="B27:M27" si="8">iferror(B4/B$3,0)</f>
        <v>0.2723418278</v>
      </c>
      <c r="C27" s="374">
        <f t="shared" si="8"/>
        <v>0</v>
      </c>
      <c r="D27" s="374">
        <f t="shared" si="8"/>
        <v>0</v>
      </c>
      <c r="E27" s="374">
        <f t="shared" si="8"/>
        <v>0</v>
      </c>
      <c r="F27" s="374">
        <f t="shared" si="8"/>
        <v>0</v>
      </c>
      <c r="G27" s="374">
        <f t="shared" si="8"/>
        <v>0</v>
      </c>
      <c r="H27" s="374">
        <f t="shared" si="8"/>
        <v>0</v>
      </c>
      <c r="I27" s="374">
        <f t="shared" si="8"/>
        <v>0</v>
      </c>
      <c r="J27" s="374">
        <f t="shared" si="8"/>
        <v>0</v>
      </c>
      <c r="K27" s="374">
        <f t="shared" si="8"/>
        <v>0</v>
      </c>
      <c r="L27" s="374">
        <f t="shared" si="8"/>
        <v>0</v>
      </c>
      <c r="M27" s="374">
        <f t="shared" si="8"/>
        <v>0</v>
      </c>
    </row>
    <row r="28">
      <c r="A28" s="372" t="s">
        <v>205</v>
      </c>
      <c r="B28" s="377">
        <v>0.67</v>
      </c>
      <c r="C28" s="377">
        <v>0.67</v>
      </c>
      <c r="D28" s="377">
        <v>0.67</v>
      </c>
      <c r="E28" s="377">
        <v>0.67</v>
      </c>
      <c r="F28" s="377">
        <v>0.67</v>
      </c>
      <c r="G28" s="377">
        <v>0.67</v>
      </c>
      <c r="H28" s="377">
        <v>0.67</v>
      </c>
      <c r="I28" s="377">
        <v>0.67</v>
      </c>
      <c r="J28" s="377">
        <v>0.67</v>
      </c>
      <c r="K28" s="377">
        <v>0.67</v>
      </c>
      <c r="L28" s="377">
        <v>0.67</v>
      </c>
      <c r="M28" s="377">
        <v>0.67</v>
      </c>
    </row>
    <row r="29">
      <c r="A29" s="372" t="s">
        <v>206</v>
      </c>
      <c r="B29" s="377">
        <v>0.73</v>
      </c>
      <c r="C29" s="377">
        <v>0.73</v>
      </c>
      <c r="D29" s="377">
        <v>0.73</v>
      </c>
      <c r="E29" s="377">
        <v>0.73</v>
      </c>
      <c r="F29" s="377">
        <v>0.73</v>
      </c>
      <c r="G29" s="377">
        <v>0.73</v>
      </c>
      <c r="H29" s="377">
        <v>0.73</v>
      </c>
      <c r="I29" s="377">
        <v>0.73</v>
      </c>
      <c r="J29" s="377">
        <v>0.73</v>
      </c>
      <c r="K29" s="377">
        <v>0.73</v>
      </c>
      <c r="L29" s="377">
        <v>0.73</v>
      </c>
      <c r="M29" s="377">
        <v>0.73</v>
      </c>
    </row>
    <row r="32">
      <c r="A32" s="367" t="s">
        <v>207</v>
      </c>
      <c r="B32" s="368"/>
      <c r="C32" s="368"/>
      <c r="D32" s="368"/>
      <c r="E32" s="368"/>
      <c r="F32" s="368"/>
      <c r="G32" s="368"/>
      <c r="H32" s="368"/>
      <c r="I32" s="368"/>
      <c r="J32" s="368"/>
      <c r="K32" s="368"/>
      <c r="L32" s="368"/>
      <c r="M32" s="368"/>
      <c r="N32" s="369"/>
    </row>
    <row r="33">
      <c r="A33" s="370" t="s">
        <v>193</v>
      </c>
      <c r="B33" s="370">
        <v>1.0</v>
      </c>
      <c r="C33" s="370">
        <v>2.0</v>
      </c>
      <c r="D33" s="370">
        <v>3.0</v>
      </c>
      <c r="E33" s="370">
        <v>4.0</v>
      </c>
      <c r="F33" s="370">
        <v>5.0</v>
      </c>
      <c r="G33" s="370">
        <v>6.0</v>
      </c>
      <c r="H33" s="370">
        <v>7.0</v>
      </c>
      <c r="I33" s="370">
        <v>8.0</v>
      </c>
      <c r="J33" s="370">
        <v>9.0</v>
      </c>
      <c r="K33" s="370">
        <v>10.0</v>
      </c>
      <c r="L33" s="370">
        <v>11.0</v>
      </c>
      <c r="M33" s="370">
        <v>12.0</v>
      </c>
      <c r="N33" s="371"/>
    </row>
    <row r="34">
      <c r="A34" s="372" t="s">
        <v>86</v>
      </c>
      <c r="B34" s="373">
        <f>'Факт'!B5</f>
        <v>227600</v>
      </c>
      <c r="C34" s="373">
        <f>'Факт'!C5</f>
        <v>0</v>
      </c>
      <c r="D34" s="373">
        <f>'Факт'!D5</f>
        <v>0</v>
      </c>
      <c r="E34" s="373">
        <f>'Факт'!E5</f>
        <v>4</v>
      </c>
      <c r="F34" s="373">
        <f>'Факт'!F5</f>
        <v>5</v>
      </c>
      <c r="G34" s="373">
        <f>'Факт'!G5</f>
        <v>6</v>
      </c>
      <c r="H34" s="373">
        <f>'Факт'!H5</f>
        <v>7</v>
      </c>
      <c r="I34" s="373">
        <f>'Факт'!I5</f>
        <v>8</v>
      </c>
      <c r="J34" s="373">
        <f>'Факт'!J5</f>
        <v>9</v>
      </c>
      <c r="K34" s="373">
        <f>'Факт'!K5</f>
        <v>10</v>
      </c>
      <c r="L34" s="373">
        <f>'Факт'!L5</f>
        <v>11</v>
      </c>
      <c r="M34" s="373">
        <f>'Факт'!M5</f>
        <v>12</v>
      </c>
      <c r="N34" t="str">
        <f>'Факт'!O5</f>
        <v/>
      </c>
    </row>
    <row r="35">
      <c r="A35" s="372" t="s">
        <v>136</v>
      </c>
      <c r="B35" s="373">
        <f>'Факт'!B33</f>
        <v>178134</v>
      </c>
      <c r="C35" s="373">
        <f>'Факт'!C33</f>
        <v>0</v>
      </c>
      <c r="D35" s="373">
        <f>'Факт'!D33</f>
        <v>0</v>
      </c>
      <c r="E35" s="373">
        <f>'Факт'!E33</f>
        <v>4</v>
      </c>
      <c r="F35" s="373">
        <f>'Факт'!F33</f>
        <v>5</v>
      </c>
      <c r="G35" s="373">
        <f>'Факт'!G33</f>
        <v>6</v>
      </c>
      <c r="H35" s="373">
        <f>'Факт'!H33</f>
        <v>7</v>
      </c>
      <c r="I35" s="373">
        <f>'Факт'!I33</f>
        <v>8</v>
      </c>
      <c r="J35" s="373">
        <f>'Факт'!J33</f>
        <v>9</v>
      </c>
      <c r="K35" s="373">
        <f>'Факт'!K33</f>
        <v>10</v>
      </c>
      <c r="L35" s="373">
        <f>'Факт'!L33</f>
        <v>11</v>
      </c>
      <c r="M35" s="373">
        <f>'Факт'!M33</f>
        <v>12</v>
      </c>
      <c r="N35" s="373">
        <f t="shared" ref="N35:N38" si="9">SUM(B35:M35)</f>
        <v>178206</v>
      </c>
    </row>
    <row r="36">
      <c r="A36" s="372" t="s">
        <v>138</v>
      </c>
      <c r="B36" s="373">
        <f>'Факт'!B68</f>
        <v>165615</v>
      </c>
      <c r="C36" s="373">
        <f>'Факт'!C68</f>
        <v>0</v>
      </c>
      <c r="D36" s="373">
        <f>'Факт'!D68</f>
        <v>0</v>
      </c>
      <c r="E36" s="373">
        <f>'Факт'!E68</f>
        <v>4</v>
      </c>
      <c r="F36" s="373">
        <f>'Факт'!F68</f>
        <v>5</v>
      </c>
      <c r="G36" s="373">
        <f>'Факт'!G68</f>
        <v>6</v>
      </c>
      <c r="H36" s="373">
        <f>'Факт'!H68</f>
        <v>7</v>
      </c>
      <c r="I36" s="373">
        <f>'Факт'!I68</f>
        <v>8</v>
      </c>
      <c r="J36" s="373">
        <f>'Факт'!J68</f>
        <v>9</v>
      </c>
      <c r="K36" s="373">
        <f>'Факт'!K68</f>
        <v>10</v>
      </c>
      <c r="L36" s="373">
        <f>'Факт'!L68</f>
        <v>11</v>
      </c>
      <c r="M36" s="373">
        <f>'Факт'!M68</f>
        <v>12</v>
      </c>
      <c r="N36" s="373">
        <f t="shared" si="9"/>
        <v>165687</v>
      </c>
    </row>
    <row r="37">
      <c r="A37" s="372" t="s">
        <v>163</v>
      </c>
      <c r="B37" s="373">
        <f>'Факт'!B129</f>
        <v>143422</v>
      </c>
      <c r="C37" s="373">
        <f>'Факт'!C129</f>
        <v>0</v>
      </c>
      <c r="D37" s="373">
        <f>'Факт'!D129</f>
        <v>0</v>
      </c>
      <c r="E37" s="373">
        <f>'Факт'!E129</f>
        <v>4</v>
      </c>
      <c r="F37" s="373">
        <f>'Факт'!F129</f>
        <v>5</v>
      </c>
      <c r="G37" s="373">
        <f>'Факт'!G129</f>
        <v>6</v>
      </c>
      <c r="H37" s="373">
        <f>'Факт'!H129</f>
        <v>7</v>
      </c>
      <c r="I37" s="373">
        <f>'Факт'!I129</f>
        <v>8</v>
      </c>
      <c r="J37" s="373">
        <f>'Факт'!J129</f>
        <v>9</v>
      </c>
      <c r="K37" s="373">
        <f>'Факт'!K129</f>
        <v>10</v>
      </c>
      <c r="L37" s="373">
        <f>'Факт'!L129</f>
        <v>11</v>
      </c>
      <c r="M37" s="373">
        <f>'Факт'!M129</f>
        <v>12</v>
      </c>
      <c r="N37" s="373">
        <f t="shared" si="9"/>
        <v>143494</v>
      </c>
    </row>
    <row r="38">
      <c r="A38" s="372" t="s">
        <v>144</v>
      </c>
      <c r="B38" s="373">
        <f>'Факт'!B152</f>
        <v>98325</v>
      </c>
      <c r="C38" s="373">
        <f>'Факт'!C152</f>
        <v>0</v>
      </c>
      <c r="D38" s="373">
        <f>'Факт'!D152</f>
        <v>0</v>
      </c>
      <c r="E38" s="373">
        <f>'Факт'!E152</f>
        <v>4</v>
      </c>
      <c r="F38" s="373">
        <f>'Факт'!F152</f>
        <v>5</v>
      </c>
      <c r="G38" s="373">
        <f>'Факт'!G152</f>
        <v>6</v>
      </c>
      <c r="H38" s="373">
        <f>'Факт'!H152</f>
        <v>7</v>
      </c>
      <c r="I38" s="373">
        <f>'Факт'!I152</f>
        <v>8</v>
      </c>
      <c r="J38" s="373">
        <f>'Факт'!J152</f>
        <v>9</v>
      </c>
      <c r="K38" s="373">
        <f>'Факт'!K152</f>
        <v>10</v>
      </c>
      <c r="L38" s="373">
        <f>'Факт'!L152</f>
        <v>11</v>
      </c>
      <c r="M38" s="373">
        <f>'Факт'!M152</f>
        <v>12</v>
      </c>
      <c r="N38" s="373">
        <f t="shared" si="9"/>
        <v>98397</v>
      </c>
    </row>
    <row r="40">
      <c r="A40" s="367" t="s">
        <v>208</v>
      </c>
      <c r="B40" s="368"/>
      <c r="C40" s="368"/>
      <c r="D40" s="368"/>
      <c r="E40" s="368"/>
      <c r="F40" s="368"/>
      <c r="G40" s="368"/>
      <c r="H40" s="368"/>
      <c r="I40" s="368"/>
      <c r="J40" s="368"/>
      <c r="K40" s="368"/>
      <c r="L40" s="368"/>
      <c r="M40" s="368"/>
      <c r="N40" s="369"/>
    </row>
    <row r="41">
      <c r="A41" s="372" t="s">
        <v>209</v>
      </c>
      <c r="B41" s="374">
        <f t="shared" ref="B41:M41" si="10">iferror(B35/B$34,0)</f>
        <v>0.7826625659</v>
      </c>
      <c r="C41" s="374">
        <f t="shared" si="10"/>
        <v>0</v>
      </c>
      <c r="D41" s="374">
        <f t="shared" si="10"/>
        <v>0</v>
      </c>
      <c r="E41" s="374">
        <f t="shared" si="10"/>
        <v>1</v>
      </c>
      <c r="F41" s="374">
        <f t="shared" si="10"/>
        <v>1</v>
      </c>
      <c r="G41" s="374">
        <f t="shared" si="10"/>
        <v>1</v>
      </c>
      <c r="H41" s="374">
        <f t="shared" si="10"/>
        <v>1</v>
      </c>
      <c r="I41" s="374">
        <f t="shared" si="10"/>
        <v>1</v>
      </c>
      <c r="J41" s="374">
        <f t="shared" si="10"/>
        <v>1</v>
      </c>
      <c r="K41" s="374">
        <f t="shared" si="10"/>
        <v>1</v>
      </c>
      <c r="L41" s="374">
        <f t="shared" si="10"/>
        <v>1</v>
      </c>
      <c r="M41" s="374">
        <f t="shared" si="10"/>
        <v>1</v>
      </c>
    </row>
    <row r="42">
      <c r="A42" s="372" t="s">
        <v>210</v>
      </c>
      <c r="B42" s="374">
        <f t="shared" ref="B42:M42" si="11">iferror(B36/B$34,0)</f>
        <v>0.7276581722</v>
      </c>
      <c r="C42" s="374">
        <f t="shared" si="11"/>
        <v>0</v>
      </c>
      <c r="D42" s="374">
        <f t="shared" si="11"/>
        <v>0</v>
      </c>
      <c r="E42" s="374">
        <f t="shared" si="11"/>
        <v>1</v>
      </c>
      <c r="F42" s="374">
        <f t="shared" si="11"/>
        <v>1</v>
      </c>
      <c r="G42" s="374">
        <f t="shared" si="11"/>
        <v>1</v>
      </c>
      <c r="H42" s="374">
        <f t="shared" si="11"/>
        <v>1</v>
      </c>
      <c r="I42" s="374">
        <f t="shared" si="11"/>
        <v>1</v>
      </c>
      <c r="J42" s="374">
        <f t="shared" si="11"/>
        <v>1</v>
      </c>
      <c r="K42" s="374">
        <f t="shared" si="11"/>
        <v>1</v>
      </c>
      <c r="L42" s="374">
        <f t="shared" si="11"/>
        <v>1</v>
      </c>
      <c r="M42" s="374">
        <f t="shared" si="11"/>
        <v>1</v>
      </c>
    </row>
    <row r="43">
      <c r="A43" s="372" t="s">
        <v>211</v>
      </c>
      <c r="B43" s="374">
        <f t="shared" ref="B43:M43" si="12">iferror(B37/B$34,0)</f>
        <v>0.6301493849</v>
      </c>
      <c r="C43" s="374">
        <f t="shared" si="12"/>
        <v>0</v>
      </c>
      <c r="D43" s="374">
        <f t="shared" si="12"/>
        <v>0</v>
      </c>
      <c r="E43" s="374">
        <f t="shared" si="12"/>
        <v>1</v>
      </c>
      <c r="F43" s="374">
        <f t="shared" si="12"/>
        <v>1</v>
      </c>
      <c r="G43" s="374">
        <f t="shared" si="12"/>
        <v>1</v>
      </c>
      <c r="H43" s="374">
        <f t="shared" si="12"/>
        <v>1</v>
      </c>
      <c r="I43" s="374">
        <f t="shared" si="12"/>
        <v>1</v>
      </c>
      <c r="J43" s="374">
        <f t="shared" si="12"/>
        <v>1</v>
      </c>
      <c r="K43" s="374">
        <f t="shared" si="12"/>
        <v>1</v>
      </c>
      <c r="L43" s="374">
        <f t="shared" si="12"/>
        <v>1</v>
      </c>
      <c r="M43" s="374">
        <f t="shared" si="12"/>
        <v>1</v>
      </c>
    </row>
    <row r="44">
      <c r="A44" s="372" t="s">
        <v>212</v>
      </c>
      <c r="B44" s="374">
        <f t="shared" ref="B44:M44" si="13">iferror(B38/B$34,0)</f>
        <v>0.4320079086</v>
      </c>
      <c r="C44" s="374">
        <f t="shared" si="13"/>
        <v>0</v>
      </c>
      <c r="D44" s="374">
        <f t="shared" si="13"/>
        <v>0</v>
      </c>
      <c r="E44" s="374">
        <f t="shared" si="13"/>
        <v>1</v>
      </c>
      <c r="F44" s="374">
        <f t="shared" si="13"/>
        <v>1</v>
      </c>
      <c r="G44" s="374">
        <f t="shared" si="13"/>
        <v>1</v>
      </c>
      <c r="H44" s="374">
        <f t="shared" si="13"/>
        <v>1</v>
      </c>
      <c r="I44" s="374">
        <f t="shared" si="13"/>
        <v>1</v>
      </c>
      <c r="J44" s="374">
        <f t="shared" si="13"/>
        <v>1</v>
      </c>
      <c r="K44" s="374">
        <f t="shared" si="13"/>
        <v>1</v>
      </c>
      <c r="L44" s="374">
        <f t="shared" si="13"/>
        <v>1</v>
      </c>
      <c r="M44" s="374">
        <f t="shared" si="13"/>
        <v>1</v>
      </c>
    </row>
    <row r="46">
      <c r="A46" s="370" t="s">
        <v>193</v>
      </c>
      <c r="B46" s="370">
        <v>1.0</v>
      </c>
      <c r="C46" s="370">
        <v>2.0</v>
      </c>
      <c r="D46" s="370">
        <v>3.0</v>
      </c>
      <c r="E46" s="370">
        <v>4.0</v>
      </c>
      <c r="F46" s="370">
        <v>5.0</v>
      </c>
      <c r="G46" s="370">
        <v>6.0</v>
      </c>
      <c r="H46" s="370">
        <v>7.0</v>
      </c>
      <c r="I46" s="370">
        <v>8.0</v>
      </c>
      <c r="J46" s="370">
        <v>9.0</v>
      </c>
      <c r="K46" s="370">
        <v>10.0</v>
      </c>
      <c r="L46" s="370">
        <v>11.0</v>
      </c>
      <c r="M46" s="370">
        <v>12.0</v>
      </c>
      <c r="N46" s="371"/>
    </row>
    <row r="47">
      <c r="A47" s="372" t="s">
        <v>209</v>
      </c>
      <c r="B47" s="374">
        <f t="shared" ref="B47:M47" si="14">B41</f>
        <v>0.7826625659</v>
      </c>
      <c r="C47" s="374">
        <f t="shared" si="14"/>
        <v>0</v>
      </c>
      <c r="D47" s="374">
        <f t="shared" si="14"/>
        <v>0</v>
      </c>
      <c r="E47" s="374">
        <f t="shared" si="14"/>
        <v>1</v>
      </c>
      <c r="F47" s="374">
        <f t="shared" si="14"/>
        <v>1</v>
      </c>
      <c r="G47" s="374">
        <f t="shared" si="14"/>
        <v>1</v>
      </c>
      <c r="H47" s="374">
        <f t="shared" si="14"/>
        <v>1</v>
      </c>
      <c r="I47" s="374">
        <f t="shared" si="14"/>
        <v>1</v>
      </c>
      <c r="J47" s="374">
        <f t="shared" si="14"/>
        <v>1</v>
      </c>
      <c r="K47" s="374">
        <f t="shared" si="14"/>
        <v>1</v>
      </c>
      <c r="L47" s="374">
        <f t="shared" si="14"/>
        <v>1</v>
      </c>
      <c r="M47" s="374">
        <f t="shared" si="14"/>
        <v>1</v>
      </c>
    </row>
    <row r="48">
      <c r="A48" s="372" t="s">
        <v>213</v>
      </c>
      <c r="B48" s="376">
        <v>0.77</v>
      </c>
      <c r="C48" s="376">
        <v>0.77</v>
      </c>
      <c r="D48" s="376">
        <v>0.77</v>
      </c>
      <c r="E48" s="376">
        <v>0.77</v>
      </c>
      <c r="F48" s="376">
        <v>0.77</v>
      </c>
      <c r="G48" s="376">
        <v>0.77</v>
      </c>
      <c r="H48" s="376">
        <v>0.77</v>
      </c>
      <c r="I48" s="376">
        <v>0.77</v>
      </c>
      <c r="J48" s="376">
        <v>0.77</v>
      </c>
      <c r="K48" s="376">
        <v>0.77</v>
      </c>
      <c r="L48" s="376">
        <v>0.77</v>
      </c>
      <c r="M48" s="376">
        <v>0.77</v>
      </c>
    </row>
    <row r="49">
      <c r="A49" s="372" t="s">
        <v>214</v>
      </c>
      <c r="B49" s="376">
        <v>0.74</v>
      </c>
      <c r="C49" s="376">
        <v>0.74</v>
      </c>
      <c r="D49" s="376">
        <v>0.74</v>
      </c>
      <c r="E49" s="376">
        <v>0.74</v>
      </c>
      <c r="F49" s="376">
        <v>0.74</v>
      </c>
      <c r="G49" s="376">
        <v>0.74</v>
      </c>
      <c r="H49" s="376">
        <v>0.74</v>
      </c>
      <c r="I49" s="376">
        <v>0.74</v>
      </c>
      <c r="J49" s="376">
        <v>0.74</v>
      </c>
      <c r="K49" s="376">
        <v>0.74</v>
      </c>
      <c r="L49" s="376">
        <v>0.74</v>
      </c>
      <c r="M49" s="376">
        <v>0.74</v>
      </c>
    </row>
    <row r="51">
      <c r="A51" s="372" t="s">
        <v>210</v>
      </c>
      <c r="B51" s="374">
        <f t="shared" ref="B51:M51" si="15">B42</f>
        <v>0.7276581722</v>
      </c>
      <c r="C51" s="374">
        <f t="shared" si="15"/>
        <v>0</v>
      </c>
      <c r="D51" s="374">
        <f t="shared" si="15"/>
        <v>0</v>
      </c>
      <c r="E51" s="374">
        <f t="shared" si="15"/>
        <v>1</v>
      </c>
      <c r="F51" s="374">
        <f t="shared" si="15"/>
        <v>1</v>
      </c>
      <c r="G51" s="374">
        <f t="shared" si="15"/>
        <v>1</v>
      </c>
      <c r="H51" s="374">
        <f t="shared" si="15"/>
        <v>1</v>
      </c>
      <c r="I51" s="374">
        <f t="shared" si="15"/>
        <v>1</v>
      </c>
      <c r="J51" s="374">
        <f t="shared" si="15"/>
        <v>1</v>
      </c>
      <c r="K51" s="374">
        <f t="shared" si="15"/>
        <v>1</v>
      </c>
      <c r="L51" s="374">
        <f t="shared" si="15"/>
        <v>1</v>
      </c>
      <c r="M51" s="374">
        <f t="shared" si="15"/>
        <v>1</v>
      </c>
    </row>
    <row r="52">
      <c r="A52" s="372" t="s">
        <v>215</v>
      </c>
      <c r="B52" s="376">
        <v>0.32</v>
      </c>
      <c r="C52" s="376">
        <v>0.32</v>
      </c>
      <c r="D52" s="376">
        <v>0.32</v>
      </c>
      <c r="E52" s="376">
        <v>0.32</v>
      </c>
      <c r="F52" s="376">
        <v>0.32</v>
      </c>
      <c r="G52" s="376">
        <v>0.32</v>
      </c>
      <c r="H52" s="376">
        <v>0.32</v>
      </c>
      <c r="I52" s="376">
        <v>0.32</v>
      </c>
      <c r="J52" s="376">
        <v>0.32</v>
      </c>
      <c r="K52" s="376">
        <v>0.32</v>
      </c>
      <c r="L52" s="376">
        <v>0.32</v>
      </c>
      <c r="M52" s="376">
        <v>0.32</v>
      </c>
    </row>
    <row r="53">
      <c r="A53" s="372" t="s">
        <v>216</v>
      </c>
      <c r="B53" s="376">
        <v>0.35</v>
      </c>
      <c r="C53" s="376">
        <v>0.35</v>
      </c>
      <c r="D53" s="376">
        <v>0.35</v>
      </c>
      <c r="E53" s="376">
        <v>0.35</v>
      </c>
      <c r="F53" s="376">
        <v>0.35</v>
      </c>
      <c r="G53" s="376">
        <v>0.35</v>
      </c>
      <c r="H53" s="376">
        <v>0.35</v>
      </c>
      <c r="I53" s="376">
        <v>0.35</v>
      </c>
      <c r="J53" s="376">
        <v>0.35</v>
      </c>
      <c r="K53" s="376">
        <v>0.35</v>
      </c>
      <c r="L53" s="376">
        <v>0.35</v>
      </c>
      <c r="M53" s="376">
        <v>0.35</v>
      </c>
    </row>
    <row r="55">
      <c r="A55" s="372" t="s">
        <v>217</v>
      </c>
      <c r="B55" s="374">
        <f t="shared" ref="B55:M55" si="16">B43</f>
        <v>0.6301493849</v>
      </c>
      <c r="C55" s="374">
        <f t="shared" si="16"/>
        <v>0</v>
      </c>
      <c r="D55" s="374">
        <f t="shared" si="16"/>
        <v>0</v>
      </c>
      <c r="E55" s="374">
        <f t="shared" si="16"/>
        <v>1</v>
      </c>
      <c r="F55" s="374">
        <f t="shared" si="16"/>
        <v>1</v>
      </c>
      <c r="G55" s="374">
        <f t="shared" si="16"/>
        <v>1</v>
      </c>
      <c r="H55" s="374">
        <f t="shared" si="16"/>
        <v>1</v>
      </c>
      <c r="I55" s="374">
        <f t="shared" si="16"/>
        <v>1</v>
      </c>
      <c r="J55" s="374">
        <f t="shared" si="16"/>
        <v>1</v>
      </c>
      <c r="K55" s="374">
        <f t="shared" si="16"/>
        <v>1</v>
      </c>
      <c r="L55" s="374">
        <f t="shared" si="16"/>
        <v>1</v>
      </c>
      <c r="M55" s="374">
        <f t="shared" si="16"/>
        <v>1</v>
      </c>
    </row>
    <row r="56">
      <c r="A56" s="372" t="s">
        <v>218</v>
      </c>
      <c r="B56" s="376">
        <v>0.27</v>
      </c>
      <c r="C56" s="376">
        <v>0.27</v>
      </c>
      <c r="D56" s="376">
        <v>0.27</v>
      </c>
      <c r="E56" s="376">
        <v>0.27</v>
      </c>
      <c r="F56" s="376">
        <v>0.27</v>
      </c>
      <c r="G56" s="376">
        <v>0.27</v>
      </c>
      <c r="H56" s="376">
        <v>0.27</v>
      </c>
      <c r="I56" s="376">
        <v>0.27</v>
      </c>
      <c r="J56" s="376">
        <v>0.27</v>
      </c>
      <c r="K56" s="376">
        <v>0.27</v>
      </c>
      <c r="L56" s="376">
        <v>0.27</v>
      </c>
      <c r="M56" s="376">
        <v>0.27</v>
      </c>
    </row>
    <row r="57">
      <c r="A57" s="372" t="s">
        <v>219</v>
      </c>
      <c r="B57" s="376">
        <v>0.3</v>
      </c>
      <c r="C57" s="376">
        <v>0.3</v>
      </c>
      <c r="D57" s="376">
        <v>0.3</v>
      </c>
      <c r="E57" s="376">
        <v>0.3</v>
      </c>
      <c r="F57" s="376">
        <v>0.3</v>
      </c>
      <c r="G57" s="376">
        <v>0.3</v>
      </c>
      <c r="H57" s="376">
        <v>0.3</v>
      </c>
      <c r="I57" s="376">
        <v>0.3</v>
      </c>
      <c r="J57" s="376">
        <v>0.3</v>
      </c>
      <c r="K57" s="376">
        <v>0.3</v>
      </c>
      <c r="L57" s="376">
        <v>0.3</v>
      </c>
      <c r="M57" s="376">
        <v>0.3</v>
      </c>
    </row>
    <row r="59">
      <c r="A59" s="372" t="s">
        <v>212</v>
      </c>
      <c r="B59" s="374">
        <f t="shared" ref="B59:M59" si="17">B44</f>
        <v>0.4320079086</v>
      </c>
      <c r="C59" s="374">
        <f t="shared" si="17"/>
        <v>0</v>
      </c>
      <c r="D59" s="374">
        <f t="shared" si="17"/>
        <v>0</v>
      </c>
      <c r="E59" s="374">
        <f t="shared" si="17"/>
        <v>1</v>
      </c>
      <c r="F59" s="374">
        <f t="shared" si="17"/>
        <v>1</v>
      </c>
      <c r="G59" s="374">
        <f t="shared" si="17"/>
        <v>1</v>
      </c>
      <c r="H59" s="374">
        <f t="shared" si="17"/>
        <v>1</v>
      </c>
      <c r="I59" s="374">
        <f t="shared" si="17"/>
        <v>1</v>
      </c>
      <c r="J59" s="374">
        <f t="shared" si="17"/>
        <v>1</v>
      </c>
      <c r="K59" s="374">
        <f t="shared" si="17"/>
        <v>1</v>
      </c>
      <c r="L59" s="374">
        <f t="shared" si="17"/>
        <v>1</v>
      </c>
      <c r="M59" s="374">
        <f t="shared" si="17"/>
        <v>1</v>
      </c>
    </row>
    <row r="60">
      <c r="A60" s="372" t="s">
        <v>220</v>
      </c>
      <c r="B60" s="376">
        <v>0.06</v>
      </c>
      <c r="C60" s="376">
        <v>0.06</v>
      </c>
      <c r="D60" s="376">
        <v>0.06</v>
      </c>
      <c r="E60" s="376">
        <v>0.06</v>
      </c>
      <c r="F60" s="376">
        <v>0.06</v>
      </c>
      <c r="G60" s="376">
        <v>0.06</v>
      </c>
      <c r="H60" s="376">
        <v>0.06</v>
      </c>
      <c r="I60" s="376">
        <v>0.06</v>
      </c>
      <c r="J60" s="376">
        <v>0.06</v>
      </c>
      <c r="K60" s="376">
        <v>0.06</v>
      </c>
      <c r="L60" s="376">
        <v>0.06</v>
      </c>
      <c r="M60" s="376">
        <v>0.06</v>
      </c>
    </row>
    <row r="61">
      <c r="A61" s="372" t="s">
        <v>221</v>
      </c>
      <c r="B61" s="376">
        <v>0.12</v>
      </c>
      <c r="C61" s="376">
        <v>0.12</v>
      </c>
      <c r="D61" s="376">
        <v>0.12</v>
      </c>
      <c r="E61" s="376">
        <v>0.12</v>
      </c>
      <c r="F61" s="376">
        <v>0.12</v>
      </c>
      <c r="G61" s="376">
        <v>0.12</v>
      </c>
      <c r="H61" s="376">
        <v>0.12</v>
      </c>
      <c r="I61" s="376">
        <v>0.12</v>
      </c>
      <c r="J61" s="376">
        <v>0.12</v>
      </c>
      <c r="K61" s="376">
        <v>0.12</v>
      </c>
      <c r="L61" s="376">
        <v>0.12</v>
      </c>
      <c r="M61" s="376">
        <v>0.12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8.13"/>
    <col customWidth="1" min="3" max="3" width="31.75"/>
    <col customWidth="1" min="4" max="4" width="24.13"/>
  </cols>
  <sheetData>
    <row r="1">
      <c r="A1" s="378" t="s">
        <v>222</v>
      </c>
      <c r="C1" s="379" t="s">
        <v>223</v>
      </c>
      <c r="D1" s="379" t="s">
        <v>224</v>
      </c>
    </row>
    <row r="2">
      <c r="A2" s="380" t="s">
        <v>225</v>
      </c>
      <c r="B2" s="381"/>
      <c r="C2" s="382" t="s">
        <v>86</v>
      </c>
      <c r="D2" s="383" t="s">
        <v>226</v>
      </c>
    </row>
    <row r="3">
      <c r="A3" s="384"/>
      <c r="C3" s="385" t="s">
        <v>99</v>
      </c>
      <c r="D3" s="383" t="s">
        <v>84</v>
      </c>
    </row>
    <row r="4">
      <c r="C4" s="382" t="s">
        <v>94</v>
      </c>
      <c r="D4" s="383">
        <v>3.0</v>
      </c>
    </row>
    <row r="5">
      <c r="C5" s="382" t="s">
        <v>90</v>
      </c>
      <c r="D5" s="383">
        <v>4.0</v>
      </c>
    </row>
    <row r="6">
      <c r="C6" s="382" t="s">
        <v>107</v>
      </c>
      <c r="D6" s="383">
        <v>5.0</v>
      </c>
    </row>
    <row r="7">
      <c r="C7" s="382" t="s">
        <v>101</v>
      </c>
      <c r="D7" s="383">
        <v>6.0</v>
      </c>
    </row>
    <row r="8">
      <c r="C8" s="382" t="s">
        <v>111</v>
      </c>
      <c r="D8" s="383">
        <v>7.0</v>
      </c>
    </row>
    <row r="9">
      <c r="C9" s="386" t="s">
        <v>141</v>
      </c>
      <c r="D9" s="383">
        <v>8.0</v>
      </c>
    </row>
    <row r="10">
      <c r="D10" s="383">
        <v>9.0</v>
      </c>
    </row>
  </sheetData>
  <mergeCells count="1">
    <mergeCell ref="A1:B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13"/>
  </cols>
  <sheetData>
    <row r="1">
      <c r="A1" s="387" t="s">
        <v>227</v>
      </c>
      <c r="B1" s="372" t="s">
        <v>228</v>
      </c>
      <c r="C1" s="372" t="s">
        <v>228</v>
      </c>
      <c r="D1" s="372" t="s">
        <v>228</v>
      </c>
      <c r="E1" s="372" t="s">
        <v>228</v>
      </c>
      <c r="F1" s="372" t="s">
        <v>228</v>
      </c>
      <c r="G1" s="372" t="s">
        <v>228</v>
      </c>
      <c r="H1" s="372" t="s">
        <v>228</v>
      </c>
      <c r="I1" s="372" t="s">
        <v>228</v>
      </c>
      <c r="J1" s="372" t="s">
        <v>228</v>
      </c>
      <c r="K1" s="372" t="s">
        <v>228</v>
      </c>
      <c r="L1" s="372" t="s">
        <v>228</v>
      </c>
      <c r="M1" s="372" t="s">
        <v>228</v>
      </c>
    </row>
    <row r="2">
      <c r="A2" s="387" t="s">
        <v>229</v>
      </c>
      <c r="B2" s="372" t="s">
        <v>230</v>
      </c>
      <c r="C2" s="372" t="s">
        <v>230</v>
      </c>
      <c r="D2" s="372" t="s">
        <v>230</v>
      </c>
      <c r="E2" s="372" t="s">
        <v>230</v>
      </c>
      <c r="F2" s="372" t="s">
        <v>230</v>
      </c>
      <c r="G2" s="372" t="s">
        <v>230</v>
      </c>
      <c r="H2" s="372" t="s">
        <v>230</v>
      </c>
      <c r="I2" s="372" t="s">
        <v>230</v>
      </c>
      <c r="J2" s="372" t="s">
        <v>230</v>
      </c>
      <c r="K2" s="372" t="s">
        <v>230</v>
      </c>
      <c r="L2" s="372" t="s">
        <v>230</v>
      </c>
      <c r="M2" s="372" t="s">
        <v>230</v>
      </c>
    </row>
    <row r="3">
      <c r="A3" s="387" t="s">
        <v>231</v>
      </c>
      <c r="B3" s="372" t="s">
        <v>232</v>
      </c>
      <c r="C3" s="372" t="s">
        <v>233</v>
      </c>
      <c r="D3" s="372" t="s">
        <v>234</v>
      </c>
      <c r="E3" s="372" t="s">
        <v>235</v>
      </c>
      <c r="F3" s="372" t="s">
        <v>236</v>
      </c>
      <c r="G3" s="372" t="s">
        <v>237</v>
      </c>
      <c r="H3" s="372" t="s">
        <v>238</v>
      </c>
      <c r="I3" s="372" t="s">
        <v>239</v>
      </c>
      <c r="J3" s="372" t="s">
        <v>240</v>
      </c>
      <c r="K3" s="372" t="s">
        <v>241</v>
      </c>
      <c r="L3" s="372" t="s">
        <v>242</v>
      </c>
      <c r="M3" s="372" t="s">
        <v>243</v>
      </c>
    </row>
    <row r="4">
      <c r="A4" s="370"/>
      <c r="B4" s="372"/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</row>
    <row r="5">
      <c r="A5" s="370" t="s">
        <v>86</v>
      </c>
      <c r="B5" s="388">
        <v>1.0</v>
      </c>
      <c r="C5" s="388">
        <v>2.0</v>
      </c>
      <c r="D5" s="388">
        <v>3.0</v>
      </c>
      <c r="E5" s="388">
        <v>4.0</v>
      </c>
      <c r="F5" s="388">
        <v>5.0</v>
      </c>
      <c r="G5" s="388">
        <v>6.0</v>
      </c>
      <c r="H5" s="388">
        <v>7.0</v>
      </c>
      <c r="I5" s="388">
        <v>8.0</v>
      </c>
      <c r="J5" s="388">
        <v>9.0</v>
      </c>
      <c r="K5" s="388">
        <v>10.0</v>
      </c>
      <c r="L5" s="388">
        <v>11.0</v>
      </c>
      <c r="M5" s="388">
        <v>12.0</v>
      </c>
    </row>
    <row r="6">
      <c r="A6" t="str">
        <f t="array" ref="A6:A12">'Справочник'!D$2:D$8</f>
        <v>ООО "Весело живем"</v>
      </c>
      <c r="B6" t="str">
        <f t="shared" ref="B6:M6" si="1">iferror(INDEX(INDIRECT("'"&amp;B$5&amp;"'!"&amp;B$1),MATCH("Выручка",INDIRECT("'"&amp;B$5&amp;"'!"&amp;B$2),0),MATCH($A6,INDIRECT("'"&amp;B$5&amp;"'!"&amp;B$3),0)),"")</f>
        <v/>
      </c>
      <c r="C6" t="str">
        <f t="shared" si="1"/>
        <v/>
      </c>
      <c r="D6" t="str">
        <f t="shared" si="1"/>
        <v/>
      </c>
      <c r="E6" t="str">
        <f t="shared" si="1"/>
        <v/>
      </c>
      <c r="F6" t="str">
        <f t="shared" si="1"/>
        <v/>
      </c>
      <c r="G6" t="str">
        <f t="shared" si="1"/>
        <v/>
      </c>
      <c r="H6" t="str">
        <f t="shared" si="1"/>
        <v/>
      </c>
      <c r="I6" t="str">
        <f t="shared" si="1"/>
        <v/>
      </c>
      <c r="J6" t="str">
        <f t="shared" si="1"/>
        <v/>
      </c>
      <c r="K6" t="str">
        <f t="shared" si="1"/>
        <v/>
      </c>
      <c r="L6" t="str">
        <f t="shared" si="1"/>
        <v/>
      </c>
      <c r="M6" t="str">
        <f t="shared" si="1"/>
        <v/>
      </c>
    </row>
    <row r="7">
      <c r="A7" t="s">
        <v>84</v>
      </c>
      <c r="B7" t="str">
        <f t="shared" ref="B7:M7" si="2">iferror(INDEX(INDIRECT("'"&amp;B$5&amp;"'!"&amp;B$1),MATCH("Выручка",INDIRECT("'"&amp;B$5&amp;"'!"&amp;B$2),0),MATCH($A7,INDIRECT("'"&amp;B$5&amp;"'!"&amp;B$3),0)),"")</f>
        <v/>
      </c>
      <c r="C7" t="str">
        <f t="shared" si="2"/>
        <v/>
      </c>
      <c r="D7" t="str">
        <f t="shared" si="2"/>
        <v/>
      </c>
      <c r="E7" t="str">
        <f t="shared" si="2"/>
        <v/>
      </c>
      <c r="F7" t="str">
        <f t="shared" si="2"/>
        <v/>
      </c>
      <c r="G7" t="str">
        <f t="shared" si="2"/>
        <v/>
      </c>
      <c r="H7" t="str">
        <f t="shared" si="2"/>
        <v/>
      </c>
      <c r="I7" t="str">
        <f t="shared" si="2"/>
        <v/>
      </c>
      <c r="J7" t="str">
        <f t="shared" si="2"/>
        <v/>
      </c>
      <c r="K7" t="str">
        <f t="shared" si="2"/>
        <v/>
      </c>
      <c r="L7" t="str">
        <f t="shared" si="2"/>
        <v/>
      </c>
      <c r="M7" t="str">
        <f t="shared" si="2"/>
        <v/>
      </c>
    </row>
    <row r="8">
      <c r="A8">
        <v>3.0</v>
      </c>
      <c r="B8" t="str">
        <f t="shared" ref="B8:M8" si="3">iferror(INDEX(INDIRECT("'"&amp;B$5&amp;"'!"&amp;B$1),MATCH("Выручка",INDIRECT("'"&amp;B$5&amp;"'!"&amp;B$2),0),MATCH($A8,INDIRECT("'"&amp;B$5&amp;"'!"&amp;B$3),0)),"")</f>
        <v/>
      </c>
      <c r="C8" t="str">
        <f t="shared" si="3"/>
        <v/>
      </c>
      <c r="D8" t="str">
        <f t="shared" si="3"/>
        <v/>
      </c>
      <c r="E8" t="str">
        <f t="shared" si="3"/>
        <v/>
      </c>
      <c r="F8" t="str">
        <f t="shared" si="3"/>
        <v/>
      </c>
      <c r="G8" t="str">
        <f t="shared" si="3"/>
        <v/>
      </c>
      <c r="H8" t="str">
        <f t="shared" si="3"/>
        <v/>
      </c>
      <c r="I8" t="str">
        <f t="shared" si="3"/>
        <v/>
      </c>
      <c r="J8" t="str">
        <f t="shared" si="3"/>
        <v/>
      </c>
      <c r="K8" t="str">
        <f t="shared" si="3"/>
        <v/>
      </c>
      <c r="L8" t="str">
        <f t="shared" si="3"/>
        <v/>
      </c>
      <c r="M8" t="str">
        <f t="shared" si="3"/>
        <v/>
      </c>
    </row>
    <row r="9">
      <c r="A9">
        <v>4.0</v>
      </c>
      <c r="B9" t="str">
        <f t="shared" ref="B9:M9" si="4">iferror(INDEX(INDIRECT("'"&amp;B$5&amp;"'!"&amp;B$1),MATCH("Выручка",INDIRECT("'"&amp;B$5&amp;"'!"&amp;B$2),0),MATCH($A9,INDIRECT("'"&amp;B$5&amp;"'!"&amp;B$3),0)),"")</f>
        <v/>
      </c>
      <c r="C9" t="str">
        <f t="shared" si="4"/>
        <v/>
      </c>
      <c r="D9" t="str">
        <f t="shared" si="4"/>
        <v/>
      </c>
      <c r="E9" t="str">
        <f t="shared" si="4"/>
        <v/>
      </c>
      <c r="F9" t="str">
        <f t="shared" si="4"/>
        <v/>
      </c>
      <c r="G9" t="str">
        <f t="shared" si="4"/>
        <v/>
      </c>
      <c r="H9" t="str">
        <f t="shared" si="4"/>
        <v/>
      </c>
      <c r="I9" t="str">
        <f t="shared" si="4"/>
        <v/>
      </c>
      <c r="J9" t="str">
        <f t="shared" si="4"/>
        <v/>
      </c>
      <c r="K9" t="str">
        <f t="shared" si="4"/>
        <v/>
      </c>
      <c r="L9" t="str">
        <f t="shared" si="4"/>
        <v/>
      </c>
      <c r="M9" t="str">
        <f t="shared" si="4"/>
        <v/>
      </c>
    </row>
    <row r="10">
      <c r="A10">
        <v>5.0</v>
      </c>
      <c r="B10" t="str">
        <f t="shared" ref="B10:M10" si="5">iferror(INDEX(INDIRECT("'"&amp;B$5&amp;"'!"&amp;B$1),MATCH("Выручка",INDIRECT("'"&amp;B$5&amp;"'!"&amp;B$2),0),MATCH($A10,INDIRECT("'"&amp;B$5&amp;"'!"&amp;B$3),0)),"")</f>
        <v/>
      </c>
      <c r="C10" t="str">
        <f t="shared" si="5"/>
        <v/>
      </c>
      <c r="D10" t="str">
        <f t="shared" si="5"/>
        <v/>
      </c>
      <c r="E10" t="str">
        <f t="shared" si="5"/>
        <v/>
      </c>
      <c r="F10" t="str">
        <f t="shared" si="5"/>
        <v/>
      </c>
      <c r="G10" t="str">
        <f t="shared" si="5"/>
        <v/>
      </c>
      <c r="H10" t="str">
        <f t="shared" si="5"/>
        <v/>
      </c>
      <c r="I10" t="str">
        <f t="shared" si="5"/>
        <v/>
      </c>
      <c r="J10" t="str">
        <f t="shared" si="5"/>
        <v/>
      </c>
      <c r="K10" t="str">
        <f t="shared" si="5"/>
        <v/>
      </c>
      <c r="L10" t="str">
        <f t="shared" si="5"/>
        <v/>
      </c>
      <c r="M10" t="str">
        <f t="shared" si="5"/>
        <v/>
      </c>
    </row>
    <row r="11">
      <c r="A11">
        <v>6.0</v>
      </c>
      <c r="B11" t="str">
        <f t="shared" ref="B11:M11" si="6">iferror(INDEX(INDIRECT("'"&amp;B$5&amp;"'!"&amp;B$1),MATCH("Выручка",INDIRECT("'"&amp;B$5&amp;"'!"&amp;B$2),0),MATCH($A11,INDIRECT("'"&amp;B$5&amp;"'!"&amp;B$3),0)),"")</f>
        <v/>
      </c>
      <c r="C11" t="str">
        <f t="shared" si="6"/>
        <v/>
      </c>
      <c r="D11" t="str">
        <f t="shared" si="6"/>
        <v/>
      </c>
      <c r="E11" t="str">
        <f t="shared" si="6"/>
        <v/>
      </c>
      <c r="F11" t="str">
        <f t="shared" si="6"/>
        <v/>
      </c>
      <c r="G11" t="str">
        <f t="shared" si="6"/>
        <v/>
      </c>
      <c r="H11" t="str">
        <f t="shared" si="6"/>
        <v/>
      </c>
      <c r="I11" t="str">
        <f t="shared" si="6"/>
        <v/>
      </c>
      <c r="J11" t="str">
        <f t="shared" si="6"/>
        <v/>
      </c>
      <c r="K11" t="str">
        <f t="shared" si="6"/>
        <v/>
      </c>
      <c r="L11" t="str">
        <f t="shared" si="6"/>
        <v/>
      </c>
      <c r="M11" t="str">
        <f t="shared" si="6"/>
        <v/>
      </c>
    </row>
    <row r="12">
      <c r="A12">
        <v>7.0</v>
      </c>
    </row>
    <row r="16">
      <c r="A16" s="370" t="s">
        <v>138</v>
      </c>
    </row>
    <row r="17">
      <c r="A17" t="str">
        <f t="array" ref="A17:A23">'Справочник'!D$2:D$8</f>
        <v>ООО "Весело живем"</v>
      </c>
      <c r="B17" t="str">
        <f t="shared" ref="B17:M17" si="7">IFERROR(INDEX(INDIRECT("'"&amp;B$5&amp;"'!"&amp;B$1),MATCH("Валовая прибыль",INDIRECT("'"&amp;B$5&amp;"'!"&amp;B$2),0),MATCH($A17,INDIRECT("'"&amp;B$5&amp;"'!"&amp;B$3),0)),"")</f>
        <v/>
      </c>
      <c r="C17" t="str">
        <f t="shared" si="7"/>
        <v/>
      </c>
      <c r="D17" t="str">
        <f t="shared" si="7"/>
        <v/>
      </c>
      <c r="E17" t="str">
        <f t="shared" si="7"/>
        <v/>
      </c>
      <c r="F17" t="str">
        <f t="shared" si="7"/>
        <v/>
      </c>
      <c r="G17" t="str">
        <f t="shared" si="7"/>
        <v/>
      </c>
      <c r="H17" t="str">
        <f t="shared" si="7"/>
        <v/>
      </c>
      <c r="I17" t="str">
        <f t="shared" si="7"/>
        <v/>
      </c>
      <c r="J17" t="str">
        <f t="shared" si="7"/>
        <v/>
      </c>
      <c r="K17" t="str">
        <f t="shared" si="7"/>
        <v/>
      </c>
      <c r="L17" t="str">
        <f t="shared" si="7"/>
        <v/>
      </c>
      <c r="M17" t="str">
        <f t="shared" si="7"/>
        <v/>
      </c>
    </row>
    <row r="18">
      <c r="A18" t="s">
        <v>84</v>
      </c>
      <c r="B18" t="str">
        <f t="shared" ref="B18:M18" si="8">IFERROR(INDEX(INDIRECT("'"&amp;B$5&amp;"'!"&amp;B$1),MATCH("Валовая прибыль",INDIRECT("'"&amp;B$5&amp;"'!"&amp;B$2),0),MATCH($A18,INDIRECT("'"&amp;B$5&amp;"'!"&amp;B$3),0)),"")</f>
        <v/>
      </c>
      <c r="C18" t="str">
        <f t="shared" si="8"/>
        <v/>
      </c>
      <c r="D18" t="str">
        <f t="shared" si="8"/>
        <v/>
      </c>
      <c r="E18" t="str">
        <f t="shared" si="8"/>
        <v/>
      </c>
      <c r="F18" t="str">
        <f t="shared" si="8"/>
        <v/>
      </c>
      <c r="G18" t="str">
        <f t="shared" si="8"/>
        <v/>
      </c>
      <c r="H18" t="str">
        <f t="shared" si="8"/>
        <v/>
      </c>
      <c r="I18" t="str">
        <f t="shared" si="8"/>
        <v/>
      </c>
      <c r="J18" t="str">
        <f t="shared" si="8"/>
        <v/>
      </c>
      <c r="K18" t="str">
        <f t="shared" si="8"/>
        <v/>
      </c>
      <c r="L18" t="str">
        <f t="shared" si="8"/>
        <v/>
      </c>
      <c r="M18" t="str">
        <f t="shared" si="8"/>
        <v/>
      </c>
    </row>
    <row r="19">
      <c r="A19">
        <v>3.0</v>
      </c>
      <c r="B19" t="str">
        <f t="shared" ref="B19:M19" si="9">IFERROR(INDEX(INDIRECT("'"&amp;B$5&amp;"'!"&amp;B$1),MATCH("Валовая прибыль",INDIRECT("'"&amp;B$5&amp;"'!"&amp;B$2),0),MATCH($A19,INDIRECT("'"&amp;B$5&amp;"'!"&amp;B$3),0)),"")</f>
        <v/>
      </c>
      <c r="C19" t="str">
        <f t="shared" si="9"/>
        <v/>
      </c>
      <c r="D19" t="str">
        <f t="shared" si="9"/>
        <v/>
      </c>
      <c r="E19" t="str">
        <f t="shared" si="9"/>
        <v/>
      </c>
      <c r="F19" t="str">
        <f t="shared" si="9"/>
        <v/>
      </c>
      <c r="G19" t="str">
        <f t="shared" si="9"/>
        <v/>
      </c>
      <c r="H19" t="str">
        <f t="shared" si="9"/>
        <v/>
      </c>
      <c r="I19" t="str">
        <f t="shared" si="9"/>
        <v/>
      </c>
      <c r="J19" t="str">
        <f t="shared" si="9"/>
        <v/>
      </c>
      <c r="K19" t="str">
        <f t="shared" si="9"/>
        <v/>
      </c>
      <c r="L19" t="str">
        <f t="shared" si="9"/>
        <v/>
      </c>
      <c r="M19" t="str">
        <f t="shared" si="9"/>
        <v/>
      </c>
    </row>
    <row r="20">
      <c r="A20">
        <v>4.0</v>
      </c>
      <c r="B20" t="str">
        <f t="shared" ref="B20:M20" si="10">IFERROR(INDEX(INDIRECT("'"&amp;B$5&amp;"'!"&amp;B$1),MATCH("Валовая прибыль",INDIRECT("'"&amp;B$5&amp;"'!"&amp;B$2),0),MATCH($A20,INDIRECT("'"&amp;B$5&amp;"'!"&amp;B$3),0)),"")</f>
        <v/>
      </c>
      <c r="C20" t="str">
        <f t="shared" si="10"/>
        <v/>
      </c>
      <c r="D20" t="str">
        <f t="shared" si="10"/>
        <v/>
      </c>
      <c r="E20" t="str">
        <f t="shared" si="10"/>
        <v/>
      </c>
      <c r="F20" t="str">
        <f t="shared" si="10"/>
        <v/>
      </c>
      <c r="G20" t="str">
        <f t="shared" si="10"/>
        <v/>
      </c>
      <c r="H20" t="str">
        <f t="shared" si="10"/>
        <v/>
      </c>
      <c r="I20" t="str">
        <f t="shared" si="10"/>
        <v/>
      </c>
      <c r="J20" t="str">
        <f t="shared" si="10"/>
        <v/>
      </c>
      <c r="K20" t="str">
        <f t="shared" si="10"/>
        <v/>
      </c>
      <c r="L20" t="str">
        <f t="shared" si="10"/>
        <v/>
      </c>
      <c r="M20" t="str">
        <f t="shared" si="10"/>
        <v/>
      </c>
    </row>
    <row r="21">
      <c r="A21">
        <v>5.0</v>
      </c>
      <c r="B21" t="str">
        <f t="shared" ref="B21:M21" si="11">IFERROR(INDEX(INDIRECT("'"&amp;B$5&amp;"'!"&amp;B$1),MATCH("Валовая прибыль",INDIRECT("'"&amp;B$5&amp;"'!"&amp;B$2),0),MATCH($A21,INDIRECT("'"&amp;B$5&amp;"'!"&amp;B$3),0)),"")</f>
        <v/>
      </c>
      <c r="C21" t="str">
        <f t="shared" si="11"/>
        <v/>
      </c>
      <c r="D21" t="str">
        <f t="shared" si="11"/>
        <v/>
      </c>
      <c r="E21" t="str">
        <f t="shared" si="11"/>
        <v/>
      </c>
      <c r="F21" t="str">
        <f t="shared" si="11"/>
        <v/>
      </c>
      <c r="G21" t="str">
        <f t="shared" si="11"/>
        <v/>
      </c>
      <c r="H21" t="str">
        <f t="shared" si="11"/>
        <v/>
      </c>
      <c r="I21" t="str">
        <f t="shared" si="11"/>
        <v/>
      </c>
      <c r="J21" t="str">
        <f t="shared" si="11"/>
        <v/>
      </c>
      <c r="K21" t="str">
        <f t="shared" si="11"/>
        <v/>
      </c>
      <c r="L21" t="str">
        <f t="shared" si="11"/>
        <v/>
      </c>
      <c r="M21" t="str">
        <f t="shared" si="11"/>
        <v/>
      </c>
    </row>
    <row r="22">
      <c r="A22">
        <v>6.0</v>
      </c>
      <c r="B22" t="str">
        <f t="shared" ref="B22:M22" si="12">IFERROR(INDEX(INDIRECT("'"&amp;B$5&amp;"'!"&amp;B$1),MATCH("Валовая прибыль",INDIRECT("'"&amp;B$5&amp;"'!"&amp;B$2),0),MATCH($A22,INDIRECT("'"&amp;B$5&amp;"'!"&amp;B$3),0)),"")</f>
        <v/>
      </c>
      <c r="C22" t="str">
        <f t="shared" si="12"/>
        <v/>
      </c>
      <c r="D22" t="str">
        <f t="shared" si="12"/>
        <v/>
      </c>
      <c r="E22" t="str">
        <f t="shared" si="12"/>
        <v/>
      </c>
      <c r="F22" t="str">
        <f t="shared" si="12"/>
        <v/>
      </c>
      <c r="G22" t="str">
        <f t="shared" si="12"/>
        <v/>
      </c>
      <c r="H22" t="str">
        <f t="shared" si="12"/>
        <v/>
      </c>
      <c r="I22" t="str">
        <f t="shared" si="12"/>
        <v/>
      </c>
      <c r="J22" t="str">
        <f t="shared" si="12"/>
        <v/>
      </c>
      <c r="K22" t="str">
        <f t="shared" si="12"/>
        <v/>
      </c>
      <c r="L22" t="str">
        <f t="shared" si="12"/>
        <v/>
      </c>
      <c r="M22" t="str">
        <f t="shared" si="12"/>
        <v/>
      </c>
    </row>
    <row r="23">
      <c r="A23">
        <v>7.0</v>
      </c>
    </row>
    <row r="26">
      <c r="A26" s="389" t="s">
        <v>139</v>
      </c>
    </row>
    <row r="27">
      <c r="A27" t="str">
        <f t="array" ref="A27:A33">'Справочник'!D$2:D$8</f>
        <v>ООО "Весело живем"</v>
      </c>
      <c r="B27" s="390" t="str">
        <f t="shared" ref="B27:M27" si="13">IFERROR(INDEX(INDIRECT("'"&amp;B$5&amp;"'!"&amp;B$1),MATCH($A$26,INDIRECT("'"&amp;B$5&amp;"'!"&amp;B$2),0),MATCH($A27,INDIRECT("'"&amp;B$5&amp;"'!"&amp;B$3),0)),"")</f>
        <v/>
      </c>
      <c r="C27" s="390" t="str">
        <f t="shared" si="13"/>
        <v/>
      </c>
      <c r="D27" s="390" t="str">
        <f t="shared" si="13"/>
        <v/>
      </c>
      <c r="E27" s="390" t="str">
        <f t="shared" si="13"/>
        <v/>
      </c>
      <c r="F27" s="390" t="str">
        <f t="shared" si="13"/>
        <v/>
      </c>
      <c r="G27" s="390" t="str">
        <f t="shared" si="13"/>
        <v/>
      </c>
      <c r="H27" s="390" t="str">
        <f t="shared" si="13"/>
        <v/>
      </c>
      <c r="I27" s="390" t="str">
        <f t="shared" si="13"/>
        <v/>
      </c>
      <c r="J27" s="390" t="str">
        <f t="shared" si="13"/>
        <v/>
      </c>
      <c r="K27" s="390" t="str">
        <f t="shared" si="13"/>
        <v/>
      </c>
      <c r="L27" s="390" t="str">
        <f t="shared" si="13"/>
        <v/>
      </c>
      <c r="M27" s="390" t="str">
        <f t="shared" si="13"/>
        <v/>
      </c>
    </row>
    <row r="28">
      <c r="A28" t="s">
        <v>84</v>
      </c>
      <c r="B28" s="390" t="str">
        <f t="shared" ref="B28:M28" si="14">IFERROR(INDEX(INDIRECT("'"&amp;B$5&amp;"'!"&amp;B$1),MATCH($A$26,INDIRECT("'"&amp;B$5&amp;"'!"&amp;B$2),0),MATCH($A28,INDIRECT("'"&amp;B$5&amp;"'!"&amp;B$3),0)),"")</f>
        <v/>
      </c>
      <c r="C28" s="390" t="str">
        <f t="shared" si="14"/>
        <v/>
      </c>
      <c r="D28" s="390" t="str">
        <f t="shared" si="14"/>
        <v/>
      </c>
      <c r="E28" s="390" t="str">
        <f t="shared" si="14"/>
        <v/>
      </c>
      <c r="F28" s="390" t="str">
        <f t="shared" si="14"/>
        <v/>
      </c>
      <c r="G28" s="390" t="str">
        <f t="shared" si="14"/>
        <v/>
      </c>
      <c r="H28" s="390" t="str">
        <f t="shared" si="14"/>
        <v/>
      </c>
      <c r="I28" s="390" t="str">
        <f t="shared" si="14"/>
        <v/>
      </c>
      <c r="J28" s="390" t="str">
        <f t="shared" si="14"/>
        <v/>
      </c>
      <c r="K28" s="390" t="str">
        <f t="shared" si="14"/>
        <v/>
      </c>
      <c r="L28" s="390" t="str">
        <f t="shared" si="14"/>
        <v/>
      </c>
      <c r="M28" s="390" t="str">
        <f t="shared" si="14"/>
        <v/>
      </c>
    </row>
    <row r="29">
      <c r="A29">
        <v>3.0</v>
      </c>
      <c r="B29" s="390" t="str">
        <f t="shared" ref="B29:M29" si="15">IFERROR(INDEX(INDIRECT("'"&amp;B$5&amp;"'!"&amp;B$1),MATCH($A$26,INDIRECT("'"&amp;B$5&amp;"'!"&amp;B$2),0),MATCH($A29,INDIRECT("'"&amp;B$5&amp;"'!"&amp;B$3),0)),"")</f>
        <v/>
      </c>
      <c r="C29" s="390" t="str">
        <f t="shared" si="15"/>
        <v/>
      </c>
      <c r="D29" s="390" t="str">
        <f t="shared" si="15"/>
        <v/>
      </c>
      <c r="E29" s="390" t="str">
        <f t="shared" si="15"/>
        <v/>
      </c>
      <c r="F29" s="390" t="str">
        <f t="shared" si="15"/>
        <v/>
      </c>
      <c r="G29" s="390" t="str">
        <f t="shared" si="15"/>
        <v/>
      </c>
      <c r="H29" s="390" t="str">
        <f t="shared" si="15"/>
        <v/>
      </c>
      <c r="I29" s="390" t="str">
        <f t="shared" si="15"/>
        <v/>
      </c>
      <c r="J29" s="390" t="str">
        <f t="shared" si="15"/>
        <v/>
      </c>
      <c r="K29" s="390" t="str">
        <f t="shared" si="15"/>
        <v/>
      </c>
      <c r="L29" s="390" t="str">
        <f t="shared" si="15"/>
        <v/>
      </c>
      <c r="M29" s="390" t="str">
        <f t="shared" si="15"/>
        <v/>
      </c>
    </row>
    <row r="30">
      <c r="A30">
        <v>4.0</v>
      </c>
      <c r="B30" s="390" t="str">
        <f t="shared" ref="B30:M30" si="16">IFERROR(INDEX(INDIRECT("'"&amp;B$5&amp;"'!"&amp;B$1),MATCH($A$26,INDIRECT("'"&amp;B$5&amp;"'!"&amp;B$2),0),MATCH($A30,INDIRECT("'"&amp;B$5&amp;"'!"&amp;B$3),0)),"")</f>
        <v/>
      </c>
      <c r="C30" s="390" t="str">
        <f t="shared" si="16"/>
        <v/>
      </c>
      <c r="D30" s="390" t="str">
        <f t="shared" si="16"/>
        <v/>
      </c>
      <c r="E30" s="390" t="str">
        <f t="shared" si="16"/>
        <v/>
      </c>
      <c r="F30" s="390" t="str">
        <f t="shared" si="16"/>
        <v/>
      </c>
      <c r="G30" s="390" t="str">
        <f t="shared" si="16"/>
        <v/>
      </c>
      <c r="H30" s="390" t="str">
        <f t="shared" si="16"/>
        <v/>
      </c>
      <c r="I30" s="390" t="str">
        <f t="shared" si="16"/>
        <v/>
      </c>
      <c r="J30" s="390" t="str">
        <f t="shared" si="16"/>
        <v/>
      </c>
      <c r="K30" s="390" t="str">
        <f t="shared" si="16"/>
        <v/>
      </c>
      <c r="L30" s="390" t="str">
        <f t="shared" si="16"/>
        <v/>
      </c>
      <c r="M30" s="390" t="str">
        <f t="shared" si="16"/>
        <v/>
      </c>
    </row>
    <row r="31">
      <c r="A31">
        <v>5.0</v>
      </c>
      <c r="B31" s="390" t="str">
        <f t="shared" ref="B31:M31" si="17">IFERROR(INDEX(INDIRECT("'"&amp;B$5&amp;"'!"&amp;B$1),MATCH($A$26,INDIRECT("'"&amp;B$5&amp;"'!"&amp;B$2),0),MATCH($A31,INDIRECT("'"&amp;B$5&amp;"'!"&amp;B$3),0)),"")</f>
        <v/>
      </c>
      <c r="C31" s="390" t="str">
        <f t="shared" si="17"/>
        <v/>
      </c>
      <c r="D31" s="390" t="str">
        <f t="shared" si="17"/>
        <v/>
      </c>
      <c r="E31" s="390" t="str">
        <f t="shared" si="17"/>
        <v/>
      </c>
      <c r="F31" s="390" t="str">
        <f t="shared" si="17"/>
        <v/>
      </c>
      <c r="G31" s="390" t="str">
        <f t="shared" si="17"/>
        <v/>
      </c>
      <c r="H31" s="390" t="str">
        <f t="shared" si="17"/>
        <v/>
      </c>
      <c r="I31" s="390" t="str">
        <f t="shared" si="17"/>
        <v/>
      </c>
      <c r="J31" s="390" t="str">
        <f t="shared" si="17"/>
        <v/>
      </c>
      <c r="K31" s="390" t="str">
        <f t="shared" si="17"/>
        <v/>
      </c>
      <c r="L31" s="390" t="str">
        <f t="shared" si="17"/>
        <v/>
      </c>
      <c r="M31" s="390" t="str">
        <f t="shared" si="17"/>
        <v/>
      </c>
    </row>
    <row r="32">
      <c r="A32">
        <v>6.0</v>
      </c>
      <c r="B32" s="390" t="str">
        <f t="shared" ref="B32:M32" si="18">IFERROR(INDEX(INDIRECT("'"&amp;B$5&amp;"'!"&amp;B$1),MATCH($A$26,INDIRECT("'"&amp;B$5&amp;"'!"&amp;B$2),0),MATCH($A32,INDIRECT("'"&amp;B$5&amp;"'!"&amp;B$3),0)),"")</f>
        <v/>
      </c>
      <c r="C32" s="390" t="str">
        <f t="shared" si="18"/>
        <v/>
      </c>
      <c r="D32" s="390" t="str">
        <f t="shared" si="18"/>
        <v/>
      </c>
      <c r="E32" s="390" t="str">
        <f t="shared" si="18"/>
        <v/>
      </c>
      <c r="F32" s="390" t="str">
        <f t="shared" si="18"/>
        <v/>
      </c>
      <c r="G32" s="390" t="str">
        <f t="shared" si="18"/>
        <v/>
      </c>
      <c r="H32" s="390" t="str">
        <f t="shared" si="18"/>
        <v/>
      </c>
      <c r="I32" s="390" t="str">
        <f t="shared" si="18"/>
        <v/>
      </c>
      <c r="J32" s="390" t="str">
        <f t="shared" si="18"/>
        <v/>
      </c>
      <c r="K32" s="390" t="str">
        <f t="shared" si="18"/>
        <v/>
      </c>
      <c r="L32" s="390" t="str">
        <f t="shared" si="18"/>
        <v/>
      </c>
      <c r="M32" s="390" t="str">
        <f t="shared" si="18"/>
        <v/>
      </c>
    </row>
    <row r="33">
      <c r="A33">
        <v>7.0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4" width="26.75"/>
  </cols>
  <sheetData>
    <row r="1" ht="15.0" customHeight="1">
      <c r="A1" s="391"/>
      <c r="B1" s="392"/>
      <c r="C1" s="392"/>
      <c r="D1" s="392"/>
    </row>
    <row r="2" ht="63.75" customHeight="1">
      <c r="A2" s="391"/>
      <c r="B2" s="392"/>
    </row>
    <row r="3" ht="11.25" customHeight="1">
      <c r="A3" s="393"/>
      <c r="B3" s="393"/>
    </row>
    <row r="4" ht="39.75" customHeight="1">
      <c r="A4" s="394"/>
      <c r="B4" s="395" t="s">
        <v>244</v>
      </c>
    </row>
    <row r="5" ht="15.0" customHeight="1">
      <c r="A5" s="396"/>
      <c r="B5" s="396"/>
    </row>
    <row r="6" ht="45.75" customHeight="1">
      <c r="A6" s="397"/>
      <c r="B6" s="398" t="s">
        <v>245</v>
      </c>
    </row>
    <row r="7" ht="18.0" customHeight="1">
      <c r="A7" s="399"/>
      <c r="B7" s="400"/>
      <c r="C7" s="401"/>
      <c r="D7" s="402"/>
    </row>
    <row r="8" ht="18.0" customHeight="1">
      <c r="A8" s="399"/>
      <c r="B8" s="399"/>
    </row>
    <row r="9" ht="42.0" customHeight="1">
      <c r="A9" s="403"/>
      <c r="B9" s="404" t="s">
        <v>246</v>
      </c>
      <c r="C9" s="405"/>
      <c r="D9" s="406"/>
    </row>
    <row r="10" ht="48.0" customHeight="1">
      <c r="A10" s="391"/>
      <c r="B10" s="407" t="s">
        <v>247</v>
      </c>
      <c r="D10" s="408"/>
    </row>
    <row r="11" ht="31.5" customHeight="1">
      <c r="A11" s="409"/>
      <c r="B11" s="407" t="s">
        <v>248</v>
      </c>
      <c r="D11" s="408"/>
    </row>
    <row r="12" ht="31.5" customHeight="1">
      <c r="A12" s="409"/>
      <c r="B12" s="407" t="s">
        <v>249</v>
      </c>
      <c r="D12" s="408"/>
    </row>
    <row r="13" ht="31.5" customHeight="1">
      <c r="A13" s="409"/>
      <c r="B13" s="410" t="s">
        <v>250</v>
      </c>
      <c r="C13" s="411"/>
      <c r="D13" s="412"/>
    </row>
    <row r="14" ht="18.0" customHeight="1">
      <c r="A14" s="399"/>
      <c r="B14" s="399"/>
    </row>
    <row r="15" ht="48.0" customHeight="1">
      <c r="A15" s="413"/>
      <c r="B15" s="414" t="s">
        <v>251</v>
      </c>
      <c r="C15" s="405"/>
      <c r="D15" s="406"/>
    </row>
    <row r="16" ht="26.25" customHeight="1">
      <c r="A16" s="415"/>
      <c r="B16" s="416"/>
      <c r="C16" s="417"/>
      <c r="D16" s="418"/>
    </row>
    <row r="17" ht="5.25" customHeight="1">
      <c r="A17" s="419"/>
      <c r="B17" s="420"/>
      <c r="C17" s="419"/>
      <c r="D17" s="421"/>
    </row>
    <row r="18" ht="22.5" customHeight="1">
      <c r="A18" s="422"/>
      <c r="B18" s="423" t="s">
        <v>252</v>
      </c>
      <c r="C18" s="424" t="s">
        <v>253</v>
      </c>
      <c r="D18" s="425" t="s">
        <v>254</v>
      </c>
    </row>
    <row r="19" ht="22.5" customHeight="1">
      <c r="A19" s="419"/>
      <c r="B19" s="426"/>
      <c r="C19" s="427"/>
      <c r="D19" s="428"/>
    </row>
    <row r="20" ht="18.0" customHeight="1">
      <c r="A20" s="419"/>
      <c r="B20" s="419"/>
      <c r="C20" s="419"/>
      <c r="D20" s="419"/>
    </row>
    <row r="21" ht="42.0" customHeight="1">
      <c r="A21" s="413"/>
      <c r="B21" s="429" t="s">
        <v>255</v>
      </c>
      <c r="C21" s="430"/>
      <c r="D21" s="431"/>
    </row>
    <row r="22" ht="57.75" customHeight="1">
      <c r="A22" s="399"/>
      <c r="B22" s="432"/>
      <c r="C22" s="433"/>
      <c r="D22" s="434" t="s">
        <v>256</v>
      </c>
    </row>
    <row r="23" ht="18.0" customHeight="1">
      <c r="A23" s="399"/>
      <c r="B23" s="435"/>
      <c r="C23" s="435"/>
      <c r="D23" s="436"/>
    </row>
    <row r="24" ht="42.0" customHeight="1">
      <c r="A24" s="437"/>
      <c r="B24" s="438" t="s">
        <v>257</v>
      </c>
      <c r="C24" s="405"/>
      <c r="D24" s="406"/>
    </row>
    <row r="25" ht="36.0" customHeight="1">
      <c r="A25" s="399"/>
      <c r="B25" s="439" t="str">
        <f>HYPERLINK("mailto:hello@noboring-finance.ru","hello@noboring-finance.ru")</f>
        <v>hello@noboring-finance.ru</v>
      </c>
      <c r="C25" s="411"/>
      <c r="D25" s="440" t="s">
        <v>258</v>
      </c>
    </row>
    <row r="26" ht="18.0" customHeight="1">
      <c r="A26" s="399"/>
      <c r="B26" s="399"/>
      <c r="C26" s="399"/>
      <c r="D26" s="441"/>
    </row>
  </sheetData>
  <mergeCells count="18">
    <mergeCell ref="B2:D2"/>
    <mergeCell ref="B3:D3"/>
    <mergeCell ref="B4:D4"/>
    <mergeCell ref="B5:D5"/>
    <mergeCell ref="B6:D6"/>
    <mergeCell ref="B7:D7"/>
    <mergeCell ref="B8:D8"/>
    <mergeCell ref="B21:D21"/>
    <mergeCell ref="B22:C22"/>
    <mergeCell ref="B24:D24"/>
    <mergeCell ref="B25:C25"/>
    <mergeCell ref="B9:D9"/>
    <mergeCell ref="B10:D10"/>
    <mergeCell ref="B11:D11"/>
    <mergeCell ref="B12:D12"/>
    <mergeCell ref="B13:D13"/>
    <mergeCell ref="B14:D14"/>
    <mergeCell ref="B15:D15"/>
  </mergeCells>
  <hyperlinks>
    <hyperlink r:id="rId1" ref="B6"/>
    <hyperlink r:id="rId2" ref="B10"/>
    <hyperlink r:id="rId3" ref="B11"/>
    <hyperlink r:id="rId4" ref="B12"/>
    <hyperlink r:id="rId5" ref="B13"/>
    <hyperlink r:id="rId6" ref="B18"/>
    <hyperlink r:id="rId7" ref="C18"/>
    <hyperlink r:id="rId8" ref="D18"/>
    <hyperlink r:id="rId9" ref="D22"/>
  </hyperlinks>
  <drawing r:id="rId10"/>
</worksheet>
</file>
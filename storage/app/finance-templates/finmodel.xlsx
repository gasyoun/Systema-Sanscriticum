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 финмодели" sheetId="1" r:id="rId4"/>
    <sheet state="visible" name="Пример интернет-магазин" sheetId="2" r:id="rId5"/>
    <sheet state="visible" name="Пример офлайн-магазин" sheetId="3" r:id="rId6"/>
    <sheet state="visible" name="Пример цветочный магазин" sheetId="4" r:id="rId7"/>
    <sheet state="visible" name="Пример производство косметики" sheetId="5" r:id="rId8"/>
    <sheet state="visible" name="Пример стоматология" sheetId="6" r:id="rId9"/>
    <sheet state="visible" name="Пример маркетплейс" sheetId="7" r:id="rId10"/>
    <sheet state="visible" name="Пример стройка" sheetId="8" r:id="rId11"/>
    <sheet state="visible" name="Пример производство" sheetId="9" r:id="rId12"/>
    <sheet state="visible" name="Другие примеры" sheetId="10" r:id="rId13"/>
    <sheet state="visible" name="С сезонностью" sheetId="11" r:id="rId14"/>
    <sheet state="visible" name="ФМ торговля металлом" sheetId="12" r:id="rId15"/>
    <sheet state="visible" name="НФ" sheetId="13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Желтые поля вбиваются вручную. Все остальное считается автоматически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копируем значения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6">
      <text>
        <t xml:space="preserve">остается в компании после распределения полученной прибыли по фондам</t>
      </text>
    </comment>
    <comment authorId="0" ref="D3">
      <text>
        <t xml:space="preserve">копируем значения</t>
      </text>
    </comment>
    <comment authorId="0" ref="B156">
      <text>
        <t xml:space="preserve">с августа планируем выводить по итогам прошлого мес.</t>
      </text>
    </comment>
    <comment authorId="0" ref="C121">
      <text>
        <t xml:space="preserve">сейчас менеджер получает в пределах 50 тысяч рублей - это и оклад и %.
Вся з/п 50 - оклад 15/ 2,5млн.руб - индив.план продаж = текущий % зп при текущем выполнении плана.</t>
      </text>
    </comment>
    <comment authorId="0" ref="B53">
      <text>
        <t xml:space="preserve">разбить на МП</t>
      </text>
    </comment>
    <comment authorId="0" ref="B49">
      <text>
        <t xml:space="preserve">отследить строчку: с какого месяца ожидается выручка, до месяца получения выручки в этой строчке можно руками поставить 0</t>
      </text>
    </comment>
    <comment authorId="0" ref="C49">
      <text>
        <t xml:space="preserve">если планируем выручку с региона, то поставить галку и не забыть в блоке расходов тоже поставить галку - должно быть соответствие</t>
      </text>
    </comment>
    <comment authorId="0" ref="B45">
      <text>
        <t xml:space="preserve">отследить строчку: с какого месяца ожидается выручка, до месяца получения выручки в этой строчке можно руками поставить 0</t>
      </text>
    </comment>
    <comment authorId="0" ref="F113">
      <text>
        <t xml:space="preserve">первоначальный план, в сумму июля не попадает, стоит справочно</t>
      </text>
    </comment>
    <comment authorId="0" ref="C45">
      <text>
        <t xml:space="preserve">если планируем выручку с региона, то поставить галку и не забыть в блоке расходов тоже поставить галку - должно быть соответствие</t>
      </text>
    </comment>
    <comment authorId="0" ref="C204">
      <text>
        <t xml:space="preserve">авансы клиентов = мы должны отгрузить + должны поставщикам на 1е число + должны сотрудникам на 1е число</t>
      </text>
    </comment>
    <comment authorId="0" ref="C41">
      <text>
        <t xml:space="preserve">если планируем выручку с региона, то поставить галку и не забыть в блоке расходов тоже поставить галку - должно быть соответствие</t>
      </text>
    </comment>
    <comment authorId="0" ref="C105">
      <text>
        <t xml:space="preserve">если планируем эти расходы, то поставить галочку в чек-боксе, статьи расходов можно дописать в [.....] и не забыть в выручке тоже поставить галки по нужным регионам</t>
      </text>
    </comment>
    <comment authorId="0" ref="C70">
      <text>
        <t xml:space="preserve">сборка, раскрой, заготовка</t>
      </text>
    </comment>
    <comment authorId="0" ref="C165">
      <text>
        <t xml:space="preserve">не заполняем, так как платеж по лизингу у нас по операционной деятельности, в опиу лизинг как аренда а/м, на балансе их нет</t>
      </text>
    </comment>
    <comment authorId="0" ref="C27">
      <text>
        <t xml:space="preserve">200тысяч рублей за 5000 объявлений</t>
      </text>
    </comment>
    <comment authorId="0" ref="C25">
      <text>
        <t xml:space="preserve">общая выручка - выручка от постоянных клиентов / делим на кол-во заказов</t>
      </text>
    </comment>
    <comment authorId="0" ref="C151">
      <text>
        <t xml:space="preserve">5млн делим на накопления года = сколько лет копить при текущем % отчисления в фонд налогов</t>
      </text>
    </comment>
    <comment authorId="0" ref="C81">
      <text>
        <t xml:space="preserve">Основной склад + Челны.
Справочно по основному:
аренда цехов 94800р +46200,
аренда склада 30600р,
эл. энергия 35000р</t>
      </text>
    </comment>
    <comment authorId="0" ref="F114">
      <text>
        <t xml:space="preserve">первоначальный план, в сумму июля не попадает, стоит справочно</t>
      </text>
    </comment>
    <comment authorId="0" ref="C38">
      <text>
        <t xml:space="preserve">у каждого клиента свой средний чек. Средняя выручка 200т.р. в месяц от 4х клиентов</t>
      </text>
    </comment>
    <comment authorId="0" ref="D71">
      <text>
        <t xml:space="preserve">фикс.сумма выручки, автоматом не изменится. Увеличили средний чек по авито на 30%, при этом расход материалов больше не стал, поэтому зафиксировали расход материалов от прежней выручки ~8 млн</t>
      </text>
    </comment>
    <comment authorId="0" ref="E71">
      <text>
        <t xml:space="preserve">если средний чек повысили (С29&gt;0), то считаем выручку от оплаченных заказов; если средний чек не повысили, то считаем себестоимость от итоговой суммы выручки</t>
      </text>
    </comment>
    <comment authorId="0" ref="C100">
      <text>
        <t xml:space="preserve">каждый месяц Мой склад 2992,5
сайт с витриной товара 2120
Расширенный тариф МП 4800 за месяц</t>
      </text>
    </comment>
    <comment authorId="0" ref="C164">
      <text>
        <t xml:space="preserve">не заполняем, так как платеж по лизингу у нас по операционной деятельности, в опиу лизинг как аренда а/м, на балансе их нет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2">
      <text>
        <t xml:space="preserve">копируем значения
</t>
      </text>
    </comment>
    <comment authorId="0" ref="D182">
      <text>
        <t xml:space="preserve">Кажется при обсуждении оговаривали, что  планируются расходы по статье не более 400 000</t>
      </text>
    </comment>
  </commentList>
</comments>
</file>

<file path=xl/sharedStrings.xml><?xml version="1.0" encoding="utf-8"?>
<sst xmlns="http://schemas.openxmlformats.org/spreadsheetml/2006/main" count="1424" uniqueCount="797">
  <si>
    <t>Интернет-магазин</t>
  </si>
  <si>
    <t>период —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</si>
  <si>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</si>
  <si>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</si>
  <si>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</si>
  <si>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</si>
  <si>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</si>
  <si>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</si>
  <si>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</si>
  <si>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</si>
  <si>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</si>
  <si>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</si>
  <si>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</si>
  <si>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</si>
  <si>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Выручка</t>
  </si>
  <si>
    <t>Направление 1</t>
  </si>
  <si>
    <t>Направление 2</t>
  </si>
  <si>
    <t>Заходы на сайт</t>
  </si>
  <si>
    <t>Процент роста количества показов</t>
  </si>
  <si>
    <t>CV1 (конверсия сайта)</t>
  </si>
  <si>
    <t>Заказы</t>
  </si>
  <si>
    <t>CV2 (конверсия в оплаты)</t>
  </si>
  <si>
    <t>Оплаченные заказы</t>
  </si>
  <si>
    <t>Средний чек опт</t>
  </si>
  <si>
    <t>Средний чек розница</t>
  </si>
  <si>
    <t>Маржинальность</t>
  </si>
  <si>
    <t>Себестоимость товара</t>
  </si>
  <si>
    <t>Доля платежей б/н, онлайн</t>
  </si>
  <si>
    <t>Стоимость клика</t>
  </si>
  <si>
    <t>Расходы на трафик</t>
  </si>
  <si>
    <t>Маржинальный доход</t>
  </si>
  <si>
    <t>Рентабельность по маржинальному доходу, %</t>
  </si>
  <si>
    <t>Прямые расходы</t>
  </si>
  <si>
    <t>Статья 1</t>
  </si>
  <si>
    <t>Статья 2</t>
  </si>
  <si>
    <t>Статья 3</t>
  </si>
  <si>
    <t>Валовая прибыль</t>
  </si>
  <si>
    <t>Рентабельность по валовой прибыли, %</t>
  </si>
  <si>
    <t>Косвенные расходы</t>
  </si>
  <si>
    <t>Операционная прибыль (EBITDA)</t>
  </si>
  <si>
    <t>Рентабельность по операционной прибыли, %</t>
  </si>
  <si>
    <t>Налоги</t>
  </si>
  <si>
    <t>Кредиты</t>
  </si>
  <si>
    <t>Амортизация</t>
  </si>
  <si>
    <t>Чистая прибыль</t>
  </si>
  <si>
    <t>Рентабельность по чистой прибыли, %</t>
  </si>
  <si>
    <t>Чистая прибыль накопленным итогом</t>
  </si>
  <si>
    <t>Операционный оборотный капитал</t>
  </si>
  <si>
    <t>Изменение операционного оборотного капитала</t>
  </si>
  <si>
    <t>Запасы</t>
  </si>
  <si>
    <t>Период оборота запасов, дн</t>
  </si>
  <si>
    <t>Запасы на начало месяца</t>
  </si>
  <si>
    <t>Запасы на конец месяца</t>
  </si>
  <si>
    <t>Изменение запасов</t>
  </si>
  <si>
    <t>Кредиторская задолженность</t>
  </si>
  <si>
    <t>Период оборота КЗ, дн</t>
  </si>
  <si>
    <t>КЗ на начало месяца</t>
  </si>
  <si>
    <t>КЗ на конец месяца</t>
  </si>
  <si>
    <t>Изменение КЗ</t>
  </si>
  <si>
    <t>ДДС</t>
  </si>
  <si>
    <t>Денежные средства на начало месяца</t>
  </si>
  <si>
    <t>Денежный поток по операционной деятельности</t>
  </si>
  <si>
    <t>Денежный поток по инвестиционной деятельности</t>
  </si>
  <si>
    <t>Денежный поток по финансовой деятельности</t>
  </si>
  <si>
    <t>Полный денежный поток</t>
  </si>
  <si>
    <t>Денежные средства на конец месяца</t>
  </si>
  <si>
    <t>Средний чек</t>
  </si>
  <si>
    <t>Комиссия за экваэринг</t>
  </si>
  <si>
    <t>Аренда</t>
  </si>
  <si>
    <t>Зарплата адм. сотрудников</t>
  </si>
  <si>
    <t>Компенсация расходов сотрудников</t>
  </si>
  <si>
    <t>Обслуживание автомобиля</t>
  </si>
  <si>
    <t>Зарплата отдела продаж</t>
  </si>
  <si>
    <t>Коммунальные расходы</t>
  </si>
  <si>
    <t>Интернет, Связь, ПО</t>
  </si>
  <si>
    <t>Офисные / Хозяйственные расходы</t>
  </si>
  <si>
    <t>Инкассация</t>
  </si>
  <si>
    <t>Аренда офиса</t>
  </si>
  <si>
    <t>Зарплата собственника</t>
  </si>
  <si>
    <t>Реклама бренда</t>
  </si>
  <si>
    <t>Упаковка продукции</t>
  </si>
  <si>
    <t>Представительские расходы</t>
  </si>
  <si>
    <t>Расходы на рекламу</t>
  </si>
  <si>
    <t>Найм персонала</t>
  </si>
  <si>
    <t>Изменение оборотного капитала</t>
  </si>
  <si>
    <t>Прошли мимо (вход в воронку)</t>
  </si>
  <si>
    <t>Зашли в магазин</t>
  </si>
  <si>
    <t>Производство косметики</t>
  </si>
  <si>
    <t>Выручка опт</t>
  </si>
  <si>
    <t>Выручка розница</t>
  </si>
  <si>
    <t>Заявка</t>
  </si>
  <si>
    <t>Зарплата производственных сотр.</t>
  </si>
  <si>
    <t>Себестоимость сырья</t>
  </si>
  <si>
    <t>Аренда склада + Коммуналка</t>
  </si>
  <si>
    <t>Связь, интернет</t>
  </si>
  <si>
    <t>Зарплата адм. персонала</t>
  </si>
  <si>
    <t>РКО</t>
  </si>
  <si>
    <t>Логистика</t>
  </si>
  <si>
    <t>ЗП отдела продаж</t>
  </si>
  <si>
    <t>Интернет-сервисы</t>
  </si>
  <si>
    <t>Налоги на сотрудников</t>
  </si>
  <si>
    <t>Прочие расходы</t>
  </si>
  <si>
    <t>Дебиторская задолженность</t>
  </si>
  <si>
    <t>Период оборота ДЗ, дн</t>
  </si>
  <si>
    <t>ДЗ на начало месяца</t>
  </si>
  <si>
    <t>ДЗ на конец месяца</t>
  </si>
  <si>
    <t>Изменение ДЗ</t>
  </si>
  <si>
    <t>Номер периода —</t>
  </si>
  <si>
    <t>ВЫРУЧКА</t>
  </si>
  <si>
    <t>Ортопедия + хирургия</t>
  </si>
  <si>
    <t>Терапия</t>
  </si>
  <si>
    <t>Процент роста кол-ва сделок</t>
  </si>
  <si>
    <t>Кол-во сделок Ортопедия + хирургия</t>
  </si>
  <si>
    <t>Кол-во сделок  Терапия</t>
  </si>
  <si>
    <t>Средний чек Ортопедия + хирургия</t>
  </si>
  <si>
    <t>Средний чек Терапия</t>
  </si>
  <si>
    <t>Зарплата специалистов</t>
  </si>
  <si>
    <t>% от сделки</t>
  </si>
  <si>
    <t>Материалы</t>
  </si>
  <si>
    <t>%</t>
  </si>
  <si>
    <t>Услуги подрядчиков (лаборатории)</t>
  </si>
  <si>
    <t xml:space="preserve">рентабельность по валовой прибыли, % </t>
  </si>
  <si>
    <t>ФОТ</t>
  </si>
  <si>
    <t>Бухгалтер</t>
  </si>
  <si>
    <t>Оператив. менеджер (Исп.дир, Тех.дир)</t>
  </si>
  <si>
    <t>Старшая сестра</t>
  </si>
  <si>
    <t>Администратор</t>
  </si>
  <si>
    <t>Ассистент</t>
  </si>
  <si>
    <t>Санитарка</t>
  </si>
  <si>
    <t>Доп.персонал (доп.менеджеры, помощники)</t>
  </si>
  <si>
    <t>Бухгалтер, кол-во</t>
  </si>
  <si>
    <t>Оператив. менеджер (Исп.дир, Тех.дир), кол-во</t>
  </si>
  <si>
    <t>Старшая сестра, кол-во</t>
  </si>
  <si>
    <t>Администратор, кол-во</t>
  </si>
  <si>
    <t>Ассистент, кол-во</t>
  </si>
  <si>
    <t>Санитарка, кол-во</t>
  </si>
  <si>
    <t>Налоги по сотрудникам</t>
  </si>
  <si>
    <t>Маркетинг</t>
  </si>
  <si>
    <t>Операционные затраты (+ремонт оборуд + хоз)</t>
  </si>
  <si>
    <t>Соц.пакет персонала (+обучение)</t>
  </si>
  <si>
    <t>Гос.структуры (СЭС, Дез, ...)</t>
  </si>
  <si>
    <t>EBITDA</t>
  </si>
  <si>
    <t>рентабельность по EBITDA, %</t>
  </si>
  <si>
    <t>Процент по кредитам</t>
  </si>
  <si>
    <t>Прибыль до налогообложения</t>
  </si>
  <si>
    <t>НАЛОГИ</t>
  </si>
  <si>
    <t xml:space="preserve">Рентабельность по чистой прибыли, % </t>
  </si>
  <si>
    <t>Инвестиционные расходы</t>
  </si>
  <si>
    <t>Оборудование</t>
  </si>
  <si>
    <t>Мебель</t>
  </si>
  <si>
    <t>доп. техника</t>
  </si>
  <si>
    <t>Ремонт</t>
  </si>
  <si>
    <t>Лицензия</t>
  </si>
  <si>
    <t>Срок амортизации, лет</t>
  </si>
  <si>
    <t>ОДДС</t>
  </si>
  <si>
    <t>Остаток д.с. на начало периода</t>
  </si>
  <si>
    <t>Сальдо д.с. по опер. деятельности</t>
  </si>
  <si>
    <t>Сальдо д.с. по инвест. деятельности</t>
  </si>
  <si>
    <t>Сальдо д.с. по фин. деятельности</t>
  </si>
  <si>
    <t>Остаток д.с. на конец периода</t>
  </si>
  <si>
    <t>Флаг неликвидности</t>
  </si>
  <si>
    <t>Финансовая деятельность</t>
  </si>
  <si>
    <t>Вклад в акционерный капитал</t>
  </si>
  <si>
    <t>Выплата дивидендов</t>
  </si>
  <si>
    <t>Банковский кредит</t>
  </si>
  <si>
    <t>Задолженность на начало периода</t>
  </si>
  <si>
    <t>Поступления кредита</t>
  </si>
  <si>
    <t>Возврат кредита</t>
  </si>
  <si>
    <t>Задолженность на конец периода</t>
  </si>
  <si>
    <t>Ссудный процент</t>
  </si>
  <si>
    <t>Cash Flow проекта (без фин. деятельности)</t>
  </si>
  <si>
    <t>CF total (накопленным итогом)</t>
  </si>
  <si>
    <t>DCF (Discount cashflow)</t>
  </si>
  <si>
    <t>NCF (Net cash flow), чистый ден. поток</t>
  </si>
  <si>
    <t>NPV</t>
  </si>
  <si>
    <t>IRR</t>
  </si>
  <si>
    <t>Ставка дисконтирования, годовая</t>
  </si>
  <si>
    <t>Ставка дисконтирования, месяц</t>
  </si>
  <si>
    <t>БАЛАНС</t>
  </si>
  <si>
    <t>АКТИВЫ</t>
  </si>
  <si>
    <t>Денежные средства</t>
  </si>
  <si>
    <t>ОС и НМА</t>
  </si>
  <si>
    <t>ПАССИВЫ</t>
  </si>
  <si>
    <t>Акционерный капитал</t>
  </si>
  <si>
    <t>Нераспределенная прибыль</t>
  </si>
  <si>
    <t>Займы и кредиты</t>
  </si>
  <si>
    <t>Финансовая модель</t>
  </si>
  <si>
    <t>Отклонение</t>
  </si>
  <si>
    <t>В процентах</t>
  </si>
  <si>
    <t>Выручка за год</t>
  </si>
  <si>
    <t>Читая прибыль за год</t>
  </si>
  <si>
    <t>Деньги</t>
  </si>
  <si>
    <t>Выручка в месяц</t>
  </si>
  <si>
    <t>Точка безубыточности</t>
  </si>
  <si>
    <t>Чистая прибыль в месяц</t>
  </si>
  <si>
    <t>Деньги на конец месяца</t>
  </si>
  <si>
    <t>ГОД</t>
  </si>
  <si>
    <t>Отвеств.</t>
  </si>
  <si>
    <t>1. Выручка</t>
  </si>
  <si>
    <t>Кроватки детские, матрасы и аксессуары</t>
  </si>
  <si>
    <t>OZON</t>
  </si>
  <si>
    <t>Уникальные поситители всего</t>
  </si>
  <si>
    <t>Процент роста поситителей</t>
  </si>
  <si>
    <t>CV1 (конверсия в просмотр карточки)</t>
  </si>
  <si>
    <t>Уникальные посетители с просмотром карточки товара</t>
  </si>
  <si>
    <t>CV2 (конверсия в корзину)</t>
  </si>
  <si>
    <t>Конверсия в корзину из карточки товара</t>
  </si>
  <si>
    <t>CV3 (конверсия в заказ)</t>
  </si>
  <si>
    <t>Конверсия в заказ из корзины</t>
  </si>
  <si>
    <t>Отмены и возвраты</t>
  </si>
  <si>
    <t>Итого заказов</t>
  </si>
  <si>
    <t>Коэффициент сезонности</t>
  </si>
  <si>
    <t>WB и YandeхMarket</t>
  </si>
  <si>
    <t>Кроватки подростковые</t>
  </si>
  <si>
    <t>Переменные расходы</t>
  </si>
  <si>
    <t>Кроватки детские и аксессуары</t>
  </si>
  <si>
    <t>Себестоимость материалов (товаров, продуктов)</t>
  </si>
  <si>
    <t>Комиссия МП</t>
  </si>
  <si>
    <t>Логистика МП</t>
  </si>
  <si>
    <t>Маржинальная прибыль</t>
  </si>
  <si>
    <t>Рентабельность по маржинальной прибыли, %</t>
  </si>
  <si>
    <t>Маржинальная прибыль направление 1</t>
  </si>
  <si>
    <t>Рентабельность по маржинальной прибыли направления 1, %</t>
  </si>
  <si>
    <t>Маржинальная прибыль направление 2</t>
  </si>
  <si>
    <t>Рентабельность по маржинальной прибыли направления 2, %</t>
  </si>
  <si>
    <t>Общепроизводственные расходы</t>
  </si>
  <si>
    <t>Упаковка, кроме паллетов</t>
  </si>
  <si>
    <t>Доставка до склада МП</t>
  </si>
  <si>
    <t>Доставка на наш склад</t>
  </si>
  <si>
    <t>Мешки/паллеты</t>
  </si>
  <si>
    <t>Разгрузка</t>
  </si>
  <si>
    <t>Комплектация</t>
  </si>
  <si>
    <t>Аренда склада</t>
  </si>
  <si>
    <t>Возвраты, СДЭК и проч.</t>
  </si>
  <si>
    <t>Косвенные  административные</t>
  </si>
  <si>
    <t>Коммунальные услуги</t>
  </si>
  <si>
    <t>Доставка запчастей</t>
  </si>
  <si>
    <t>Бухгалтерские</t>
  </si>
  <si>
    <t>Обслуживание Р/с</t>
  </si>
  <si>
    <t>Сервисы ИТ/ПО</t>
  </si>
  <si>
    <t>Косвенные  коммерческие</t>
  </si>
  <si>
    <t>Зарплата коммерч. персонала</t>
  </si>
  <si>
    <t>Реклама</t>
  </si>
  <si>
    <t xml:space="preserve">Отзывы </t>
  </si>
  <si>
    <t>Реклама ОЗОН премиум</t>
  </si>
  <si>
    <t>Контент</t>
  </si>
  <si>
    <t>Самовыкупы</t>
  </si>
  <si>
    <t>Стоиомсть ОС</t>
  </si>
  <si>
    <t>Прибыль до налогооблажения</t>
  </si>
  <si>
    <t>ЧП накопленным итогом</t>
  </si>
  <si>
    <t>2. Финансовая деятельность</t>
  </si>
  <si>
    <t>Кредит</t>
  </si>
  <si>
    <t>Остаток кредита</t>
  </si>
  <si>
    <t>Ставка</t>
  </si>
  <si>
    <t>Ежемесячный платеж</t>
  </si>
  <si>
    <t>%%</t>
  </si>
  <si>
    <t>Тело долга</t>
  </si>
  <si>
    <t xml:space="preserve">Дивиденды </t>
  </si>
  <si>
    <t>3. Инвестиционная деятельность</t>
  </si>
  <si>
    <t>Вложения от собственника</t>
  </si>
  <si>
    <t>4. Операционный оборотный капитал</t>
  </si>
  <si>
    <t>Дебиторская задолженность покупатели</t>
  </si>
  <si>
    <t>Дебиторская задолженность поставщики</t>
  </si>
  <si>
    <t>Кредиторская задолженность поставщики</t>
  </si>
  <si>
    <t>5.ДДС</t>
  </si>
  <si>
    <t>Деньги на начало месяца</t>
  </si>
  <si>
    <t>Чистый денежный поток</t>
  </si>
  <si>
    <t>6. Баланс</t>
  </si>
  <si>
    <t>Активы</t>
  </si>
  <si>
    <t>ДЗ</t>
  </si>
  <si>
    <t>Пассивы</t>
  </si>
  <si>
    <t>Собственный капитал</t>
  </si>
  <si>
    <t>Уставной капитал</t>
  </si>
  <si>
    <t>Накопленная прибыль</t>
  </si>
  <si>
    <t>Дивиденды</t>
  </si>
  <si>
    <t>Обязательства</t>
  </si>
  <si>
    <t>Кредиты и займы</t>
  </si>
  <si>
    <t>ROE (Рентабельность собственного капитала) годовая</t>
  </si>
  <si>
    <t>Чистая прибыль за год</t>
  </si>
  <si>
    <t>Показатель</t>
  </si>
  <si>
    <t>Значение</t>
  </si>
  <si>
    <t>Итого</t>
  </si>
  <si>
    <t>Выручка Всего</t>
  </si>
  <si>
    <t>Выручка всего</t>
  </si>
  <si>
    <t>Проекты ПИР</t>
  </si>
  <si>
    <t>Кол-во проектов на начало периода</t>
  </si>
  <si>
    <t>Новые проекты</t>
  </si>
  <si>
    <t>Закрытые проекты - срок закрытия</t>
  </si>
  <si>
    <t>Кол-во проектов на конец периода</t>
  </si>
  <si>
    <t>Стоимость контракта по проектированию</t>
  </si>
  <si>
    <t>Прирост стоимости контракта</t>
  </si>
  <si>
    <t>Стоимость контракта с приростом</t>
  </si>
  <si>
    <t>Итого выручка за этап Проектирование</t>
  </si>
  <si>
    <t>Конверсия в проект СМР</t>
  </si>
  <si>
    <t>проектов в год</t>
  </si>
  <si>
    <t>распределить по году</t>
  </si>
  <si>
    <t>Закрытие этапа Конструкция</t>
  </si>
  <si>
    <t>Стоимость контракта по Конструкция</t>
  </si>
  <si>
    <t>Итого выручка за этап Конструкция</t>
  </si>
  <si>
    <t>Закрытие этапа Фундаменты</t>
  </si>
  <si>
    <t>Стоимость контракта по Фундаменты</t>
  </si>
  <si>
    <t>Итого выручка за этап Фундаменты</t>
  </si>
  <si>
    <t>Закрытие этапа Возведение</t>
  </si>
  <si>
    <t>Стоимость контракта по Возведение</t>
  </si>
  <si>
    <t>Итого выручка за этап Возведение</t>
  </si>
  <si>
    <t>Закрытие этапа Отделка</t>
  </si>
  <si>
    <t>Стоимость контракта по Отделка</t>
  </si>
  <si>
    <t>Итого выручка за этап Отделка</t>
  </si>
  <si>
    <t>Переменные расходы Итого</t>
  </si>
  <si>
    <t>Переменные расходы Проектирование</t>
  </si>
  <si>
    <t>% от закрытого проекта специалистов</t>
  </si>
  <si>
    <t>% от закрытого проекта РП</t>
  </si>
  <si>
    <t>Переменные расходы Конструкция</t>
  </si>
  <si>
    <t>Себестоимость материалов</t>
  </si>
  <si>
    <t>% от закрытого проекта исполнителей</t>
  </si>
  <si>
    <t>Переменные расходы Фундамент</t>
  </si>
  <si>
    <t>Переменные расходы Возведение</t>
  </si>
  <si>
    <t>Переменные расходы Отделка</t>
  </si>
  <si>
    <t>Маржинальная прибыль общая</t>
  </si>
  <si>
    <t>Рентабельность по марже, %</t>
  </si>
  <si>
    <t>Маржа по Проектированию</t>
  </si>
  <si>
    <t>Рентабельность по направлению Проектирование, %</t>
  </si>
  <si>
    <t>Маржа по Конструкция</t>
  </si>
  <si>
    <t>Рентабельность по направлению Конструкция, %</t>
  </si>
  <si>
    <t>Маржа по Фундаментам</t>
  </si>
  <si>
    <t>Рентабельность по направлению Фундаменты, %</t>
  </si>
  <si>
    <t>Маржа по Возведение</t>
  </si>
  <si>
    <t>Рентабельность по направлению Возведение, %</t>
  </si>
  <si>
    <t>Маржа по Отделке</t>
  </si>
  <si>
    <t>Рентабельность по направлению Отделка, %</t>
  </si>
  <si>
    <t>Прямые расходы Итого</t>
  </si>
  <si>
    <t>Прямые расходы Проектирование</t>
  </si>
  <si>
    <t>Оклады специалистов</t>
  </si>
  <si>
    <t>Подрядчики и изыскания</t>
  </si>
  <si>
    <t>СРО</t>
  </si>
  <si>
    <t>Прямые расходы Конструкция</t>
  </si>
  <si>
    <t>Оклады исполнителей</t>
  </si>
  <si>
    <t>Расходы на проект</t>
  </si>
  <si>
    <t>Прямые расходы Фундамент</t>
  </si>
  <si>
    <t>Прямые расходы Возведение</t>
  </si>
  <si>
    <t>Прямые расходы Отделки</t>
  </si>
  <si>
    <t>Валовая прибыль по направлениям</t>
  </si>
  <si>
    <t>Рентабельность по ВП направлений, %</t>
  </si>
  <si>
    <t>Валовая прибыль по Проектированию</t>
  </si>
  <si>
    <t>Рентабельность ВП по направлению Проектирование, %</t>
  </si>
  <si>
    <t>Валовая прибыль по Конструкция</t>
  </si>
  <si>
    <t>Рентабельность ВП по направлению Конструкция, %</t>
  </si>
  <si>
    <t>Валовая прибыль по Фундаментам</t>
  </si>
  <si>
    <t>Валовая прибыль по Возведение</t>
  </si>
  <si>
    <t>Валовая прибыль по Отделке</t>
  </si>
  <si>
    <t>Рентабельность по направлению Отделке, %</t>
  </si>
  <si>
    <t xml:space="preserve">ФОТ цеховые </t>
  </si>
  <si>
    <t>ФОТ строители</t>
  </si>
  <si>
    <t>Налог на ФОТ</t>
  </si>
  <si>
    <t>Инструменты</t>
  </si>
  <si>
    <t>Перевозка и закуп материалов на СМР</t>
  </si>
  <si>
    <t>Накладные расходы на проект СМР</t>
  </si>
  <si>
    <t>Коммуналка цеха</t>
  </si>
  <si>
    <t>ГСМ и обслуживание транспорта</t>
  </si>
  <si>
    <t>Страховка</t>
  </si>
  <si>
    <t>Валовая прибыль общая</t>
  </si>
  <si>
    <t>Рентабельность по ВП общей, %</t>
  </si>
  <si>
    <t>Косвенные расходы всего</t>
  </si>
  <si>
    <t>Административные расходы</t>
  </si>
  <si>
    <t>Аренда, коммуналка офиса и связь</t>
  </si>
  <si>
    <t>ФОТ админ. персонала</t>
  </si>
  <si>
    <t>ЗП собственников как сотрудников</t>
  </si>
  <si>
    <t>Программное обспечение</t>
  </si>
  <si>
    <t>Услуги банка</t>
  </si>
  <si>
    <t>Коммерческие расходы</t>
  </si>
  <si>
    <t>% с Проектирования</t>
  </si>
  <si>
    <t>% с проектов стройки</t>
  </si>
  <si>
    <t>Операционная прибыль</t>
  </si>
  <si>
    <t>Рентабельность по EBIDTA, %</t>
  </si>
  <si>
    <t>Налог на прибыль</t>
  </si>
  <si>
    <t>% по кредиту</t>
  </si>
  <si>
    <t>расчёт ниже</t>
  </si>
  <si>
    <t>Амортизация оборудования</t>
  </si>
  <si>
    <t>Рентабельность по ЧП, %</t>
  </si>
  <si>
    <t>ЧП с нарастающим итогом</t>
  </si>
  <si>
    <t>Финасовая деятельность</t>
  </si>
  <si>
    <t>Кредит 1</t>
  </si>
  <si>
    <t>Срок кредита, мес.</t>
  </si>
  <si>
    <t>Остаток кредита на начало месяца</t>
  </si>
  <si>
    <t>Процент по кредиту</t>
  </si>
  <si>
    <t>Ежемесячный платеж тела кредита</t>
  </si>
  <si>
    <t>Остаток кредита на конец месяца</t>
  </si>
  <si>
    <t>Кредит 2</t>
  </si>
  <si>
    <t>Кредит 3</t>
  </si>
  <si>
    <t>Лизинг</t>
  </si>
  <si>
    <t>Остаток по лизингу на начало месяца</t>
  </si>
  <si>
    <t>Ежемесячный лизинговый платеж</t>
  </si>
  <si>
    <t>Остаток по лизингу на конец месяца</t>
  </si>
  <si>
    <t>Дивиденды от ЧП</t>
  </si>
  <si>
    <t>Собственик 1</t>
  </si>
  <si>
    <t>Собственик 2</t>
  </si>
  <si>
    <t>Дивиденды с нарастающим итогом</t>
  </si>
  <si>
    <t>Инвестиционная деятельность</t>
  </si>
  <si>
    <t>Оборудование офиса</t>
  </si>
  <si>
    <t>Срок полезного использования</t>
  </si>
  <si>
    <t>Остатк ОС на начало периода</t>
  </si>
  <si>
    <t>Ежемесячная аммортизация</t>
  </si>
  <si>
    <t>Остатк ОС на конец периода</t>
  </si>
  <si>
    <t>Помещение Цеха</t>
  </si>
  <si>
    <t>Оборудование Цеха</t>
  </si>
  <si>
    <t>Транспорт</t>
  </si>
  <si>
    <t>Конструкция</t>
  </si>
  <si>
    <t>Фундамент</t>
  </si>
  <si>
    <t>Возведение</t>
  </si>
  <si>
    <t>Отделка</t>
  </si>
  <si>
    <t>Остаток Запасов на начало периода</t>
  </si>
  <si>
    <t>Закупка для этапа Конструкция</t>
  </si>
  <si>
    <t>Списание для этапа Конструкция</t>
  </si>
  <si>
    <t>Закупка для этапа Фундаменты</t>
  </si>
  <si>
    <t>Списание для этапа Фундаменты</t>
  </si>
  <si>
    <t>Закупка для этапа Возведение</t>
  </si>
  <si>
    <t>Списание для этапа Возведение</t>
  </si>
  <si>
    <t>Закупка для этапа Отделка</t>
  </si>
  <si>
    <t>Списание для этапа Отделка</t>
  </si>
  <si>
    <t>Остаток Запасов на конец периода</t>
  </si>
  <si>
    <t>Авансы от клиентов</t>
  </si>
  <si>
    <t>Оборачиваемосить КЗ</t>
  </si>
  <si>
    <t>Кредиторка на начало месяца</t>
  </si>
  <si>
    <t>Получение аванса по Проектированию</t>
  </si>
  <si>
    <t>Закрытие аванса по Проектированию</t>
  </si>
  <si>
    <t>Получение аванса по Конструкция</t>
  </si>
  <si>
    <t>Закрытие аванса по Конструкция</t>
  </si>
  <si>
    <t>Получение аванса по Фундаментам</t>
  </si>
  <si>
    <t>Закрытие аванса по Фундаментам</t>
  </si>
  <si>
    <t>Получение аванса по Возведению</t>
  </si>
  <si>
    <t>Закрытие аванса по Возведению</t>
  </si>
  <si>
    <t>Получение аванса по Отделка</t>
  </si>
  <si>
    <t>Закрытие аванса по Отделка</t>
  </si>
  <si>
    <t>Кредиторка на конец месяца</t>
  </si>
  <si>
    <t>Дебиторка клиентов</t>
  </si>
  <si>
    <t>Оборачиваемосить ДЗ</t>
  </si>
  <si>
    <t>Дебиторка на начало месяца</t>
  </si>
  <si>
    <t>Признание дебиторки</t>
  </si>
  <si>
    <t>Оплата дебиторки</t>
  </si>
  <si>
    <t>Дебиторка на конец месяца</t>
  </si>
  <si>
    <t>Кредиторка перед поставщиками</t>
  </si>
  <si>
    <t>Начальные остатки ДС</t>
  </si>
  <si>
    <t>Операционный поток</t>
  </si>
  <si>
    <t>Финансовй поток</t>
  </si>
  <si>
    <t>Инвестиционный поток</t>
  </si>
  <si>
    <t>Изменение ДЗ за месяц</t>
  </si>
  <si>
    <t>Конечные остатки ДС</t>
  </si>
  <si>
    <t>Баланс</t>
  </si>
  <si>
    <t>ОС</t>
  </si>
  <si>
    <t>Дебиторка</t>
  </si>
  <si>
    <t>ЧП с нараст Итогом</t>
  </si>
  <si>
    <t>Дивиденды с нараст итогом</t>
  </si>
  <si>
    <t>Кредиторка</t>
  </si>
  <si>
    <t>КЗ</t>
  </si>
  <si>
    <t>Финмодель производства</t>
  </si>
  <si>
    <t>Запасной столбец</t>
  </si>
  <si>
    <t>К заполнению только желтые ячейки! Следить за формулой себестоимости при изменении выручки</t>
  </si>
  <si>
    <t>Ответств.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</si>
  <si>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</si>
  <si>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</si>
  <si>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</si>
  <si>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</si>
  <si>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</si>
  <si>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</si>
  <si>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</si>
  <si>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</si>
  <si>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</si>
  <si>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</si>
  <si>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</si>
  <si>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</si>
  <si>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2. Точка Безубыточности</t>
  </si>
  <si>
    <t>3. Чистая прибыль</t>
  </si>
  <si>
    <t>4. Деньги на конец месяца</t>
  </si>
  <si>
    <t>Выручка от продаж на Авито</t>
  </si>
  <si>
    <t>Воронка продаж на Авито</t>
  </si>
  <si>
    <t>Авито охват (кол-во просмотров)</t>
  </si>
  <si>
    <t>CV1 Конверсия в контакт</t>
  </si>
  <si>
    <t>Кол-во контактов</t>
  </si>
  <si>
    <t>CV2 Конверсия в заказ</t>
  </si>
  <si>
    <t>Стоимость лида</t>
  </si>
  <si>
    <t>Повысим средний чек на</t>
  </si>
  <si>
    <t>Выручка от постоянных клиентов</t>
  </si>
  <si>
    <t>Воронка продаж постоянные клиенты</t>
  </si>
  <si>
    <t>База клиентов на начало месяца</t>
  </si>
  <si>
    <t>Приток клиентов</t>
  </si>
  <si>
    <t>Отток клиентов</t>
  </si>
  <si>
    <t>База клиентов на конец месяца</t>
  </si>
  <si>
    <t>Средний чек 1го клиента</t>
  </si>
  <si>
    <t>Кол-во диванов в 1м чеке (справочно, чтобы себ-ть изменялась пропорционально объему реал-ной продукции)</t>
  </si>
  <si>
    <t>Выручка Казань</t>
  </si>
  <si>
    <t>текущий объем продаж в мес</t>
  </si>
  <si>
    <t>прогнозное увеличение, раз</t>
  </si>
  <si>
    <t>Выручка Регион Х</t>
  </si>
  <si>
    <t>Выручка Регион Z</t>
  </si>
  <si>
    <t>Выручка с маркетплейсов</t>
  </si>
  <si>
    <t>Воронка продаж маркетплейсы</t>
  </si>
  <si>
    <t>Охват маркетплейсы, чел.</t>
  </si>
  <si>
    <t>CV1 (конверсия в оплаты)</t>
  </si>
  <si>
    <t>Комиссия маркетплейсам</t>
  </si>
  <si>
    <t>Кол-во возвратов в месяц</t>
  </si>
  <si>
    <t>Средняя стоимость возвратов, руб.</t>
  </si>
  <si>
    <t>Выручка от доппродаж</t>
  </si>
  <si>
    <t>Себестоимость материалов и упаковки 35,5% от выручки</t>
  </si>
  <si>
    <t>Штат, чел. (мастер, кладовщик, разнорабочий, завхоз, водители)</t>
  </si>
  <si>
    <t>Зарплата</t>
  </si>
  <si>
    <t>Аренда склада + коммуналка</t>
  </si>
  <si>
    <t>Приобретение инструментов</t>
  </si>
  <si>
    <t>Содержание производственных помещений</t>
  </si>
  <si>
    <t>Улучшение производственных помещений</t>
  </si>
  <si>
    <t>Ремонт произв.оборудования, детали, запчасти</t>
  </si>
  <si>
    <t>Аренда автомобилей</t>
  </si>
  <si>
    <t xml:space="preserve">Обслуживание и содержание автомобилей </t>
  </si>
  <si>
    <t>Косвенные административные</t>
  </si>
  <si>
    <t>Финдиректор на аутсорсе</t>
  </si>
  <si>
    <t>Содержание офиса</t>
  </si>
  <si>
    <t>Расходы на офис (чай, печеньки)</t>
  </si>
  <si>
    <t>Аренда офиса + коммунальные</t>
  </si>
  <si>
    <t>Плата за ПО (Эльба)</t>
  </si>
  <si>
    <t>Расходы на регионы</t>
  </si>
  <si>
    <t>Ежемесячные расходы с июля:</t>
  </si>
  <si>
    <t>аренда склада г.Казань</t>
  </si>
  <si>
    <t>зарплата кладовщика</t>
  </si>
  <si>
    <t>интернет</t>
  </si>
  <si>
    <t>[........]</t>
  </si>
  <si>
    <t>Разовые расходы в месяц запуска/ периодически:</t>
  </si>
  <si>
    <t>приобретение камер</t>
  </si>
  <si>
    <t>приобретение компьютера</t>
  </si>
  <si>
    <t>командировка (бензин)</t>
  </si>
  <si>
    <t>стеллажи</t>
  </si>
  <si>
    <t>Косвенные коммерческие</t>
  </si>
  <si>
    <t>Кол-во менеджеров по продажам</t>
  </si>
  <si>
    <t>% мен-рам от выручки</t>
  </si>
  <si>
    <t>ЗП отдела продаж оклад</t>
  </si>
  <si>
    <t>ЗП отдела продаж %</t>
  </si>
  <si>
    <t>Оклад руководителя отдела продаж</t>
  </si>
  <si>
    <t>Зарплата smm-менеджера</t>
  </si>
  <si>
    <t>Расходы на рекламу (авито)</t>
  </si>
  <si>
    <t>Расходы на рекламу (% маркетплейсам)</t>
  </si>
  <si>
    <t>Рендеры и прочее для маркетинга</t>
  </si>
  <si>
    <t xml:space="preserve">УСН 1% </t>
  </si>
  <si>
    <t>Проценты по кредиту</t>
  </si>
  <si>
    <t>Амортизация имеющихся ОС</t>
  </si>
  <si>
    <t>Амортизация новых ОС</t>
  </si>
  <si>
    <t>Фонды</t>
  </si>
  <si>
    <t>Фонд 1 Амортизационный</t>
  </si>
  <si>
    <t>Накопленным итогом</t>
  </si>
  <si>
    <t>Фонд 2 Фонд налогов</t>
  </si>
  <si>
    <t>накопить ~1млн</t>
  </si>
  <si>
    <t>Фонд 3 Фонд благосостояния</t>
  </si>
  <si>
    <t>Фонд 4 Дивиденды</t>
  </si>
  <si>
    <t xml:space="preserve">Фонд 5 </t>
  </si>
  <si>
    <t>Лизинговый платеж в месяц</t>
  </si>
  <si>
    <t>Сумма долга по лизингу на 01.01.23</t>
  </si>
  <si>
    <t>Взяли кредит [дата]</t>
  </si>
  <si>
    <t>Дивиденды (отчисляем в фонд)</t>
  </si>
  <si>
    <t>Отчисления в фонды 1-3</t>
  </si>
  <si>
    <t xml:space="preserve">Сумма купленного ОС </t>
  </si>
  <si>
    <t>Сумма ежемесячной амортизации</t>
  </si>
  <si>
    <t>Основные средства на начальный период</t>
  </si>
  <si>
    <t>Основные средства на конечный период</t>
  </si>
  <si>
    <t xml:space="preserve">Срок полезного использования ОС, в мес. </t>
  </si>
  <si>
    <t>Остаточная стоимость основных средств, купленных в прошлом году, по состоянию на конечный период</t>
  </si>
  <si>
    <r>
      <rPr>
        <rFont val="Arial"/>
        <b/>
        <sz val="12.0"/>
      </rPr>
      <t xml:space="preserve">Запасы все </t>
    </r>
    <r>
      <rPr>
        <rFont val="Arial"/>
        <b val="0"/>
        <sz val="12.0"/>
      </rPr>
      <t>(фанера, брус, ткань, готовая продукция, незавершенка)</t>
    </r>
  </si>
  <si>
    <t>Дебиторская задолженность клиентов</t>
  </si>
  <si>
    <t>с учетом суммы от МП на конец месяца</t>
  </si>
  <si>
    <t>Основные средства</t>
  </si>
  <si>
    <t>Остальные фонды</t>
  </si>
  <si>
    <t>Выручка/ Операционный оборотный капитал</t>
  </si>
  <si>
    <t>Отрасль</t>
  </si>
  <si>
    <t>Описание файла</t>
  </si>
  <si>
    <t>Финмодель франшизы</t>
  </si>
  <si>
    <t>На примере фотосалона. Чтобы пользоваться, создайте копию файла</t>
  </si>
  <si>
    <t>Финмодель салона красоты</t>
  </si>
  <si>
    <t>На 1, 2, 3 года</t>
  </si>
  <si>
    <t>Инвестиционная финмодель</t>
  </si>
  <si>
    <t>На примере стоматологии. С расчетом окупаемости и с аналитической запиской</t>
  </si>
  <si>
    <t>Финмодель транспортной компании</t>
  </si>
  <si>
    <t>Пример, который можно использовать как шаблон</t>
  </si>
  <si>
    <t>Финансовая модель кофейни</t>
  </si>
  <si>
    <t>Пример для кофейни-буфета и нескольких точек. Можно использовать как шаблон</t>
  </si>
  <si>
    <t>Финмодель ресторана</t>
  </si>
  <si>
    <t>На примере доставки роллов. С графиками и аналитической запиской. Можно использовать как шаблон</t>
  </si>
  <si>
    <t>Финмодель гостиницы</t>
  </si>
  <si>
    <t>Пример с коэффициентами сезонности, дополнительными услугами и графиками. Можно использовать как шаблон</t>
  </si>
  <si>
    <t>Финмодель онлайн-школы</t>
  </si>
  <si>
    <t>Пример для тех, кто учит взрослых и детей онлайн, продает курсы и информационные продукты. С графиками и разными источниками трафика. Можно использовать как шаблон</t>
  </si>
  <si>
    <t>Финмодель интернет-магазина</t>
  </si>
  <si>
    <t>Пример с воронкой продаж, разными каналами трафика и оптовым направлением. Можно использовать как шаблон</t>
  </si>
  <si>
    <t>Финансовая модель магазина одежды</t>
  </si>
  <si>
    <t>Пример для магазина одежды и аксессуаров. С вопросами для собственника и разбивкой по направлениям. Можно использовать как шаблон</t>
  </si>
  <si>
    <t>Финансовая модель застройщика</t>
  </si>
  <si>
    <t>Пример модели для застройщика с несколькими направлениями или проектами, воронкой продаж и множеством источников трафика. Можно использовать как пример</t>
  </si>
  <si>
    <t>Финансовая модель стартапа</t>
  </si>
  <si>
    <t>Пример финмодели стартапа. С инвестиционными показателями и расчетом точки безубыточности. Можно использовать как пример</t>
  </si>
  <si>
    <t>Финмодель рекламного агентства</t>
  </si>
  <si>
    <t>Пример финмодели для рекламного агентства. Подойдет и для тех, кто оказывает маркетинговые услуги: реклама, создание и продвижение контента, брендинг, услуги дизайна и всё остальное</t>
  </si>
  <si>
    <t>Финмодель для юридических компаний</t>
  </si>
  <si>
    <t>Пример финансовой модели для юридической фирмы, оказывающей консультационные и представительские услуги</t>
  </si>
  <si>
    <t>Продажа копченой рыбы через агентов</t>
  </si>
  <si>
    <t xml:space="preserve">Количество торговых точек </t>
  </si>
  <si>
    <t>Конверсия в заключение договора</t>
  </si>
  <si>
    <t>Получили соглашение с точкой</t>
  </si>
  <si>
    <t>Конверсия в отгрузку</t>
  </si>
  <si>
    <t>Отгрузка, кол-во точек</t>
  </si>
  <si>
    <t>База клиентов</t>
  </si>
  <si>
    <t xml:space="preserve">Количество точек на начало периода </t>
  </si>
  <si>
    <t>Количество новых точек от агентов</t>
  </si>
  <si>
    <t>Отток точек</t>
  </si>
  <si>
    <t xml:space="preserve">Количество точек на конец периода </t>
  </si>
  <si>
    <t>коэф. сезонности</t>
  </si>
  <si>
    <t xml:space="preserve">Отгрузка на точку, кг в мес </t>
  </si>
  <si>
    <t>Средний чек на отгрузку, руб за кг</t>
  </si>
  <si>
    <t>Себестоиомость сырья, цена за кг +доставка</t>
  </si>
  <si>
    <t xml:space="preserve">Вознаграждение торговым агентам </t>
  </si>
  <si>
    <t xml:space="preserve">Рентабельность по маржинальному доходу, % </t>
  </si>
  <si>
    <t>Компенсация бензина торговым агентам</t>
  </si>
  <si>
    <t>Аренда помещения</t>
  </si>
  <si>
    <t>Зарплата сотрудников (с учетом налогов)</t>
  </si>
  <si>
    <t>Фиксированные премии сотрудников</t>
  </si>
  <si>
    <t>Зарплата директора</t>
  </si>
  <si>
    <t>Зарплата бухгалтера на аутсорсе</t>
  </si>
  <si>
    <t>Прочие расходы (канцелярия, хозрасходы, офисная техника)</t>
  </si>
  <si>
    <t>Период оборачиваемости запасов</t>
  </si>
  <si>
    <t>Запасы на начало периода</t>
  </si>
  <si>
    <t>Запасы на конец периода</t>
  </si>
  <si>
    <t xml:space="preserve">Дебиторская задолженность </t>
  </si>
  <si>
    <t>Период оборачиваемости ДЗ</t>
  </si>
  <si>
    <t>ДЗ на начало периода</t>
  </si>
  <si>
    <t>ДЗ на конец периода</t>
  </si>
  <si>
    <t>Движение денег</t>
  </si>
  <si>
    <t>Остаток денег на начало периода</t>
  </si>
  <si>
    <t>Движение денег по операционной деятельности</t>
  </si>
  <si>
    <t>Движение денег по инвестиционной деятельности</t>
  </si>
  <si>
    <t>Движение денег по финансовой деятельности</t>
  </si>
  <si>
    <t>Остаток денег на конец периода</t>
  </si>
  <si>
    <t>Сентябрь 24</t>
  </si>
  <si>
    <t>Октябрь 24</t>
  </si>
  <si>
    <t>Ноябрь 24</t>
  </si>
  <si>
    <t>Декабрь 24</t>
  </si>
  <si>
    <t>Итого 24 г.</t>
  </si>
  <si>
    <t>Январь 25</t>
  </si>
  <si>
    <t>Февраль 25</t>
  </si>
  <si>
    <t>Март 25</t>
  </si>
  <si>
    <t>Апрель 25</t>
  </si>
  <si>
    <t>Май 25</t>
  </si>
  <si>
    <t>Июнь 25</t>
  </si>
  <si>
    <t>Июль 25</t>
  </si>
  <si>
    <t>Август 2025</t>
  </si>
  <si>
    <t>Итого 8 мес 2025 г</t>
  </si>
  <si>
    <t>Прибыль за период 12 месяцев</t>
  </si>
  <si>
    <t>Рентабельность по чистой прибыли</t>
  </si>
  <si>
    <t>Деньги на конец периода</t>
  </si>
  <si>
    <t>ТБУ</t>
  </si>
  <si>
    <t xml:space="preserve">Выручка </t>
  </si>
  <si>
    <t xml:space="preserve">Металлопрокат	</t>
  </si>
  <si>
    <t>Сезонность юрлицом кол-во за год</t>
  </si>
  <si>
    <t>Коэффициент по цене</t>
  </si>
  <si>
    <t>Средняя цена арматуры 12</t>
  </si>
  <si>
    <t>Счет выставлено юрлицам кол-во за год</t>
  </si>
  <si>
    <t>Конверсия в оплату</t>
  </si>
  <si>
    <t>Счетов оплачено юрлицом кол-во за год</t>
  </si>
  <si>
    <t>Средний чек юрлица</t>
  </si>
  <si>
    <t>Выручка юрлица</t>
  </si>
  <si>
    <t>Сезонность физлицом кол-во за год</t>
  </si>
  <si>
    <t>Счет выставлено физлицам кол-во за год</t>
  </si>
  <si>
    <t>Счетов оплачено физлицом кол-во за год</t>
  </si>
  <si>
    <t>Средний чек физлица</t>
  </si>
  <si>
    <t>Выручка физлица</t>
  </si>
  <si>
    <t xml:space="preserve">Инструменты	</t>
  </si>
  <si>
    <t>Сезонность юрлицам</t>
  </si>
  <si>
    <t>Сезонность физлицам</t>
  </si>
  <si>
    <t>Счет выставлено физ лицам кол-во за год</t>
  </si>
  <si>
    <t>Доставка</t>
  </si>
  <si>
    <t>Сезонность</t>
  </si>
  <si>
    <t>Коэфициент по цене</t>
  </si>
  <si>
    <t>Прочие продажи</t>
  </si>
  <si>
    <t>Количество звонков</t>
  </si>
  <si>
    <t>Конверсия 1 - Звонок клиента/заявка</t>
  </si>
  <si>
    <t>КП Сформирован</t>
  </si>
  <si>
    <t>Счет выставлен</t>
  </si>
  <si>
    <t>Продажа проведена</t>
  </si>
  <si>
    <t xml:space="preserve">Себестоимость </t>
  </si>
  <si>
    <t>Себестоимость для юрлиц</t>
  </si>
  <si>
    <t>Себестоимость для физлиц</t>
  </si>
  <si>
    <t>Переменный без С/С</t>
  </si>
  <si>
    <t>Аренда и ремонт инвентаря</t>
  </si>
  <si>
    <t>ГСМ автомобили</t>
  </si>
  <si>
    <t>Инвентарь и материалы</t>
  </si>
  <si>
    <t>Посреднеческие услуги</t>
  </si>
  <si>
    <t>Премии отдела продаж</t>
  </si>
  <si>
    <t>Премия снабжения</t>
  </si>
  <si>
    <t>Премии грузчиков</t>
  </si>
  <si>
    <t>Расходы по выгрузке</t>
  </si>
  <si>
    <t>Премии сотрудников</t>
  </si>
  <si>
    <t>Материалы от контрагента</t>
  </si>
  <si>
    <t>Внутренние расходы на автомобиль</t>
  </si>
  <si>
    <t>Диагностические карты</t>
  </si>
  <si>
    <t>Диски по металлу</t>
  </si>
  <si>
    <t>Доставка силами поставщика</t>
  </si>
  <si>
    <t>Запчасти и материалы</t>
  </si>
  <si>
    <t>Медицинские осмотры</t>
  </si>
  <si>
    <t>Онлайн платформа для закупок</t>
  </si>
  <si>
    <t>Оформление авто (постановка на учет, техосмотр)</t>
  </si>
  <si>
    <t>Парковка авто</t>
  </si>
  <si>
    <t>Перевозка сторонним транспортом</t>
  </si>
  <si>
    <t>Перегон автотранспорта</t>
  </si>
  <si>
    <t>Перчатки</t>
  </si>
  <si>
    <t>Платная дорога</t>
  </si>
  <si>
    <t>Платрум</t>
  </si>
  <si>
    <t>Полис (гарантия)</t>
  </si>
  <si>
    <t>Проверка контрагентов</t>
  </si>
  <si>
    <t>Проверка физлиц</t>
  </si>
  <si>
    <t>Пропуска</t>
  </si>
  <si>
    <t>Ремонт весов</t>
  </si>
  <si>
    <t>Смарт-карты (топливо)</t>
  </si>
  <si>
    <t>Такском</t>
  </si>
  <si>
    <t>Транспондер</t>
  </si>
  <si>
    <t>Услуги эвакуатора</t>
  </si>
  <si>
    <t>Шиномонтаж автомобиля</t>
  </si>
  <si>
    <t>Штраф (Весовой контроль и прочее)</t>
  </si>
  <si>
    <t>Штрафы за парковку</t>
  </si>
  <si>
    <t xml:space="preserve">Посреднеческие услуги			</t>
  </si>
  <si>
    <t>Рентабельность по маржинальной прибыли прибыли</t>
  </si>
  <si>
    <t>Маржинальная прибыль Металлопрокат</t>
  </si>
  <si>
    <t>Рентабельность по марже металлопрокат</t>
  </si>
  <si>
    <t>Маржинальная прибыль Инструменты</t>
  </si>
  <si>
    <t>Рентабельность по марже Инструменты</t>
  </si>
  <si>
    <t>Маржинальная прибыль Доставка</t>
  </si>
  <si>
    <t>Рентабельность по марже Доставка</t>
  </si>
  <si>
    <t>Маржинальная прибыль Прочие продажи</t>
  </si>
  <si>
    <t>Рентабельность по марже Прочие продажи</t>
  </si>
  <si>
    <t>Постоянные расходы</t>
  </si>
  <si>
    <t>1. Металлопрокат</t>
  </si>
  <si>
    <t>Оклад сотрудников</t>
  </si>
  <si>
    <t>Аренда торговой точки</t>
  </si>
  <si>
    <t>2. Инструменты</t>
  </si>
  <si>
    <t>3. Доставка оклад сотрудников</t>
  </si>
  <si>
    <t xml:space="preserve">Валовая прибыль </t>
  </si>
  <si>
    <t>Рентабельность по валовой прибыли</t>
  </si>
  <si>
    <t>Валовая прибыль  Металлопрокат</t>
  </si>
  <si>
    <t>Рентабельность по валовой прибыли Металлопрокат</t>
  </si>
  <si>
    <t>Валовая прибыль  Инструмент</t>
  </si>
  <si>
    <t>Рентабельность по валовой прибыли Инструмент</t>
  </si>
  <si>
    <t>Валовая прибыль  Доставка</t>
  </si>
  <si>
    <t>Рентабельность по валовой прибыли Доставка</t>
  </si>
  <si>
    <t>Валовая прибыль  Прочие продажи</t>
  </si>
  <si>
    <t>Рентабельность по валовой прибыли прочие продажи</t>
  </si>
  <si>
    <t>КОСВЕННЫЕ РАСХОДЫ</t>
  </si>
  <si>
    <t>Услуги связи</t>
  </si>
  <si>
    <t>Налоги на зарплату офиса</t>
  </si>
  <si>
    <t>Обучение персонала</t>
  </si>
  <si>
    <t>IT инфраструктура</t>
  </si>
  <si>
    <t>Реклама (Онлайн)</t>
  </si>
  <si>
    <t>Реклама (Офлайн)</t>
  </si>
  <si>
    <t>Прибыль до налогообложения (Операционная прибыль)</t>
  </si>
  <si>
    <t>Рентабельность по Операционной прибыли</t>
  </si>
  <si>
    <t>ДОХОДЫ НИЖЕ EBITDA</t>
  </si>
  <si>
    <t>Продажа металлолома</t>
  </si>
  <si>
    <t>Продажа отработанного масла</t>
  </si>
  <si>
    <t>Прочие доходы % банка</t>
  </si>
  <si>
    <t>РАСХОДЫ НИЖЕ EBITDA</t>
  </si>
  <si>
    <t>% за пользование Коммерческим кредитом</t>
  </si>
  <si>
    <t>% по кредитам</t>
  </si>
  <si>
    <t>Налог на имущество организаций</t>
  </si>
  <si>
    <t>Налог на прибыль РБ</t>
  </si>
  <si>
    <t>Налог на прибыль ФБ</t>
  </si>
  <si>
    <t>Страхование имущества (для кредита)</t>
  </si>
  <si>
    <t>Транспортный налог</t>
  </si>
  <si>
    <t>Чистая прибыль накопленныем итогом</t>
  </si>
  <si>
    <t>Дивиденды 1</t>
  </si>
  <si>
    <t>Дивиденды 2</t>
  </si>
  <si>
    <t>Дивиденды накопленным итогом</t>
  </si>
  <si>
    <t>Проценты по кредитам  к уплате</t>
  </si>
  <si>
    <t>Проценты по лизингу</t>
  </si>
  <si>
    <t>Проценты по вкладам банка</t>
  </si>
  <si>
    <t xml:space="preserve">Запасы на конец месяца </t>
  </si>
  <si>
    <t>Дебиторская задолженность поставщиков/подрядчиков (ваши авансы поставщикам)</t>
  </si>
  <si>
    <t>Кредиторская задолженность поставщики/подрядчики (отсрочки платежей)</t>
  </si>
  <si>
    <t>Кредиторская задолженность Клиентов (авансы)</t>
  </si>
  <si>
    <t>Оплата НДС</t>
  </si>
  <si>
    <t>Взял кредит (тело кредита)</t>
  </si>
  <si>
    <t>Выплатил кредит (тело кредита)</t>
  </si>
  <si>
    <t>Предоставляем финансового директора, который выстроит 
управленческий учет и возьмет процессы под контроль</t>
  </si>
  <si>
    <t>Инструкция по этому шаблону</t>
  </si>
  <si>
    <t>ОПИСАНИЕ ФИНАНСОВОЙ МОДЕЛИ</t>
  </si>
  <si>
    <t>Наши продукты</t>
  </si>
  <si>
    <t>Бесплатная онлайн-встреча с финансовым директором для предпринимателей</t>
  </si>
  <si>
    <t>Онлайн-практикум Финучет на маркетплейсах</t>
  </si>
  <si>
    <t>Финучет за 10 часов для предпринимателей</t>
  </si>
  <si>
    <t>Мы в соцсетях</t>
  </si>
  <si>
    <t>YouTube</t>
  </si>
  <si>
    <t>Телеграм</t>
  </si>
  <si>
    <t>Вконтакте</t>
  </si>
  <si>
    <t>Наша полезная Газета</t>
  </si>
  <si>
    <t>Газета</t>
  </si>
  <si>
    <t>На связи</t>
  </si>
  <si>
    <t>8 800 551-85-81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</si>
</sst>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[$р.-419]#,##0"/>
    <numFmt numFmtId="166" formatCode="#,##0.0"/>
    <numFmt numFmtId="167" formatCode="#,##0;\(#,##0\);\-"/>
    <numFmt numFmtId="168" formatCode="# ### ##0"/>
    <numFmt numFmtId="169" formatCode="# ##0"/>
    <numFmt numFmtId="170" formatCode="dd.mm.yyyy"/>
    <numFmt numFmtId="171" formatCode="[$-419]mmmm\ yyyy"/>
    <numFmt numFmtId="172" formatCode="0.0000000%"/>
  </numFmts>
  <fonts count="80">
    <font>
      <sz val="10.0"/>
      <color rgb="FF000000"/>
      <name val="Arial"/>
    </font>
    <font>
      <name val="Open Sans"/>
    </font>
    <font>
      <sz val="12.0"/>
      <color rgb="FFFFFFFF"/>
      <name val="Open Sans"/>
    </font>
    <font>
      <b/>
      <color rgb="FFFFFFFF"/>
      <name val="Open Sans"/>
    </font>
    <font>
      <color rgb="FFFFFFFF"/>
      <name val="Open Sans"/>
    </font>
    <font>
      <i/>
      <name val="Open Sans"/>
    </font>
    <font>
      <b/>
      <name val="Open Sans"/>
    </font>
    <font/>
    <font>
      <sz val="12.0"/>
      <color rgb="FFFFFFFF"/>
    </font>
    <font>
      <b/>
      <color rgb="FFFFFFFF"/>
    </font>
    <font>
      <color rgb="FFFFFFFF"/>
    </font>
    <font>
      <i/>
    </font>
    <font>
      <b/>
    </font>
    <font>
      <sz val="10.0"/>
      <name val="Arial"/>
    </font>
    <font>
      <b/>
      <sz val="10.0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sz val="12.0"/>
      <color rgb="FFFFFFFF"/>
      <name val="Arial"/>
    </font>
    <font>
      <sz val="10.0"/>
      <color rgb="FF3C78D8"/>
      <name val="Arial"/>
    </font>
    <font>
      <sz val="10.0"/>
      <color rgb="FFFF0000"/>
      <name val="Arial"/>
    </font>
    <font>
      <sz val="10.0"/>
      <color rgb="FF4A86E8"/>
      <name val="Arial"/>
    </font>
    <font>
      <b/>
      <sz val="10.0"/>
      <color rgb="FF000000"/>
      <name val="Arial"/>
    </font>
    <font>
      <name val="Arial"/>
    </font>
    <font>
      <b/>
      <color rgb="FFFF0000"/>
      <name val="Arial"/>
    </font>
    <font>
      <b/>
      <name val="Arial"/>
    </font>
    <font>
      <b/>
      <i/>
      <name val="Arial"/>
    </font>
    <font>
      <b/>
      <sz val="12.0"/>
      <name val="Arial"/>
    </font>
    <font>
      <i/>
      <name val="Arial"/>
    </font>
    <font>
      <i/>
      <sz val="8.0"/>
      <name val="Arial"/>
    </font>
    <font>
      <sz val="8.0"/>
      <name val="Arial"/>
    </font>
    <font>
      <sz val="11.0"/>
      <color rgb="FF7E3794"/>
      <name val="Arial"/>
    </font>
    <font>
      <i/>
      <sz val="9.0"/>
      <name val="Arial"/>
    </font>
    <font>
      <sz val="7.0"/>
      <name val="Arial"/>
    </font>
    <font>
      <b/>
      <sz val="12.0"/>
      <color rgb="FFFF0000"/>
      <name val="Arial"/>
    </font>
    <font>
      <b/>
      <sz val="12.0"/>
      <color rgb="FF000000"/>
      <name val="Arial"/>
    </font>
    <font>
      <sz val="12.0"/>
      <name val="Arial"/>
    </font>
    <font>
      <i/>
      <sz val="12.0"/>
      <name val="Arial"/>
    </font>
    <font>
      <sz val="12.0"/>
      <color rgb="FF000000"/>
      <name val="Arial"/>
    </font>
    <font>
      <b/>
      <sz val="15.0"/>
    </font>
    <font>
      <b/>
      <u/>
      <sz val="10.0"/>
      <color rgb="FF0000FF"/>
    </font>
    <font>
      <sz val="10.0"/>
    </font>
    <font>
      <b/>
      <u/>
      <sz val="10.0"/>
      <color rgb="FF0000FF"/>
    </font>
    <font>
      <b/>
      <u/>
      <sz val="10.0"/>
      <color rgb="FF0000FF"/>
    </font>
    <font>
      <b/>
      <u/>
      <sz val="10.0"/>
      <color rgb="FF0000FF"/>
    </font>
    <font>
      <sz val="10.0"/>
      <color rgb="FF000000"/>
    </font>
    <font>
      <b/>
      <u/>
      <color rgb="FF0000FF"/>
    </font>
    <font>
      <b/>
      <sz val="11.0"/>
      <color rgb="FFFFFFFF"/>
      <name val="Arial"/>
    </font>
    <font>
      <i/>
      <sz val="10.0"/>
      <name val="Arial"/>
    </font>
    <font>
      <sz val="11.0"/>
      <name val="Calibri"/>
    </font>
    <font>
      <name val="Calibri"/>
    </font>
    <font>
      <sz val="12.0"/>
      <name val="Calibri"/>
    </font>
    <font>
      <b/>
      <name val="Calibri"/>
    </font>
    <font>
      <b/>
      <sz val="11.0"/>
      <name val="Calibri"/>
    </font>
    <font>
      <b/>
      <color rgb="FFFFFFFF"/>
      <name val="Calibri"/>
    </font>
    <font>
      <b/>
      <color rgb="FF385623"/>
      <name val="Calibri"/>
    </font>
    <font>
      <b/>
      <sz val="12.0"/>
      <color rgb="FF385623"/>
      <name val="Calibri"/>
    </font>
    <font>
      <color rgb="FF385623"/>
      <name val="Calibri"/>
    </font>
    <font>
      <b/>
      <sz val="11.0"/>
      <color rgb="FFFFFFFF"/>
      <name val="Calibri"/>
    </font>
    <font>
      <color rgb="FFFF0000"/>
      <name val="Calibri"/>
    </font>
    <font>
      <b/>
      <color rgb="FFFF0000"/>
      <name val="Calibri"/>
    </font>
    <font>
      <sz val="14.0"/>
      <color rgb="FF434343"/>
    </font>
    <font>
      <sz val="14.0"/>
      <name val="Source Sans Pro"/>
    </font>
    <font>
      <u/>
      <sz val="18.0"/>
      <color rgb="FF1155CC"/>
      <name val="Source Sans Pro"/>
    </font>
    <font>
      <u/>
      <sz val="18.0"/>
      <color rgb="FF0000FF"/>
      <name val="Source Sans Pro"/>
    </font>
    <font>
      <u/>
      <sz val="14.0"/>
      <color rgb="FF1155CC"/>
      <name val="Source Sans Pro"/>
    </font>
    <font>
      <u/>
      <sz val="14.0"/>
      <color rgb="FF0000FF"/>
      <name val="Source Sans Pro"/>
    </font>
    <font>
      <b/>
      <sz val="18.0"/>
      <color rgb="FF000000"/>
      <name val="Source Sans Pro"/>
    </font>
    <font>
      <u/>
      <sz val="14.0"/>
      <color rgb="FF1155CC"/>
      <name val="Source Sans Pro"/>
    </font>
    <font>
      <u/>
      <sz val="14.0"/>
      <color rgb="FF1155CC"/>
      <name val="Source Sans Pro"/>
    </font>
    <font>
      <u/>
      <sz val="14.0"/>
      <color rgb="FF1155CC"/>
      <name val="Source Sans Pro"/>
    </font>
    <font>
      <b/>
      <sz val="10.0"/>
      <name val="Source Sans Pro"/>
    </font>
    <font>
      <sz val="15.0"/>
      <color rgb="FF000000"/>
      <name val="Source Sans Pro"/>
    </font>
    <font>
      <u/>
      <sz val="15.0"/>
      <color rgb="FF0000FF"/>
      <name val="Source Sans Pro"/>
    </font>
    <font>
      <u/>
      <sz val="15.0"/>
      <color rgb="FF0000FF"/>
      <name val="Source Sans Pro"/>
    </font>
    <font>
      <u/>
      <sz val="15.0"/>
      <color rgb="FF0000FF"/>
      <name val="Source Sans Pro"/>
    </font>
    <font>
      <u/>
      <sz val="14.0"/>
      <color rgb="FF1155CC"/>
      <name val="Source Sans Pro"/>
    </font>
    <font>
      <u/>
      <sz val="14.0"/>
      <color rgb="FF0000FF"/>
      <name val="Source Sans Pro"/>
    </font>
    <font>
      <u/>
      <sz val="14.0"/>
      <color rgb="FF1155CC"/>
      <name val="Source Sans Pro"/>
    </font>
    <font>
      <u/>
      <sz val="14.0"/>
      <color rgb="FF1155CC"/>
      <name val="Source Sans Pro"/>
    </font>
    <font>
      <sz val="14.0"/>
      <color rgb="FF000000"/>
      <name val="Source Sans Pro"/>
    </font>
  </fonts>
  <fills count="4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385623"/>
        <bgColor rgb="FF385623"/>
      </patternFill>
    </fill>
    <fill>
      <patternFill patternType="solid">
        <fgColor rgb="FFC5E0B3"/>
        <bgColor rgb="FFC5E0B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57BB8A"/>
        <bgColor rgb="FF57BB8A"/>
      </patternFill>
    </fill>
    <fill>
      <patternFill patternType="solid">
        <fgColor rgb="FFECF8F2"/>
        <bgColor rgb="FFECF8F2"/>
      </patternFill>
    </fill>
    <fill>
      <patternFill patternType="solid">
        <fgColor rgb="FFE67C73"/>
        <bgColor rgb="FFE67C73"/>
      </patternFill>
    </fill>
    <fill>
      <patternFill patternType="solid">
        <fgColor rgb="FFF4CAC6"/>
        <bgColor rgb="FFF4CAC6"/>
      </patternFill>
    </fill>
    <fill>
      <patternFill patternType="solid">
        <fgColor rgb="FFE98F87"/>
        <bgColor rgb="FFE98F87"/>
      </patternFill>
    </fill>
    <fill>
      <patternFill patternType="solid">
        <fgColor rgb="FFEDA29B"/>
        <bgColor rgb="FFEDA29B"/>
      </patternFill>
    </fill>
    <fill>
      <patternFill patternType="solid">
        <fgColor rgb="FFF2BFBB"/>
        <bgColor rgb="FFF2BFBB"/>
      </patternFill>
    </fill>
    <fill>
      <patternFill patternType="solid">
        <fgColor rgb="FFFDF6F6"/>
        <bgColor rgb="FFFDF6F6"/>
      </patternFill>
    </fill>
    <fill>
      <patternFill patternType="solid">
        <fgColor rgb="FFABDDC4"/>
        <bgColor rgb="FFABDDC4"/>
      </patternFill>
    </fill>
    <fill>
      <patternFill patternType="solid">
        <fgColor rgb="FFA3DABF"/>
        <bgColor rgb="FFA3DABF"/>
      </patternFill>
    </fill>
    <fill>
      <patternFill patternType="solid">
        <fgColor rgb="FFBDE4D1"/>
        <bgColor rgb="FFBDE4D1"/>
      </patternFill>
    </fill>
    <fill>
      <patternFill patternType="solid">
        <fgColor rgb="FF96D5B6"/>
        <bgColor rgb="FF96D5B6"/>
      </patternFill>
    </fill>
    <fill>
      <patternFill patternType="solid">
        <fgColor rgb="FFCFECDE"/>
        <bgColor rgb="FFCFECDE"/>
      </patternFill>
    </fill>
    <fill>
      <patternFill patternType="solid">
        <fgColor rgb="FFF2BEBA"/>
        <bgColor rgb="FFF2BEBA"/>
      </patternFill>
    </fill>
    <fill>
      <patternFill patternType="solid">
        <fgColor rgb="FFF7D9D6"/>
        <bgColor rgb="FFF7D9D6"/>
      </patternFill>
    </fill>
    <fill>
      <patternFill patternType="solid">
        <fgColor rgb="FFFDF7F7"/>
        <bgColor rgb="FFFDF7F7"/>
      </patternFill>
    </fill>
    <fill>
      <patternFill patternType="solid">
        <fgColor rgb="FFF1B9B5"/>
        <bgColor rgb="FFF1B9B5"/>
      </patternFill>
    </fill>
    <fill>
      <patternFill patternType="solid">
        <fgColor rgb="FFF9E1DF"/>
        <bgColor rgb="FFF9E1DF"/>
      </patternFill>
    </fill>
    <fill>
      <patternFill patternType="solid">
        <fgColor rgb="FF9CD7BA"/>
        <bgColor rgb="FF9CD7BA"/>
      </patternFill>
    </fill>
    <fill>
      <patternFill patternType="solid">
        <fgColor rgb="FFAFDFC7"/>
        <bgColor rgb="FFAFDFC7"/>
      </patternFill>
    </fill>
    <fill>
      <patternFill patternType="solid">
        <fgColor rgb="FF98D6B7"/>
        <bgColor rgb="FF98D6B7"/>
      </patternFill>
    </fill>
    <fill>
      <patternFill patternType="solid">
        <fgColor rgb="FFEA9999"/>
        <bgColor rgb="FFEA9999"/>
      </patternFill>
    </fill>
    <fill>
      <patternFill patternType="solid">
        <fgColor rgb="FFF4C7C3"/>
        <bgColor rgb="FFF4C7C3"/>
      </patternFill>
    </fill>
  </fills>
  <borders count="24">
    <border/>
    <border>
      <bottom style="thin">
        <color rgb="FF000000"/>
      </bottom>
    </border>
    <border>
      <right style="thin">
        <color rgb="FF000000"/>
      </right>
    </border>
    <border>
      <right/>
      <bottom style="thin">
        <color rgb="FF000000"/>
      </bottom>
    </border>
    <border>
      <left/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top/>
      <bottom/>
    </border>
    <border>
      <left/>
      <right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F3F3F3"/>
      </left>
      <top style="thin">
        <color rgb="FFF3F3F3"/>
      </top>
    </border>
    <border>
      <top style="thin">
        <color rgb="FFF3F3F3"/>
      </top>
    </border>
    <border>
      <right style="thin">
        <color rgb="FFF3F3F3"/>
      </right>
      <top style="thin">
        <color rgb="FFF3F3F3"/>
      </top>
    </border>
    <border>
      <left style="thin">
        <color rgb="FFF3F3F3"/>
      </left>
      <bottom style="thin">
        <color rgb="FFF3F3F3"/>
      </bottom>
    </border>
    <border>
      <bottom style="thin">
        <color rgb="FFF3F3F3"/>
      </bottom>
    </border>
    <border>
      <right style="thin">
        <color rgb="FFF3F3F3"/>
      </right>
      <bottom style="thin">
        <color rgb="FFF3F3F3"/>
      </bottom>
    </border>
  </borders>
  <cellStyleXfs count="1">
    <xf borderId="0" fillId="0" fontId="0" numFmtId="0" applyAlignment="1" applyFont="1"/>
  </cellStyleXfs>
  <cellXfs count="6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2" fontId="3" numFmtId="4" xfId="0" applyAlignment="1" applyFont="1" applyNumberFormat="1">
      <alignment horizontal="left" readingOrder="0" shrinkToFit="0" vertical="center" wrapText="1"/>
    </xf>
    <xf borderId="0" fillId="2" fontId="4" numFmtId="4" xfId="0" applyAlignment="1" applyFont="1" applyNumberFormat="1">
      <alignment horizontal="left" readingOrder="0" shrinkToFit="0" vertical="center" wrapText="1"/>
    </xf>
    <xf borderId="0" fillId="0" fontId="1" numFmtId="3" xfId="0" applyAlignment="1" applyFont="1" applyNumberFormat="1">
      <alignment horizontal="left" readingOrder="0" shrinkToFit="0" vertical="top" wrapText="1"/>
    </xf>
    <xf borderId="0" fillId="3" fontId="1" numFmtId="9" xfId="0" applyAlignment="1" applyFill="1" applyFont="1" applyNumberFormat="1">
      <alignment horizontal="left" readingOrder="0" shrinkToFit="0" vertical="top" wrapText="1"/>
    </xf>
    <xf borderId="0" fillId="0" fontId="1" numFmtId="3" xfId="0" applyAlignment="1" applyFont="1" applyNumberFormat="1">
      <alignment horizontal="left" shrinkToFit="0" vertical="top" wrapText="1"/>
    </xf>
    <xf borderId="0" fillId="3" fontId="1" numFmtId="3" xfId="0" applyAlignment="1" applyFont="1" applyNumberFormat="1">
      <alignment horizontal="left" readingOrder="0" shrinkToFit="0" vertical="top" wrapText="1"/>
    </xf>
    <xf borderId="0" fillId="0" fontId="1" numFmtId="4" xfId="0" applyAlignment="1" applyFont="1" applyNumberFormat="1">
      <alignment horizontal="left" shrinkToFit="0" vertical="top" wrapText="1"/>
    </xf>
    <xf borderId="0" fillId="3" fontId="1" numFmtId="4" xfId="0" applyAlignment="1" applyFont="1" applyNumberFormat="1">
      <alignment horizontal="left" readingOrder="0" shrinkToFit="0" vertical="top" wrapText="1"/>
    </xf>
    <xf borderId="0" fillId="4" fontId="1" numFmtId="0" xfId="0" applyAlignment="1" applyFill="1" applyFont="1">
      <alignment horizontal="left" readingOrder="0" shrinkToFit="0" vertical="top" wrapText="1"/>
    </xf>
    <xf borderId="0" fillId="4" fontId="1" numFmtId="4" xfId="0" applyAlignment="1" applyFont="1" applyNumberForma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5" fontId="2" numFmtId="0" xfId="0" applyAlignment="1" applyFill="1" applyFont="1">
      <alignment horizontal="left" readingOrder="0" shrinkToFit="0" vertical="center" wrapText="1"/>
    </xf>
    <xf borderId="0" fillId="5" fontId="4" numFmtId="4" xfId="0" applyAlignment="1" applyFont="1" applyNumberFormat="1">
      <alignment horizontal="left" shrinkToFit="0" vertical="center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164" xfId="0" applyAlignment="1" applyFont="1" applyNumberFormat="1">
      <alignment horizontal="left" shrinkToFit="0" vertical="top" wrapText="1"/>
    </xf>
    <xf borderId="0" fillId="2" fontId="4" numFmtId="4" xfId="0" applyAlignment="1" applyFont="1" applyNumberFormat="1">
      <alignment horizontal="left" shrinkToFit="0" vertical="center" wrapText="1"/>
    </xf>
    <xf borderId="0" fillId="0" fontId="5" numFmtId="10" xfId="0" applyAlignment="1" applyFont="1" applyNumberFormat="1">
      <alignment horizontal="left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6" fontId="1" numFmtId="4" xfId="0" applyAlignment="1" applyFill="1" applyFont="1" applyNumberForma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2" fontId="8" numFmtId="3" xfId="0" applyAlignment="1" applyFont="1" applyNumberFormat="1">
      <alignment horizontal="left" readingOrder="0" shrinkToFit="0" vertical="center" wrapText="1"/>
    </xf>
    <xf borderId="0" fillId="2" fontId="9" numFmtId="3" xfId="0" applyAlignment="1" applyFont="1" applyNumberFormat="1">
      <alignment horizontal="left" readingOrder="0" shrinkToFit="0" vertical="center" wrapText="1"/>
    </xf>
    <xf borderId="0" fillId="2" fontId="10" numFmtId="3" xfId="0" applyAlignment="1" applyFont="1" applyNumberFormat="1">
      <alignment horizontal="left" readingOrder="0" shrinkToFit="0" vertical="center" wrapText="1"/>
    </xf>
    <xf borderId="0" fillId="0" fontId="7" numFmtId="3" xfId="0" applyAlignment="1" applyFont="1" applyNumberFormat="1">
      <alignment horizontal="left" readingOrder="0" shrinkToFit="0" vertical="top" wrapText="1"/>
    </xf>
    <xf borderId="0" fillId="3" fontId="7" numFmtId="3" xfId="0" applyAlignment="1" applyFont="1" applyNumberFormat="1">
      <alignment horizontal="left" readingOrder="0" shrinkToFit="0" vertical="top" wrapText="1"/>
    </xf>
    <xf borderId="0" fillId="0" fontId="7" numFmtId="3" xfId="0" applyAlignment="1" applyFont="1" applyNumberFormat="1">
      <alignment horizontal="left" shrinkToFit="0" vertical="top" wrapText="1"/>
    </xf>
    <xf borderId="0" fillId="3" fontId="7" numFmtId="9" xfId="0" applyAlignment="1" applyFont="1" applyNumberFormat="1">
      <alignment horizontal="left" readingOrder="0" shrinkToFit="0" vertical="top" wrapText="1"/>
    </xf>
    <xf borderId="0" fillId="0" fontId="7" numFmtId="4" xfId="0" applyAlignment="1" applyFont="1" applyNumberFormat="1">
      <alignment horizontal="left" shrinkToFit="0" vertical="top" wrapText="1"/>
    </xf>
    <xf borderId="0" fillId="0" fontId="7" numFmtId="4" xfId="0" applyAlignment="1" applyFont="1" applyNumberFormat="1">
      <alignment horizontal="left" readingOrder="0" shrinkToFit="0" vertical="top" wrapText="1"/>
    </xf>
    <xf borderId="0" fillId="4" fontId="7" numFmtId="3" xfId="0" applyAlignment="1" applyFont="1" applyNumberFormat="1">
      <alignment horizontal="left" readingOrder="0" shrinkToFit="0" vertical="top" wrapText="1"/>
    </xf>
    <xf borderId="0" fillId="4" fontId="7" numFmtId="3" xfId="0" applyAlignment="1" applyFont="1" applyNumberFormat="1">
      <alignment horizontal="left" shrinkToFit="0" vertical="top" wrapText="1"/>
    </xf>
    <xf borderId="0" fillId="3" fontId="7" numFmtId="4" xfId="0" applyAlignment="1" applyFont="1" applyNumberFormat="1">
      <alignment horizontal="left" readingOrder="0" shrinkToFit="0" vertical="top" wrapText="1"/>
    </xf>
    <xf borderId="0" fillId="0" fontId="7" numFmtId="3" xfId="0" applyAlignment="1" applyFont="1" applyNumberFormat="1">
      <alignment horizontal="left" readingOrder="0" shrinkToFit="0" vertical="top" wrapText="1"/>
    </xf>
    <xf borderId="0" fillId="0" fontId="7" numFmtId="3" xfId="0" applyAlignment="1" applyFont="1" applyNumberForma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5" fontId="8" numFmtId="3" xfId="0" applyAlignment="1" applyFont="1" applyNumberFormat="1">
      <alignment horizontal="left" readingOrder="0" shrinkToFit="0" vertical="center" wrapText="1"/>
    </xf>
    <xf borderId="0" fillId="5" fontId="10" numFmtId="3" xfId="0" applyAlignment="1" applyFont="1" applyNumberFormat="1">
      <alignment horizontal="left" shrinkToFit="0" vertical="center" wrapText="1"/>
    </xf>
    <xf borderId="0" fillId="0" fontId="11" numFmtId="0" xfId="0" applyAlignment="1" applyFont="1">
      <alignment horizontal="left" readingOrder="0" shrinkToFit="0" vertical="top" wrapText="1"/>
    </xf>
    <xf borderId="0" fillId="0" fontId="11" numFmtId="164" xfId="0" applyAlignment="1" applyFont="1" applyNumberFormat="1">
      <alignment horizontal="left" shrinkToFit="0" vertical="top" wrapText="1"/>
    </xf>
    <xf borderId="0" fillId="2" fontId="10" numFmtId="3" xfId="0" applyAlignment="1" applyFont="1" applyNumberFormat="1">
      <alignment horizontal="left" shrinkToFit="0" vertical="center" wrapText="1"/>
    </xf>
    <xf borderId="0" fillId="3" fontId="7" numFmtId="164" xfId="0" applyAlignment="1" applyFont="1" applyNumberFormat="1">
      <alignment horizontal="left" readingOrder="0" shrinkToFit="0" vertical="top" wrapText="1"/>
    </xf>
    <xf borderId="0" fillId="0" fontId="11" numFmtId="10" xfId="0" applyAlignment="1" applyFont="1" applyNumberFormat="1">
      <alignment horizontal="left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2" fontId="8" numFmtId="0" xfId="0" applyAlignment="1" applyFont="1">
      <alignment horizontal="left" readingOrder="0" shrinkToFit="0" vertical="center" wrapText="1"/>
    </xf>
    <xf borderId="0" fillId="6" fontId="7" numFmtId="4" xfId="0" applyAlignment="1" applyFont="1" applyNumberFormat="1">
      <alignment horizontal="left" readingOrder="0" shrinkToFit="0" vertical="top" wrapText="1"/>
    </xf>
    <xf borderId="0" fillId="2" fontId="9" numFmtId="4" xfId="0" applyAlignment="1" applyFont="1" applyNumberFormat="1">
      <alignment horizontal="left" readingOrder="0" shrinkToFit="0" vertical="center" wrapText="1"/>
    </xf>
    <xf borderId="0" fillId="2" fontId="10" numFmtId="4" xfId="0" applyAlignment="1" applyFont="1" applyNumberFormat="1">
      <alignment horizontal="left" readingOrder="0" shrinkToFit="0" vertical="center" wrapText="1"/>
    </xf>
    <xf borderId="0" fillId="4" fontId="7" numFmtId="0" xfId="0" applyAlignment="1" applyFont="1">
      <alignment horizontal="left" readingOrder="0" shrinkToFit="0" vertical="top" wrapText="1"/>
    </xf>
    <xf borderId="0" fillId="4" fontId="7" numFmtId="4" xfId="0" applyAlignment="1" applyFont="1" applyNumberFormat="1">
      <alignment horizontal="left" shrinkToFit="0" vertical="top" wrapText="1"/>
    </xf>
    <xf borderId="0" fillId="5" fontId="8" numFmtId="0" xfId="0" applyAlignment="1" applyFont="1">
      <alignment horizontal="left" readingOrder="0" shrinkToFit="0" vertical="center" wrapText="1"/>
    </xf>
    <xf borderId="0" fillId="5" fontId="10" numFmtId="4" xfId="0" applyAlignment="1" applyFont="1" applyNumberFormat="1">
      <alignment horizontal="left" shrinkToFit="0" vertical="center" wrapText="1"/>
    </xf>
    <xf borderId="0" fillId="2" fontId="10" numFmtId="4" xfId="0" applyAlignment="1" applyFont="1" applyNumberFormat="1">
      <alignment horizontal="left" shrinkToFit="0" vertical="center" wrapText="1"/>
    </xf>
    <xf borderId="0" fillId="0" fontId="7" numFmtId="0" xfId="0" applyAlignment="1" applyFont="1">
      <alignment horizontal="right" readingOrder="0" shrinkToFit="0" vertical="top" wrapText="1"/>
    </xf>
    <xf borderId="0" fillId="2" fontId="9" numFmtId="3" xfId="0" applyAlignment="1" applyFont="1" applyNumberFormat="1">
      <alignment horizontal="right" readingOrder="0" shrinkToFit="0" vertical="center" wrapText="1"/>
    </xf>
    <xf borderId="0" fillId="2" fontId="10" numFmtId="3" xfId="0" applyAlignment="1" applyFont="1" applyNumberFormat="1">
      <alignment horizontal="right" readingOrder="0" shrinkToFit="0" vertical="center" wrapText="1"/>
    </xf>
    <xf borderId="0" fillId="3" fontId="7" numFmtId="3" xfId="0" applyAlignment="1" applyFont="1" applyNumberFormat="1">
      <alignment horizontal="right" readingOrder="0" shrinkToFit="0" vertical="top" wrapText="1"/>
    </xf>
    <xf borderId="0" fillId="0" fontId="7" numFmtId="3" xfId="0" applyAlignment="1" applyFont="1" applyNumberFormat="1">
      <alignment horizontal="right" shrinkToFit="0" vertical="top" wrapText="1"/>
    </xf>
    <xf borderId="0" fillId="3" fontId="7" numFmtId="3" xfId="0" applyAlignment="1" applyFont="1" applyNumberFormat="1">
      <alignment horizontal="right" readingOrder="0" shrinkToFit="0" vertical="top" wrapText="1"/>
    </xf>
    <xf borderId="0" fillId="3" fontId="7" numFmtId="9" xfId="0" applyAlignment="1" applyFont="1" applyNumberFormat="1">
      <alignment horizontal="right" readingOrder="0" shrinkToFit="0" vertical="top" wrapText="1"/>
    </xf>
    <xf borderId="0" fillId="0" fontId="7" numFmtId="3" xfId="0" applyAlignment="1" applyFont="1" applyNumberFormat="1">
      <alignment horizontal="right" readingOrder="0" shrinkToFit="0" vertical="top" wrapText="1"/>
    </xf>
    <xf borderId="0" fillId="2" fontId="10" numFmtId="3" xfId="0" applyAlignment="1" applyFont="1" applyNumberFormat="1">
      <alignment horizontal="right" shrinkToFit="0" vertical="center" wrapText="1"/>
    </xf>
    <xf borderId="0" fillId="3" fontId="7" numFmtId="4" xfId="0" applyAlignment="1" applyFont="1" applyNumberFormat="1">
      <alignment horizontal="right" readingOrder="0" shrinkToFit="0" vertical="top" wrapText="1"/>
    </xf>
    <xf borderId="0" fillId="5" fontId="10" numFmtId="3" xfId="0" applyAlignment="1" applyFont="1" applyNumberFormat="1">
      <alignment horizontal="right" shrinkToFit="0" vertical="center" wrapText="1"/>
    </xf>
    <xf borderId="0" fillId="0" fontId="11" numFmtId="10" xfId="0" applyAlignment="1" applyFont="1" applyNumberFormat="1">
      <alignment horizontal="right" shrinkToFit="0" vertical="top" wrapText="1"/>
    </xf>
    <xf borderId="0" fillId="0" fontId="7" numFmtId="0" xfId="0" applyAlignment="1" applyFont="1">
      <alignment horizontal="right" shrinkToFit="0" vertical="top" wrapText="1"/>
    </xf>
    <xf borderId="0" fillId="0" fontId="7" numFmtId="4" xfId="0" applyAlignment="1" applyFont="1" applyNumberFormat="1">
      <alignment horizontal="right" shrinkToFit="0" vertical="top" wrapText="1"/>
    </xf>
    <xf borderId="0" fillId="3" fontId="7" numFmtId="10" xfId="0" applyAlignment="1" applyFont="1" applyNumberFormat="1">
      <alignment horizontal="right" readingOrder="0" shrinkToFit="0" vertical="top" wrapText="1"/>
    </xf>
    <xf borderId="0" fillId="0" fontId="12" numFmtId="0" xfId="0" applyAlignment="1" applyFont="1">
      <alignment horizontal="right" readingOrder="0" shrinkToFit="0" vertical="top" wrapText="1"/>
    </xf>
    <xf borderId="0" fillId="0" fontId="12" numFmtId="3" xfId="0" applyAlignment="1" applyFont="1" applyNumberFormat="1">
      <alignment horizontal="right" readingOrder="0" shrinkToFit="0" vertical="top" wrapText="1"/>
    </xf>
    <xf borderId="0" fillId="2" fontId="8" numFmtId="3" xfId="0" applyAlignment="1" applyFont="1" applyNumberFormat="1">
      <alignment horizontal="right" readingOrder="0" shrinkToFit="0" vertical="center" wrapText="1"/>
    </xf>
    <xf borderId="0" fillId="6" fontId="7" numFmtId="3" xfId="0" applyAlignment="1" applyFont="1" applyNumberFormat="1">
      <alignment horizontal="right" readingOrder="0" shrinkToFit="0" vertical="top" wrapText="1"/>
    </xf>
    <xf borderId="0" fillId="0" fontId="13" numFmtId="0" xfId="0" applyAlignment="1" applyFont="1">
      <alignment horizontal="left" readingOrder="0" vertical="top"/>
    </xf>
    <xf borderId="0" fillId="0" fontId="13" numFmtId="0" xfId="0" applyAlignment="1" applyFont="1">
      <alignment horizontal="right" vertical="top"/>
    </xf>
    <xf borderId="0" fillId="0" fontId="14" numFmtId="0" xfId="0" applyAlignment="1" applyFont="1">
      <alignment horizontal="right" vertical="top"/>
    </xf>
    <xf borderId="0" fillId="2" fontId="15" numFmtId="165" xfId="0" applyAlignment="1" applyFont="1" applyNumberFormat="1">
      <alignment horizontal="left" vertical="center"/>
    </xf>
    <xf borderId="0" fillId="2" fontId="16" numFmtId="0" xfId="0" applyAlignment="1" applyFont="1">
      <alignment horizontal="right" vertical="center"/>
    </xf>
    <xf borderId="0" fillId="2" fontId="16" numFmtId="3" xfId="0" applyAlignment="1" applyFont="1" applyNumberFormat="1">
      <alignment horizontal="right" vertical="center"/>
    </xf>
    <xf borderId="0" fillId="0" fontId="13" numFmtId="0" xfId="0" applyAlignment="1" applyFont="1">
      <alignment horizontal="left" vertical="top"/>
    </xf>
    <xf borderId="0" fillId="7" fontId="13" numFmtId="9" xfId="0" applyAlignment="1" applyFill="1" applyFont="1" applyNumberFormat="1">
      <alignment horizontal="right" vertical="top"/>
    </xf>
    <xf borderId="0" fillId="0" fontId="13" numFmtId="3" xfId="0" applyAlignment="1" applyFont="1" applyNumberFormat="1">
      <alignment horizontal="right" vertical="top"/>
    </xf>
    <xf borderId="0" fillId="3" fontId="13" numFmtId="9" xfId="0" applyAlignment="1" applyFont="1" applyNumberFormat="1">
      <alignment horizontal="right" vertical="top"/>
    </xf>
    <xf borderId="0" fillId="3" fontId="13" numFmtId="3" xfId="0" applyAlignment="1" applyFont="1" applyNumberFormat="1">
      <alignment horizontal="right" vertical="top"/>
    </xf>
    <xf borderId="0" fillId="3" fontId="13" numFmtId="4" xfId="0" applyAlignment="1" applyFont="1" applyNumberFormat="1">
      <alignment horizontal="right" vertical="top"/>
    </xf>
    <xf borderId="0" fillId="5" fontId="17" numFmtId="165" xfId="0" applyAlignment="1" applyFont="1" applyNumberFormat="1">
      <alignment horizontal="left" readingOrder="0" vertical="center"/>
    </xf>
    <xf borderId="0" fillId="5" fontId="16" numFmtId="0" xfId="0" applyAlignment="1" applyFont="1">
      <alignment horizontal="right" vertical="center"/>
    </xf>
    <xf borderId="0" fillId="5" fontId="16" numFmtId="3" xfId="0" applyAlignment="1" applyFont="1" applyNumberFormat="1">
      <alignment horizontal="right" vertical="center"/>
    </xf>
    <xf borderId="0" fillId="2" fontId="17" numFmtId="165" xfId="0" applyAlignment="1" applyFont="1" applyNumberFormat="1">
      <alignment horizontal="left" readingOrder="0" vertical="center"/>
    </xf>
    <xf borderId="0" fillId="0" fontId="18" numFmtId="0" xfId="0" applyAlignment="1" applyFont="1">
      <alignment horizontal="left" vertical="top"/>
    </xf>
    <xf borderId="0" fillId="0" fontId="18" numFmtId="0" xfId="0" applyAlignment="1" applyFont="1">
      <alignment horizontal="right" vertical="top"/>
    </xf>
    <xf borderId="0" fillId="0" fontId="18" numFmtId="10" xfId="0" applyAlignment="1" applyFont="1" applyNumberFormat="1">
      <alignment horizontal="right" vertical="top"/>
    </xf>
    <xf borderId="0" fillId="0" fontId="19" numFmtId="3" xfId="0" applyAlignment="1" applyFont="1" applyNumberFormat="1">
      <alignment horizontal="right" vertical="top"/>
    </xf>
    <xf borderId="0" fillId="3" fontId="13" numFmtId="164" xfId="0" applyAlignment="1" applyFont="1" applyNumberFormat="1">
      <alignment horizontal="right" vertical="top"/>
    </xf>
    <xf borderId="0" fillId="3" fontId="13" numFmtId="10" xfId="0" applyAlignment="1" applyFont="1" applyNumberFormat="1">
      <alignment horizontal="right" vertical="top"/>
    </xf>
    <xf borderId="0" fillId="5" fontId="17" numFmtId="165" xfId="0" applyAlignment="1" applyFont="1" applyNumberFormat="1">
      <alignment horizontal="left" vertical="center"/>
    </xf>
    <xf borderId="0" fillId="7" fontId="18" numFmtId="0" xfId="0" applyAlignment="1" applyFont="1">
      <alignment horizontal="left" vertical="top"/>
    </xf>
    <xf borderId="0" fillId="7" fontId="18" numFmtId="0" xfId="0" applyAlignment="1" applyFont="1">
      <alignment horizontal="right" vertical="top"/>
    </xf>
    <xf borderId="0" fillId="7" fontId="18" numFmtId="10" xfId="0" applyAlignment="1" applyFont="1" applyNumberFormat="1">
      <alignment horizontal="right" vertical="top"/>
    </xf>
    <xf borderId="0" fillId="0" fontId="13" numFmtId="165" xfId="0" applyAlignment="1" applyFont="1" applyNumberFormat="1">
      <alignment horizontal="left" vertical="top"/>
    </xf>
    <xf borderId="0" fillId="0" fontId="20" numFmtId="0" xfId="0" applyAlignment="1" applyFont="1">
      <alignment horizontal="left" vertical="top"/>
    </xf>
    <xf borderId="0" fillId="0" fontId="0" numFmtId="0" xfId="0" applyAlignment="1" applyFont="1">
      <alignment horizontal="left" vertical="top"/>
    </xf>
    <xf borderId="0" fillId="7" fontId="13" numFmtId="3" xfId="0" applyAlignment="1" applyFont="1" applyNumberFormat="1">
      <alignment horizontal="right" vertical="top"/>
    </xf>
    <xf borderId="0" fillId="3" fontId="13" numFmtId="0" xfId="0" applyAlignment="1" applyFont="1">
      <alignment horizontal="right" vertical="top"/>
    </xf>
    <xf borderId="0" fillId="0" fontId="21" numFmtId="165" xfId="0" applyAlignment="1" applyFont="1" applyNumberFormat="1">
      <alignment horizontal="left" vertical="top"/>
    </xf>
    <xf borderId="0" fillId="0" fontId="14" numFmtId="3" xfId="0" applyAlignment="1" applyFont="1" applyNumberFormat="1">
      <alignment horizontal="right" vertical="top"/>
    </xf>
    <xf borderId="0" fillId="7" fontId="21" numFmtId="0" xfId="0" applyAlignment="1" applyFont="1">
      <alignment horizontal="left" vertical="top"/>
    </xf>
    <xf borderId="0" fillId="7" fontId="0" numFmtId="3" xfId="0" applyAlignment="1" applyFont="1" applyNumberFormat="1">
      <alignment horizontal="right" vertical="top"/>
    </xf>
    <xf borderId="0" fillId="8" fontId="13" numFmtId="0" xfId="0" applyAlignment="1" applyFill="1" applyFont="1">
      <alignment horizontal="right" vertical="top"/>
    </xf>
    <xf borderId="0" fillId="8" fontId="13" numFmtId="3" xfId="0" applyAlignment="1" applyFont="1" applyNumberFormat="1">
      <alignment horizontal="right" vertical="top"/>
    </xf>
    <xf borderId="0" fillId="0" fontId="21" numFmtId="0" xfId="0" applyAlignment="1" applyFont="1">
      <alignment horizontal="left" vertical="top"/>
    </xf>
    <xf borderId="0" fillId="8" fontId="13" numFmtId="9" xfId="0" applyAlignment="1" applyFont="1" applyNumberFormat="1">
      <alignment horizontal="right" vertical="top"/>
    </xf>
    <xf borderId="0" fillId="9" fontId="13" numFmtId="3" xfId="0" applyAlignment="1" applyFill="1" applyFont="1" applyNumberFormat="1">
      <alignment horizontal="right" vertical="top"/>
    </xf>
    <xf borderId="0" fillId="2" fontId="17" numFmtId="4" xfId="0" applyAlignment="1" applyFont="1" applyNumberFormat="1">
      <alignment horizontal="left" readingOrder="0" vertical="center"/>
    </xf>
    <xf borderId="0" fillId="2" fontId="16" numFmtId="4" xfId="0" applyAlignment="1" applyFont="1" applyNumberFormat="1">
      <alignment horizontal="right" vertical="center"/>
    </xf>
    <xf borderId="0" fillId="0" fontId="14" numFmtId="0" xfId="0" applyAlignment="1" applyFont="1">
      <alignment horizontal="left" vertical="top"/>
    </xf>
    <xf borderId="0" fillId="0" fontId="14" numFmtId="165" xfId="0" applyAlignment="1" applyFont="1" applyNumberFormat="1">
      <alignment horizontal="right" vertical="top"/>
    </xf>
    <xf borderId="0" fillId="0" fontId="13" numFmtId="10" xfId="0" applyAlignment="1" applyFont="1" applyNumberFormat="1">
      <alignment horizontal="right" vertical="top"/>
    </xf>
    <xf borderId="0" fillId="0" fontId="14" numFmtId="4" xfId="0" applyAlignment="1" applyFont="1" applyNumberFormat="1">
      <alignment horizontal="right" vertical="top"/>
    </xf>
    <xf borderId="0" fillId="0" fontId="13" numFmtId="4" xfId="0" applyAlignment="1" applyFont="1" applyNumberFormat="1">
      <alignment horizontal="right" vertical="top"/>
    </xf>
    <xf borderId="0" fillId="0" fontId="0" numFmtId="165" xfId="0" applyAlignment="1" applyFont="1" applyNumberFormat="1">
      <alignment horizontal="left" vertical="top"/>
    </xf>
    <xf borderId="0" fillId="7" fontId="22" numFmtId="0" xfId="0" applyAlignment="1" applyFont="1">
      <alignment horizontal="left" shrinkToFit="0" vertical="top" wrapText="1"/>
    </xf>
    <xf borderId="0" fillId="7" fontId="23" numFmtId="3" xfId="0" applyAlignment="1" applyFont="1" applyNumberFormat="1">
      <alignment horizontal="left" shrinkToFit="0" vertical="top" wrapText="1"/>
    </xf>
    <xf borderId="0" fillId="7" fontId="22" numFmtId="3" xfId="0" applyAlignment="1" applyFont="1" applyNumberFormat="1">
      <alignment horizontal="left" shrinkToFit="0" vertical="top" wrapText="1"/>
    </xf>
    <xf borderId="0" fillId="0" fontId="22" numFmtId="0" xfId="0" applyAlignment="1" applyFont="1">
      <alignment horizontal="left" shrinkToFit="0" vertical="top" wrapText="1"/>
    </xf>
    <xf borderId="0" fillId="7" fontId="24" numFmtId="3" xfId="0" applyAlignment="1" applyFont="1" applyNumberFormat="1">
      <alignment horizontal="left" shrinkToFit="0" vertical="top" wrapText="1"/>
    </xf>
    <xf borderId="0" fillId="8" fontId="24" numFmtId="3" xfId="0" applyAlignment="1" applyFont="1" applyNumberFormat="1">
      <alignment horizontal="left" shrinkToFit="0" vertical="top" wrapText="1"/>
    </xf>
    <xf borderId="0" fillId="7" fontId="22" numFmtId="10" xfId="0" applyAlignment="1" applyFont="1" applyNumberFormat="1">
      <alignment horizontal="left" shrinkToFit="0" vertical="top" wrapText="1"/>
    </xf>
    <xf borderId="0" fillId="7" fontId="22" numFmtId="4" xfId="0" applyAlignment="1" applyFont="1" applyNumberFormat="1">
      <alignment horizontal="left" shrinkToFit="0" vertical="top" wrapText="1"/>
    </xf>
    <xf borderId="0" fillId="7" fontId="24" numFmtId="0" xfId="0" applyAlignment="1" applyFont="1">
      <alignment horizontal="left" shrinkToFit="0" vertical="top" wrapText="1"/>
    </xf>
    <xf borderId="0" fillId="7" fontId="25" numFmtId="3" xfId="0" applyAlignment="1" applyFont="1" applyNumberFormat="1">
      <alignment horizontal="left" shrinkToFit="0" vertical="top" wrapText="1"/>
    </xf>
    <xf borderId="0" fillId="8" fontId="26" numFmtId="3" xfId="0" applyAlignment="1" applyFont="1" applyNumberFormat="1">
      <alignment horizontal="left" shrinkToFit="0" vertical="top" wrapText="1"/>
    </xf>
    <xf borderId="0" fillId="8" fontId="22" numFmtId="3" xfId="0" applyAlignment="1" applyFont="1" applyNumberFormat="1">
      <alignment horizontal="left" shrinkToFit="0" vertical="top" wrapText="1"/>
    </xf>
    <xf borderId="0" fillId="7" fontId="22" numFmtId="3" xfId="0" applyAlignment="1" applyFont="1" applyNumberFormat="1">
      <alignment horizontal="left" shrinkToFit="0" vertical="top" wrapText="1"/>
    </xf>
    <xf borderId="0" fillId="10" fontId="22" numFmtId="3" xfId="0" applyAlignment="1" applyFill="1" applyFont="1" applyNumberFormat="1">
      <alignment horizontal="left" shrinkToFit="0" vertical="top" wrapText="1"/>
    </xf>
    <xf borderId="0" fillId="10" fontId="24" numFmtId="3" xfId="0" applyAlignment="1" applyFont="1" applyNumberFormat="1">
      <alignment horizontal="left" shrinkToFit="0" vertical="top" wrapText="1"/>
    </xf>
    <xf borderId="0" fillId="10" fontId="22" numFmtId="3" xfId="0" applyAlignment="1" applyFont="1" applyNumberFormat="1">
      <alignment horizontal="left" shrinkToFit="0" vertical="top" wrapText="1"/>
    </xf>
    <xf borderId="0" fillId="10" fontId="24" numFmtId="3" xfId="0" applyAlignment="1" applyFont="1" applyNumberFormat="1">
      <alignment horizontal="left" shrinkToFit="0" vertical="top" wrapText="1"/>
    </xf>
    <xf borderId="0" fillId="11" fontId="22" numFmtId="3" xfId="0" applyAlignment="1" applyFill="1" applyFont="1" applyNumberFormat="1">
      <alignment horizontal="left" shrinkToFit="0" vertical="top" wrapText="1"/>
    </xf>
    <xf borderId="0" fillId="11" fontId="24" numFmtId="3" xfId="0" applyAlignment="1" applyFont="1" applyNumberFormat="1">
      <alignment horizontal="left" shrinkToFit="0" vertical="top" wrapText="1"/>
    </xf>
    <xf borderId="0" fillId="11" fontId="22" numFmtId="3" xfId="0" applyAlignment="1" applyFont="1" applyNumberFormat="1">
      <alignment horizontal="left" shrinkToFit="0" vertical="top" wrapText="1"/>
    </xf>
    <xf borderId="0" fillId="11" fontId="24" numFmtId="3" xfId="0" applyAlignment="1" applyFont="1" applyNumberFormat="1">
      <alignment horizontal="left" shrinkToFit="0" vertical="top" wrapText="1"/>
    </xf>
    <xf borderId="0" fillId="12" fontId="22" numFmtId="3" xfId="0" applyAlignment="1" applyFill="1" applyFont="1" applyNumberFormat="1">
      <alignment horizontal="left" shrinkToFit="0" vertical="top" wrapText="1"/>
    </xf>
    <xf borderId="0" fillId="12" fontId="22" numFmtId="9" xfId="0" applyAlignment="1" applyFont="1" applyNumberFormat="1">
      <alignment horizontal="left" shrinkToFit="0" vertical="top" wrapText="1"/>
    </xf>
    <xf borderId="0" fillId="12" fontId="22" numFmtId="164" xfId="0" applyAlignment="1" applyFont="1" applyNumberFormat="1">
      <alignment horizontal="left" shrinkToFit="0" vertical="top" wrapText="1"/>
    </xf>
    <xf borderId="0" fillId="12" fontId="22" numFmtId="3" xfId="0" applyAlignment="1" applyFont="1" applyNumberFormat="1">
      <alignment horizontal="left" shrinkToFit="0" vertical="top" wrapText="1"/>
    </xf>
    <xf borderId="0" fillId="12" fontId="22" numFmtId="10" xfId="0" applyAlignment="1" applyFont="1" applyNumberFormat="1">
      <alignment horizontal="left" shrinkToFit="0" vertical="top" wrapText="1"/>
    </xf>
    <xf borderId="0" fillId="12" fontId="22" numFmtId="0" xfId="0" applyAlignment="1" applyFont="1">
      <alignment horizontal="left" shrinkToFit="0" vertical="top" wrapText="1"/>
    </xf>
    <xf borderId="0" fillId="12" fontId="22" numFmtId="166" xfId="0" applyAlignment="1" applyFont="1" applyNumberFormat="1">
      <alignment horizontal="left" shrinkToFit="0" vertical="top" wrapText="1"/>
    </xf>
    <xf borderId="0" fillId="13" fontId="22" numFmtId="0" xfId="0" applyAlignment="1" applyFill="1" applyFont="1">
      <alignment horizontal="left" shrinkToFit="0" vertical="top" wrapText="1"/>
    </xf>
    <xf borderId="0" fillId="13" fontId="24" numFmtId="3" xfId="0" applyAlignment="1" applyFont="1" applyNumberFormat="1">
      <alignment horizontal="left" shrinkToFit="0" vertical="top" wrapText="1"/>
    </xf>
    <xf borderId="0" fillId="13" fontId="24" numFmtId="3" xfId="0" applyAlignment="1" applyFont="1" applyNumberFormat="1">
      <alignment horizontal="left" shrinkToFit="0" vertical="top" wrapText="1"/>
    </xf>
    <xf borderId="0" fillId="4" fontId="22" numFmtId="3" xfId="0" applyAlignment="1" applyFont="1" applyNumberFormat="1">
      <alignment horizontal="left" shrinkToFit="0" vertical="top" wrapText="1"/>
    </xf>
    <xf borderId="0" fillId="4" fontId="26" numFmtId="3" xfId="0" applyAlignment="1" applyFont="1" applyNumberFormat="1">
      <alignment horizontal="left" shrinkToFit="0" vertical="top" wrapText="1"/>
    </xf>
    <xf borderId="0" fillId="7" fontId="27" numFmtId="3" xfId="0" applyAlignment="1" applyFont="1" applyNumberFormat="1">
      <alignment horizontal="left" shrinkToFit="0" vertical="top" wrapText="1"/>
    </xf>
    <xf borderId="0" fillId="7" fontId="27" numFmtId="10" xfId="0" applyAlignment="1" applyFont="1" applyNumberFormat="1">
      <alignment horizontal="left" shrinkToFit="0" vertical="top" wrapText="1"/>
    </xf>
    <xf borderId="0" fillId="7" fontId="28" numFmtId="3" xfId="0" applyAlignment="1" applyFont="1" applyNumberFormat="1">
      <alignment horizontal="left" shrinkToFit="0" vertical="top" wrapText="1"/>
    </xf>
    <xf borderId="0" fillId="12" fontId="22" numFmtId="4" xfId="0" applyAlignment="1" applyFont="1" applyNumberFormat="1">
      <alignment horizontal="left" shrinkToFit="0" vertical="top" wrapText="1"/>
    </xf>
    <xf borderId="0" fillId="7" fontId="29" numFmtId="3" xfId="0" applyAlignment="1" applyFont="1" applyNumberFormat="1">
      <alignment horizontal="left" shrinkToFit="0" vertical="top" wrapText="1"/>
    </xf>
    <xf borderId="0" fillId="8" fontId="26" numFmtId="3" xfId="0" applyAlignment="1" applyFont="1" applyNumberFormat="1">
      <alignment horizontal="left" readingOrder="0" shrinkToFit="0" vertical="top" wrapText="1"/>
    </xf>
    <xf borderId="0" fillId="10" fontId="26" numFmtId="3" xfId="0" applyAlignment="1" applyFont="1" applyNumberFormat="1">
      <alignment horizontal="left" shrinkToFit="0" vertical="top" wrapText="1"/>
    </xf>
    <xf borderId="0" fillId="10" fontId="26" numFmtId="3" xfId="0" applyAlignment="1" applyFont="1" applyNumberFormat="1">
      <alignment horizontal="left" shrinkToFit="0" vertical="top" wrapText="1"/>
    </xf>
    <xf borderId="0" fillId="0" fontId="30" numFmtId="9" xfId="0" applyAlignment="1" applyFont="1" applyNumberFormat="1">
      <alignment horizontal="left" shrinkToFit="0" vertical="top" wrapText="1"/>
    </xf>
    <xf borderId="0" fillId="0" fontId="22" numFmtId="0" xfId="0" applyAlignment="1" applyFont="1">
      <alignment vertical="bottom"/>
    </xf>
    <xf borderId="0" fillId="0" fontId="22" numFmtId="3" xfId="0" applyAlignment="1" applyFont="1" applyNumberFormat="1">
      <alignment vertical="bottom"/>
    </xf>
    <xf borderId="0" fillId="0" fontId="22" numFmtId="3" xfId="0" applyAlignment="1" applyFont="1" applyNumberFormat="1">
      <alignment horizontal="right" vertical="bottom"/>
    </xf>
    <xf borderId="0" fillId="0" fontId="24" numFmtId="3" xfId="0" applyAlignment="1" applyFont="1" applyNumberFormat="1">
      <alignment vertical="bottom"/>
    </xf>
    <xf borderId="0" fillId="2" fontId="24" numFmtId="3" xfId="0" applyAlignment="1" applyFont="1" applyNumberFormat="1">
      <alignment horizontal="right" vertical="bottom"/>
    </xf>
    <xf borderId="0" fillId="0" fontId="29" numFmtId="3" xfId="0" applyAlignment="1" applyFont="1" applyNumberFormat="1">
      <alignment horizontal="right" vertical="bottom"/>
    </xf>
    <xf borderId="0" fillId="7" fontId="22" numFmtId="3" xfId="0" applyAlignment="1" applyFont="1" applyNumberFormat="1">
      <alignment horizontal="right" vertical="bottom"/>
    </xf>
    <xf borderId="0" fillId="7" fontId="22" numFmtId="10" xfId="0" applyAlignment="1" applyFont="1" applyNumberFormat="1">
      <alignment horizontal="right" vertical="bottom"/>
    </xf>
    <xf borderId="0" fillId="0" fontId="24" numFmtId="3" xfId="0" applyAlignment="1" applyFont="1" applyNumberFormat="1">
      <alignment horizontal="right" vertical="bottom"/>
    </xf>
    <xf borderId="0" fillId="0" fontId="22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vertical="bottom"/>
    </xf>
    <xf borderId="0" fillId="2" fontId="24" numFmtId="0" xfId="0" applyAlignment="1" applyFont="1">
      <alignment shrinkToFit="0" vertical="bottom" wrapText="1"/>
    </xf>
    <xf borderId="0" fillId="2" fontId="22" numFmtId="0" xfId="0" applyAlignment="1" applyFont="1">
      <alignment vertical="bottom"/>
    </xf>
    <xf borderId="0" fillId="14" fontId="24" numFmtId="3" xfId="0" applyAlignment="1" applyFill="1" applyFont="1" applyNumberFormat="1">
      <alignment horizontal="right" vertical="bottom"/>
    </xf>
    <xf borderId="0" fillId="12" fontId="22" numFmtId="0" xfId="0" applyAlignment="1" applyFont="1">
      <alignment vertical="bottom"/>
    </xf>
    <xf borderId="0" fillId="5" fontId="24" numFmtId="0" xfId="0" applyAlignment="1" applyFont="1">
      <alignment shrinkToFit="0" vertical="bottom" wrapText="1"/>
    </xf>
    <xf borderId="0" fillId="5" fontId="22" numFmtId="0" xfId="0" applyAlignment="1" applyFont="1">
      <alignment vertical="bottom"/>
    </xf>
    <xf borderId="0" fillId="5" fontId="24" numFmtId="3" xfId="0" applyAlignment="1" applyFont="1" applyNumberFormat="1">
      <alignment horizontal="right" vertical="bottom"/>
    </xf>
    <xf borderId="0" fillId="5" fontId="24" numFmtId="0" xfId="0" applyAlignment="1" applyFont="1">
      <alignment horizontal="right" vertical="bottom"/>
    </xf>
    <xf borderId="0" fillId="0" fontId="22" numFmtId="0" xfId="0" applyAlignment="1" applyFont="1">
      <alignment shrinkToFit="0" vertical="bottom" wrapText="1"/>
    </xf>
    <xf borderId="0" fillId="0" fontId="22" numFmtId="1" xfId="0" applyAlignment="1" applyFont="1" applyNumberFormat="1">
      <alignment horizontal="right" vertical="bottom"/>
    </xf>
    <xf borderId="0" fillId="12" fontId="22" numFmtId="0" xfId="0" applyAlignment="1" applyFont="1">
      <alignment horizontal="right" vertical="bottom"/>
    </xf>
    <xf borderId="0" fillId="12" fontId="22" numFmtId="1" xfId="0" applyAlignment="1" applyFont="1" applyNumberFormat="1">
      <alignment horizontal="right" vertical="bottom"/>
    </xf>
    <xf borderId="0" fillId="12" fontId="22" numFmtId="3" xfId="0" applyAlignment="1" applyFont="1" applyNumberFormat="1">
      <alignment horizontal="right" vertical="bottom"/>
    </xf>
    <xf borderId="0" fillId="12" fontId="22" numFmtId="9" xfId="0" applyAlignment="1" applyFont="1" applyNumberFormat="1">
      <alignment horizontal="right" vertical="bottom"/>
    </xf>
    <xf borderId="0" fillId="0" fontId="22" numFmtId="9" xfId="0" applyAlignment="1" applyFont="1" applyNumberFormat="1">
      <alignment horizontal="right" vertical="bottom"/>
    </xf>
    <xf borderId="0" fillId="8" fontId="24" numFmtId="0" xfId="0" applyAlignment="1" applyFont="1">
      <alignment shrinkToFit="0" vertical="bottom" wrapText="1"/>
    </xf>
    <xf borderId="0" fillId="8" fontId="22" numFmtId="0" xfId="0" applyAlignment="1" applyFont="1">
      <alignment vertical="bottom"/>
    </xf>
    <xf borderId="0" fillId="8" fontId="24" numFmtId="3" xfId="0" applyAlignment="1" applyFont="1" applyNumberFormat="1">
      <alignment horizontal="right" vertical="bottom"/>
    </xf>
    <xf borderId="0" fillId="0" fontId="22" numFmtId="0" xfId="0" applyAlignment="1" applyFont="1">
      <alignment horizontal="right" vertical="bottom"/>
    </xf>
    <xf borderId="0" fillId="12" fontId="22" numFmtId="1" xfId="0" applyAlignment="1" applyFont="1" applyNumberFormat="1">
      <alignment vertical="bottom"/>
    </xf>
    <xf borderId="0" fillId="0" fontId="22" numFmtId="1" xfId="0" applyAlignment="1" applyFont="1" applyNumberFormat="1">
      <alignment vertical="bottom"/>
    </xf>
    <xf borderId="0" fillId="0" fontId="27" numFmtId="0" xfId="0" applyAlignment="1" applyFont="1">
      <alignment shrinkToFit="0" vertical="bottom" wrapText="1"/>
    </xf>
    <xf borderId="0" fillId="0" fontId="27" numFmtId="10" xfId="0" applyAlignment="1" applyFont="1" applyNumberFormat="1">
      <alignment horizontal="right" vertical="bottom"/>
    </xf>
    <xf borderId="0" fillId="0" fontId="22" numFmtId="10" xfId="0" applyAlignment="1" applyFont="1" applyNumberFormat="1">
      <alignment vertical="bottom"/>
    </xf>
    <xf borderId="0" fillId="6" fontId="24" numFmtId="3" xfId="0" applyAlignment="1" applyFont="1" applyNumberFormat="1">
      <alignment horizontal="right" vertical="bottom"/>
    </xf>
    <xf borderId="0" fillId="12" fontId="22" numFmtId="3" xfId="0" applyAlignment="1" applyFont="1" applyNumberFormat="1">
      <alignment vertical="bottom"/>
    </xf>
    <xf borderId="0" fillId="0" fontId="29" numFmtId="0" xfId="0" applyAlignment="1" applyFont="1">
      <alignment shrinkToFit="0" vertical="bottom" wrapText="1"/>
    </xf>
    <xf borderId="0" fillId="2" fontId="24" numFmtId="0" xfId="0" applyAlignment="1" applyFont="1">
      <alignment readingOrder="0" shrinkToFit="0" vertical="bottom" wrapText="1"/>
    </xf>
    <xf borderId="0" fillId="0" fontId="31" numFmtId="0" xfId="0" applyAlignment="1" applyFont="1">
      <alignment shrinkToFit="0" vertical="bottom" wrapText="1"/>
    </xf>
    <xf borderId="0" fillId="0" fontId="31" numFmtId="3" xfId="0" applyAlignment="1" applyFont="1" applyNumberFormat="1">
      <alignment horizontal="right" vertical="bottom"/>
    </xf>
    <xf borderId="0" fillId="0" fontId="32" numFmtId="0" xfId="0" applyAlignment="1" applyFont="1">
      <alignment shrinkToFit="0" vertical="bottom" wrapText="1"/>
    </xf>
    <xf borderId="0" fillId="0" fontId="32" numFmtId="3" xfId="0" applyAlignment="1" applyFont="1" applyNumberFormat="1">
      <alignment horizontal="right" vertical="bottom"/>
    </xf>
    <xf borderId="0" fillId="0" fontId="24" numFmtId="0" xfId="0" applyAlignment="1" applyFont="1">
      <alignment shrinkToFit="0" vertical="bottom" wrapText="1"/>
    </xf>
    <xf borderId="0" fillId="12" fontId="24" numFmtId="3" xfId="0" applyAlignment="1" applyFont="1" applyNumberFormat="1">
      <alignment horizontal="right" vertical="bottom"/>
    </xf>
    <xf borderId="0" fillId="4" fontId="22" numFmtId="0" xfId="0" applyAlignment="1" applyFont="1">
      <alignment shrinkToFit="0" vertical="bottom" wrapText="1"/>
    </xf>
    <xf borderId="0" fillId="4" fontId="22" numFmtId="3" xfId="0" applyAlignment="1" applyFont="1" applyNumberFormat="1">
      <alignment horizontal="right" vertical="bottom"/>
    </xf>
    <xf borderId="0" fillId="4" fontId="22" numFmtId="0" xfId="0" applyAlignment="1" applyFont="1">
      <alignment vertical="bottom"/>
    </xf>
    <xf borderId="0" fillId="0" fontId="26" numFmtId="0" xfId="0" applyAlignment="1" applyFont="1">
      <alignment shrinkToFit="0" vertical="top" wrapText="1"/>
    </xf>
    <xf borderId="0" fillId="0" fontId="24" numFmtId="3" xfId="0" applyAlignment="1" applyFont="1" applyNumberFormat="1">
      <alignment horizontal="right" shrinkToFit="0" vertical="top" wrapText="1"/>
    </xf>
    <xf borderId="0" fillId="12" fontId="33" numFmtId="3" xfId="0" applyAlignment="1" applyFont="1" applyNumberFormat="1">
      <alignment shrinkToFit="0" vertical="top" wrapText="1"/>
    </xf>
    <xf borderId="0" fillId="7" fontId="22" numFmtId="3" xfId="0" applyAlignment="1" applyFont="1" applyNumberFormat="1">
      <alignment vertical="bottom"/>
    </xf>
    <xf borderId="1" fillId="7" fontId="26" numFmtId="3" xfId="0" applyAlignment="1" applyBorder="1" applyFont="1" applyNumberFormat="1">
      <alignment horizontal="right" shrinkToFit="0" vertical="bottom" wrapText="1"/>
    </xf>
    <xf borderId="0" fillId="7" fontId="22" numFmtId="3" xfId="0" applyAlignment="1" applyFont="1" applyNumberFormat="1">
      <alignment vertical="top"/>
    </xf>
    <xf borderId="0" fillId="0" fontId="22" numFmtId="3" xfId="0" applyAlignment="1" applyFont="1" applyNumberFormat="1">
      <alignment vertical="top"/>
    </xf>
    <xf borderId="0" fillId="7" fontId="26" numFmtId="3" xfId="0" applyAlignment="1" applyFont="1" applyNumberFormat="1">
      <alignment shrinkToFit="0" vertical="top" wrapText="1"/>
    </xf>
    <xf borderId="0" fillId="8" fontId="34" numFmtId="3" xfId="0" applyAlignment="1" applyFont="1" applyNumberFormat="1">
      <alignment horizontal="right" shrinkToFit="0" vertical="bottom" wrapText="1"/>
    </xf>
    <xf borderId="0" fillId="12" fontId="22" numFmtId="3" xfId="0" applyAlignment="1" applyFont="1" applyNumberFormat="1">
      <alignment vertical="top"/>
    </xf>
    <xf borderId="0" fillId="7" fontId="35" numFmtId="3" xfId="0" applyAlignment="1" applyFont="1" applyNumberFormat="1">
      <alignment horizontal="right" vertical="bottom"/>
    </xf>
    <xf borderId="0" fillId="7" fontId="35" numFmtId="10" xfId="0" applyAlignment="1" applyFont="1" applyNumberFormat="1">
      <alignment horizontal="right" vertical="bottom"/>
    </xf>
    <xf borderId="0" fillId="7" fontId="22" numFmtId="10" xfId="0" applyAlignment="1" applyFont="1" applyNumberFormat="1">
      <alignment vertical="top"/>
    </xf>
    <xf borderId="0" fillId="12" fontId="22" numFmtId="3" xfId="0" applyAlignment="1" applyFont="1" applyNumberFormat="1">
      <alignment vertical="top"/>
    </xf>
    <xf borderId="0" fillId="7" fontId="35" numFmtId="3" xfId="0" applyAlignment="1" applyFont="1" applyNumberFormat="1">
      <alignment shrinkToFit="0" vertical="top" wrapText="1"/>
    </xf>
    <xf borderId="0" fillId="0" fontId="35" numFmtId="9" xfId="0" applyAlignment="1" applyFont="1" applyNumberFormat="1">
      <alignment horizontal="right" vertical="top"/>
    </xf>
    <xf borderId="0" fillId="7" fontId="22" numFmtId="4" xfId="0" applyAlignment="1" applyFont="1" applyNumberFormat="1">
      <alignment vertical="top"/>
    </xf>
    <xf borderId="0" fillId="0" fontId="22" numFmtId="3" xfId="0" applyAlignment="1" applyFont="1" applyNumberFormat="1">
      <alignment vertical="top"/>
    </xf>
    <xf borderId="0" fillId="0" fontId="34" numFmtId="3" xfId="0" applyAlignment="1" applyFont="1" applyNumberFormat="1">
      <alignment shrinkToFit="0" vertical="bottom" wrapText="1"/>
    </xf>
    <xf borderId="0" fillId="7" fontId="26" numFmtId="3" xfId="0" applyAlignment="1" applyFont="1" applyNumberFormat="1">
      <alignment horizontal="right" shrinkToFit="0" vertical="top" wrapText="1"/>
    </xf>
    <xf borderId="0" fillId="8" fontId="34" numFmtId="3" xfId="0" applyAlignment="1" applyFont="1" applyNumberFormat="1">
      <alignment shrinkToFit="0" vertical="bottom" wrapText="1"/>
    </xf>
    <xf borderId="0" fillId="8" fontId="22" numFmtId="3" xfId="0" applyAlignment="1" applyFont="1" applyNumberFormat="1">
      <alignment vertical="bottom"/>
    </xf>
    <xf borderId="2" fillId="8" fontId="34" numFmtId="3" xfId="0" applyAlignment="1" applyBorder="1" applyFont="1" applyNumberFormat="1">
      <alignment horizontal="right" shrinkToFit="0" vertical="bottom" wrapText="1"/>
    </xf>
    <xf borderId="0" fillId="0" fontId="22" numFmtId="0" xfId="0" applyAlignment="1" applyFont="1">
      <alignment vertical="top"/>
    </xf>
    <xf borderId="2" fillId="0" fontId="22" numFmtId="3" xfId="0" applyAlignment="1" applyBorder="1" applyFont="1" applyNumberFormat="1">
      <alignment vertical="top"/>
    </xf>
    <xf borderId="0" fillId="4" fontId="26" numFmtId="3" xfId="0" applyAlignment="1" applyFont="1" applyNumberFormat="1">
      <alignment shrinkToFit="0" vertical="top" wrapText="1"/>
    </xf>
    <xf borderId="0" fillId="4" fontId="22" numFmtId="3" xfId="0" applyAlignment="1" applyFont="1" applyNumberFormat="1">
      <alignment vertical="top"/>
    </xf>
    <xf borderId="0" fillId="4" fontId="26" numFmtId="3" xfId="0" applyAlignment="1" applyFont="1" applyNumberFormat="1">
      <alignment horizontal="right" shrinkToFit="0" vertical="top" wrapText="1"/>
    </xf>
    <xf borderId="0" fillId="15" fontId="26" numFmtId="3" xfId="0" applyAlignment="1" applyFill="1" applyFont="1" applyNumberFormat="1">
      <alignment shrinkToFit="0" vertical="top" wrapText="1"/>
    </xf>
    <xf borderId="0" fillId="15" fontId="22" numFmtId="3" xfId="0" applyAlignment="1" applyFont="1" applyNumberFormat="1">
      <alignment vertical="top"/>
    </xf>
    <xf borderId="2" fillId="15" fontId="22" numFmtId="3" xfId="0" applyAlignment="1" applyBorder="1" applyFont="1" applyNumberFormat="1">
      <alignment vertical="top"/>
    </xf>
    <xf borderId="0" fillId="7" fontId="22" numFmtId="3" xfId="0" applyAlignment="1" applyFont="1" applyNumberFormat="1">
      <alignment vertical="top"/>
    </xf>
    <xf borderId="2" fillId="7" fontId="22" numFmtId="3" xfId="0" applyAlignment="1" applyBorder="1" applyFont="1" applyNumberFormat="1">
      <alignment vertical="top"/>
    </xf>
    <xf borderId="0" fillId="7" fontId="35" numFmtId="3" xfId="0" applyAlignment="1" applyFont="1" applyNumberFormat="1">
      <alignment shrinkToFit="0" vertical="top" wrapText="1"/>
    </xf>
    <xf borderId="0" fillId="12" fontId="35" numFmtId="3" xfId="0" applyAlignment="1" applyFont="1" applyNumberFormat="1">
      <alignment horizontal="right" shrinkToFit="0" vertical="top" wrapText="1"/>
    </xf>
    <xf borderId="0" fillId="12" fontId="35" numFmtId="164" xfId="0" applyAlignment="1" applyFont="1" applyNumberFormat="1">
      <alignment horizontal="right" shrinkToFit="0" vertical="top" wrapText="1"/>
    </xf>
    <xf borderId="0" fillId="7" fontId="22" numFmtId="166" xfId="0" applyAlignment="1" applyFont="1" applyNumberFormat="1">
      <alignment vertical="top"/>
    </xf>
    <xf borderId="0" fillId="7" fontId="35" numFmtId="3" xfId="0" applyAlignment="1" applyFont="1" applyNumberFormat="1">
      <alignment horizontal="right" shrinkToFit="0" vertical="top" wrapText="1"/>
    </xf>
    <xf borderId="0" fillId="12" fontId="35" numFmtId="9" xfId="0" applyAlignment="1" applyFont="1" applyNumberFormat="1">
      <alignment horizontal="right" shrinkToFit="0" vertical="top" wrapText="1"/>
    </xf>
    <xf borderId="0" fillId="7" fontId="22" numFmtId="9" xfId="0" applyAlignment="1" applyFont="1" applyNumberFormat="1">
      <alignment vertical="top"/>
    </xf>
    <xf borderId="0" fillId="12" fontId="35" numFmtId="3" xfId="0" applyAlignment="1" applyFont="1" applyNumberFormat="1">
      <alignment horizontal="right" shrinkToFit="0" vertical="top" wrapText="1"/>
    </xf>
    <xf borderId="0" fillId="7" fontId="35" numFmtId="3" xfId="0" applyAlignment="1" applyFont="1" applyNumberFormat="1">
      <alignment horizontal="right" shrinkToFit="0" vertical="top" wrapText="1"/>
    </xf>
    <xf borderId="2" fillId="7" fontId="35" numFmtId="3" xfId="0" applyAlignment="1" applyBorder="1" applyFont="1" applyNumberFormat="1">
      <alignment horizontal="right" shrinkToFit="0" vertical="top" wrapText="1"/>
    </xf>
    <xf borderId="0" fillId="7" fontId="35" numFmtId="0" xfId="0" applyAlignment="1" applyFont="1">
      <alignment shrinkToFit="0" vertical="top" wrapText="1"/>
    </xf>
    <xf borderId="2" fillId="4" fontId="26" numFmtId="3" xfId="0" applyAlignment="1" applyBorder="1" applyFont="1" applyNumberFormat="1">
      <alignment horizontal="right" shrinkToFit="0" vertical="top" wrapText="1"/>
    </xf>
    <xf borderId="0" fillId="12" fontId="22" numFmtId="9" xfId="0" applyAlignment="1" applyFont="1" applyNumberFormat="1">
      <alignment vertical="top"/>
    </xf>
    <xf borderId="0" fillId="7" fontId="35" numFmtId="164" xfId="0" applyAlignment="1" applyFont="1" applyNumberFormat="1">
      <alignment shrinkToFit="0" vertical="top" wrapText="1"/>
    </xf>
    <xf borderId="0" fillId="7" fontId="22" numFmtId="0" xfId="0" applyAlignment="1" applyFont="1">
      <alignment vertical="top"/>
    </xf>
    <xf borderId="0" fillId="8" fontId="34" numFmtId="3" xfId="0" applyAlignment="1" applyFont="1" applyNumberFormat="1">
      <alignment shrinkToFit="0" vertical="bottom" wrapText="1"/>
    </xf>
    <xf borderId="0" fillId="8" fontId="34" numFmtId="3" xfId="0" applyAlignment="1" applyFont="1" applyNumberFormat="1">
      <alignment horizontal="right" shrinkToFit="0" vertical="bottom" wrapText="1"/>
    </xf>
    <xf borderId="2" fillId="8" fontId="34" numFmtId="3" xfId="0" applyAlignment="1" applyBorder="1" applyFont="1" applyNumberFormat="1">
      <alignment horizontal="right" shrinkToFit="0" vertical="bottom" wrapText="1"/>
    </xf>
    <xf borderId="0" fillId="7" fontId="35" numFmtId="3" xfId="0" applyAlignment="1" applyFont="1" applyNumberFormat="1">
      <alignment shrinkToFit="0" vertical="top" wrapText="1"/>
    </xf>
    <xf borderId="0" fillId="12" fontId="35" numFmtId="3" xfId="0" applyAlignment="1" applyFont="1" applyNumberFormat="1">
      <alignment horizontal="right" shrinkToFit="0" vertical="top" wrapText="1"/>
    </xf>
    <xf borderId="0" fillId="12" fontId="35" numFmtId="164" xfId="0" applyAlignment="1" applyFont="1" applyNumberFormat="1">
      <alignment horizontal="right" shrinkToFit="0" vertical="top" wrapText="1"/>
    </xf>
    <xf borderId="0" fillId="16" fontId="35" numFmtId="3" xfId="0" applyAlignment="1" applyFill="1" applyFont="1" applyNumberFormat="1">
      <alignment horizontal="right" shrinkToFit="0" vertical="top" wrapText="1"/>
    </xf>
    <xf borderId="0" fillId="7" fontId="36" numFmtId="3" xfId="0" applyAlignment="1" applyFont="1" applyNumberFormat="1">
      <alignment shrinkToFit="0" vertical="top" wrapText="1"/>
    </xf>
    <xf borderId="0" fillId="7" fontId="36" numFmtId="164" xfId="0" applyAlignment="1" applyFont="1" applyNumberFormat="1">
      <alignment horizontal="right" shrinkToFit="0" vertical="top" wrapText="1"/>
    </xf>
    <xf borderId="2" fillId="7" fontId="36" numFmtId="164" xfId="0" applyAlignment="1" applyBorder="1" applyFont="1" applyNumberFormat="1">
      <alignment horizontal="right" shrinkToFit="0" vertical="top" wrapText="1"/>
    </xf>
    <xf borderId="0" fillId="7" fontId="27" numFmtId="3" xfId="0" applyAlignment="1" applyFont="1" applyNumberFormat="1">
      <alignment shrinkToFit="0" vertical="top" wrapText="1"/>
    </xf>
    <xf borderId="0" fillId="7" fontId="27" numFmtId="10" xfId="0" applyAlignment="1" applyFont="1" applyNumberFormat="1">
      <alignment shrinkToFit="0" vertical="top" wrapText="1"/>
    </xf>
    <xf borderId="0" fillId="12" fontId="35" numFmtId="10" xfId="0" applyAlignment="1" applyFont="1" applyNumberFormat="1">
      <alignment horizontal="right" shrinkToFit="0" vertical="top" wrapText="1"/>
    </xf>
    <xf borderId="0" fillId="0" fontId="35" numFmtId="3" xfId="0" applyAlignment="1" applyFont="1" applyNumberFormat="1">
      <alignment horizontal="right" vertical="bottom"/>
    </xf>
    <xf borderId="2" fillId="0" fontId="35" numFmtId="3" xfId="0" applyAlignment="1" applyBorder="1" applyFont="1" applyNumberFormat="1">
      <alignment horizontal="right" vertical="bottom"/>
    </xf>
    <xf borderId="0" fillId="7" fontId="35" numFmtId="9" xfId="0" applyAlignment="1" applyFont="1" applyNumberFormat="1">
      <alignment shrinkToFit="0" vertical="top" wrapText="1"/>
    </xf>
    <xf borderId="0" fillId="7" fontId="37" numFmtId="3" xfId="0" applyAlignment="1" applyFont="1" applyNumberFormat="1">
      <alignment shrinkToFit="0" vertical="top" wrapText="1"/>
    </xf>
    <xf borderId="0" fillId="7" fontId="37" numFmtId="3" xfId="0" applyAlignment="1" applyFont="1" applyNumberFormat="1">
      <alignment horizontal="right" shrinkToFit="0" vertical="top" wrapText="1"/>
    </xf>
    <xf borderId="2" fillId="7" fontId="37" numFmtId="3" xfId="0" applyAlignment="1" applyBorder="1" applyFont="1" applyNumberFormat="1">
      <alignment horizontal="right" shrinkToFit="0" vertical="top" wrapText="1"/>
    </xf>
    <xf borderId="2" fillId="8" fontId="22" numFmtId="3" xfId="0" applyAlignment="1" applyBorder="1" applyFont="1" applyNumberFormat="1">
      <alignment vertical="bottom"/>
    </xf>
    <xf borderId="2" fillId="0" fontId="22" numFmtId="3" xfId="0" applyAlignment="1" applyBorder="1" applyFont="1" applyNumberFormat="1">
      <alignment vertical="bottom"/>
    </xf>
    <xf borderId="0" fillId="4" fontId="24" numFmtId="3" xfId="0" applyAlignment="1" applyFont="1" applyNumberFormat="1">
      <alignment vertical="top"/>
    </xf>
    <xf borderId="0" fillId="12" fontId="22" numFmtId="9" xfId="0" applyAlignment="1" applyFont="1" applyNumberFormat="1">
      <alignment horizontal="right" shrinkToFit="0" vertical="top" wrapText="1"/>
    </xf>
    <xf borderId="0" fillId="0" fontId="22" numFmtId="3" xfId="0" applyAlignment="1" applyFont="1" applyNumberFormat="1">
      <alignment vertical="bottom"/>
    </xf>
    <xf borderId="0" fillId="0" fontId="22" numFmtId="3" xfId="0" applyAlignment="1" applyFont="1" applyNumberFormat="1">
      <alignment horizontal="right" vertical="bottom"/>
    </xf>
    <xf borderId="2" fillId="0" fontId="22" numFmtId="3" xfId="0" applyAlignment="1" applyBorder="1" applyFont="1" applyNumberFormat="1">
      <alignment horizontal="right" vertical="bottom"/>
    </xf>
    <xf borderId="0" fillId="7" fontId="22" numFmtId="3" xfId="0" applyAlignment="1" applyFont="1" applyNumberFormat="1">
      <alignment vertical="top"/>
    </xf>
    <xf borderId="2" fillId="0" fontId="22" numFmtId="3" xfId="0" applyAlignment="1" applyBorder="1" applyFont="1" applyNumberFormat="1">
      <alignment vertical="bottom"/>
    </xf>
    <xf borderId="0" fillId="0" fontId="22" numFmtId="3" xfId="0" applyAlignment="1" applyFont="1" applyNumberFormat="1">
      <alignment vertical="bottom"/>
    </xf>
    <xf borderId="0" fillId="0" fontId="22" numFmtId="3" xfId="0" applyAlignment="1" applyFont="1" applyNumberFormat="1">
      <alignment horizontal="right" vertical="bottom"/>
    </xf>
    <xf borderId="2" fillId="7" fontId="22" numFmtId="3" xfId="0" applyAlignment="1" applyBorder="1" applyFont="1" applyNumberFormat="1">
      <alignment vertical="bottom"/>
    </xf>
    <xf borderId="0" fillId="0" fontId="35" numFmtId="3" xfId="0" applyAlignment="1" applyFont="1" applyNumberFormat="1">
      <alignment shrinkToFit="0" vertical="bottom" wrapText="1"/>
    </xf>
    <xf borderId="0" fillId="12" fontId="35" numFmtId="3" xfId="0" applyAlignment="1" applyFont="1" applyNumberFormat="1">
      <alignment horizontal="right" vertical="bottom"/>
    </xf>
    <xf borderId="0" fillId="10" fontId="22" numFmtId="3" xfId="0" applyAlignment="1" applyFont="1" applyNumberFormat="1">
      <alignment vertical="bottom"/>
    </xf>
    <xf borderId="0" fillId="0" fontId="35" numFmtId="3" xfId="0" applyAlignment="1" applyFont="1" applyNumberFormat="1">
      <alignment horizontal="right" vertical="bottom"/>
    </xf>
    <xf borderId="2" fillId="0" fontId="35" numFmtId="3" xfId="0" applyAlignment="1" applyBorder="1" applyFont="1" applyNumberFormat="1">
      <alignment horizontal="right" vertical="bottom"/>
    </xf>
    <xf borderId="2" fillId="12" fontId="22" numFmtId="3" xfId="0" applyAlignment="1" applyBorder="1" applyFont="1" applyNumberFormat="1">
      <alignment vertical="bottom"/>
    </xf>
    <xf borderId="0" fillId="8" fontId="34" numFmtId="3" xfId="0" applyAlignment="1" applyFont="1" applyNumberFormat="1">
      <alignment readingOrder="0" shrinkToFit="0" vertical="bottom" wrapText="1"/>
    </xf>
    <xf borderId="0" fillId="15" fontId="26" numFmtId="3" xfId="0" applyAlignment="1" applyFont="1" applyNumberFormat="1">
      <alignment shrinkToFit="0" vertical="top" wrapText="1"/>
    </xf>
    <xf borderId="2" fillId="7" fontId="22" numFmtId="4" xfId="0" applyAlignment="1" applyBorder="1" applyFont="1" applyNumberFormat="1">
      <alignment vertical="top"/>
    </xf>
    <xf borderId="0" fillId="15" fontId="26" numFmtId="3" xfId="0" applyAlignment="1" applyFont="1" applyNumberFormat="1">
      <alignment shrinkToFit="0" vertical="top" wrapText="1"/>
    </xf>
    <xf borderId="0" fillId="7" fontId="35" numFmtId="3" xfId="0" applyAlignment="1" applyFont="1" applyNumberFormat="1">
      <alignment vertical="top"/>
    </xf>
    <xf borderId="2" fillId="7" fontId="26" numFmtId="3" xfId="0" applyAlignment="1" applyBorder="1" applyFont="1" applyNumberFormat="1">
      <alignment horizontal="right" shrinkToFit="0" vertical="top" wrapText="1"/>
    </xf>
    <xf borderId="0" fillId="0" fontId="35" numFmtId="167" xfId="0" applyAlignment="1" applyFont="1" applyNumberFormat="1">
      <alignment vertical="top"/>
    </xf>
    <xf borderId="0" fillId="7" fontId="35" numFmtId="3" xfId="0" applyAlignment="1" applyFont="1" applyNumberFormat="1">
      <alignment horizontal="right" vertical="top"/>
    </xf>
    <xf borderId="2" fillId="7" fontId="35" numFmtId="3" xfId="0" applyAlignment="1" applyBorder="1" applyFont="1" applyNumberFormat="1">
      <alignment horizontal="right" vertical="top"/>
    </xf>
    <xf borderId="0" fillId="7" fontId="35" numFmtId="3" xfId="0" applyAlignment="1" applyFont="1" applyNumberFormat="1">
      <alignment vertical="bottom"/>
    </xf>
    <xf borderId="0" fillId="0" fontId="22" numFmtId="4" xfId="0" applyAlignment="1" applyFont="1" applyNumberFormat="1">
      <alignment vertical="top"/>
    </xf>
    <xf borderId="0" fillId="15" fontId="26" numFmtId="4" xfId="0" applyAlignment="1" applyFont="1" applyNumberFormat="1">
      <alignment vertical="bottom"/>
    </xf>
    <xf borderId="0" fillId="15" fontId="26" numFmtId="3" xfId="0" applyAlignment="1" applyFont="1" applyNumberFormat="1">
      <alignment horizontal="right" vertical="bottom"/>
    </xf>
    <xf borderId="2" fillId="15" fontId="26" numFmtId="3" xfId="0" applyAlignment="1" applyBorder="1" applyFont="1" applyNumberFormat="1">
      <alignment horizontal="right" vertical="bottom"/>
    </xf>
    <xf borderId="0" fillId="12" fontId="35" numFmtId="3" xfId="0" applyAlignment="1" applyFont="1" applyNumberFormat="1">
      <alignment horizontal="right" vertical="top"/>
    </xf>
    <xf borderId="2" fillId="7" fontId="35" numFmtId="4" xfId="0" applyAlignment="1" applyBorder="1" applyFont="1" applyNumberFormat="1">
      <alignment horizontal="right" vertical="top"/>
    </xf>
    <xf borderId="0" fillId="7" fontId="22" numFmtId="0" xfId="0" applyAlignment="1" applyFont="1">
      <alignment vertical="bottom"/>
    </xf>
    <xf borderId="0" fillId="0" fontId="22" numFmtId="3" xfId="0" applyAlignment="1" applyFont="1" applyNumberFormat="1">
      <alignment horizontal="right" readingOrder="0" shrinkToFit="0" vertical="top" wrapText="1"/>
    </xf>
    <xf borderId="0" fillId="0" fontId="22" numFmtId="3" xfId="0" applyAlignment="1" applyFont="1" applyNumberFormat="1">
      <alignment horizontal="right" shrinkToFit="0" vertical="top" wrapText="1"/>
    </xf>
    <xf borderId="0" fillId="17" fontId="38" numFmtId="0" xfId="0" applyAlignment="1" applyFill="1" applyFont="1">
      <alignment horizontal="left" readingOrder="0" shrinkToFit="0" vertical="top" wrapText="1"/>
    </xf>
    <xf borderId="0" fillId="17" fontId="38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shrinkToFit="0" vertical="top" wrapText="1"/>
    </xf>
    <xf borderId="0" fillId="17" fontId="39" numFmtId="0" xfId="0" applyAlignment="1" applyFont="1">
      <alignment horizontal="left" readingOrder="0" shrinkToFit="0" vertical="center" wrapText="1"/>
    </xf>
    <xf borderId="0" fillId="17" fontId="40" numFmtId="0" xfId="0" applyAlignment="1" applyFont="1">
      <alignment horizontal="left" readingOrder="0" shrinkToFit="0" vertical="center" wrapText="1"/>
    </xf>
    <xf borderId="0" fillId="0" fontId="41" numFmtId="0" xfId="0" applyAlignment="1" applyFont="1">
      <alignment horizontal="left" readingOrder="0" shrinkToFit="0" vertical="center" wrapText="1"/>
    </xf>
    <xf borderId="0" fillId="0" fontId="40" numFmtId="0" xfId="0" applyAlignment="1" applyFont="1">
      <alignment horizontal="left" readingOrder="0" shrinkToFit="0" vertical="center" wrapText="1"/>
    </xf>
    <xf borderId="0" fillId="17" fontId="42" numFmtId="0" xfId="0" applyAlignment="1" applyFont="1">
      <alignment horizontal="left" readingOrder="0" shrinkToFit="0" vertical="center" wrapText="1"/>
    </xf>
    <xf borderId="0" fillId="0" fontId="43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shrinkToFit="0" vertical="top" wrapText="1"/>
    </xf>
    <xf borderId="0" fillId="0" fontId="12" numFmtId="0" xfId="0" applyFont="1"/>
    <xf borderId="0" fillId="0" fontId="44" numFmtId="0" xfId="0" applyAlignment="1" applyFont="1">
      <alignment horizontal="left" readingOrder="0" shrinkToFit="0" vertical="center" wrapText="1"/>
    </xf>
    <xf borderId="0" fillId="17" fontId="7" numFmtId="0" xfId="0" applyAlignment="1" applyFont="1">
      <alignment horizontal="left" readingOrder="0" shrinkToFit="0" vertical="center" wrapText="1"/>
    </xf>
    <xf borderId="0" fillId="0" fontId="45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0" fillId="0" fontId="13" numFmtId="0" xfId="0" applyAlignment="1" applyFont="1">
      <alignment horizontal="left" shrinkToFit="0" vertical="top" wrapText="1"/>
    </xf>
    <xf borderId="0" fillId="0" fontId="13" numFmtId="0" xfId="0" applyAlignment="1" applyFont="1">
      <alignment horizontal="right" shrinkToFit="0" vertical="top" wrapText="1"/>
    </xf>
    <xf borderId="0" fillId="2" fontId="46" numFmtId="3" xfId="0" applyAlignment="1" applyFont="1" applyNumberFormat="1">
      <alignment horizontal="left" shrinkToFit="0" vertical="center" wrapText="1"/>
    </xf>
    <xf borderId="0" fillId="2" fontId="46" numFmtId="3" xfId="0" applyAlignment="1" applyFont="1" applyNumberFormat="1">
      <alignment horizontal="right" shrinkToFit="0" vertical="center" wrapText="1"/>
    </xf>
    <xf borderId="0" fillId="2" fontId="46" numFmtId="168" xfId="0" applyAlignment="1" applyFont="1" applyNumberFormat="1">
      <alignment horizontal="right" shrinkToFit="0" vertical="center" wrapText="1"/>
    </xf>
    <xf borderId="0" fillId="0" fontId="47" numFmtId="0" xfId="0" applyAlignment="1" applyFont="1">
      <alignment horizontal="center" shrinkToFit="0" vertical="top" wrapText="1"/>
    </xf>
    <xf borderId="0" fillId="0" fontId="47" numFmtId="169" xfId="0" applyAlignment="1" applyFont="1" applyNumberFormat="1">
      <alignment horizontal="right" shrinkToFit="0" vertical="top" wrapText="1"/>
    </xf>
    <xf borderId="0" fillId="0" fontId="13" numFmtId="3" xfId="0" applyAlignment="1" applyFont="1" applyNumberFormat="1">
      <alignment horizontal="left" readingOrder="0" shrinkToFit="0" vertical="top" wrapText="1"/>
    </xf>
    <xf borderId="0" fillId="3" fontId="13" numFmtId="3" xfId="0" applyAlignment="1" applyFont="1" applyNumberFormat="1">
      <alignment horizontal="right" shrinkToFit="0" vertical="top" wrapText="1"/>
    </xf>
    <xf borderId="0" fillId="0" fontId="13" numFmtId="169" xfId="0" applyAlignment="1" applyFont="1" applyNumberFormat="1">
      <alignment horizontal="right" shrinkToFit="0" vertical="top" wrapText="1"/>
    </xf>
    <xf borderId="0" fillId="0" fontId="13" numFmtId="3" xfId="0" applyAlignment="1" applyFont="1" applyNumberFormat="1">
      <alignment horizontal="left" shrinkToFit="0" vertical="top" wrapText="1"/>
    </xf>
    <xf borderId="0" fillId="3" fontId="13" numFmtId="9" xfId="0" applyAlignment="1" applyFont="1" applyNumberFormat="1">
      <alignment horizontal="right" readingOrder="0" shrinkToFit="0" vertical="top" wrapText="1"/>
    </xf>
    <xf borderId="0" fillId="7" fontId="13" numFmtId="166" xfId="0" applyAlignment="1" applyFont="1" applyNumberFormat="1">
      <alignment horizontal="right" shrinkToFit="0" vertical="top" wrapText="1"/>
    </xf>
    <xf borderId="0" fillId="3" fontId="13" numFmtId="9" xfId="0" applyAlignment="1" applyFont="1" applyNumberFormat="1">
      <alignment horizontal="right" shrinkToFit="0" vertical="top" wrapText="1"/>
    </xf>
    <xf borderId="0" fillId="0" fontId="47" numFmtId="0" xfId="0" applyAlignment="1" applyFont="1">
      <alignment horizontal="left" shrinkToFit="0" vertical="top" wrapText="1"/>
    </xf>
    <xf borderId="0" fillId="7" fontId="13" numFmtId="3" xfId="0" applyAlignment="1" applyFont="1" applyNumberFormat="1">
      <alignment horizontal="right" shrinkToFit="0" vertical="top" wrapText="1"/>
    </xf>
    <xf borderId="0" fillId="5" fontId="13" numFmtId="3" xfId="0" applyAlignment="1" applyFont="1" applyNumberFormat="1">
      <alignment horizontal="left" readingOrder="0" shrinkToFit="0" vertical="top" wrapText="1"/>
    </xf>
    <xf borderId="0" fillId="5" fontId="13" numFmtId="166" xfId="0" applyAlignment="1" applyFont="1" applyNumberFormat="1">
      <alignment horizontal="right" shrinkToFit="0" vertical="top" wrapText="1"/>
    </xf>
    <xf borderId="0" fillId="5" fontId="13" numFmtId="0" xfId="0" applyAlignment="1" applyFont="1">
      <alignment horizontal="right" shrinkToFit="0" vertical="top" wrapText="1"/>
    </xf>
    <xf borderId="0" fillId="0" fontId="13" numFmtId="3" xfId="0" applyAlignment="1" applyFont="1" applyNumberFormat="1">
      <alignment horizontal="right" shrinkToFit="0" vertical="top" wrapText="1"/>
    </xf>
    <xf borderId="0" fillId="7" fontId="13" numFmtId="0" xfId="0" applyFont="1"/>
    <xf borderId="0" fillId="7" fontId="13" numFmtId="0" xfId="0" applyAlignment="1" applyFont="1">
      <alignment horizontal="right"/>
    </xf>
    <xf borderId="0" fillId="7" fontId="13" numFmtId="3" xfId="0" applyAlignment="1" applyFont="1" applyNumberFormat="1">
      <alignment horizontal="right"/>
    </xf>
    <xf borderId="0" fillId="2" fontId="15" numFmtId="3" xfId="0" applyAlignment="1" applyFont="1" applyNumberFormat="1">
      <alignment horizontal="left" shrinkToFit="0" vertical="center" wrapText="1"/>
    </xf>
    <xf borderId="0" fillId="2" fontId="16" numFmtId="168" xfId="0" applyAlignment="1" applyFont="1" applyNumberFormat="1">
      <alignment horizontal="right" shrinkToFit="0" vertical="center" wrapText="1"/>
    </xf>
    <xf borderId="0" fillId="0" fontId="13" numFmtId="0" xfId="0" applyAlignment="1" applyFont="1">
      <alignment horizontal="left" readingOrder="0" shrinkToFit="0" vertical="top" wrapText="1"/>
    </xf>
    <xf borderId="0" fillId="0" fontId="13" numFmtId="168" xfId="0" applyAlignment="1" applyFont="1" applyNumberFormat="1">
      <alignment horizontal="right" shrinkToFit="0" vertical="top" wrapText="1"/>
    </xf>
    <xf borderId="0" fillId="7" fontId="13" numFmtId="9" xfId="0" applyAlignment="1" applyFont="1" applyNumberFormat="1">
      <alignment horizontal="right" shrinkToFit="0" vertical="top" wrapText="1"/>
    </xf>
    <xf borderId="0" fillId="0" fontId="47" numFmtId="0" xfId="0" applyAlignment="1" applyFont="1">
      <alignment horizontal="left" readingOrder="0" shrinkToFit="0" vertical="top" wrapText="1"/>
    </xf>
    <xf borderId="0" fillId="0" fontId="47" numFmtId="10" xfId="0" applyAlignment="1" applyFont="1" applyNumberFormat="1">
      <alignment horizontal="right" shrinkToFit="0" vertical="top" wrapText="1"/>
    </xf>
    <xf borderId="0" fillId="3" fontId="13" numFmtId="168" xfId="0" applyAlignment="1" applyFont="1" applyNumberFormat="1">
      <alignment horizontal="right" shrinkToFit="0" vertical="top" wrapText="1"/>
    </xf>
    <xf borderId="0" fillId="0" fontId="13" numFmtId="0" xfId="0" applyFont="1"/>
    <xf borderId="0" fillId="0" fontId="13" numFmtId="169" xfId="0" applyAlignment="1" applyFont="1" applyNumberFormat="1">
      <alignment horizontal="right"/>
    </xf>
    <xf borderId="0" fillId="0" fontId="13" numFmtId="168" xfId="0" applyAlignment="1" applyFont="1" applyNumberFormat="1">
      <alignment horizontal="right"/>
    </xf>
    <xf borderId="0" fillId="2" fontId="16" numFmtId="169" xfId="0" applyAlignment="1" applyFont="1" applyNumberFormat="1">
      <alignment horizontal="right" shrinkToFit="0" vertical="center" wrapText="1"/>
    </xf>
    <xf borderId="0" fillId="7" fontId="13" numFmtId="10" xfId="0" applyAlignment="1" applyFont="1" applyNumberFormat="1">
      <alignment horizontal="right"/>
    </xf>
    <xf borderId="0" fillId="0" fontId="13" numFmtId="9" xfId="0" applyAlignment="1" applyFont="1" applyNumberFormat="1">
      <alignment horizontal="right" shrinkToFit="0" vertical="top" wrapText="1"/>
    </xf>
    <xf borderId="0" fillId="0" fontId="13" numFmtId="169" xfId="0" applyAlignment="1" applyFont="1" applyNumberFormat="1">
      <alignment horizontal="right" shrinkToFit="0" vertical="top" wrapText="1"/>
    </xf>
    <xf borderId="0" fillId="7" fontId="13" numFmtId="168" xfId="0" applyAlignment="1" applyFont="1" applyNumberFormat="1">
      <alignment horizontal="right"/>
    </xf>
    <xf borderId="0" fillId="0" fontId="13" numFmtId="168" xfId="0" applyAlignment="1" applyFont="1" applyNumberFormat="1">
      <alignment horizontal="right" shrinkToFit="0" vertical="top" wrapText="1"/>
    </xf>
    <xf borderId="0" fillId="7" fontId="13" numFmtId="168" xfId="0" applyAlignment="1" applyFont="1" applyNumberFormat="1">
      <alignment horizontal="right"/>
    </xf>
    <xf borderId="0" fillId="0" fontId="13" numFmtId="168" xfId="0" applyAlignment="1" applyFont="1" applyNumberFormat="1">
      <alignment horizontal="right"/>
    </xf>
    <xf borderId="0" fillId="2" fontId="15" numFmtId="3" xfId="0" applyAlignment="1" applyFont="1" applyNumberFormat="1">
      <alignment horizontal="left" readingOrder="0" shrinkToFit="0" vertical="center" wrapText="1"/>
    </xf>
    <xf borderId="0" fillId="2" fontId="16" numFmtId="168" xfId="0" applyAlignment="1" applyFont="1" applyNumberFormat="1">
      <alignment horizontal="right" shrinkToFit="0" vertical="center" wrapText="1"/>
    </xf>
    <xf borderId="0" fillId="0" fontId="13" numFmtId="0" xfId="0" applyAlignment="1" applyFont="1">
      <alignment horizontal="right"/>
    </xf>
    <xf borderId="0" fillId="0" fontId="14" numFmtId="0" xfId="0" applyAlignment="1" applyFont="1">
      <alignment horizontal="left" shrinkToFit="0" vertical="top" wrapText="1"/>
    </xf>
    <xf borderId="0" fillId="0" fontId="13" numFmtId="3" xfId="0" applyAlignment="1" applyFont="1" applyNumberFormat="1">
      <alignment horizontal="right"/>
    </xf>
    <xf borderId="0" fillId="0" fontId="14" numFmtId="168" xfId="0" applyAlignment="1" applyFont="1" applyNumberFormat="1">
      <alignment horizontal="right" shrinkToFit="0" vertical="top" wrapText="1"/>
    </xf>
    <xf borderId="0" fillId="0" fontId="13" numFmtId="165" xfId="0" applyFont="1" applyNumberFormat="1"/>
    <xf borderId="0" fillId="2" fontId="15" numFmtId="0" xfId="0" applyAlignment="1" applyFont="1">
      <alignment horizontal="left" shrinkToFit="0" vertical="center" wrapText="1"/>
    </xf>
    <xf borderId="0" fillId="2" fontId="15" numFmtId="168" xfId="0" applyAlignment="1" applyFont="1" applyNumberFormat="1">
      <alignment horizontal="right" shrinkToFit="0" vertical="center" wrapText="1"/>
    </xf>
    <xf borderId="0" fillId="6" fontId="13" numFmtId="168" xfId="0" applyAlignment="1" applyFont="1" applyNumberFormat="1">
      <alignment horizontal="right" readingOrder="0" shrinkToFit="0" vertical="top" wrapText="1"/>
    </xf>
    <xf borderId="0" fillId="0" fontId="48" numFmtId="0" xfId="0" applyAlignment="1" applyFont="1">
      <alignment vertical="bottom"/>
    </xf>
    <xf borderId="0" fillId="0" fontId="48" numFmtId="3" xfId="0" applyAlignment="1" applyFont="1" applyNumberFormat="1">
      <alignment vertical="bottom"/>
    </xf>
    <xf borderId="0" fillId="0" fontId="48" numFmtId="0" xfId="0" applyAlignment="1" applyFont="1">
      <alignment vertical="bottom"/>
    </xf>
    <xf borderId="0" fillId="0" fontId="48" numFmtId="4" xfId="0" applyAlignment="1" applyFont="1" applyNumberFormat="1">
      <alignment vertical="bottom"/>
    </xf>
    <xf borderId="0" fillId="0" fontId="48" numFmtId="170" xfId="0" applyAlignment="1" applyFont="1" applyNumberFormat="1">
      <alignment vertical="bottom"/>
    </xf>
    <xf borderId="0" fillId="0" fontId="48" numFmtId="171" xfId="0" applyAlignment="1" applyFont="1" applyNumberFormat="1">
      <alignment vertical="bottom"/>
    </xf>
    <xf borderId="0" fillId="0" fontId="48" numFmtId="0" xfId="0" applyAlignment="1" applyFont="1">
      <alignment vertical="bottom"/>
    </xf>
    <xf borderId="0" fillId="0" fontId="48" numFmtId="0" xfId="0" applyAlignment="1" applyFont="1">
      <alignment vertical="top"/>
    </xf>
    <xf borderId="1" fillId="7" fontId="26" numFmtId="3" xfId="0" applyAlignment="1" applyBorder="1" applyFont="1" applyNumberFormat="1">
      <alignment shrinkToFit="0" vertical="top" wrapText="1"/>
    </xf>
    <xf borderId="3" fillId="7" fontId="26" numFmtId="3" xfId="0" applyAlignment="1" applyBorder="1" applyFont="1" applyNumberFormat="1">
      <alignment shrinkToFit="0" vertical="top" wrapText="1"/>
    </xf>
    <xf borderId="0" fillId="0" fontId="48" numFmtId="3" xfId="0" applyAlignment="1" applyFont="1" applyNumberFormat="1">
      <alignment vertical="top"/>
    </xf>
    <xf borderId="0" fillId="0" fontId="48" numFmtId="0" xfId="0" applyAlignment="1" applyFont="1">
      <alignment vertical="top"/>
    </xf>
    <xf borderId="0" fillId="0" fontId="49" numFmtId="0" xfId="0" applyAlignment="1" applyFont="1">
      <alignment vertical="top"/>
    </xf>
    <xf borderId="0" fillId="0" fontId="50" numFmtId="3" xfId="0" applyAlignment="1" applyFont="1" applyNumberFormat="1">
      <alignment vertical="top"/>
    </xf>
    <xf borderId="0" fillId="12" fontId="50" numFmtId="3" xfId="0" applyAlignment="1" applyFont="1" applyNumberFormat="1">
      <alignment shrinkToFit="0" vertical="top" wrapText="1"/>
    </xf>
    <xf borderId="0" fillId="7" fontId="50" numFmtId="10" xfId="0" applyAlignment="1" applyFont="1" applyNumberFormat="1">
      <alignment vertical="top"/>
    </xf>
    <xf borderId="0" fillId="0" fontId="50" numFmtId="10" xfId="0" applyAlignment="1" applyFont="1" applyNumberFormat="1">
      <alignment vertical="top"/>
    </xf>
    <xf borderId="0" fillId="12" fontId="50" numFmtId="10" xfId="0" applyAlignment="1" applyFont="1" applyNumberFormat="1">
      <alignment shrinkToFit="0" vertical="top" wrapText="1"/>
    </xf>
    <xf borderId="0" fillId="7" fontId="50" numFmtId="3" xfId="0" applyAlignment="1" applyFont="1" applyNumberFormat="1">
      <alignment vertical="top"/>
    </xf>
    <xf borderId="0" fillId="6" fontId="50" numFmtId="10" xfId="0" applyAlignment="1" applyFont="1" applyNumberFormat="1">
      <alignment vertical="top"/>
    </xf>
    <xf borderId="0" fillId="16" fontId="48" numFmtId="0" xfId="0" applyAlignment="1" applyFont="1">
      <alignment vertical="bottom"/>
    </xf>
    <xf borderId="0" fillId="16" fontId="51" numFmtId="0" xfId="0" applyAlignment="1" applyFont="1">
      <alignment vertical="top"/>
    </xf>
    <xf borderId="0" fillId="16" fontId="48" numFmtId="0" xfId="0" applyAlignment="1" applyFont="1">
      <alignment vertical="top"/>
    </xf>
    <xf borderId="0" fillId="16" fontId="48" numFmtId="3" xfId="0" applyAlignment="1" applyFont="1" applyNumberFormat="1">
      <alignment vertical="top"/>
    </xf>
    <xf borderId="0" fillId="16" fontId="52" numFmtId="4" xfId="0" applyAlignment="1" applyFont="1" applyNumberFormat="1">
      <alignment vertical="top"/>
    </xf>
    <xf borderId="0" fillId="16" fontId="48" numFmtId="4" xfId="0" applyAlignment="1" applyFont="1" applyNumberFormat="1">
      <alignment vertical="top"/>
    </xf>
    <xf borderId="0" fillId="0" fontId="48" numFmtId="4" xfId="0" applyAlignment="1" applyFont="1" applyNumberFormat="1">
      <alignment vertical="top"/>
    </xf>
    <xf borderId="4" fillId="18" fontId="53" numFmtId="0" xfId="0" applyAlignment="1" applyBorder="1" applyFill="1" applyFont="1">
      <alignment vertical="top"/>
    </xf>
    <xf borderId="4" fillId="18" fontId="48" numFmtId="0" xfId="0" applyAlignment="1" applyBorder="1" applyFont="1">
      <alignment vertical="top"/>
    </xf>
    <xf borderId="4" fillId="19" fontId="54" numFmtId="3" xfId="0" applyAlignment="1" applyBorder="1" applyFill="1" applyFont="1" applyNumberFormat="1">
      <alignment vertical="top"/>
    </xf>
    <xf borderId="4" fillId="18" fontId="53" numFmtId="3" xfId="0" applyAlignment="1" applyBorder="1" applyFont="1" applyNumberFormat="1">
      <alignment vertical="top"/>
    </xf>
    <xf borderId="4" fillId="20" fontId="51" numFmtId="3" xfId="0" applyAlignment="1" applyBorder="1" applyFill="1" applyFont="1" applyNumberFormat="1">
      <alignment vertical="top"/>
    </xf>
    <xf borderId="0" fillId="20" fontId="48" numFmtId="3" xfId="0" applyAlignment="1" applyFont="1" applyNumberFormat="1">
      <alignment vertical="top"/>
    </xf>
    <xf borderId="4" fillId="19" fontId="55" numFmtId="0" xfId="0" applyAlignment="1" applyBorder="1" applyFont="1">
      <alignment vertical="top"/>
    </xf>
    <xf borderId="4" fillId="19" fontId="48" numFmtId="0" xfId="0" applyAlignment="1" applyBorder="1" applyFont="1">
      <alignment vertical="top"/>
    </xf>
    <xf borderId="0" fillId="0" fontId="54" numFmtId="0" xfId="0" applyAlignment="1" applyFont="1">
      <alignment vertical="top"/>
    </xf>
    <xf borderId="0" fillId="21" fontId="48" numFmtId="3" xfId="0" applyAlignment="1" applyFill="1" applyFont="1" applyNumberFormat="1">
      <alignment vertical="top"/>
    </xf>
    <xf borderId="0" fillId="22" fontId="48" numFmtId="0" xfId="0" applyAlignment="1" applyFill="1" applyFont="1">
      <alignment vertical="bottom"/>
    </xf>
    <xf borderId="4" fillId="22" fontId="54" numFmtId="4" xfId="0" applyAlignment="1" applyBorder="1" applyFont="1" applyNumberFormat="1">
      <alignment vertical="top"/>
    </xf>
    <xf borderId="4" fillId="22" fontId="48" numFmtId="4" xfId="0" applyAlignment="1" applyBorder="1" applyFont="1" applyNumberFormat="1">
      <alignment vertical="top"/>
    </xf>
    <xf borderId="0" fillId="22" fontId="48" numFmtId="4" xfId="0" applyAlignment="1" applyFont="1" applyNumberFormat="1">
      <alignment vertical="top"/>
    </xf>
    <xf borderId="4" fillId="18" fontId="48" numFmtId="3" xfId="0" applyAlignment="1" applyBorder="1" applyFont="1" applyNumberFormat="1">
      <alignment vertical="top"/>
    </xf>
    <xf borderId="0" fillId="0" fontId="48" numFmtId="166" xfId="0" applyAlignment="1" applyFont="1" applyNumberFormat="1">
      <alignment vertical="bottom"/>
    </xf>
    <xf borderId="4" fillId="21" fontId="56" numFmtId="166" xfId="0" applyAlignment="1" applyBorder="1" applyFont="1" applyNumberFormat="1">
      <alignment vertical="top"/>
    </xf>
    <xf borderId="4" fillId="21" fontId="48" numFmtId="166" xfId="0" applyAlignment="1" applyBorder="1" applyFont="1" applyNumberFormat="1">
      <alignment vertical="top"/>
    </xf>
    <xf borderId="0" fillId="21" fontId="48" numFmtId="166" xfId="0" applyAlignment="1" applyFont="1" applyNumberFormat="1">
      <alignment vertical="top"/>
    </xf>
    <xf borderId="4" fillId="22" fontId="54" numFmtId="166" xfId="0" applyAlignment="1" applyBorder="1" applyFont="1" applyNumberFormat="1">
      <alignment vertical="top"/>
    </xf>
    <xf borderId="4" fillId="21" fontId="56" numFmtId="0" xfId="0" applyAlignment="1" applyBorder="1" applyFont="1">
      <alignment vertical="top"/>
    </xf>
    <xf borderId="4" fillId="21" fontId="48" numFmtId="4" xfId="0" applyAlignment="1" applyBorder="1" applyFont="1" applyNumberFormat="1">
      <alignment vertical="top"/>
    </xf>
    <xf borderId="0" fillId="21" fontId="48" numFmtId="4" xfId="0" applyAlignment="1" applyFont="1" applyNumberFormat="1">
      <alignment vertical="top"/>
    </xf>
    <xf borderId="4" fillId="21" fontId="54" numFmtId="3" xfId="0" applyAlignment="1" applyBorder="1" applyFont="1" applyNumberFormat="1">
      <alignment vertical="top"/>
    </xf>
    <xf borderId="4" fillId="21" fontId="56" numFmtId="4" xfId="0" applyAlignment="1" applyBorder="1" applyFont="1" applyNumberFormat="1">
      <alignment vertical="top"/>
    </xf>
    <xf borderId="4" fillId="21" fontId="54" numFmtId="10" xfId="0" applyAlignment="1" applyBorder="1" applyFont="1" applyNumberFormat="1">
      <alignment vertical="top"/>
    </xf>
    <xf borderId="4" fillId="21" fontId="48" numFmtId="0" xfId="0" applyAlignment="1" applyBorder="1" applyFont="1">
      <alignment vertical="top"/>
    </xf>
    <xf borderId="4" fillId="21" fontId="48" numFmtId="0" xfId="0" applyAlignment="1" applyBorder="1" applyFont="1">
      <alignment vertical="top"/>
    </xf>
    <xf borderId="0" fillId="21" fontId="48" numFmtId="0" xfId="0" applyAlignment="1" applyFont="1">
      <alignment vertical="top"/>
    </xf>
    <xf borderId="4" fillId="21" fontId="54" numFmtId="4" xfId="0" applyAlignment="1" applyBorder="1" applyFont="1" applyNumberFormat="1">
      <alignment vertical="top"/>
    </xf>
    <xf borderId="4" fillId="21" fontId="48" numFmtId="3" xfId="0" applyAlignment="1" applyBorder="1" applyFont="1" applyNumberFormat="1">
      <alignment vertical="top"/>
    </xf>
    <xf borderId="4" fillId="21" fontId="48" numFmtId="9" xfId="0" applyAlignment="1" applyBorder="1" applyFont="1" applyNumberFormat="1">
      <alignment vertical="top"/>
    </xf>
    <xf borderId="0" fillId="22" fontId="48" numFmtId="4" xfId="0" applyAlignment="1" applyFont="1" applyNumberFormat="1">
      <alignment vertical="bottom"/>
    </xf>
    <xf borderId="4" fillId="22" fontId="54" numFmtId="3" xfId="0" applyAlignment="1" applyBorder="1" applyFont="1" applyNumberFormat="1">
      <alignment vertical="top"/>
    </xf>
    <xf borderId="0" fillId="21" fontId="48" numFmtId="0" xfId="0" applyAlignment="1" applyFont="1">
      <alignment vertical="top"/>
    </xf>
    <xf borderId="4" fillId="19" fontId="54" numFmtId="10" xfId="0" applyAlignment="1" applyBorder="1" applyFont="1" applyNumberFormat="1">
      <alignment vertical="top"/>
    </xf>
    <xf borderId="0" fillId="19" fontId="48" numFmtId="0" xfId="0" applyAlignment="1" applyFont="1">
      <alignment vertical="top"/>
    </xf>
    <xf borderId="0" fillId="19" fontId="48" numFmtId="0" xfId="0" applyAlignment="1" applyFont="1">
      <alignment vertical="top"/>
    </xf>
    <xf borderId="0" fillId="19" fontId="48" numFmtId="3" xfId="0" applyAlignment="1" applyFont="1" applyNumberFormat="1">
      <alignment vertical="top"/>
    </xf>
    <xf borderId="0" fillId="21" fontId="56" numFmtId="0" xfId="0" applyAlignment="1" applyFont="1">
      <alignment vertical="top"/>
    </xf>
    <xf borderId="0" fillId="21" fontId="54" numFmtId="0" xfId="0" applyAlignment="1" applyFont="1">
      <alignment vertical="top"/>
    </xf>
    <xf borderId="0" fillId="21" fontId="54" numFmtId="9" xfId="0" applyAlignment="1" applyFont="1" applyNumberFormat="1">
      <alignment vertical="top"/>
    </xf>
    <xf borderId="4" fillId="12" fontId="54" numFmtId="3" xfId="0" applyAlignment="1" applyBorder="1" applyFont="1" applyNumberFormat="1">
      <alignment vertical="top"/>
    </xf>
    <xf borderId="4" fillId="18" fontId="48" numFmtId="0" xfId="0" applyAlignment="1" applyBorder="1" applyFont="1">
      <alignment vertical="bottom"/>
    </xf>
    <xf borderId="4" fillId="18" fontId="48" numFmtId="0" xfId="0" applyAlignment="1" applyBorder="1" applyFont="1">
      <alignment vertical="top"/>
    </xf>
    <xf borderId="4" fillId="18" fontId="53" numFmtId="4" xfId="0" applyAlignment="1" applyBorder="1" applyFont="1" applyNumberFormat="1">
      <alignment vertical="top"/>
    </xf>
    <xf borderId="0" fillId="8" fontId="48" numFmtId="0" xfId="0" applyAlignment="1" applyFont="1">
      <alignment vertical="bottom"/>
    </xf>
    <xf borderId="4" fillId="8" fontId="55" numFmtId="0" xfId="0" applyAlignment="1" applyBorder="1" applyFont="1">
      <alignment vertical="top"/>
    </xf>
    <xf borderId="5" fillId="23" fontId="48" numFmtId="10" xfId="0" applyAlignment="1" applyBorder="1" applyFill="1" applyFont="1" applyNumberFormat="1">
      <alignment vertical="top"/>
    </xf>
    <xf borderId="0" fillId="8" fontId="48" numFmtId="3" xfId="0" applyAlignment="1" applyFont="1" applyNumberFormat="1">
      <alignment vertical="top"/>
    </xf>
    <xf borderId="0" fillId="8" fontId="48" numFmtId="0" xfId="0" applyAlignment="1" applyFont="1">
      <alignment vertical="top"/>
    </xf>
    <xf borderId="0" fillId="8" fontId="49" numFmtId="4" xfId="0" applyAlignment="1" applyFont="1" applyNumberFormat="1">
      <alignment vertical="top"/>
    </xf>
    <xf borderId="4" fillId="19" fontId="56" numFmtId="0" xfId="0" applyAlignment="1" applyBorder="1" applyFont="1">
      <alignment vertical="top"/>
    </xf>
    <xf borderId="0" fillId="24" fontId="51" numFmtId="10" xfId="0" applyAlignment="1" applyFill="1" applyFont="1" applyNumberFormat="1">
      <alignment vertical="top"/>
    </xf>
    <xf borderId="0" fillId="0" fontId="49" numFmtId="4" xfId="0" applyAlignment="1" applyFont="1" applyNumberFormat="1">
      <alignment vertical="top"/>
    </xf>
    <xf borderId="0" fillId="23" fontId="48" numFmtId="10" xfId="0" applyAlignment="1" applyFont="1" applyNumberFormat="1">
      <alignment vertical="top"/>
    </xf>
    <xf borderId="5" fillId="8" fontId="51" numFmtId="10" xfId="0" applyAlignment="1" applyBorder="1" applyFont="1" applyNumberFormat="1">
      <alignment vertical="top"/>
    </xf>
    <xf borderId="4" fillId="19" fontId="48" numFmtId="0" xfId="0" applyAlignment="1" applyBorder="1" applyFont="1">
      <alignment vertical="top"/>
    </xf>
    <xf borderId="0" fillId="21" fontId="48" numFmtId="10" xfId="0" applyAlignment="1" applyFont="1" applyNumberFormat="1">
      <alignment vertical="top"/>
    </xf>
    <xf borderId="0" fillId="2" fontId="48" numFmtId="0" xfId="0" applyAlignment="1" applyFont="1">
      <alignment vertical="bottom"/>
    </xf>
    <xf borderId="0" fillId="2" fontId="52" numFmtId="0" xfId="0" applyAlignment="1" applyFont="1">
      <alignment vertical="top"/>
    </xf>
    <xf borderId="0" fillId="2" fontId="48" numFmtId="0" xfId="0" applyAlignment="1" applyFont="1">
      <alignment vertical="top"/>
    </xf>
    <xf borderId="0" fillId="2" fontId="52" numFmtId="3" xfId="0" applyAlignment="1" applyFont="1" applyNumberFormat="1">
      <alignment vertical="top"/>
    </xf>
    <xf borderId="4" fillId="18" fontId="57" numFmtId="3" xfId="0" applyAlignment="1" applyBorder="1" applyFont="1" applyNumberFormat="1">
      <alignment vertical="top"/>
    </xf>
    <xf borderId="4" fillId="20" fontId="52" numFmtId="3" xfId="0" applyAlignment="1" applyBorder="1" applyFont="1" applyNumberFormat="1">
      <alignment vertical="top"/>
    </xf>
    <xf borderId="4" fillId="19" fontId="54" numFmtId="0" xfId="0" applyAlignment="1" applyBorder="1" applyFont="1">
      <alignment vertical="top"/>
    </xf>
    <xf borderId="0" fillId="8" fontId="51" numFmtId="3" xfId="0" applyAlignment="1" applyFont="1" applyNumberFormat="1">
      <alignment vertical="top"/>
    </xf>
    <xf borderId="5" fillId="24" fontId="51" numFmtId="10" xfId="0" applyAlignment="1" applyBorder="1" applyFont="1" applyNumberFormat="1">
      <alignment vertical="top"/>
    </xf>
    <xf borderId="5" fillId="24" fontId="51" numFmtId="172" xfId="0" applyAlignment="1" applyBorder="1" applyFont="1" applyNumberFormat="1">
      <alignment vertical="top"/>
    </xf>
    <xf borderId="4" fillId="20" fontId="48" numFmtId="3" xfId="0" applyAlignment="1" applyBorder="1" applyFont="1" applyNumberFormat="1">
      <alignment vertical="top"/>
    </xf>
    <xf borderId="0" fillId="0" fontId="48" numFmtId="0" xfId="0" applyAlignment="1" applyFont="1">
      <alignment vertical="top"/>
    </xf>
    <xf borderId="0" fillId="7" fontId="49" numFmtId="4" xfId="0" applyAlignment="1" applyFont="1" applyNumberFormat="1">
      <alignment vertical="top"/>
    </xf>
    <xf borderId="0" fillId="23" fontId="48" numFmtId="9" xfId="0" applyAlignment="1" applyFont="1" applyNumberFormat="1">
      <alignment vertical="top"/>
    </xf>
    <xf borderId="0" fillId="0" fontId="49" numFmtId="3" xfId="0" applyAlignment="1" applyFont="1" applyNumberFormat="1">
      <alignment vertical="top"/>
    </xf>
    <xf borderId="5" fillId="23" fontId="48" numFmtId="4" xfId="0" applyAlignment="1" applyBorder="1" applyFont="1" applyNumberFormat="1">
      <alignment vertical="top"/>
    </xf>
    <xf borderId="6" fillId="19" fontId="54" numFmtId="0" xfId="0" applyAlignment="1" applyBorder="1" applyFont="1">
      <alignment vertical="top"/>
    </xf>
    <xf borderId="0" fillId="8" fontId="49" numFmtId="3" xfId="0" applyAlignment="1" applyFont="1" applyNumberFormat="1">
      <alignment vertical="top"/>
    </xf>
    <xf borderId="0" fillId="0" fontId="49" numFmtId="0" xfId="0" applyAlignment="1" applyFont="1">
      <alignment shrinkToFit="0" vertical="top" wrapText="1"/>
    </xf>
    <xf borderId="5" fillId="24" fontId="51" numFmtId="10" xfId="0" applyAlignment="1" applyBorder="1" applyFont="1" applyNumberFormat="1">
      <alignment shrinkToFit="0" vertical="top" wrapText="1"/>
    </xf>
    <xf borderId="0" fillId="7" fontId="49" numFmtId="0" xfId="0" applyAlignment="1" applyFont="1">
      <alignment shrinkToFit="0" vertical="top" wrapText="1"/>
    </xf>
    <xf borderId="0" fillId="4" fontId="49" numFmtId="3" xfId="0" applyAlignment="1" applyFont="1" applyNumberFormat="1">
      <alignment vertical="top"/>
    </xf>
    <xf borderId="0" fillId="25" fontId="51" numFmtId="0" xfId="0" applyAlignment="1" applyFill="1" applyFont="1">
      <alignment vertical="top"/>
    </xf>
    <xf borderId="0" fillId="25" fontId="48" numFmtId="0" xfId="0" applyAlignment="1" applyFont="1">
      <alignment vertical="top"/>
    </xf>
    <xf borderId="0" fillId="25" fontId="48" numFmtId="3" xfId="0" applyAlignment="1" applyFont="1" applyNumberFormat="1">
      <alignment vertical="top"/>
    </xf>
    <xf borderId="0" fillId="25" fontId="51" numFmtId="3" xfId="0" applyAlignment="1" applyFont="1" applyNumberFormat="1">
      <alignment vertical="top"/>
    </xf>
    <xf borderId="0" fillId="25" fontId="48" numFmtId="10" xfId="0" applyAlignment="1" applyFont="1" applyNumberFormat="1">
      <alignment vertical="top"/>
    </xf>
    <xf borderId="0" fillId="25" fontId="51" numFmtId="10" xfId="0" applyAlignment="1" applyFont="1" applyNumberFormat="1">
      <alignment vertical="top"/>
    </xf>
    <xf borderId="4" fillId="20" fontId="51" numFmtId="10" xfId="0" applyAlignment="1" applyBorder="1" applyFont="1" applyNumberFormat="1">
      <alignment vertical="top"/>
    </xf>
    <xf borderId="0" fillId="25" fontId="48" numFmtId="0" xfId="0" applyAlignment="1" applyFont="1">
      <alignment vertical="top"/>
    </xf>
    <xf borderId="0" fillId="25" fontId="51" numFmtId="4" xfId="0" applyAlignment="1" applyFont="1" applyNumberFormat="1">
      <alignment vertical="top"/>
    </xf>
    <xf borderId="0" fillId="2" fontId="51" numFmtId="0" xfId="0" applyAlignment="1" applyFont="1">
      <alignment vertical="top"/>
    </xf>
    <xf borderId="0" fillId="2" fontId="51" numFmtId="3" xfId="0" applyAlignment="1" applyFont="1" applyNumberFormat="1">
      <alignment vertical="top"/>
    </xf>
    <xf borderId="5" fillId="24" fontId="51" numFmtId="4" xfId="0" applyAlignment="1" applyBorder="1" applyFont="1" applyNumberFormat="1">
      <alignment vertical="top"/>
    </xf>
    <xf borderId="0" fillId="7" fontId="48" numFmtId="4" xfId="0" applyAlignment="1" applyFont="1" applyNumberFormat="1">
      <alignment vertical="top"/>
    </xf>
    <xf borderId="0" fillId="2" fontId="48" numFmtId="0" xfId="0" applyAlignment="1" applyFont="1">
      <alignment vertical="bottom"/>
    </xf>
    <xf borderId="0" fillId="2" fontId="48" numFmtId="0" xfId="0" applyAlignment="1" applyFont="1">
      <alignment vertical="top"/>
    </xf>
    <xf borderId="0" fillId="2" fontId="51" numFmtId="4" xfId="0" applyAlignment="1" applyFont="1" applyNumberFormat="1">
      <alignment vertical="top"/>
    </xf>
    <xf borderId="0" fillId="8" fontId="52" numFmtId="0" xfId="0" applyAlignment="1" applyFont="1">
      <alignment vertical="top"/>
    </xf>
    <xf borderId="0" fillId="8" fontId="48" numFmtId="0" xfId="0" applyAlignment="1" applyFont="1">
      <alignment vertical="top"/>
    </xf>
    <xf borderId="0" fillId="8" fontId="48" numFmtId="4" xfId="0" applyAlignment="1" applyFont="1" applyNumberFormat="1">
      <alignment vertical="top"/>
    </xf>
    <xf borderId="0" fillId="12" fontId="48" numFmtId="4" xfId="0" applyAlignment="1" applyFont="1" applyNumberFormat="1">
      <alignment vertical="top"/>
    </xf>
    <xf borderId="0" fillId="7" fontId="48" numFmtId="0" xfId="0" applyAlignment="1" applyFont="1">
      <alignment vertical="top"/>
    </xf>
    <xf borderId="0" fillId="12" fontId="48" numFmtId="9" xfId="0" applyAlignment="1" applyFont="1" applyNumberFormat="1">
      <alignment vertical="top"/>
    </xf>
    <xf borderId="0" fillId="25" fontId="51" numFmtId="0" xfId="0" applyAlignment="1" applyFont="1">
      <alignment shrinkToFit="0" vertical="top" wrapText="1"/>
    </xf>
    <xf borderId="0" fillId="7" fontId="48" numFmtId="0" xfId="0" applyAlignment="1" applyFont="1">
      <alignment vertical="top"/>
    </xf>
    <xf borderId="0" fillId="7" fontId="51" numFmtId="3" xfId="0" applyAlignment="1" applyFont="1" applyNumberFormat="1">
      <alignment vertical="top"/>
    </xf>
    <xf borderId="0" fillId="26" fontId="51" numFmtId="3" xfId="0" applyAlignment="1" applyFill="1" applyFont="1" applyNumberFormat="1">
      <alignment vertical="top"/>
    </xf>
    <xf borderId="0" fillId="27" fontId="51" numFmtId="3" xfId="0" applyAlignment="1" applyFill="1" applyFont="1" applyNumberFormat="1">
      <alignment vertical="top"/>
    </xf>
    <xf borderId="0" fillId="28" fontId="51" numFmtId="3" xfId="0" applyAlignment="1" applyFill="1" applyFont="1" applyNumberFormat="1">
      <alignment vertical="top"/>
    </xf>
    <xf borderId="0" fillId="29" fontId="51" numFmtId="3" xfId="0" applyAlignment="1" applyFill="1" applyFont="1" applyNumberFormat="1">
      <alignment vertical="top"/>
    </xf>
    <xf borderId="0" fillId="30" fontId="51" numFmtId="3" xfId="0" applyAlignment="1" applyFill="1" applyFont="1" applyNumberFormat="1">
      <alignment vertical="top"/>
    </xf>
    <xf borderId="0" fillId="31" fontId="51" numFmtId="3" xfId="0" applyAlignment="1" applyFill="1" applyFont="1" applyNumberFormat="1">
      <alignment vertical="top"/>
    </xf>
    <xf borderId="0" fillId="32" fontId="51" numFmtId="3" xfId="0" applyAlignment="1" applyFill="1" applyFont="1" applyNumberFormat="1">
      <alignment vertical="top"/>
    </xf>
    <xf borderId="0" fillId="33" fontId="51" numFmtId="3" xfId="0" applyAlignment="1" applyFill="1" applyFont="1" applyNumberFormat="1">
      <alignment vertical="top"/>
    </xf>
    <xf borderId="0" fillId="34" fontId="51" numFmtId="3" xfId="0" applyAlignment="1" applyFill="1" applyFont="1" applyNumberFormat="1">
      <alignment vertical="top"/>
    </xf>
    <xf borderId="0" fillId="35" fontId="51" numFmtId="3" xfId="0" applyAlignment="1" applyFill="1" applyFont="1" applyNumberFormat="1">
      <alignment vertical="top"/>
    </xf>
    <xf borderId="0" fillId="36" fontId="51" numFmtId="3" xfId="0" applyAlignment="1" applyFill="1" applyFont="1" applyNumberFormat="1">
      <alignment vertical="top"/>
    </xf>
    <xf borderId="0" fillId="37" fontId="51" numFmtId="3" xfId="0" applyAlignment="1" applyFill="1" applyFont="1" applyNumberFormat="1">
      <alignment vertical="top"/>
    </xf>
    <xf borderId="0" fillId="7" fontId="48" numFmtId="10" xfId="0" applyAlignment="1" applyFont="1" applyNumberFormat="1">
      <alignment vertical="top"/>
    </xf>
    <xf borderId="0" fillId="26" fontId="51" numFmtId="10" xfId="0" applyAlignment="1" applyFont="1" applyNumberFormat="1">
      <alignment vertical="top"/>
    </xf>
    <xf borderId="0" fillId="38" fontId="51" numFmtId="10" xfId="0" applyAlignment="1" applyFill="1" applyFont="1" applyNumberFormat="1">
      <alignment vertical="top"/>
    </xf>
    <xf borderId="0" fillId="39" fontId="51" numFmtId="10" xfId="0" applyAlignment="1" applyFill="1" applyFont="1" applyNumberFormat="1">
      <alignment vertical="top"/>
    </xf>
    <xf borderId="0" fillId="40" fontId="51" numFmtId="10" xfId="0" applyAlignment="1" applyFill="1" applyFont="1" applyNumberFormat="1">
      <alignment vertical="top"/>
    </xf>
    <xf borderId="0" fillId="41" fontId="51" numFmtId="10" xfId="0" applyAlignment="1" applyFill="1" applyFont="1" applyNumberFormat="1">
      <alignment vertical="top"/>
    </xf>
    <xf borderId="0" fillId="28" fontId="51" numFmtId="10" xfId="0" applyAlignment="1" applyFont="1" applyNumberFormat="1">
      <alignment vertical="top"/>
    </xf>
    <xf borderId="0" fillId="42" fontId="51" numFmtId="10" xfId="0" applyAlignment="1" applyFill="1" applyFont="1" applyNumberFormat="1">
      <alignment vertical="top"/>
    </xf>
    <xf borderId="0" fillId="43" fontId="51" numFmtId="10" xfId="0" applyAlignment="1" applyFill="1" applyFont="1" applyNumberFormat="1">
      <alignment vertical="top"/>
    </xf>
    <xf borderId="0" fillId="7" fontId="51" numFmtId="10" xfId="0" applyAlignment="1" applyFont="1" applyNumberFormat="1">
      <alignment vertical="top"/>
    </xf>
    <xf borderId="0" fillId="35" fontId="51" numFmtId="10" xfId="0" applyAlignment="1" applyFont="1" applyNumberFormat="1">
      <alignment vertical="top"/>
    </xf>
    <xf borderId="0" fillId="44" fontId="51" numFmtId="10" xfId="0" applyAlignment="1" applyFill="1" applyFont="1" applyNumberFormat="1">
      <alignment vertical="top"/>
    </xf>
    <xf borderId="0" fillId="45" fontId="51" numFmtId="10" xfId="0" applyAlignment="1" applyFill="1" applyFont="1" applyNumberFormat="1">
      <alignment vertical="top"/>
    </xf>
    <xf borderId="0" fillId="46" fontId="51" numFmtId="10" xfId="0" applyAlignment="1" applyFill="1" applyFont="1" applyNumberFormat="1">
      <alignment vertical="top"/>
    </xf>
    <xf borderId="0" fillId="2" fontId="48" numFmtId="3" xfId="0" applyAlignment="1" applyFont="1" applyNumberFormat="1">
      <alignment vertical="top"/>
    </xf>
    <xf borderId="0" fillId="7" fontId="48" numFmtId="0" xfId="0" applyAlignment="1" applyFont="1">
      <alignment vertical="bottom"/>
    </xf>
    <xf borderId="0" fillId="7" fontId="48" numFmtId="0" xfId="0" applyAlignment="1" applyFont="1">
      <alignment vertical="top"/>
    </xf>
    <xf borderId="0" fillId="7" fontId="48" numFmtId="9" xfId="0" applyAlignment="1" applyFont="1" applyNumberFormat="1">
      <alignment vertical="top"/>
    </xf>
    <xf borderId="0" fillId="7" fontId="48" numFmtId="3" xfId="0" applyAlignment="1" applyFont="1" applyNumberFormat="1">
      <alignment vertical="top"/>
    </xf>
    <xf borderId="0" fillId="21" fontId="48" numFmtId="0" xfId="0" applyAlignment="1" applyFont="1">
      <alignment vertical="bottom"/>
    </xf>
    <xf borderId="7" fillId="21" fontId="52" numFmtId="0" xfId="0" applyAlignment="1" applyBorder="1" applyFont="1">
      <alignment vertical="top"/>
    </xf>
    <xf borderId="4" fillId="21" fontId="52" numFmtId="3" xfId="0" applyAlignment="1" applyBorder="1" applyFont="1" applyNumberFormat="1">
      <alignment vertical="top"/>
    </xf>
    <xf borderId="0" fillId="21" fontId="48" numFmtId="164" xfId="0" applyAlignment="1" applyFont="1" applyNumberFormat="1">
      <alignment vertical="bottom"/>
    </xf>
    <xf borderId="4" fillId="21" fontId="52" numFmtId="164" xfId="0" applyAlignment="1" applyBorder="1" applyFont="1" applyNumberFormat="1">
      <alignment vertical="top"/>
    </xf>
    <xf borderId="4" fillId="21" fontId="48" numFmtId="164" xfId="0" applyAlignment="1" applyBorder="1" applyFont="1" applyNumberFormat="1">
      <alignment vertical="top"/>
    </xf>
    <xf borderId="0" fillId="21" fontId="48" numFmtId="164" xfId="0" applyAlignment="1" applyFont="1" applyNumberFormat="1">
      <alignment vertical="top"/>
    </xf>
    <xf borderId="4" fillId="18" fontId="53" numFmtId="10" xfId="0" applyAlignment="1" applyBorder="1" applyFont="1" applyNumberFormat="1">
      <alignment vertical="top"/>
    </xf>
    <xf borderId="4" fillId="18" fontId="53" numFmtId="0" xfId="0" applyAlignment="1" applyBorder="1" applyFont="1">
      <alignment vertical="top"/>
    </xf>
    <xf borderId="0" fillId="12" fontId="51" numFmtId="10" xfId="0" applyAlignment="1" applyFont="1" applyNumberFormat="1">
      <alignment vertical="top"/>
    </xf>
    <xf borderId="0" fillId="12" fontId="48" numFmtId="10" xfId="0" applyAlignment="1" applyFont="1" applyNumberFormat="1">
      <alignment vertical="top"/>
    </xf>
    <xf borderId="0" fillId="0" fontId="51" numFmtId="4" xfId="0" applyAlignment="1" applyFont="1" applyNumberFormat="1">
      <alignment vertical="top"/>
    </xf>
    <xf borderId="0" fillId="18" fontId="48" numFmtId="3" xfId="0" applyAlignment="1" applyFont="1" applyNumberFormat="1">
      <alignment vertical="top"/>
    </xf>
    <xf borderId="0" fillId="8" fontId="51" numFmtId="0" xfId="0" applyAlignment="1" applyFont="1">
      <alignment readingOrder="0" vertical="top"/>
    </xf>
    <xf borderId="0" fillId="8" fontId="51" numFmtId="4" xfId="0" applyAlignment="1" applyFont="1" applyNumberFormat="1">
      <alignment vertical="top"/>
    </xf>
    <xf borderId="0" fillId="8" fontId="48" numFmtId="0" xfId="0" applyAlignment="1" applyFont="1">
      <alignment vertical="top"/>
    </xf>
    <xf borderId="0" fillId="8" fontId="51" numFmtId="0" xfId="0" applyAlignment="1" applyFont="1">
      <alignment vertical="top"/>
    </xf>
    <xf borderId="0" fillId="7" fontId="48" numFmtId="4" xfId="0" applyAlignment="1" applyFont="1" applyNumberFormat="1">
      <alignment vertical="bottom"/>
    </xf>
    <xf borderId="0" fillId="7" fontId="51" numFmtId="4" xfId="0" applyAlignment="1" applyFont="1" applyNumberFormat="1">
      <alignment vertical="top"/>
    </xf>
    <xf borderId="0" fillId="47" fontId="51" numFmtId="4" xfId="0" applyAlignment="1" applyFill="1" applyFont="1" applyNumberFormat="1">
      <alignment vertical="top"/>
    </xf>
    <xf borderId="4" fillId="7" fontId="53" numFmtId="3" xfId="0" applyAlignment="1" applyBorder="1" applyFont="1" applyNumberFormat="1">
      <alignment vertical="top"/>
    </xf>
    <xf borderId="4" fillId="7" fontId="51" numFmtId="3" xfId="0" applyAlignment="1" applyBorder="1" applyFont="1" applyNumberFormat="1">
      <alignment vertical="top"/>
    </xf>
    <xf borderId="0" fillId="12" fontId="51" numFmtId="0" xfId="0" applyAlignment="1" applyFont="1">
      <alignment vertical="top"/>
    </xf>
    <xf borderId="0" fillId="16" fontId="51" numFmtId="4" xfId="0" applyAlignment="1" applyFont="1" applyNumberFormat="1">
      <alignment vertical="top"/>
    </xf>
    <xf borderId="0" fillId="8" fontId="51" numFmtId="0" xfId="0" applyAlignment="1" applyFont="1">
      <alignment shrinkToFit="0" vertical="top" wrapText="1"/>
    </xf>
    <xf borderId="0" fillId="12" fontId="51" numFmtId="3" xfId="0" applyAlignment="1" applyFont="1" applyNumberFormat="1">
      <alignment vertical="top"/>
    </xf>
    <xf borderId="8" fillId="18" fontId="53" numFmtId="3" xfId="0" applyAlignment="1" applyBorder="1" applyFont="1" applyNumberFormat="1">
      <alignment vertical="top"/>
    </xf>
    <xf borderId="8" fillId="20" fontId="51" numFmtId="3" xfId="0" applyAlignment="1" applyBorder="1" applyFont="1" applyNumberFormat="1">
      <alignment vertical="top"/>
    </xf>
    <xf borderId="9" fillId="7" fontId="48" numFmtId="0" xfId="0" applyAlignment="1" applyBorder="1" applyFont="1">
      <alignment vertical="bottom"/>
    </xf>
    <xf borderId="9" fillId="7" fontId="49" numFmtId="0" xfId="0" applyAlignment="1" applyBorder="1" applyFont="1">
      <alignment vertical="top"/>
    </xf>
    <xf borderId="9" fillId="7" fontId="48" numFmtId="0" xfId="0" applyAlignment="1" applyBorder="1" applyFont="1">
      <alignment vertical="top"/>
    </xf>
    <xf borderId="9" fillId="0" fontId="48" numFmtId="0" xfId="0" applyAlignment="1" applyBorder="1" applyFont="1">
      <alignment vertical="top"/>
    </xf>
    <xf borderId="9" fillId="7" fontId="51" numFmtId="3" xfId="0" applyAlignment="1" applyBorder="1" applyFont="1" applyNumberFormat="1">
      <alignment vertical="top"/>
    </xf>
    <xf borderId="9" fillId="7" fontId="51" numFmtId="4" xfId="0" applyAlignment="1" applyBorder="1" applyFont="1" applyNumberFormat="1">
      <alignment vertical="top"/>
    </xf>
    <xf borderId="9" fillId="18" fontId="53" numFmtId="3" xfId="0" applyAlignment="1" applyBorder="1" applyFont="1" applyNumberFormat="1">
      <alignment vertical="top"/>
    </xf>
    <xf borderId="9" fillId="20" fontId="51" numFmtId="3" xfId="0" applyAlignment="1" applyBorder="1" applyFont="1" applyNumberFormat="1">
      <alignment vertical="top"/>
    </xf>
    <xf borderId="9" fillId="21" fontId="48" numFmtId="3" xfId="0" applyAlignment="1" applyBorder="1" applyFont="1" applyNumberFormat="1">
      <alignment vertical="top"/>
    </xf>
    <xf borderId="9" fillId="25" fontId="48" numFmtId="0" xfId="0" applyAlignment="1" applyBorder="1" applyFont="1">
      <alignment vertical="bottom"/>
    </xf>
    <xf borderId="9" fillId="25" fontId="52" numFmtId="0" xfId="0" applyAlignment="1" applyBorder="1" applyFont="1">
      <alignment vertical="top"/>
    </xf>
    <xf borderId="9" fillId="25" fontId="48" numFmtId="0" xfId="0" applyAlignment="1" applyBorder="1" applyFont="1">
      <alignment vertical="top"/>
    </xf>
    <xf borderId="9" fillId="25" fontId="48" numFmtId="3" xfId="0" applyAlignment="1" applyBorder="1" applyFont="1" applyNumberFormat="1">
      <alignment vertical="top"/>
    </xf>
    <xf borderId="9" fillId="25" fontId="52" numFmtId="3" xfId="0" applyAlignment="1" applyBorder="1" applyFont="1" applyNumberFormat="1">
      <alignment vertical="top"/>
    </xf>
    <xf borderId="9" fillId="0" fontId="48" numFmtId="0" xfId="0" applyAlignment="1" applyBorder="1" applyFont="1">
      <alignment vertical="bottom"/>
    </xf>
    <xf borderId="9" fillId="0" fontId="49" numFmtId="0" xfId="0" applyAlignment="1" applyBorder="1" applyFont="1">
      <alignment vertical="top"/>
    </xf>
    <xf borderId="9" fillId="0" fontId="48" numFmtId="0" xfId="0" applyAlignment="1" applyBorder="1" applyFont="1">
      <alignment vertical="top"/>
    </xf>
    <xf borderId="9" fillId="0" fontId="51" numFmtId="10" xfId="0" applyAlignment="1" applyBorder="1" applyFont="1" applyNumberFormat="1">
      <alignment vertical="top"/>
    </xf>
    <xf borderId="9" fillId="0" fontId="58" numFmtId="4" xfId="0" applyAlignment="1" applyBorder="1" applyFont="1" applyNumberFormat="1">
      <alignment vertical="top"/>
    </xf>
    <xf borderId="9" fillId="0" fontId="48" numFmtId="4" xfId="0" applyAlignment="1" applyBorder="1" applyFont="1" applyNumberFormat="1">
      <alignment vertical="top"/>
    </xf>
    <xf borderId="9" fillId="3" fontId="48" numFmtId="3" xfId="0" applyAlignment="1" applyBorder="1" applyFont="1" applyNumberFormat="1">
      <alignment vertical="bottom"/>
    </xf>
    <xf borderId="9" fillId="3" fontId="52" numFmtId="3" xfId="0" applyAlignment="1" applyBorder="1" applyFont="1" applyNumberFormat="1">
      <alignment vertical="top"/>
    </xf>
    <xf borderId="9" fillId="3" fontId="48" numFmtId="3" xfId="0" applyAlignment="1" applyBorder="1" applyFont="1" applyNumberFormat="1">
      <alignment vertical="top"/>
    </xf>
    <xf borderId="9" fillId="16" fontId="48" numFmtId="0" xfId="0" applyAlignment="1" applyBorder="1" applyFont="1">
      <alignment vertical="bottom"/>
    </xf>
    <xf borderId="9" fillId="16" fontId="51" numFmtId="0" xfId="0" applyAlignment="1" applyBorder="1" applyFont="1">
      <alignment vertical="top"/>
    </xf>
    <xf borderId="9" fillId="16" fontId="48" numFmtId="0" xfId="0" applyAlignment="1" applyBorder="1" applyFont="1">
      <alignment vertical="top"/>
    </xf>
    <xf borderId="9" fillId="16" fontId="48" numFmtId="3" xfId="0" applyAlignment="1" applyBorder="1" applyFont="1" applyNumberFormat="1">
      <alignment vertical="top"/>
    </xf>
    <xf borderId="9" fillId="16" fontId="59" numFmtId="4" xfId="0" applyAlignment="1" applyBorder="1" applyFont="1" applyNumberFormat="1">
      <alignment vertical="top"/>
    </xf>
    <xf borderId="9" fillId="0" fontId="48" numFmtId="3" xfId="0" applyAlignment="1" applyBorder="1" applyFont="1" applyNumberFormat="1">
      <alignment vertical="top"/>
    </xf>
    <xf borderId="9" fillId="48" fontId="49" numFmtId="3" xfId="0" applyAlignment="1" applyBorder="1" applyFill="1" applyFont="1" applyNumberFormat="1">
      <alignment vertical="top"/>
    </xf>
    <xf borderId="9" fillId="13" fontId="49" numFmtId="3" xfId="0" applyAlignment="1" applyBorder="1" applyFont="1" applyNumberFormat="1">
      <alignment vertical="top"/>
    </xf>
    <xf borderId="9" fillId="48" fontId="49" numFmtId="4" xfId="0" applyAlignment="1" applyBorder="1" applyFont="1" applyNumberFormat="1">
      <alignment vertical="top"/>
    </xf>
    <xf borderId="9" fillId="13" fontId="49" numFmtId="4" xfId="0" applyAlignment="1" applyBorder="1" applyFont="1" applyNumberFormat="1">
      <alignment vertical="top"/>
    </xf>
    <xf borderId="9" fillId="18" fontId="53" numFmtId="4" xfId="0" applyAlignment="1" applyBorder="1" applyFont="1" applyNumberFormat="1">
      <alignment vertical="top"/>
    </xf>
    <xf borderId="9" fillId="20" fontId="51" numFmtId="4" xfId="0" applyAlignment="1" applyBorder="1" applyFont="1" applyNumberFormat="1">
      <alignment vertical="top"/>
    </xf>
    <xf borderId="0" fillId="0" fontId="22" numFmtId="0" xfId="0" applyAlignment="1" applyFont="1">
      <alignment vertical="top"/>
    </xf>
    <xf borderId="0" fillId="0" fontId="22" numFmtId="0" xfId="0" applyAlignment="1" applyFont="1">
      <alignment horizontal="center" vertical="top"/>
    </xf>
    <xf borderId="0" fillId="0" fontId="60" numFmtId="0" xfId="0" applyAlignment="1" applyFont="1">
      <alignment horizontal="left" readingOrder="0" shrinkToFit="0" vertical="center" wrapText="1"/>
    </xf>
    <xf borderId="0" fillId="0" fontId="61" numFmtId="0" xfId="0" applyAlignment="1" applyFont="1">
      <alignment horizontal="left" readingOrder="0" shrinkToFit="0" vertical="top" wrapText="1"/>
    </xf>
    <xf borderId="0" fillId="0" fontId="61" numFmtId="0" xfId="0" applyAlignment="1" applyFont="1">
      <alignment horizontal="center" readingOrder="0" shrinkToFit="0" vertical="center" wrapText="1"/>
    </xf>
    <xf borderId="0" fillId="0" fontId="61" numFmtId="0" xfId="0" applyAlignment="1" applyFont="1">
      <alignment horizontal="left" readingOrder="0" shrinkToFit="0" vertical="top" wrapText="1"/>
    </xf>
    <xf borderId="0" fillId="0" fontId="62" numFmtId="0" xfId="0" applyAlignment="1" applyFont="1">
      <alignment horizontal="center" readingOrder="0" shrinkToFit="0" vertical="center" wrapText="1"/>
    </xf>
    <xf borderId="0" fillId="12" fontId="63" numFmtId="0" xfId="0" applyAlignment="1" applyFont="1">
      <alignment horizontal="center" readingOrder="0" shrinkToFit="0" vertical="center" wrapText="1"/>
    </xf>
    <xf borderId="0" fillId="0" fontId="64" numFmtId="0" xfId="0" applyAlignment="1" applyFont="1">
      <alignment shrinkToFit="0" vertical="top" wrapText="1"/>
    </xf>
    <xf borderId="0" fillId="0" fontId="65" numFmtId="0" xfId="0" applyAlignment="1" applyFont="1">
      <alignment horizontal="center" readingOrder="0" shrinkToFit="0" vertical="top" wrapText="1"/>
    </xf>
    <xf borderId="0" fillId="0" fontId="22" numFmtId="0" xfId="0" applyFont="1"/>
    <xf borderId="10" fillId="0" fontId="66" numFmtId="0" xfId="0" applyAlignment="1" applyBorder="1" applyFont="1">
      <alignment horizontal="center" shrinkToFit="0" wrapText="1"/>
    </xf>
    <xf borderId="11" fillId="0" fontId="7" numFmtId="0" xfId="0" applyBorder="1" applyFont="1"/>
    <xf borderId="12" fillId="0" fontId="7" numFmtId="0" xfId="0" applyBorder="1" applyFont="1"/>
    <xf borderId="13" fillId="0" fontId="67" numFmtId="0" xfId="0" applyAlignment="1" applyBorder="1" applyFont="1">
      <alignment horizontal="center" shrinkToFit="0" vertical="top" wrapText="1"/>
    </xf>
    <xf borderId="14" fillId="0" fontId="7" numFmtId="0" xfId="0" applyBorder="1" applyFont="1"/>
    <xf borderId="0" fillId="0" fontId="22" numFmtId="0" xfId="0" applyAlignment="1" applyFont="1">
      <alignment vertical="bottom"/>
    </xf>
    <xf borderId="15" fillId="0" fontId="68" numFmtId="0" xfId="0" applyAlignment="1" applyBorder="1" applyFont="1">
      <alignment horizontal="center" shrinkToFit="0" vertical="top" wrapText="1"/>
    </xf>
    <xf borderId="16" fillId="0" fontId="7" numFmtId="0" xfId="0" applyBorder="1" applyFont="1"/>
    <xf borderId="17" fillId="0" fontId="7" numFmtId="0" xfId="0" applyBorder="1" applyFont="1"/>
    <xf borderId="0" fillId="0" fontId="66" numFmtId="0" xfId="0" applyAlignment="1" applyFont="1">
      <alignment horizontal="center" readingOrder="0" shrinkToFit="0" vertical="center" wrapText="1"/>
    </xf>
    <xf borderId="10" fillId="0" fontId="66" numFmtId="0" xfId="0" applyAlignment="1" applyBorder="1" applyFont="1">
      <alignment horizontal="center" readingOrder="0" shrinkToFit="0" vertical="center" wrapText="1"/>
    </xf>
    <xf borderId="0" fillId="0" fontId="61" numFmtId="0" xfId="0" applyAlignment="1" applyFont="1">
      <alignment horizontal="center" readingOrder="0" shrinkToFit="0" vertical="top" wrapText="1"/>
    </xf>
    <xf borderId="13" fillId="0" fontId="61" numFmtId="0" xfId="0" applyAlignment="1" applyBorder="1" applyFont="1">
      <alignment horizontal="center" readingOrder="0" shrinkToFit="0" vertical="top" wrapText="1"/>
    </xf>
    <xf borderId="0" fillId="0" fontId="69" numFmtId="0" xfId="0" applyAlignment="1" applyFont="1">
      <alignment horizontal="center" readingOrder="0" shrinkToFit="0" vertical="top" wrapText="1"/>
    </xf>
    <xf borderId="14" fillId="0" fontId="61" numFmtId="0" xfId="0" applyAlignment="1" applyBorder="1" applyFont="1">
      <alignment horizontal="center" readingOrder="0" shrinkToFit="0" vertical="top" wrapText="1"/>
    </xf>
    <xf borderId="0" fillId="0" fontId="66" numFmtId="0" xfId="0" applyAlignment="1" applyFont="1">
      <alignment horizontal="center" readingOrder="0" shrinkToFit="0" vertical="top" wrapText="1"/>
    </xf>
    <xf borderId="13" fillId="0" fontId="70" numFmtId="0" xfId="0" applyAlignment="1" applyBorder="1" applyFont="1">
      <alignment horizontal="center" readingOrder="0" shrinkToFit="0" vertical="top" wrapText="1"/>
    </xf>
    <xf borderId="14" fillId="0" fontId="66" numFmtId="0" xfId="0" applyAlignment="1" applyBorder="1" applyFont="1">
      <alignment horizontal="center" readingOrder="0" shrinkToFit="0" vertical="top" wrapText="1"/>
    </xf>
    <xf borderId="0" fillId="0" fontId="71" numFmtId="0" xfId="0" applyAlignment="1" applyFont="1">
      <alignment horizontal="center" readingOrder="0" shrinkToFit="0" vertical="top" wrapText="1"/>
    </xf>
    <xf borderId="13" fillId="0" fontId="72" numFmtId="0" xfId="0" applyAlignment="1" applyBorder="1" applyFont="1">
      <alignment horizontal="center" readingOrder="0" shrinkToFit="0" vertical="top" wrapText="1"/>
    </xf>
    <xf borderId="0" fillId="0" fontId="73" numFmtId="0" xfId="0" applyAlignment="1" applyFont="1">
      <alignment horizontal="center" readingOrder="0" shrinkToFit="0" vertical="top" wrapText="1"/>
    </xf>
    <xf borderId="14" fillId="0" fontId="74" numFmtId="0" xfId="0" applyAlignment="1" applyBorder="1" applyFont="1">
      <alignment horizontal="center" readingOrder="0" shrinkToFit="0" vertical="top" wrapText="1"/>
    </xf>
    <xf borderId="15" fillId="0" fontId="66" numFmtId="0" xfId="0" applyAlignment="1" applyBorder="1" applyFont="1">
      <alignment horizontal="center" readingOrder="0" shrinkToFit="0" vertical="top" wrapText="1"/>
    </xf>
    <xf borderId="16" fillId="0" fontId="66" numFmtId="0" xfId="0" applyAlignment="1" applyBorder="1" applyFont="1">
      <alignment horizontal="center" readingOrder="0" shrinkToFit="0" vertical="top" wrapText="1"/>
    </xf>
    <xf borderId="17" fillId="0" fontId="66" numFmtId="0" xfId="0" applyAlignment="1" applyBorder="1" applyFont="1">
      <alignment horizontal="center" readingOrder="0" shrinkToFit="0" vertical="top" wrapText="1"/>
    </xf>
    <xf borderId="18" fillId="0" fontId="66" numFmtId="0" xfId="0" applyAlignment="1" applyBorder="1" applyFont="1">
      <alignment horizontal="center" readingOrder="0" shrinkToFit="0" vertical="center" wrapText="1"/>
    </xf>
    <xf borderId="19" fillId="0" fontId="7" numFmtId="0" xfId="0" applyBorder="1" applyFont="1"/>
    <xf borderId="20" fillId="0" fontId="7" numFmtId="0" xfId="0" applyBorder="1" applyFont="1"/>
    <xf borderId="21" fillId="0" fontId="75" numFmtId="0" xfId="0" applyAlignment="1" applyBorder="1" applyFont="1">
      <alignment horizontal="center" shrinkToFit="0" vertical="top" wrapText="1"/>
    </xf>
    <xf borderId="22" fillId="0" fontId="7" numFmtId="0" xfId="0" applyBorder="1" applyFont="1"/>
    <xf borderId="23" fillId="0" fontId="76" numFmtId="0" xfId="0" applyAlignment="1" applyBorder="1" applyFont="1">
      <alignment horizontal="left" readingOrder="0" shrinkToFit="0" vertical="center" wrapText="1"/>
    </xf>
    <xf borderId="0" fillId="0" fontId="77" numFmtId="0" xfId="0" applyAlignment="1" applyFont="1">
      <alignment horizontal="center" shrinkToFit="0" vertical="top" wrapText="1"/>
    </xf>
    <xf borderId="0" fillId="0" fontId="61" numFmtId="0" xfId="0" applyAlignment="1" applyFont="1">
      <alignment horizontal="left" readingOrder="0" shrinkToFit="0" vertical="center" wrapText="1"/>
    </xf>
    <xf borderId="0" fillId="0" fontId="66" numFmtId="0" xfId="0" applyAlignment="1" applyFont="1">
      <alignment horizontal="center" shrinkToFit="0" vertical="center" wrapText="1"/>
    </xf>
    <xf borderId="10" fillId="0" fontId="66" numFmtId="0" xfId="0" applyAlignment="1" applyBorder="1" applyFont="1">
      <alignment horizontal="center" shrinkToFit="0" vertical="center" wrapText="1"/>
    </xf>
    <xf borderId="15" fillId="0" fontId="78" numFmtId="0" xfId="0" applyAlignment="1" applyBorder="1" applyFont="1">
      <alignment shrinkToFit="0" vertical="top" wrapText="1"/>
    </xf>
    <xf borderId="17" fillId="0" fontId="79" numFmtId="0" xfId="0" applyAlignment="1" applyBorder="1" applyFont="1">
      <alignment shrinkToFit="0" vertical="top" wrapText="1"/>
    </xf>
    <xf borderId="0" fillId="0" fontId="79" numFmtId="0" xfId="0" applyAlignment="1" applyFont="1">
      <alignment shrinkToFit="0" vertical="top" wrapText="1"/>
    </xf>
  </cellXfs>
  <cellStyles count="1">
    <cellStyle xfId="0" name="Normal" builtinId="0"/>
  </cellStyles>
  <dxfs count="5"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2882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333375" cy="3333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333375" cy="3333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333375" cy="3333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1581150" cy="7334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JwWSx6Ulc6bchPCYFaduXj-cYbjCDNMapyR8yxWyRh8/edit?usp=sharing" TargetMode="External"/><Relationship Id="rId10" Type="http://schemas.openxmlformats.org/officeDocument/2006/relationships/hyperlink" Target="https://docs.google.com/spreadsheets/d/1BZebQ0KZrGUFxYC-Xnep5xWQzZYV6nxbEFXDVKNwBwc/edit?usp=sharing" TargetMode="External"/><Relationship Id="rId13" Type="http://schemas.openxmlformats.org/officeDocument/2006/relationships/hyperlink" Target="https://docs.google.com/spreadsheets/d/1TbFWLT_qPQrY_o5ml98xadLTqiPXNYRqpRUwUXJoJX0/edit?usp=sharing" TargetMode="External"/><Relationship Id="rId12" Type="http://schemas.openxmlformats.org/officeDocument/2006/relationships/hyperlink" Target="https://docs.google.com/spreadsheets/d/1lB1XgLJW14l_A4kqN-V6g8rfCv6hCYGsVcvXbdrK53Y/edit?usp=sharing" TargetMode="External"/><Relationship Id="rId1" Type="http://schemas.openxmlformats.org/officeDocument/2006/relationships/hyperlink" Target="https://docs.google.com/spreadsheets/d/1mkBjs908CaoOQZIjLTT4V2_gXqPeBS6SXIpJ8Y52ZfM/edit?usp=sharing" TargetMode="External"/><Relationship Id="rId2" Type="http://schemas.openxmlformats.org/officeDocument/2006/relationships/hyperlink" Target="https://docs.google.com/spreadsheets/d/1LS5fhWXMSLKcEU4mlgwVC0ILqf16MH8w1tpf39kmrrw/edit?usp=sharing" TargetMode="External"/><Relationship Id="rId3" Type="http://schemas.openxmlformats.org/officeDocument/2006/relationships/hyperlink" Target="https://docs.google.com/spreadsheets/d/1QXEVgxxI_OtUfiYXKeW0XQtNuEF-vrdpbyUexmncAuA/edit?usp=sharing" TargetMode="External"/><Relationship Id="rId4" Type="http://schemas.openxmlformats.org/officeDocument/2006/relationships/hyperlink" Target="https://docs.google.com/spreadsheets/d/15PtrQmNKdTHSAW55H6DPrvfUkQ9_qCcz_-3bsNMgF6Q/edit?usp=sharing" TargetMode="External"/><Relationship Id="rId9" Type="http://schemas.openxmlformats.org/officeDocument/2006/relationships/hyperlink" Target="https://docs.google.com/spreadsheets/d/19oljS6dcCkFNTFlWArtO5oeAUeNPcZIcIrrWvq0eFrE/edit?usp=sharing" TargetMode="External"/><Relationship Id="rId15" Type="http://schemas.openxmlformats.org/officeDocument/2006/relationships/drawing" Target="../drawings/drawing10.xml"/><Relationship Id="rId14" Type="http://schemas.openxmlformats.org/officeDocument/2006/relationships/hyperlink" Target="https://docs.google.com/spreadsheets/d/1e-7mtxUbsh1Qvw30nQ1JmjjX5iQq84bVgmRCG1sTQJM/edit?usp=sharing" TargetMode="External"/><Relationship Id="rId5" Type="http://schemas.openxmlformats.org/officeDocument/2006/relationships/hyperlink" Target="https://docs.google.com/spreadsheets/d/1BBvjstB0ZejlWeIj6dXV-EqL5WNX0we2LWEWk2Bkp5I/edit?usp=drive_link" TargetMode="External"/><Relationship Id="rId6" Type="http://schemas.openxmlformats.org/officeDocument/2006/relationships/hyperlink" Target="https://docs.google.com/spreadsheets/d/1s8MIUhavLHWNm9OcRBvnNijIGuML8IU9liaR5rTBavM/edit?usp=sharing" TargetMode="External"/><Relationship Id="rId7" Type="http://schemas.openxmlformats.org/officeDocument/2006/relationships/hyperlink" Target="https://docs.google.com/spreadsheets/d/1cxemgwTa3Kghb09EVvRE5laRKUprtQK0SAX3jej4l4U/edit?usp=sharing" TargetMode="External"/><Relationship Id="rId8" Type="http://schemas.openxmlformats.org/officeDocument/2006/relationships/hyperlink" Target="https://docs.google.com/spreadsheets/d/1D0jsIxGe4XiFkfJd7pzgLWvVlfi0o3DVw4vey8keRns/edit?usp=drive_link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4.vm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3.xml"/><Relationship Id="rId10" Type="http://schemas.openxmlformats.org/officeDocument/2006/relationships/hyperlink" Target="https://noboring-finance.ru/gazeta/?utm_source=shablon&amp;utm_medium=listnf&amp;utm_campaign=gazeta" TargetMode="External"/><Relationship Id="rId1" Type="http://schemas.openxmlformats.org/officeDocument/2006/relationships/hyperlink" Target="https://disk.yandex.ru/i/VGdx3vdcyg5Ryg" TargetMode="External"/><Relationship Id="rId2" Type="http://schemas.openxmlformats.org/officeDocument/2006/relationships/hyperlink" Target="https://disk.yandex.ru/i/pJoRat7EQBWMZQ" TargetMode="External"/><Relationship Id="rId3" Type="http://schemas.openxmlformats.org/officeDocument/2006/relationships/hyperlink" Target="https://leads.noboring-finance.ru/meet_findir/?utm_source=shablon&amp;utm_medium=listnf&amp;utm_campaign=main" TargetMode="External"/><Relationship Id="rId4" Type="http://schemas.openxmlformats.org/officeDocument/2006/relationships/hyperlink" Target="https://leads.noboring-finance.ru/finmodel/?utm_source=shablon&amp;utm_medium=listnf&amp;utm_campaign=finmodel" TargetMode="External"/><Relationship Id="rId9" Type="http://schemas.openxmlformats.org/officeDocument/2006/relationships/hyperlink" Target="https://vk.com/noboring_finance" TargetMode="External"/><Relationship Id="rId5" Type="http://schemas.openxmlformats.org/officeDocument/2006/relationships/hyperlink" Target="https://leads.noboring-finance.ru/uchet?utm_medium=.&amp;utm_campaign=%2F&amp;utm_term=barsetka" TargetMode="External"/><Relationship Id="rId6" Type="http://schemas.openxmlformats.org/officeDocument/2006/relationships/hyperlink" Target="https://leads.noboring-finance.ru/fin_uchet2?utm_medium=.&amp;utm_campaign=%2F&amp;utm_term=barsetka" TargetMode="External"/><Relationship Id="rId7" Type="http://schemas.openxmlformats.org/officeDocument/2006/relationships/hyperlink" Target="https://www.youtube.com/@noboring_finance" TargetMode="External"/><Relationship Id="rId8" Type="http://schemas.openxmlformats.org/officeDocument/2006/relationships/hyperlink" Target="https://t.me/noboring_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8.38"/>
    <col customWidth="1" min="2" max="14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9.25" customHeight="1">
      <c r="A2" s="2" t="s">
        <v>14</v>
      </c>
      <c r="B2" s="3">
        <f>sum(C2:N2)</f>
        <v>0</v>
      </c>
      <c r="C2" s="4">
        <f t="shared" ref="C2:N2" si="1">C10*$B$12</f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5" t="s">
        <v>15</v>
      </c>
      <c r="B3" s="6">
        <v>0.9</v>
      </c>
      <c r="C3" s="7">
        <f t="shared" ref="C3:N3" si="2">D8*$B$3*$B$11</f>
        <v>0</v>
      </c>
      <c r="D3" s="7">
        <f t="shared" si="2"/>
        <v>0</v>
      </c>
      <c r="E3" s="7">
        <f t="shared" si="2"/>
        <v>0</v>
      </c>
      <c r="F3" s="7">
        <f t="shared" si="2"/>
        <v>0</v>
      </c>
      <c r="G3" s="7">
        <f t="shared" si="2"/>
        <v>0</v>
      </c>
      <c r="H3" s="7">
        <f t="shared" si="2"/>
        <v>0</v>
      </c>
      <c r="I3" s="7">
        <f t="shared" si="2"/>
        <v>0</v>
      </c>
      <c r="J3" s="7">
        <f t="shared" si="2"/>
        <v>0</v>
      </c>
      <c r="K3" s="7">
        <f t="shared" si="2"/>
        <v>0</v>
      </c>
      <c r="L3" s="7">
        <f t="shared" si="2"/>
        <v>0</v>
      </c>
      <c r="M3" s="7">
        <f t="shared" si="2"/>
        <v>0</v>
      </c>
      <c r="N3" s="7">
        <f t="shared" si="2"/>
        <v>0</v>
      </c>
    </row>
    <row r="4">
      <c r="A4" s="5" t="s">
        <v>16</v>
      </c>
      <c r="B4" s="6">
        <v>0.1</v>
      </c>
      <c r="C4" s="7">
        <f t="shared" ref="C4:N4" si="3">D8*$B$4*$B$12</f>
        <v>0</v>
      </c>
      <c r="D4" s="7">
        <f t="shared" si="3"/>
        <v>0</v>
      </c>
      <c r="E4" s="7">
        <f t="shared" si="3"/>
        <v>0</v>
      </c>
      <c r="F4" s="7">
        <f t="shared" si="3"/>
        <v>0</v>
      </c>
      <c r="G4" s="7">
        <f t="shared" si="3"/>
        <v>0</v>
      </c>
      <c r="H4" s="7">
        <f t="shared" si="3"/>
        <v>0</v>
      </c>
      <c r="I4" s="7">
        <f t="shared" si="3"/>
        <v>0</v>
      </c>
      <c r="J4" s="7">
        <f t="shared" si="3"/>
        <v>0</v>
      </c>
      <c r="K4" s="7">
        <f t="shared" si="3"/>
        <v>0</v>
      </c>
      <c r="L4" s="7">
        <f t="shared" si="3"/>
        <v>0</v>
      </c>
      <c r="M4" s="7">
        <f t="shared" si="3"/>
        <v>0</v>
      </c>
      <c r="N4" s="7">
        <f t="shared" si="3"/>
        <v>0</v>
      </c>
    </row>
    <row r="5">
      <c r="A5" s="5" t="s">
        <v>17</v>
      </c>
      <c r="B5" s="8">
        <v>0.0</v>
      </c>
      <c r="C5" s="7">
        <f t="shared" ref="C5:N5" si="4">B5+B5*$B$6</f>
        <v>0</v>
      </c>
      <c r="D5" s="7">
        <f t="shared" si="4"/>
        <v>0</v>
      </c>
      <c r="E5" s="7">
        <f t="shared" si="4"/>
        <v>0</v>
      </c>
      <c r="F5" s="7">
        <f t="shared" si="4"/>
        <v>0</v>
      </c>
      <c r="G5" s="7">
        <f t="shared" si="4"/>
        <v>0</v>
      </c>
      <c r="H5" s="7">
        <f t="shared" si="4"/>
        <v>0</v>
      </c>
      <c r="I5" s="7">
        <f t="shared" si="4"/>
        <v>0</v>
      </c>
      <c r="J5" s="7">
        <f t="shared" si="4"/>
        <v>0</v>
      </c>
      <c r="K5" s="7">
        <f t="shared" si="4"/>
        <v>0</v>
      </c>
      <c r="L5" s="7">
        <f t="shared" si="4"/>
        <v>0</v>
      </c>
      <c r="M5" s="7">
        <f t="shared" si="4"/>
        <v>0</v>
      </c>
      <c r="N5" s="7">
        <f t="shared" si="4"/>
        <v>0</v>
      </c>
    </row>
    <row r="6">
      <c r="A6" s="1" t="s">
        <v>18</v>
      </c>
      <c r="B6" s="6">
        <v>0.0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>
      <c r="A7" s="1" t="s">
        <v>19</v>
      </c>
      <c r="B7" s="6">
        <v>0.0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>
      <c r="A8" s="5" t="s">
        <v>20</v>
      </c>
      <c r="C8" s="5">
        <f t="shared" ref="C8:N8" si="5">C5*$B$7</f>
        <v>0</v>
      </c>
      <c r="D8" s="5">
        <f t="shared" si="5"/>
        <v>0</v>
      </c>
      <c r="E8" s="5">
        <f t="shared" si="5"/>
        <v>0</v>
      </c>
      <c r="F8" s="5">
        <f t="shared" si="5"/>
        <v>0</v>
      </c>
      <c r="G8" s="5">
        <f t="shared" si="5"/>
        <v>0</v>
      </c>
      <c r="H8" s="5">
        <f t="shared" si="5"/>
        <v>0</v>
      </c>
      <c r="I8" s="5">
        <f t="shared" si="5"/>
        <v>0</v>
      </c>
      <c r="J8" s="5">
        <f t="shared" si="5"/>
        <v>0</v>
      </c>
      <c r="K8" s="5">
        <f t="shared" si="5"/>
        <v>0</v>
      </c>
      <c r="L8" s="5">
        <f t="shared" si="5"/>
        <v>0</v>
      </c>
      <c r="M8" s="5">
        <f t="shared" si="5"/>
        <v>0</v>
      </c>
      <c r="N8" s="5">
        <f t="shared" si="5"/>
        <v>0</v>
      </c>
    </row>
    <row r="9">
      <c r="A9" s="1" t="s">
        <v>21</v>
      </c>
      <c r="B9" s="6">
        <v>0.0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>
      <c r="A10" s="5" t="s">
        <v>22</v>
      </c>
      <c r="C10" s="5">
        <f t="shared" ref="C10:N10" si="6">C8*$B$9</f>
        <v>0</v>
      </c>
      <c r="D10" s="5">
        <f t="shared" si="6"/>
        <v>0</v>
      </c>
      <c r="E10" s="5">
        <f t="shared" si="6"/>
        <v>0</v>
      </c>
      <c r="F10" s="5">
        <f t="shared" si="6"/>
        <v>0</v>
      </c>
      <c r="G10" s="5">
        <f t="shared" si="6"/>
        <v>0</v>
      </c>
      <c r="H10" s="5">
        <f t="shared" si="6"/>
        <v>0</v>
      </c>
      <c r="I10" s="5">
        <f t="shared" si="6"/>
        <v>0</v>
      </c>
      <c r="J10" s="5">
        <f t="shared" si="6"/>
        <v>0</v>
      </c>
      <c r="K10" s="5">
        <f t="shared" si="6"/>
        <v>0</v>
      </c>
      <c r="L10" s="5">
        <f t="shared" si="6"/>
        <v>0</v>
      </c>
      <c r="M10" s="5">
        <f t="shared" si="6"/>
        <v>0</v>
      </c>
      <c r="N10" s="5">
        <f t="shared" si="6"/>
        <v>0</v>
      </c>
    </row>
    <row r="11">
      <c r="A11" s="1" t="s">
        <v>23</v>
      </c>
      <c r="B11" s="10">
        <v>0.0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>
      <c r="A12" s="1" t="s">
        <v>24</v>
      </c>
      <c r="B12" s="10">
        <v>0.0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>
      <c r="A13" s="1" t="s">
        <v>25</v>
      </c>
      <c r="B13" s="6">
        <v>0.0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>
      <c r="A14" s="11" t="s">
        <v>26</v>
      </c>
      <c r="C14" s="12">
        <f t="shared" ref="C14:N14" si="7">-C2*(1-$B$13)</f>
        <v>0</v>
      </c>
      <c r="D14" s="12">
        <f t="shared" si="7"/>
        <v>0</v>
      </c>
      <c r="E14" s="12">
        <f t="shared" si="7"/>
        <v>0</v>
      </c>
      <c r="F14" s="12">
        <f t="shared" si="7"/>
        <v>0</v>
      </c>
      <c r="G14" s="12">
        <f t="shared" si="7"/>
        <v>0</v>
      </c>
      <c r="H14" s="12">
        <f t="shared" si="7"/>
        <v>0</v>
      </c>
      <c r="I14" s="12">
        <f t="shared" si="7"/>
        <v>0</v>
      </c>
      <c r="J14" s="12">
        <f t="shared" si="7"/>
        <v>0</v>
      </c>
      <c r="K14" s="12">
        <f t="shared" si="7"/>
        <v>0</v>
      </c>
      <c r="L14" s="12">
        <f t="shared" si="7"/>
        <v>0</v>
      </c>
      <c r="M14" s="12">
        <f t="shared" si="7"/>
        <v>0</v>
      </c>
      <c r="N14" s="12">
        <f t="shared" si="7"/>
        <v>0</v>
      </c>
    </row>
    <row r="15">
      <c r="A15" s="1" t="s">
        <v>27</v>
      </c>
      <c r="B15" s="6">
        <v>0.0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>
      <c r="A16" s="1" t="s">
        <v>28</v>
      </c>
      <c r="B16" s="10">
        <v>0.0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>
      <c r="A17" s="1" t="s">
        <v>29</v>
      </c>
      <c r="C17" s="9">
        <f t="shared" ref="C17:N17" si="8">-C5*$B$16</f>
        <v>0</v>
      </c>
      <c r="D17" s="9">
        <f t="shared" si="8"/>
        <v>0</v>
      </c>
      <c r="E17" s="9">
        <f t="shared" si="8"/>
        <v>0</v>
      </c>
      <c r="F17" s="9">
        <f t="shared" si="8"/>
        <v>0</v>
      </c>
      <c r="G17" s="9">
        <f t="shared" si="8"/>
        <v>0</v>
      </c>
      <c r="H17" s="9">
        <f t="shared" si="8"/>
        <v>0</v>
      </c>
      <c r="I17" s="9">
        <f t="shared" si="8"/>
        <v>0</v>
      </c>
      <c r="J17" s="9">
        <f t="shared" si="8"/>
        <v>0</v>
      </c>
      <c r="K17" s="9">
        <f t="shared" si="8"/>
        <v>0</v>
      </c>
      <c r="L17" s="9">
        <f t="shared" si="8"/>
        <v>0</v>
      </c>
      <c r="M17" s="9">
        <f t="shared" si="8"/>
        <v>0</v>
      </c>
      <c r="N17" s="9">
        <f t="shared" si="8"/>
        <v>0</v>
      </c>
    </row>
    <row r="18">
      <c r="A18" s="13"/>
      <c r="C18" s="13"/>
    </row>
    <row r="19" ht="25.5" customHeight="1">
      <c r="A19" s="14" t="s">
        <v>30</v>
      </c>
      <c r="C19" s="15">
        <f t="shared" ref="C19:N19" si="9">C2+C14</f>
        <v>0</v>
      </c>
      <c r="D19" s="15">
        <f t="shared" si="9"/>
        <v>0</v>
      </c>
      <c r="E19" s="15">
        <f t="shared" si="9"/>
        <v>0</v>
      </c>
      <c r="F19" s="15">
        <f t="shared" si="9"/>
        <v>0</v>
      </c>
      <c r="G19" s="15">
        <f t="shared" si="9"/>
        <v>0</v>
      </c>
      <c r="H19" s="15">
        <f t="shared" si="9"/>
        <v>0</v>
      </c>
      <c r="I19" s="15">
        <f t="shared" si="9"/>
        <v>0</v>
      </c>
      <c r="J19" s="15">
        <f t="shared" si="9"/>
        <v>0</v>
      </c>
      <c r="K19" s="15">
        <f t="shared" si="9"/>
        <v>0</v>
      </c>
      <c r="L19" s="15">
        <f t="shared" si="9"/>
        <v>0</v>
      </c>
      <c r="M19" s="15">
        <f t="shared" si="9"/>
        <v>0</v>
      </c>
      <c r="N19" s="15">
        <f t="shared" si="9"/>
        <v>0</v>
      </c>
    </row>
    <row r="20">
      <c r="A20" s="16" t="s">
        <v>31</v>
      </c>
      <c r="C20" s="17" t="str">
        <f t="shared" ref="C20:N20" si="10">IFERROR(C19/C2,"")</f>
        <v/>
      </c>
      <c r="D20" s="17" t="str">
        <f t="shared" si="10"/>
        <v/>
      </c>
      <c r="E20" s="17" t="str">
        <f t="shared" si="10"/>
        <v/>
      </c>
      <c r="F20" s="17" t="str">
        <f t="shared" si="10"/>
        <v/>
      </c>
      <c r="G20" s="17" t="str">
        <f t="shared" si="10"/>
        <v/>
      </c>
      <c r="H20" s="17" t="str">
        <f t="shared" si="10"/>
        <v/>
      </c>
      <c r="I20" s="17" t="str">
        <f t="shared" si="10"/>
        <v/>
      </c>
      <c r="J20" s="17" t="str">
        <f t="shared" si="10"/>
        <v/>
      </c>
      <c r="K20" s="17" t="str">
        <f t="shared" si="10"/>
        <v/>
      </c>
      <c r="L20" s="17" t="str">
        <f t="shared" si="10"/>
        <v/>
      </c>
      <c r="M20" s="17" t="str">
        <f t="shared" si="10"/>
        <v/>
      </c>
      <c r="N20" s="17" t="str">
        <f t="shared" si="10"/>
        <v/>
      </c>
    </row>
    <row r="21">
      <c r="A21" s="13"/>
      <c r="C21" s="13"/>
    </row>
    <row r="22" ht="25.5" customHeight="1">
      <c r="A22" s="2" t="s">
        <v>32</v>
      </c>
      <c r="C22" s="18">
        <f t="shared" ref="C22:N22" si="11">sum(C23:C32)</f>
        <v>-6000</v>
      </c>
      <c r="D22" s="18">
        <f t="shared" si="11"/>
        <v>-6000</v>
      </c>
      <c r="E22" s="18">
        <f t="shared" si="11"/>
        <v>-6000</v>
      </c>
      <c r="F22" s="18">
        <f t="shared" si="11"/>
        <v>-6000</v>
      </c>
      <c r="G22" s="18">
        <f t="shared" si="11"/>
        <v>-6000</v>
      </c>
      <c r="H22" s="18">
        <f t="shared" si="11"/>
        <v>-6000</v>
      </c>
      <c r="I22" s="18">
        <f t="shared" si="11"/>
        <v>-6000</v>
      </c>
      <c r="J22" s="18">
        <f t="shared" si="11"/>
        <v>-6000</v>
      </c>
      <c r="K22" s="18">
        <f t="shared" si="11"/>
        <v>-6000</v>
      </c>
      <c r="L22" s="18">
        <f t="shared" si="11"/>
        <v>-6000</v>
      </c>
      <c r="M22" s="18">
        <f t="shared" si="11"/>
        <v>-6000</v>
      </c>
      <c r="N22" s="18">
        <f t="shared" si="11"/>
        <v>-6000</v>
      </c>
    </row>
    <row r="23">
      <c r="A23" s="1" t="s">
        <v>33</v>
      </c>
      <c r="B23" s="10">
        <v>-3000.0</v>
      </c>
      <c r="C23" s="9">
        <f t="shared" ref="C23:N23" si="12">$B$23</f>
        <v>-3000</v>
      </c>
      <c r="D23" s="9">
        <f t="shared" si="12"/>
        <v>-3000</v>
      </c>
      <c r="E23" s="9">
        <f t="shared" si="12"/>
        <v>-3000</v>
      </c>
      <c r="F23" s="9">
        <f t="shared" si="12"/>
        <v>-3000</v>
      </c>
      <c r="G23" s="9">
        <f t="shared" si="12"/>
        <v>-3000</v>
      </c>
      <c r="H23" s="9">
        <f t="shared" si="12"/>
        <v>-3000</v>
      </c>
      <c r="I23" s="9">
        <f t="shared" si="12"/>
        <v>-3000</v>
      </c>
      <c r="J23" s="9">
        <f t="shared" si="12"/>
        <v>-3000</v>
      </c>
      <c r="K23" s="9">
        <f t="shared" si="12"/>
        <v>-3000</v>
      </c>
      <c r="L23" s="9">
        <f t="shared" si="12"/>
        <v>-3000</v>
      </c>
      <c r="M23" s="9">
        <f t="shared" si="12"/>
        <v>-3000</v>
      </c>
      <c r="N23" s="9">
        <f t="shared" si="12"/>
        <v>-3000</v>
      </c>
    </row>
    <row r="24">
      <c r="A24" s="1" t="s">
        <v>34</v>
      </c>
      <c r="B24" s="10">
        <v>-2000.0</v>
      </c>
      <c r="C24" s="9">
        <f t="shared" ref="C24:N24" si="13">$B$24</f>
        <v>-2000</v>
      </c>
      <c r="D24" s="9">
        <f t="shared" si="13"/>
        <v>-2000</v>
      </c>
      <c r="E24" s="9">
        <f t="shared" si="13"/>
        <v>-2000</v>
      </c>
      <c r="F24" s="9">
        <f t="shared" si="13"/>
        <v>-2000</v>
      </c>
      <c r="G24" s="9">
        <f t="shared" si="13"/>
        <v>-2000</v>
      </c>
      <c r="H24" s="9">
        <f t="shared" si="13"/>
        <v>-2000</v>
      </c>
      <c r="I24" s="9">
        <f t="shared" si="13"/>
        <v>-2000</v>
      </c>
      <c r="J24" s="9">
        <f t="shared" si="13"/>
        <v>-2000</v>
      </c>
      <c r="K24" s="9">
        <f t="shared" si="13"/>
        <v>-2000</v>
      </c>
      <c r="L24" s="9">
        <f t="shared" si="13"/>
        <v>-2000</v>
      </c>
      <c r="M24" s="9">
        <f t="shared" si="13"/>
        <v>-2000</v>
      </c>
      <c r="N24" s="9">
        <f t="shared" si="13"/>
        <v>-2000</v>
      </c>
    </row>
    <row r="25">
      <c r="A25" s="1" t="s">
        <v>35</v>
      </c>
      <c r="B25" s="10">
        <v>-1000.0</v>
      </c>
      <c r="C25" s="9">
        <f t="shared" ref="C25:N25" si="14">$B$25</f>
        <v>-1000</v>
      </c>
      <c r="D25" s="9">
        <f t="shared" si="14"/>
        <v>-1000</v>
      </c>
      <c r="E25" s="9">
        <f t="shared" si="14"/>
        <v>-1000</v>
      </c>
      <c r="F25" s="9">
        <f t="shared" si="14"/>
        <v>-1000</v>
      </c>
      <c r="G25" s="9">
        <f t="shared" si="14"/>
        <v>-1000</v>
      </c>
      <c r="H25" s="9">
        <f t="shared" si="14"/>
        <v>-1000</v>
      </c>
      <c r="I25" s="9">
        <f t="shared" si="14"/>
        <v>-1000</v>
      </c>
      <c r="J25" s="9">
        <f t="shared" si="14"/>
        <v>-1000</v>
      </c>
      <c r="K25" s="9">
        <f t="shared" si="14"/>
        <v>-1000</v>
      </c>
      <c r="L25" s="9">
        <f t="shared" si="14"/>
        <v>-1000</v>
      </c>
      <c r="M25" s="9">
        <f t="shared" si="14"/>
        <v>-1000</v>
      </c>
      <c r="N25" s="9">
        <f t="shared" si="14"/>
        <v>-1000</v>
      </c>
    </row>
    <row r="26">
      <c r="A26" s="1"/>
      <c r="B26" s="10">
        <v>0.0</v>
      </c>
      <c r="C26" s="9">
        <f t="shared" ref="C26:N26" si="15">$B$26</f>
        <v>0</v>
      </c>
      <c r="D26" s="9">
        <f t="shared" si="15"/>
        <v>0</v>
      </c>
      <c r="E26" s="9">
        <f t="shared" si="15"/>
        <v>0</v>
      </c>
      <c r="F26" s="9">
        <f t="shared" si="15"/>
        <v>0</v>
      </c>
      <c r="G26" s="9">
        <f t="shared" si="15"/>
        <v>0</v>
      </c>
      <c r="H26" s="9">
        <f t="shared" si="15"/>
        <v>0</v>
      </c>
      <c r="I26" s="9">
        <f t="shared" si="15"/>
        <v>0</v>
      </c>
      <c r="J26" s="9">
        <f t="shared" si="15"/>
        <v>0</v>
      </c>
      <c r="K26" s="9">
        <f t="shared" si="15"/>
        <v>0</v>
      </c>
      <c r="L26" s="9">
        <f t="shared" si="15"/>
        <v>0</v>
      </c>
      <c r="M26" s="9">
        <f t="shared" si="15"/>
        <v>0</v>
      </c>
      <c r="N26" s="9">
        <f t="shared" si="15"/>
        <v>0</v>
      </c>
    </row>
    <row r="27">
      <c r="A27" s="1"/>
      <c r="B27" s="10">
        <v>0.0</v>
      </c>
      <c r="C27" s="9">
        <f t="shared" ref="C27:N27" si="16">$B$27</f>
        <v>0</v>
      </c>
      <c r="D27" s="9">
        <f t="shared" si="16"/>
        <v>0</v>
      </c>
      <c r="E27" s="9">
        <f t="shared" si="16"/>
        <v>0</v>
      </c>
      <c r="F27" s="9">
        <f t="shared" si="16"/>
        <v>0</v>
      </c>
      <c r="G27" s="9">
        <f t="shared" si="16"/>
        <v>0</v>
      </c>
      <c r="H27" s="9">
        <f t="shared" si="16"/>
        <v>0</v>
      </c>
      <c r="I27" s="9">
        <f t="shared" si="16"/>
        <v>0</v>
      </c>
      <c r="J27" s="9">
        <f t="shared" si="16"/>
        <v>0</v>
      </c>
      <c r="K27" s="9">
        <f t="shared" si="16"/>
        <v>0</v>
      </c>
      <c r="L27" s="9">
        <f t="shared" si="16"/>
        <v>0</v>
      </c>
      <c r="M27" s="9">
        <f t="shared" si="16"/>
        <v>0</v>
      </c>
      <c r="N27" s="9">
        <f t="shared" si="16"/>
        <v>0</v>
      </c>
    </row>
    <row r="28">
      <c r="A28" s="1"/>
      <c r="B28" s="10">
        <v>0.0</v>
      </c>
      <c r="C28" s="9">
        <f t="shared" ref="C28:N28" si="17">$B$28</f>
        <v>0</v>
      </c>
      <c r="D28" s="9">
        <f t="shared" si="17"/>
        <v>0</v>
      </c>
      <c r="E28" s="9">
        <f t="shared" si="17"/>
        <v>0</v>
      </c>
      <c r="F28" s="9">
        <f t="shared" si="17"/>
        <v>0</v>
      </c>
      <c r="G28" s="9">
        <f t="shared" si="17"/>
        <v>0</v>
      </c>
      <c r="H28" s="9">
        <f t="shared" si="17"/>
        <v>0</v>
      </c>
      <c r="I28" s="9">
        <f t="shared" si="17"/>
        <v>0</v>
      </c>
      <c r="J28" s="9">
        <f t="shared" si="17"/>
        <v>0</v>
      </c>
      <c r="K28" s="9">
        <f t="shared" si="17"/>
        <v>0</v>
      </c>
      <c r="L28" s="9">
        <f t="shared" si="17"/>
        <v>0</v>
      </c>
      <c r="M28" s="9">
        <f t="shared" si="17"/>
        <v>0</v>
      </c>
      <c r="N28" s="9">
        <f t="shared" si="17"/>
        <v>0</v>
      </c>
    </row>
    <row r="29">
      <c r="A29" s="1"/>
      <c r="B29" s="10">
        <v>0.0</v>
      </c>
      <c r="C29" s="9">
        <f t="shared" ref="C29:N29" si="18">$B$29</f>
        <v>0</v>
      </c>
      <c r="D29" s="9">
        <f t="shared" si="18"/>
        <v>0</v>
      </c>
      <c r="E29" s="9">
        <f t="shared" si="18"/>
        <v>0</v>
      </c>
      <c r="F29" s="9">
        <f t="shared" si="18"/>
        <v>0</v>
      </c>
      <c r="G29" s="9">
        <f t="shared" si="18"/>
        <v>0</v>
      </c>
      <c r="H29" s="9">
        <f t="shared" si="18"/>
        <v>0</v>
      </c>
      <c r="I29" s="9">
        <f t="shared" si="18"/>
        <v>0</v>
      </c>
      <c r="J29" s="9">
        <f t="shared" si="18"/>
        <v>0</v>
      </c>
      <c r="K29" s="9">
        <f t="shared" si="18"/>
        <v>0</v>
      </c>
      <c r="L29" s="9">
        <f t="shared" si="18"/>
        <v>0</v>
      </c>
      <c r="M29" s="9">
        <f t="shared" si="18"/>
        <v>0</v>
      </c>
      <c r="N29" s="9">
        <f t="shared" si="18"/>
        <v>0</v>
      </c>
    </row>
    <row r="30">
      <c r="A30" s="1"/>
      <c r="B30" s="10">
        <v>0.0</v>
      </c>
      <c r="C30" s="9">
        <f t="shared" ref="C30:N30" si="19">$B$30</f>
        <v>0</v>
      </c>
      <c r="D30" s="9">
        <f t="shared" si="19"/>
        <v>0</v>
      </c>
      <c r="E30" s="9">
        <f t="shared" si="19"/>
        <v>0</v>
      </c>
      <c r="F30" s="9">
        <f t="shared" si="19"/>
        <v>0</v>
      </c>
      <c r="G30" s="9">
        <f t="shared" si="19"/>
        <v>0</v>
      </c>
      <c r="H30" s="9">
        <f t="shared" si="19"/>
        <v>0</v>
      </c>
      <c r="I30" s="9">
        <f t="shared" si="19"/>
        <v>0</v>
      </c>
      <c r="J30" s="9">
        <f t="shared" si="19"/>
        <v>0</v>
      </c>
      <c r="K30" s="9">
        <f t="shared" si="19"/>
        <v>0</v>
      </c>
      <c r="L30" s="9">
        <f t="shared" si="19"/>
        <v>0</v>
      </c>
      <c r="M30" s="9">
        <f t="shared" si="19"/>
        <v>0</v>
      </c>
      <c r="N30" s="9">
        <f t="shared" si="19"/>
        <v>0</v>
      </c>
    </row>
    <row r="31">
      <c r="A31" s="1"/>
      <c r="B31" s="10">
        <v>0.0</v>
      </c>
      <c r="C31" s="9">
        <f t="shared" ref="C31:N31" si="20">$B$31</f>
        <v>0</v>
      </c>
      <c r="D31" s="9">
        <f t="shared" si="20"/>
        <v>0</v>
      </c>
      <c r="E31" s="9">
        <f t="shared" si="20"/>
        <v>0</v>
      </c>
      <c r="F31" s="9">
        <f t="shared" si="20"/>
        <v>0</v>
      </c>
      <c r="G31" s="9">
        <f t="shared" si="20"/>
        <v>0</v>
      </c>
      <c r="H31" s="9">
        <f t="shared" si="20"/>
        <v>0</v>
      </c>
      <c r="I31" s="9">
        <f t="shared" si="20"/>
        <v>0</v>
      </c>
      <c r="J31" s="9">
        <f t="shared" si="20"/>
        <v>0</v>
      </c>
      <c r="K31" s="9">
        <f t="shared" si="20"/>
        <v>0</v>
      </c>
      <c r="L31" s="9">
        <f t="shared" si="20"/>
        <v>0</v>
      </c>
      <c r="M31" s="9">
        <f t="shared" si="20"/>
        <v>0</v>
      </c>
      <c r="N31" s="9">
        <f t="shared" si="20"/>
        <v>0</v>
      </c>
    </row>
    <row r="32">
      <c r="A32" s="13"/>
      <c r="B32" s="10">
        <v>0.0</v>
      </c>
      <c r="C32" s="9">
        <f t="shared" ref="C32:N32" si="21">$B$32</f>
        <v>0</v>
      </c>
      <c r="D32" s="9">
        <f t="shared" si="21"/>
        <v>0</v>
      </c>
      <c r="E32" s="9">
        <f t="shared" si="21"/>
        <v>0</v>
      </c>
      <c r="F32" s="9">
        <f t="shared" si="21"/>
        <v>0</v>
      </c>
      <c r="G32" s="9">
        <f t="shared" si="21"/>
        <v>0</v>
      </c>
      <c r="H32" s="9">
        <f t="shared" si="21"/>
        <v>0</v>
      </c>
      <c r="I32" s="9">
        <f t="shared" si="21"/>
        <v>0</v>
      </c>
      <c r="J32" s="9">
        <f t="shared" si="21"/>
        <v>0</v>
      </c>
      <c r="K32" s="9">
        <f t="shared" si="21"/>
        <v>0</v>
      </c>
      <c r="L32" s="9">
        <f t="shared" si="21"/>
        <v>0</v>
      </c>
      <c r="M32" s="9">
        <f t="shared" si="21"/>
        <v>0</v>
      </c>
      <c r="N32" s="9">
        <f t="shared" si="21"/>
        <v>0</v>
      </c>
    </row>
    <row r="33">
      <c r="A33" s="13"/>
      <c r="C33" s="13"/>
    </row>
    <row r="34" ht="25.5" customHeight="1">
      <c r="A34" s="14" t="s">
        <v>36</v>
      </c>
      <c r="C34" s="15">
        <f t="shared" ref="C34:N34" si="22">C19+C22</f>
        <v>-6000</v>
      </c>
      <c r="D34" s="15">
        <f t="shared" si="22"/>
        <v>-6000</v>
      </c>
      <c r="E34" s="15">
        <f t="shared" si="22"/>
        <v>-6000</v>
      </c>
      <c r="F34" s="15">
        <f t="shared" si="22"/>
        <v>-6000</v>
      </c>
      <c r="G34" s="15">
        <f t="shared" si="22"/>
        <v>-6000</v>
      </c>
      <c r="H34" s="15">
        <f t="shared" si="22"/>
        <v>-6000</v>
      </c>
      <c r="I34" s="15">
        <f t="shared" si="22"/>
        <v>-6000</v>
      </c>
      <c r="J34" s="15">
        <f t="shared" si="22"/>
        <v>-6000</v>
      </c>
      <c r="K34" s="15">
        <f t="shared" si="22"/>
        <v>-6000</v>
      </c>
      <c r="L34" s="15">
        <f t="shared" si="22"/>
        <v>-6000</v>
      </c>
      <c r="M34" s="15">
        <f t="shared" si="22"/>
        <v>-6000</v>
      </c>
      <c r="N34" s="15">
        <f t="shared" si="22"/>
        <v>-6000</v>
      </c>
    </row>
    <row r="35">
      <c r="A35" s="16" t="s">
        <v>37</v>
      </c>
      <c r="C35" s="19" t="str">
        <f t="shared" ref="C35:N35" si="23">iferror(C34/C2,"")</f>
        <v/>
      </c>
      <c r="D35" s="19" t="str">
        <f t="shared" si="23"/>
        <v/>
      </c>
      <c r="E35" s="19" t="str">
        <f t="shared" si="23"/>
        <v/>
      </c>
      <c r="F35" s="19" t="str">
        <f t="shared" si="23"/>
        <v/>
      </c>
      <c r="G35" s="19" t="str">
        <f t="shared" si="23"/>
        <v/>
      </c>
      <c r="H35" s="19" t="str">
        <f t="shared" si="23"/>
        <v/>
      </c>
      <c r="I35" s="19" t="str">
        <f t="shared" si="23"/>
        <v/>
      </c>
      <c r="J35" s="19" t="str">
        <f t="shared" si="23"/>
        <v/>
      </c>
      <c r="K35" s="19" t="str">
        <f t="shared" si="23"/>
        <v/>
      </c>
      <c r="L35" s="19" t="str">
        <f t="shared" si="23"/>
        <v/>
      </c>
      <c r="M35" s="19" t="str">
        <f t="shared" si="23"/>
        <v/>
      </c>
      <c r="N35" s="19" t="str">
        <f t="shared" si="23"/>
        <v/>
      </c>
    </row>
    <row r="36">
      <c r="A36" s="13"/>
      <c r="C36" s="13"/>
    </row>
    <row r="37" ht="24.75" customHeight="1">
      <c r="A37" s="2" t="s">
        <v>38</v>
      </c>
      <c r="C37" s="18">
        <f t="shared" ref="C37:N37" si="24">sum(C38:C45)</f>
        <v>-6000</v>
      </c>
      <c r="D37" s="18">
        <f t="shared" si="24"/>
        <v>-6000</v>
      </c>
      <c r="E37" s="18">
        <f t="shared" si="24"/>
        <v>-6000</v>
      </c>
      <c r="F37" s="18">
        <f t="shared" si="24"/>
        <v>-6000</v>
      </c>
      <c r="G37" s="18">
        <f t="shared" si="24"/>
        <v>-6000</v>
      </c>
      <c r="H37" s="18">
        <f t="shared" si="24"/>
        <v>-6000</v>
      </c>
      <c r="I37" s="18">
        <f t="shared" si="24"/>
        <v>-6000</v>
      </c>
      <c r="J37" s="18">
        <f t="shared" si="24"/>
        <v>-6000</v>
      </c>
      <c r="K37" s="18">
        <f t="shared" si="24"/>
        <v>-6000</v>
      </c>
      <c r="L37" s="18">
        <f t="shared" si="24"/>
        <v>-6000</v>
      </c>
      <c r="M37" s="18">
        <f t="shared" si="24"/>
        <v>-6000</v>
      </c>
      <c r="N37" s="18">
        <f t="shared" si="24"/>
        <v>-6000</v>
      </c>
    </row>
    <row r="38">
      <c r="A38" s="1" t="s">
        <v>33</v>
      </c>
      <c r="B38" s="10">
        <v>-3000.0</v>
      </c>
      <c r="C38" s="9">
        <f t="shared" ref="C38:N38" si="25">$B$38</f>
        <v>-3000</v>
      </c>
      <c r="D38" s="9">
        <f t="shared" si="25"/>
        <v>-3000</v>
      </c>
      <c r="E38" s="9">
        <f t="shared" si="25"/>
        <v>-3000</v>
      </c>
      <c r="F38" s="9">
        <f t="shared" si="25"/>
        <v>-3000</v>
      </c>
      <c r="G38" s="9">
        <f t="shared" si="25"/>
        <v>-3000</v>
      </c>
      <c r="H38" s="9">
        <f t="shared" si="25"/>
        <v>-3000</v>
      </c>
      <c r="I38" s="9">
        <f t="shared" si="25"/>
        <v>-3000</v>
      </c>
      <c r="J38" s="9">
        <f t="shared" si="25"/>
        <v>-3000</v>
      </c>
      <c r="K38" s="9">
        <f t="shared" si="25"/>
        <v>-3000</v>
      </c>
      <c r="L38" s="9">
        <f t="shared" si="25"/>
        <v>-3000</v>
      </c>
      <c r="M38" s="9">
        <f t="shared" si="25"/>
        <v>-3000</v>
      </c>
      <c r="N38" s="9">
        <f t="shared" si="25"/>
        <v>-3000</v>
      </c>
    </row>
    <row r="39">
      <c r="A39" s="1" t="s">
        <v>34</v>
      </c>
      <c r="B39" s="10">
        <v>-2000.0</v>
      </c>
      <c r="C39" s="9">
        <f t="shared" ref="C39:N39" si="26">$B$39</f>
        <v>-2000</v>
      </c>
      <c r="D39" s="9">
        <f t="shared" si="26"/>
        <v>-2000</v>
      </c>
      <c r="E39" s="9">
        <f t="shared" si="26"/>
        <v>-2000</v>
      </c>
      <c r="F39" s="9">
        <f t="shared" si="26"/>
        <v>-2000</v>
      </c>
      <c r="G39" s="9">
        <f t="shared" si="26"/>
        <v>-2000</v>
      </c>
      <c r="H39" s="9">
        <f t="shared" si="26"/>
        <v>-2000</v>
      </c>
      <c r="I39" s="9">
        <f t="shared" si="26"/>
        <v>-2000</v>
      </c>
      <c r="J39" s="9">
        <f t="shared" si="26"/>
        <v>-2000</v>
      </c>
      <c r="K39" s="9">
        <f t="shared" si="26"/>
        <v>-2000</v>
      </c>
      <c r="L39" s="9">
        <f t="shared" si="26"/>
        <v>-2000</v>
      </c>
      <c r="M39" s="9">
        <f t="shared" si="26"/>
        <v>-2000</v>
      </c>
      <c r="N39" s="9">
        <f t="shared" si="26"/>
        <v>-2000</v>
      </c>
    </row>
    <row r="40">
      <c r="A40" s="1" t="s">
        <v>35</v>
      </c>
      <c r="B40" s="10">
        <v>-1000.0</v>
      </c>
      <c r="C40" s="9">
        <f t="shared" ref="C40:N40" si="27">$B$40</f>
        <v>-1000</v>
      </c>
      <c r="D40" s="9">
        <f t="shared" si="27"/>
        <v>-1000</v>
      </c>
      <c r="E40" s="9">
        <f t="shared" si="27"/>
        <v>-1000</v>
      </c>
      <c r="F40" s="9">
        <f t="shared" si="27"/>
        <v>-1000</v>
      </c>
      <c r="G40" s="9">
        <f t="shared" si="27"/>
        <v>-1000</v>
      </c>
      <c r="H40" s="9">
        <f t="shared" si="27"/>
        <v>-1000</v>
      </c>
      <c r="I40" s="9">
        <f t="shared" si="27"/>
        <v>-1000</v>
      </c>
      <c r="J40" s="9">
        <f t="shared" si="27"/>
        <v>-1000</v>
      </c>
      <c r="K40" s="9">
        <f t="shared" si="27"/>
        <v>-1000</v>
      </c>
      <c r="L40" s="9">
        <f t="shared" si="27"/>
        <v>-1000</v>
      </c>
      <c r="M40" s="9">
        <f t="shared" si="27"/>
        <v>-1000</v>
      </c>
      <c r="N40" s="9">
        <f t="shared" si="27"/>
        <v>-1000</v>
      </c>
    </row>
    <row r="41">
      <c r="A41" s="1"/>
      <c r="B41" s="10">
        <v>0.0</v>
      </c>
      <c r="C41" s="9">
        <f t="shared" ref="C41:N41" si="28">$B$41</f>
        <v>0</v>
      </c>
      <c r="D41" s="9">
        <f t="shared" si="28"/>
        <v>0</v>
      </c>
      <c r="E41" s="9">
        <f t="shared" si="28"/>
        <v>0</v>
      </c>
      <c r="F41" s="9">
        <f t="shared" si="28"/>
        <v>0</v>
      </c>
      <c r="G41" s="9">
        <f t="shared" si="28"/>
        <v>0</v>
      </c>
      <c r="H41" s="9">
        <f t="shared" si="28"/>
        <v>0</v>
      </c>
      <c r="I41" s="9">
        <f t="shared" si="28"/>
        <v>0</v>
      </c>
      <c r="J41" s="9">
        <f t="shared" si="28"/>
        <v>0</v>
      </c>
      <c r="K41" s="9">
        <f t="shared" si="28"/>
        <v>0</v>
      </c>
      <c r="L41" s="9">
        <f t="shared" si="28"/>
        <v>0</v>
      </c>
      <c r="M41" s="9">
        <f t="shared" si="28"/>
        <v>0</v>
      </c>
      <c r="N41" s="9">
        <f t="shared" si="28"/>
        <v>0</v>
      </c>
    </row>
    <row r="42">
      <c r="A42" s="1"/>
      <c r="B42" s="10">
        <v>0.0</v>
      </c>
      <c r="C42" s="9">
        <f t="shared" ref="C42:N42" si="29">$B$42</f>
        <v>0</v>
      </c>
      <c r="D42" s="9">
        <f t="shared" si="29"/>
        <v>0</v>
      </c>
      <c r="E42" s="9">
        <f t="shared" si="29"/>
        <v>0</v>
      </c>
      <c r="F42" s="9">
        <f t="shared" si="29"/>
        <v>0</v>
      </c>
      <c r="G42" s="9">
        <f t="shared" si="29"/>
        <v>0</v>
      </c>
      <c r="H42" s="9">
        <f t="shared" si="29"/>
        <v>0</v>
      </c>
      <c r="I42" s="9">
        <f t="shared" si="29"/>
        <v>0</v>
      </c>
      <c r="J42" s="9">
        <f t="shared" si="29"/>
        <v>0</v>
      </c>
      <c r="K42" s="9">
        <f t="shared" si="29"/>
        <v>0</v>
      </c>
      <c r="L42" s="9">
        <f t="shared" si="29"/>
        <v>0</v>
      </c>
      <c r="M42" s="9">
        <f t="shared" si="29"/>
        <v>0</v>
      </c>
      <c r="N42" s="9">
        <f t="shared" si="29"/>
        <v>0</v>
      </c>
    </row>
    <row r="43">
      <c r="A43" s="1"/>
      <c r="B43" s="10">
        <v>0.0</v>
      </c>
      <c r="C43" s="9">
        <f t="shared" ref="C43:N43" si="30">$B$43</f>
        <v>0</v>
      </c>
      <c r="D43" s="9">
        <f t="shared" si="30"/>
        <v>0</v>
      </c>
      <c r="E43" s="9">
        <f t="shared" si="30"/>
        <v>0</v>
      </c>
      <c r="F43" s="9">
        <f t="shared" si="30"/>
        <v>0</v>
      </c>
      <c r="G43" s="9">
        <f t="shared" si="30"/>
        <v>0</v>
      </c>
      <c r="H43" s="9">
        <f t="shared" si="30"/>
        <v>0</v>
      </c>
      <c r="I43" s="9">
        <f t="shared" si="30"/>
        <v>0</v>
      </c>
      <c r="J43" s="9">
        <f t="shared" si="30"/>
        <v>0</v>
      </c>
      <c r="K43" s="9">
        <f t="shared" si="30"/>
        <v>0</v>
      </c>
      <c r="L43" s="9">
        <f t="shared" si="30"/>
        <v>0</v>
      </c>
      <c r="M43" s="9">
        <f t="shared" si="30"/>
        <v>0</v>
      </c>
      <c r="N43" s="9">
        <f t="shared" si="30"/>
        <v>0</v>
      </c>
    </row>
    <row r="44">
      <c r="A44" s="1"/>
      <c r="B44" s="10">
        <v>0.0</v>
      </c>
      <c r="C44" s="9">
        <f t="shared" ref="C44:N44" si="31">$B$44</f>
        <v>0</v>
      </c>
      <c r="D44" s="9">
        <f t="shared" si="31"/>
        <v>0</v>
      </c>
      <c r="E44" s="9">
        <f t="shared" si="31"/>
        <v>0</v>
      </c>
      <c r="F44" s="9">
        <f t="shared" si="31"/>
        <v>0</v>
      </c>
      <c r="G44" s="9">
        <f t="shared" si="31"/>
        <v>0</v>
      </c>
      <c r="H44" s="9">
        <f t="shared" si="31"/>
        <v>0</v>
      </c>
      <c r="I44" s="9">
        <f t="shared" si="31"/>
        <v>0</v>
      </c>
      <c r="J44" s="9">
        <f t="shared" si="31"/>
        <v>0</v>
      </c>
      <c r="K44" s="9">
        <f t="shared" si="31"/>
        <v>0</v>
      </c>
      <c r="L44" s="9">
        <f t="shared" si="31"/>
        <v>0</v>
      </c>
      <c r="M44" s="9">
        <f t="shared" si="31"/>
        <v>0</v>
      </c>
      <c r="N44" s="9">
        <f t="shared" si="31"/>
        <v>0</v>
      </c>
    </row>
    <row r="45">
      <c r="A45" s="13"/>
      <c r="B45" s="10">
        <v>0.0</v>
      </c>
      <c r="C45" s="9">
        <f t="shared" ref="C45:N45" si="32">$B$45</f>
        <v>0</v>
      </c>
      <c r="D45" s="9">
        <f t="shared" si="32"/>
        <v>0</v>
      </c>
      <c r="E45" s="9">
        <f t="shared" si="32"/>
        <v>0</v>
      </c>
      <c r="F45" s="9">
        <f t="shared" si="32"/>
        <v>0</v>
      </c>
      <c r="G45" s="9">
        <f t="shared" si="32"/>
        <v>0</v>
      </c>
      <c r="H45" s="9">
        <f t="shared" si="32"/>
        <v>0</v>
      </c>
      <c r="I45" s="9">
        <f t="shared" si="32"/>
        <v>0</v>
      </c>
      <c r="J45" s="9">
        <f t="shared" si="32"/>
        <v>0</v>
      </c>
      <c r="K45" s="9">
        <f t="shared" si="32"/>
        <v>0</v>
      </c>
      <c r="L45" s="9">
        <f t="shared" si="32"/>
        <v>0</v>
      </c>
      <c r="M45" s="9">
        <f t="shared" si="32"/>
        <v>0</v>
      </c>
      <c r="N45" s="9">
        <f t="shared" si="32"/>
        <v>0</v>
      </c>
    </row>
    <row r="46">
      <c r="A46" s="13"/>
      <c r="C46" s="13"/>
    </row>
    <row r="47" ht="25.5" customHeight="1">
      <c r="A47" s="14" t="s">
        <v>39</v>
      </c>
      <c r="C47" s="15">
        <f t="shared" ref="C47:N47" si="33">C34+C37</f>
        <v>-12000</v>
      </c>
      <c r="D47" s="15">
        <f t="shared" si="33"/>
        <v>-12000</v>
      </c>
      <c r="E47" s="15">
        <f t="shared" si="33"/>
        <v>-12000</v>
      </c>
      <c r="F47" s="15">
        <f t="shared" si="33"/>
        <v>-12000</v>
      </c>
      <c r="G47" s="15">
        <f t="shared" si="33"/>
        <v>-12000</v>
      </c>
      <c r="H47" s="15">
        <f t="shared" si="33"/>
        <v>-12000</v>
      </c>
      <c r="I47" s="15">
        <f t="shared" si="33"/>
        <v>-12000</v>
      </c>
      <c r="J47" s="15">
        <f t="shared" si="33"/>
        <v>-12000</v>
      </c>
      <c r="K47" s="15">
        <f t="shared" si="33"/>
        <v>-12000</v>
      </c>
      <c r="L47" s="15">
        <f t="shared" si="33"/>
        <v>-12000</v>
      </c>
      <c r="M47" s="15">
        <f t="shared" si="33"/>
        <v>-12000</v>
      </c>
      <c r="N47" s="15">
        <f t="shared" si="33"/>
        <v>-12000</v>
      </c>
    </row>
    <row r="48">
      <c r="A48" s="16" t="s">
        <v>40</v>
      </c>
      <c r="C48" s="19" t="str">
        <f t="shared" ref="C48:N48" si="34">iferror(C47/C2,"")</f>
        <v/>
      </c>
      <c r="D48" s="19" t="str">
        <f t="shared" si="34"/>
        <v/>
      </c>
      <c r="E48" s="19" t="str">
        <f t="shared" si="34"/>
        <v/>
      </c>
      <c r="F48" s="19" t="str">
        <f t="shared" si="34"/>
        <v/>
      </c>
      <c r="G48" s="19" t="str">
        <f t="shared" si="34"/>
        <v/>
      </c>
      <c r="H48" s="19" t="str">
        <f t="shared" si="34"/>
        <v/>
      </c>
      <c r="I48" s="19" t="str">
        <f t="shared" si="34"/>
        <v/>
      </c>
      <c r="J48" s="19" t="str">
        <f t="shared" si="34"/>
        <v/>
      </c>
      <c r="K48" s="19" t="str">
        <f t="shared" si="34"/>
        <v/>
      </c>
      <c r="L48" s="19" t="str">
        <f t="shared" si="34"/>
        <v/>
      </c>
      <c r="M48" s="19" t="str">
        <f t="shared" si="34"/>
        <v/>
      </c>
      <c r="N48" s="19" t="str">
        <f t="shared" si="34"/>
        <v/>
      </c>
    </row>
    <row r="49">
      <c r="A49" s="1" t="s">
        <v>41</v>
      </c>
      <c r="B49" s="10">
        <v>0.0</v>
      </c>
      <c r="C49" s="9">
        <f t="shared" ref="C49:N49" si="35">$B$49</f>
        <v>0</v>
      </c>
      <c r="D49" s="9">
        <f t="shared" si="35"/>
        <v>0</v>
      </c>
      <c r="E49" s="9">
        <f t="shared" si="35"/>
        <v>0</v>
      </c>
      <c r="F49" s="9">
        <f t="shared" si="35"/>
        <v>0</v>
      </c>
      <c r="G49" s="9">
        <f t="shared" si="35"/>
        <v>0</v>
      </c>
      <c r="H49" s="9">
        <f t="shared" si="35"/>
        <v>0</v>
      </c>
      <c r="I49" s="9">
        <f t="shared" si="35"/>
        <v>0</v>
      </c>
      <c r="J49" s="9">
        <f t="shared" si="35"/>
        <v>0</v>
      </c>
      <c r="K49" s="9">
        <f t="shared" si="35"/>
        <v>0</v>
      </c>
      <c r="L49" s="9">
        <f t="shared" si="35"/>
        <v>0</v>
      </c>
      <c r="M49" s="9">
        <f t="shared" si="35"/>
        <v>0</v>
      </c>
      <c r="N49" s="9">
        <f t="shared" si="35"/>
        <v>0</v>
      </c>
    </row>
    <row r="50">
      <c r="A50" s="1" t="s">
        <v>42</v>
      </c>
      <c r="B50" s="10">
        <v>0.0</v>
      </c>
      <c r="C50" s="9">
        <f t="shared" ref="C50:N50" si="36">$B$50</f>
        <v>0</v>
      </c>
      <c r="D50" s="9">
        <f t="shared" si="36"/>
        <v>0</v>
      </c>
      <c r="E50" s="9">
        <f t="shared" si="36"/>
        <v>0</v>
      </c>
      <c r="F50" s="9">
        <f t="shared" si="36"/>
        <v>0</v>
      </c>
      <c r="G50" s="9">
        <f t="shared" si="36"/>
        <v>0</v>
      </c>
      <c r="H50" s="9">
        <f t="shared" si="36"/>
        <v>0</v>
      </c>
      <c r="I50" s="9">
        <f t="shared" si="36"/>
        <v>0</v>
      </c>
      <c r="J50" s="9">
        <f t="shared" si="36"/>
        <v>0</v>
      </c>
      <c r="K50" s="9">
        <f t="shared" si="36"/>
        <v>0</v>
      </c>
      <c r="L50" s="9">
        <f t="shared" si="36"/>
        <v>0</v>
      </c>
      <c r="M50" s="9">
        <f t="shared" si="36"/>
        <v>0</v>
      </c>
      <c r="N50" s="9">
        <f t="shared" si="36"/>
        <v>0</v>
      </c>
    </row>
    <row r="51">
      <c r="A51" s="1" t="s">
        <v>43</v>
      </c>
      <c r="B51" s="10">
        <v>0.0</v>
      </c>
      <c r="C51" s="9">
        <f t="shared" ref="C51:N51" si="37">$B$51</f>
        <v>0</v>
      </c>
      <c r="D51" s="9">
        <f t="shared" si="37"/>
        <v>0</v>
      </c>
      <c r="E51" s="9">
        <f t="shared" si="37"/>
        <v>0</v>
      </c>
      <c r="F51" s="9">
        <f t="shared" si="37"/>
        <v>0</v>
      </c>
      <c r="G51" s="9">
        <f t="shared" si="37"/>
        <v>0</v>
      </c>
      <c r="H51" s="9">
        <f t="shared" si="37"/>
        <v>0</v>
      </c>
      <c r="I51" s="9">
        <f t="shared" si="37"/>
        <v>0</v>
      </c>
      <c r="J51" s="9">
        <f t="shared" si="37"/>
        <v>0</v>
      </c>
      <c r="K51" s="9">
        <f t="shared" si="37"/>
        <v>0</v>
      </c>
      <c r="L51" s="9">
        <f t="shared" si="37"/>
        <v>0</v>
      </c>
      <c r="M51" s="9">
        <f t="shared" si="37"/>
        <v>0</v>
      </c>
      <c r="N51" s="9">
        <f t="shared" si="37"/>
        <v>0</v>
      </c>
    </row>
    <row r="52">
      <c r="A52" s="13"/>
      <c r="C52" s="13"/>
    </row>
    <row r="53" ht="24.75" customHeight="1">
      <c r="A53" s="2" t="s">
        <v>44</v>
      </c>
      <c r="C53" s="18">
        <f t="shared" ref="C53:N53" si="38">C47+C49+C50+C51</f>
        <v>-12000</v>
      </c>
      <c r="D53" s="18">
        <f t="shared" si="38"/>
        <v>-12000</v>
      </c>
      <c r="E53" s="18">
        <f t="shared" si="38"/>
        <v>-12000</v>
      </c>
      <c r="F53" s="18">
        <f t="shared" si="38"/>
        <v>-12000</v>
      </c>
      <c r="G53" s="18">
        <f t="shared" si="38"/>
        <v>-12000</v>
      </c>
      <c r="H53" s="18">
        <f t="shared" si="38"/>
        <v>-12000</v>
      </c>
      <c r="I53" s="18">
        <f t="shared" si="38"/>
        <v>-12000</v>
      </c>
      <c r="J53" s="18">
        <f t="shared" si="38"/>
        <v>-12000</v>
      </c>
      <c r="K53" s="18">
        <f t="shared" si="38"/>
        <v>-12000</v>
      </c>
      <c r="L53" s="18">
        <f t="shared" si="38"/>
        <v>-12000</v>
      </c>
      <c r="M53" s="18">
        <f t="shared" si="38"/>
        <v>-12000</v>
      </c>
      <c r="N53" s="18">
        <f t="shared" si="38"/>
        <v>-12000</v>
      </c>
    </row>
    <row r="54">
      <c r="A54" s="16" t="s">
        <v>45</v>
      </c>
      <c r="C54" s="19" t="str">
        <f t="shared" ref="C54:N54" si="39">iferror(C53/C2,"")</f>
        <v/>
      </c>
      <c r="D54" s="19" t="str">
        <f t="shared" si="39"/>
        <v/>
      </c>
      <c r="E54" s="19" t="str">
        <f t="shared" si="39"/>
        <v/>
      </c>
      <c r="F54" s="19" t="str">
        <f t="shared" si="39"/>
        <v/>
      </c>
      <c r="G54" s="19" t="str">
        <f t="shared" si="39"/>
        <v/>
      </c>
      <c r="H54" s="19" t="str">
        <f t="shared" si="39"/>
        <v/>
      </c>
      <c r="I54" s="19" t="str">
        <f t="shared" si="39"/>
        <v/>
      </c>
      <c r="J54" s="19" t="str">
        <f t="shared" si="39"/>
        <v/>
      </c>
      <c r="K54" s="19" t="str">
        <f t="shared" si="39"/>
        <v/>
      </c>
      <c r="L54" s="19" t="str">
        <f t="shared" si="39"/>
        <v/>
      </c>
      <c r="M54" s="19" t="str">
        <f t="shared" si="39"/>
        <v/>
      </c>
      <c r="N54" s="19" t="str">
        <f t="shared" si="39"/>
        <v/>
      </c>
    </row>
    <row r="55">
      <c r="A55" s="1" t="s">
        <v>46</v>
      </c>
      <c r="C55" s="9">
        <f t="shared" ref="C55:N55" si="40">B55+C53</f>
        <v>-12000</v>
      </c>
      <c r="D55" s="9">
        <f t="shared" si="40"/>
        <v>-24000</v>
      </c>
      <c r="E55" s="9">
        <f t="shared" si="40"/>
        <v>-36000</v>
      </c>
      <c r="F55" s="9">
        <f t="shared" si="40"/>
        <v>-48000</v>
      </c>
      <c r="G55" s="9">
        <f t="shared" si="40"/>
        <v>-60000</v>
      </c>
      <c r="H55" s="9">
        <f t="shared" si="40"/>
        <v>-72000</v>
      </c>
      <c r="I55" s="9">
        <f t="shared" si="40"/>
        <v>-84000</v>
      </c>
      <c r="J55" s="9">
        <f t="shared" si="40"/>
        <v>-96000</v>
      </c>
      <c r="K55" s="9">
        <f t="shared" si="40"/>
        <v>-108000</v>
      </c>
      <c r="L55" s="9">
        <f t="shared" si="40"/>
        <v>-120000</v>
      </c>
      <c r="M55" s="9">
        <f t="shared" si="40"/>
        <v>-132000</v>
      </c>
      <c r="N55" s="9">
        <f t="shared" si="40"/>
        <v>-144000</v>
      </c>
    </row>
    <row r="56" ht="33.0" customHeight="1">
      <c r="A56" s="13"/>
      <c r="C56" s="13"/>
    </row>
    <row r="57" ht="29.25" customHeight="1">
      <c r="A57" s="2" t="s">
        <v>47</v>
      </c>
      <c r="C57" s="4">
        <f t="shared" ref="C57:N57" si="41">C63-C69</f>
        <v>0</v>
      </c>
      <c r="D57" s="4">
        <f t="shared" si="41"/>
        <v>0</v>
      </c>
      <c r="E57" s="4">
        <f t="shared" si="41"/>
        <v>0</v>
      </c>
      <c r="F57" s="4">
        <f t="shared" si="41"/>
        <v>0</v>
      </c>
      <c r="G57" s="4">
        <f t="shared" si="41"/>
        <v>0</v>
      </c>
      <c r="H57" s="4">
        <f t="shared" si="41"/>
        <v>0</v>
      </c>
      <c r="I57" s="4">
        <f t="shared" si="41"/>
        <v>0</v>
      </c>
      <c r="J57" s="4">
        <f t="shared" si="41"/>
        <v>0</v>
      </c>
      <c r="K57" s="4">
        <f t="shared" si="41"/>
        <v>0</v>
      </c>
      <c r="L57" s="4">
        <f t="shared" si="41"/>
        <v>0</v>
      </c>
      <c r="M57" s="4">
        <f t="shared" si="41"/>
        <v>0</v>
      </c>
      <c r="N57" s="4">
        <f t="shared" si="41"/>
        <v>0</v>
      </c>
    </row>
    <row r="58">
      <c r="A58" s="1" t="s">
        <v>48</v>
      </c>
      <c r="C58" s="9">
        <f t="shared" ref="C58:N58" si="42">C64-C70</f>
        <v>0</v>
      </c>
      <c r="D58" s="9">
        <f t="shared" si="42"/>
        <v>0</v>
      </c>
      <c r="E58" s="9">
        <f t="shared" si="42"/>
        <v>0</v>
      </c>
      <c r="F58" s="9">
        <f t="shared" si="42"/>
        <v>0</v>
      </c>
      <c r="G58" s="9">
        <f t="shared" si="42"/>
        <v>0</v>
      </c>
      <c r="H58" s="9">
        <f t="shared" si="42"/>
        <v>0</v>
      </c>
      <c r="I58" s="9">
        <f t="shared" si="42"/>
        <v>0</v>
      </c>
      <c r="J58" s="9">
        <f t="shared" si="42"/>
        <v>0</v>
      </c>
      <c r="K58" s="9">
        <f t="shared" si="42"/>
        <v>0</v>
      </c>
      <c r="L58" s="9">
        <f t="shared" si="42"/>
        <v>0</v>
      </c>
      <c r="M58" s="9">
        <f t="shared" si="42"/>
        <v>0</v>
      </c>
      <c r="N58" s="9">
        <f t="shared" si="42"/>
        <v>0</v>
      </c>
    </row>
    <row r="59">
      <c r="A59" s="13"/>
      <c r="C59" s="13"/>
    </row>
    <row r="60">
      <c r="A60" s="20" t="s">
        <v>49</v>
      </c>
      <c r="C60" s="20"/>
    </row>
    <row r="61">
      <c r="A61" s="1" t="s">
        <v>50</v>
      </c>
      <c r="B61" s="8">
        <v>0.0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>
      <c r="A62" s="1" t="s">
        <v>51</v>
      </c>
      <c r="C62" s="9">
        <f t="shared" ref="C62:N62" si="43">B63</f>
        <v>0</v>
      </c>
      <c r="D62" s="9">
        <f t="shared" si="43"/>
        <v>0</v>
      </c>
      <c r="E62" s="9">
        <f t="shared" si="43"/>
        <v>0</v>
      </c>
      <c r="F62" s="9">
        <f t="shared" si="43"/>
        <v>0</v>
      </c>
      <c r="G62" s="9">
        <f t="shared" si="43"/>
        <v>0</v>
      </c>
      <c r="H62" s="9">
        <f t="shared" si="43"/>
        <v>0</v>
      </c>
      <c r="I62" s="9">
        <f t="shared" si="43"/>
        <v>0</v>
      </c>
      <c r="J62" s="9">
        <f t="shared" si="43"/>
        <v>0</v>
      </c>
      <c r="K62" s="9">
        <f t="shared" si="43"/>
        <v>0</v>
      </c>
      <c r="L62" s="9">
        <f t="shared" si="43"/>
        <v>0</v>
      </c>
      <c r="M62" s="9">
        <f t="shared" si="43"/>
        <v>0</v>
      </c>
      <c r="N62" s="9">
        <f t="shared" si="43"/>
        <v>0</v>
      </c>
    </row>
    <row r="63">
      <c r="A63" s="1" t="s">
        <v>52</v>
      </c>
      <c r="B63" s="8">
        <v>0.0</v>
      </c>
      <c r="C63" s="9">
        <f t="shared" ref="C63:N63" si="44">-C14*$B$61/30</f>
        <v>0</v>
      </c>
      <c r="D63" s="9">
        <f t="shared" si="44"/>
        <v>0</v>
      </c>
      <c r="E63" s="9">
        <f t="shared" si="44"/>
        <v>0</v>
      </c>
      <c r="F63" s="9">
        <f t="shared" si="44"/>
        <v>0</v>
      </c>
      <c r="G63" s="9">
        <f t="shared" si="44"/>
        <v>0</v>
      </c>
      <c r="H63" s="9">
        <f t="shared" si="44"/>
        <v>0</v>
      </c>
      <c r="I63" s="9">
        <f t="shared" si="44"/>
        <v>0</v>
      </c>
      <c r="J63" s="9">
        <f t="shared" si="44"/>
        <v>0</v>
      </c>
      <c r="K63" s="9">
        <f t="shared" si="44"/>
        <v>0</v>
      </c>
      <c r="L63" s="9">
        <f t="shared" si="44"/>
        <v>0</v>
      </c>
      <c r="M63" s="9">
        <f t="shared" si="44"/>
        <v>0</v>
      </c>
      <c r="N63" s="9">
        <f t="shared" si="44"/>
        <v>0</v>
      </c>
    </row>
    <row r="64">
      <c r="A64" s="1" t="s">
        <v>53</v>
      </c>
      <c r="C64" s="9">
        <f t="shared" ref="C64:N64" si="45">C63-C62</f>
        <v>0</v>
      </c>
      <c r="D64" s="9">
        <f t="shared" si="45"/>
        <v>0</v>
      </c>
      <c r="E64" s="9">
        <f t="shared" si="45"/>
        <v>0</v>
      </c>
      <c r="F64" s="9">
        <f t="shared" si="45"/>
        <v>0</v>
      </c>
      <c r="G64" s="9">
        <f t="shared" si="45"/>
        <v>0</v>
      </c>
      <c r="H64" s="9">
        <f t="shared" si="45"/>
        <v>0</v>
      </c>
      <c r="I64" s="9">
        <f t="shared" si="45"/>
        <v>0</v>
      </c>
      <c r="J64" s="9">
        <f t="shared" si="45"/>
        <v>0</v>
      </c>
      <c r="K64" s="9">
        <f t="shared" si="45"/>
        <v>0</v>
      </c>
      <c r="L64" s="9">
        <f t="shared" si="45"/>
        <v>0</v>
      </c>
      <c r="M64" s="9">
        <f t="shared" si="45"/>
        <v>0</v>
      </c>
      <c r="N64" s="9">
        <f t="shared" si="45"/>
        <v>0</v>
      </c>
    </row>
    <row r="65">
      <c r="A65" s="13"/>
      <c r="C65" s="13"/>
    </row>
    <row r="66">
      <c r="A66" s="20" t="s">
        <v>54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>
      <c r="A67" s="1" t="s">
        <v>55</v>
      </c>
      <c r="B67" s="8">
        <v>0.0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>
      <c r="A68" s="1" t="s">
        <v>56</v>
      </c>
      <c r="C68" s="9">
        <f t="shared" ref="C68:N68" si="46">B69</f>
        <v>0</v>
      </c>
      <c r="D68" s="9">
        <f t="shared" si="46"/>
        <v>0</v>
      </c>
      <c r="E68" s="9">
        <f t="shared" si="46"/>
        <v>0</v>
      </c>
      <c r="F68" s="9">
        <f t="shared" si="46"/>
        <v>0</v>
      </c>
      <c r="G68" s="9">
        <f t="shared" si="46"/>
        <v>0</v>
      </c>
      <c r="H68" s="9">
        <f t="shared" si="46"/>
        <v>0</v>
      </c>
      <c r="I68" s="9">
        <f t="shared" si="46"/>
        <v>0</v>
      </c>
      <c r="J68" s="9">
        <f t="shared" si="46"/>
        <v>0</v>
      </c>
      <c r="K68" s="9">
        <f t="shared" si="46"/>
        <v>0</v>
      </c>
      <c r="L68" s="9">
        <f t="shared" si="46"/>
        <v>0</v>
      </c>
      <c r="M68" s="9">
        <f t="shared" si="46"/>
        <v>0</v>
      </c>
      <c r="N68" s="9">
        <f t="shared" si="46"/>
        <v>0</v>
      </c>
    </row>
    <row r="69">
      <c r="A69" s="1" t="s">
        <v>57</v>
      </c>
      <c r="B69" s="8">
        <v>0.0</v>
      </c>
      <c r="C69" s="9">
        <f t="shared" ref="C69:N69" si="47">-C14*$B$67/30</f>
        <v>0</v>
      </c>
      <c r="D69" s="9">
        <f t="shared" si="47"/>
        <v>0</v>
      </c>
      <c r="E69" s="9">
        <f t="shared" si="47"/>
        <v>0</v>
      </c>
      <c r="F69" s="9">
        <f t="shared" si="47"/>
        <v>0</v>
      </c>
      <c r="G69" s="9">
        <f t="shared" si="47"/>
        <v>0</v>
      </c>
      <c r="H69" s="9">
        <f t="shared" si="47"/>
        <v>0</v>
      </c>
      <c r="I69" s="9">
        <f t="shared" si="47"/>
        <v>0</v>
      </c>
      <c r="J69" s="9">
        <f t="shared" si="47"/>
        <v>0</v>
      </c>
      <c r="K69" s="9">
        <f t="shared" si="47"/>
        <v>0</v>
      </c>
      <c r="L69" s="9">
        <f t="shared" si="47"/>
        <v>0</v>
      </c>
      <c r="M69" s="9">
        <f t="shared" si="47"/>
        <v>0</v>
      </c>
      <c r="N69" s="9">
        <f t="shared" si="47"/>
        <v>0</v>
      </c>
    </row>
    <row r="70">
      <c r="A70" s="1" t="s">
        <v>58</v>
      </c>
      <c r="C70" s="9">
        <f t="shared" ref="C70:N70" si="48">C69-C68</f>
        <v>0</v>
      </c>
      <c r="D70" s="9">
        <f t="shared" si="48"/>
        <v>0</v>
      </c>
      <c r="E70" s="9">
        <f t="shared" si="48"/>
        <v>0</v>
      </c>
      <c r="F70" s="9">
        <f t="shared" si="48"/>
        <v>0</v>
      </c>
      <c r="G70" s="9">
        <f t="shared" si="48"/>
        <v>0</v>
      </c>
      <c r="H70" s="9">
        <f t="shared" si="48"/>
        <v>0</v>
      </c>
      <c r="I70" s="9">
        <f t="shared" si="48"/>
        <v>0</v>
      </c>
      <c r="J70" s="9">
        <f t="shared" si="48"/>
        <v>0</v>
      </c>
      <c r="K70" s="9">
        <f t="shared" si="48"/>
        <v>0</v>
      </c>
      <c r="L70" s="9">
        <f t="shared" si="48"/>
        <v>0</v>
      </c>
      <c r="M70" s="9">
        <f t="shared" si="48"/>
        <v>0</v>
      </c>
      <c r="N70" s="9">
        <f t="shared" si="48"/>
        <v>0</v>
      </c>
    </row>
    <row r="71">
      <c r="A71" s="13"/>
      <c r="C71" s="13"/>
    </row>
    <row r="72" ht="29.25" customHeight="1">
      <c r="A72" s="2" t="s">
        <v>59</v>
      </c>
      <c r="C72" s="2"/>
    </row>
    <row r="73">
      <c r="A73" s="1" t="s">
        <v>60</v>
      </c>
      <c r="C73" s="9">
        <f t="shared" ref="C73:N73" si="49">B78</f>
        <v>0</v>
      </c>
      <c r="D73" s="9">
        <f t="shared" si="49"/>
        <v>-12000</v>
      </c>
      <c r="E73" s="9">
        <f t="shared" si="49"/>
        <v>-24000</v>
      </c>
      <c r="F73" s="9">
        <f t="shared" si="49"/>
        <v>-36000</v>
      </c>
      <c r="G73" s="9">
        <f t="shared" si="49"/>
        <v>-48000</v>
      </c>
      <c r="H73" s="9">
        <f t="shared" si="49"/>
        <v>-60000</v>
      </c>
      <c r="I73" s="9">
        <f t="shared" si="49"/>
        <v>-72000</v>
      </c>
      <c r="J73" s="9">
        <f t="shared" si="49"/>
        <v>-84000</v>
      </c>
      <c r="K73" s="9">
        <f t="shared" si="49"/>
        <v>-96000</v>
      </c>
      <c r="L73" s="9">
        <f t="shared" si="49"/>
        <v>-108000</v>
      </c>
      <c r="M73" s="9">
        <f t="shared" si="49"/>
        <v>-120000</v>
      </c>
      <c r="N73" s="9">
        <f t="shared" si="49"/>
        <v>-132000</v>
      </c>
    </row>
    <row r="74">
      <c r="A74" s="1" t="s">
        <v>61</v>
      </c>
      <c r="C74" s="9">
        <f t="shared" ref="C74:N74" si="50">C47+C49-C58</f>
        <v>-12000</v>
      </c>
      <c r="D74" s="9">
        <f t="shared" si="50"/>
        <v>-12000</v>
      </c>
      <c r="E74" s="9">
        <f t="shared" si="50"/>
        <v>-12000</v>
      </c>
      <c r="F74" s="9">
        <f t="shared" si="50"/>
        <v>-12000</v>
      </c>
      <c r="G74" s="9">
        <f t="shared" si="50"/>
        <v>-12000</v>
      </c>
      <c r="H74" s="9">
        <f t="shared" si="50"/>
        <v>-12000</v>
      </c>
      <c r="I74" s="9">
        <f t="shared" si="50"/>
        <v>-12000</v>
      </c>
      <c r="J74" s="9">
        <f t="shared" si="50"/>
        <v>-12000</v>
      </c>
      <c r="K74" s="9">
        <f t="shared" si="50"/>
        <v>-12000</v>
      </c>
      <c r="L74" s="9">
        <f t="shared" si="50"/>
        <v>-12000</v>
      </c>
      <c r="M74" s="9">
        <f t="shared" si="50"/>
        <v>-12000</v>
      </c>
      <c r="N74" s="9">
        <f t="shared" si="50"/>
        <v>-12000</v>
      </c>
    </row>
    <row r="75">
      <c r="A75" s="1" t="s">
        <v>62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>
      <c r="A76" s="1" t="s">
        <v>63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>
      <c r="A77" s="1" t="s">
        <v>64</v>
      </c>
      <c r="C77" s="9">
        <f t="shared" ref="C77:N77" si="51">sum(C74:C76)</f>
        <v>-12000</v>
      </c>
      <c r="D77" s="9">
        <f t="shared" si="51"/>
        <v>-12000</v>
      </c>
      <c r="E77" s="9">
        <f t="shared" si="51"/>
        <v>-12000</v>
      </c>
      <c r="F77" s="9">
        <f t="shared" si="51"/>
        <v>-12000</v>
      </c>
      <c r="G77" s="9">
        <f t="shared" si="51"/>
        <v>-12000</v>
      </c>
      <c r="H77" s="9">
        <f t="shared" si="51"/>
        <v>-12000</v>
      </c>
      <c r="I77" s="9">
        <f t="shared" si="51"/>
        <v>-12000</v>
      </c>
      <c r="J77" s="9">
        <f t="shared" si="51"/>
        <v>-12000</v>
      </c>
      <c r="K77" s="9">
        <f t="shared" si="51"/>
        <v>-12000</v>
      </c>
      <c r="L77" s="9">
        <f t="shared" si="51"/>
        <v>-12000</v>
      </c>
      <c r="M77" s="9">
        <f t="shared" si="51"/>
        <v>-12000</v>
      </c>
      <c r="N77" s="9">
        <f t="shared" si="51"/>
        <v>-12000</v>
      </c>
    </row>
    <row r="78">
      <c r="A78" s="1" t="s">
        <v>65</v>
      </c>
      <c r="B78" s="21">
        <v>0.0</v>
      </c>
      <c r="C78" s="9">
        <f t="shared" ref="C78:N78" si="52">C73+C77</f>
        <v>-12000</v>
      </c>
      <c r="D78" s="9">
        <f t="shared" si="52"/>
        <v>-24000</v>
      </c>
      <c r="E78" s="9">
        <f t="shared" si="52"/>
        <v>-36000</v>
      </c>
      <c r="F78" s="9">
        <f t="shared" si="52"/>
        <v>-48000</v>
      </c>
      <c r="G78" s="9">
        <f t="shared" si="52"/>
        <v>-60000</v>
      </c>
      <c r="H78" s="9">
        <f t="shared" si="52"/>
        <v>-72000</v>
      </c>
      <c r="I78" s="9">
        <f t="shared" si="52"/>
        <v>-84000</v>
      </c>
      <c r="J78" s="9">
        <f t="shared" si="52"/>
        <v>-96000</v>
      </c>
      <c r="K78" s="9">
        <f t="shared" si="52"/>
        <v>-108000</v>
      </c>
      <c r="L78" s="9">
        <f t="shared" si="52"/>
        <v>-120000</v>
      </c>
      <c r="M78" s="9">
        <f t="shared" si="52"/>
        <v>-132000</v>
      </c>
      <c r="N78" s="9">
        <f t="shared" si="52"/>
        <v>-144000</v>
      </c>
    </row>
    <row r="79">
      <c r="A79" s="13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>
      <c r="A80" s="13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>
      <c r="A83" s="1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>
      <c r="A84" s="13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>
      <c r="A85" s="13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>
      <c r="A86" s="13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>
      <c r="A91" s="1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>
      <c r="A92" s="1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>
      <c r="A93" s="1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>
      <c r="A94" s="1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>
      <c r="A95" s="1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>
      <c r="A96" s="1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>
      <c r="A97" s="1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>
      <c r="A100" s="1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>
      <c r="A101" s="1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>
      <c r="A102" s="1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>
      <c r="A103" s="1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>
      <c r="A104" s="1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>
      <c r="A107" s="1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>
      <c r="A108" s="1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>
      <c r="A115" s="1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>
      <c r="A116" s="1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>
      <c r="A117" s="1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>
      <c r="A118" s="1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>
      <c r="A119" s="1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>
      <c r="A120" s="1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>
      <c r="A121" s="1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>
      <c r="A122" s="1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>
      <c r="A123" s="1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>
      <c r="A124" s="1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>
      <c r="A125" s="1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>
      <c r="A126" s="1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>
      <c r="A127" s="1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>
      <c r="A130" s="1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>
      <c r="A131" s="1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>
      <c r="A132" s="1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>
      <c r="A133" s="1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>
      <c r="A134" s="1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>
      <c r="A143" s="1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>
      <c r="A144" s="1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>
      <c r="A145" s="1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>
      <c r="A146" s="1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>
      <c r="A147" s="1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>
      <c r="A150" s="1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>
      <c r="A151" s="1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>
      <c r="A152" s="1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>
      <c r="A153" s="1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>
      <c r="A154" s="1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>
      <c r="A155" s="1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>
      <c r="A156" s="1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>
      <c r="A157" s="1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>
      <c r="A160" s="1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>
      <c r="A167" s="1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>
      <c r="A168" s="1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>
      <c r="A169" s="1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>
      <c r="A170" s="1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>
      <c r="A171" s="1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>
      <c r="A174" s="1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>
      <c r="A175" s="1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>
      <c r="A180" s="1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>
      <c r="A181" s="1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>
      <c r="A184" s="1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>
      <c r="A185" s="1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>
      <c r="A192" s="1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>
      <c r="A193" s="1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>
      <c r="A194" s="1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>
      <c r="A195" s="1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>
      <c r="A196" s="1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</row>
    <row r="197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>
      <c r="A201" s="1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>
      <c r="A202" s="1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</row>
    <row r="203">
      <c r="A203" s="1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>
      <c r="A204" s="1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>
      <c r="A205" s="1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>
      <c r="A206" s="1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>
      <c r="A207" s="1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>
      <c r="A210" s="1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>
      <c r="A211" s="1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>
      <c r="A212" s="1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>
      <c r="A213" s="1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</row>
    <row r="214">
      <c r="A214" s="1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>
      <c r="A215" s="1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</row>
    <row r="216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>
      <c r="A219" s="1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>
      <c r="A220" s="1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</row>
    <row r="221">
      <c r="A221" s="1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</row>
    <row r="222">
      <c r="A222" s="1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</row>
    <row r="223">
      <c r="A223" s="1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</row>
    <row r="224">
      <c r="A224" s="1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</row>
    <row r="225">
      <c r="A225" s="1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</row>
    <row r="226">
      <c r="A226" s="1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</row>
    <row r="227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>
      <c r="A231" s="1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</row>
    <row r="232">
      <c r="A232" s="1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</row>
    <row r="233">
      <c r="A233" s="1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</row>
    <row r="234">
      <c r="A234" s="1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>
      <c r="A235" s="1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>
      <c r="A236" s="1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</row>
    <row r="237">
      <c r="A237" s="1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</row>
    <row r="238">
      <c r="A238" s="1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</row>
    <row r="239">
      <c r="A239" s="1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</row>
    <row r="240">
      <c r="A240" s="1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</row>
    <row r="241">
      <c r="A241" s="1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>
      <c r="A242" s="1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>
      <c r="A243" s="1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</row>
    <row r="244">
      <c r="A244" s="1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</row>
    <row r="245">
      <c r="A245" s="1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</row>
    <row r="246">
      <c r="A246" s="1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</row>
    <row r="247">
      <c r="A247" s="1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</row>
    <row r="248">
      <c r="A248" s="1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</row>
    <row r="249">
      <c r="A249" s="1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</row>
    <row r="250">
      <c r="A250" s="1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</row>
    <row r="251">
      <c r="A251" s="1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</row>
    <row r="252">
      <c r="A252" s="1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</row>
    <row r="253">
      <c r="A253" s="1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</row>
    <row r="254">
      <c r="A254" s="1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</row>
    <row r="255">
      <c r="A255" s="1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</row>
    <row r="256">
      <c r="A256" s="1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</row>
    <row r="257">
      <c r="A257" s="1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</row>
    <row r="258">
      <c r="A258" s="1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</row>
    <row r="259">
      <c r="A259" s="1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</row>
    <row r="260">
      <c r="A260" s="1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</row>
    <row r="261">
      <c r="A261" s="1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</row>
    <row r="262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>
      <c r="A263" s="1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</row>
    <row r="264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>
      <c r="A265" s="1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</row>
    <row r="266">
      <c r="A266" s="1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</row>
    <row r="267">
      <c r="A267" s="1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</row>
    <row r="268">
      <c r="A268" s="1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</row>
    <row r="269">
      <c r="A269" s="1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</row>
    <row r="270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>
      <c r="A271" s="1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</row>
    <row r="272">
      <c r="A272" s="1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</row>
    <row r="273">
      <c r="A273" s="1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</row>
    <row r="274">
      <c r="A274" s="1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</row>
    <row r="275">
      <c r="A275" s="1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</row>
    <row r="276">
      <c r="A276" s="1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</row>
    <row r="277">
      <c r="A277" s="1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</row>
    <row r="278">
      <c r="A278" s="1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</row>
    <row r="279">
      <c r="A279" s="1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</row>
    <row r="280">
      <c r="A280" s="1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</row>
    <row r="281">
      <c r="A281" s="1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</row>
    <row r="282">
      <c r="A282" s="1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</row>
    <row r="283">
      <c r="A283" s="1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</row>
    <row r="284">
      <c r="A284" s="1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</row>
    <row r="285">
      <c r="A285" s="1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</row>
    <row r="286">
      <c r="A286" s="1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</row>
    <row r="287">
      <c r="A287" s="1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</row>
  </sheetData>
  <mergeCells count="51">
    <mergeCell ref="A8:B8"/>
    <mergeCell ref="A10:B10"/>
    <mergeCell ref="A14:B14"/>
    <mergeCell ref="A17:B17"/>
    <mergeCell ref="A18:B18"/>
    <mergeCell ref="C18:N18"/>
    <mergeCell ref="A19:B19"/>
    <mergeCell ref="A20:B20"/>
    <mergeCell ref="A21:B21"/>
    <mergeCell ref="C21:N21"/>
    <mergeCell ref="A22:B22"/>
    <mergeCell ref="A33:B33"/>
    <mergeCell ref="C33:N33"/>
    <mergeCell ref="A34:B34"/>
    <mergeCell ref="A35:B35"/>
    <mergeCell ref="A36:B36"/>
    <mergeCell ref="C36:N36"/>
    <mergeCell ref="A37:B37"/>
    <mergeCell ref="A46:B46"/>
    <mergeCell ref="C46:N46"/>
    <mergeCell ref="A47:B47"/>
    <mergeCell ref="C59:N59"/>
    <mergeCell ref="C60:N60"/>
    <mergeCell ref="C65:N65"/>
    <mergeCell ref="C71:N71"/>
    <mergeCell ref="C72:N72"/>
    <mergeCell ref="A48:B48"/>
    <mergeCell ref="A52:B52"/>
    <mergeCell ref="C52:N52"/>
    <mergeCell ref="A53:B53"/>
    <mergeCell ref="A54:B54"/>
    <mergeCell ref="A55:B55"/>
    <mergeCell ref="C56:N56"/>
    <mergeCell ref="A56:B56"/>
    <mergeCell ref="A57:B57"/>
    <mergeCell ref="A58:B58"/>
    <mergeCell ref="A59:B59"/>
    <mergeCell ref="A60:B60"/>
    <mergeCell ref="A62:B62"/>
    <mergeCell ref="A64:B64"/>
    <mergeCell ref="A74:B74"/>
    <mergeCell ref="A75:B75"/>
    <mergeCell ref="A76:B76"/>
    <mergeCell ref="A77:B77"/>
    <mergeCell ref="A65:B65"/>
    <mergeCell ref="A66:B66"/>
    <mergeCell ref="A68:B68"/>
    <mergeCell ref="A70:B70"/>
    <mergeCell ref="A71:B71"/>
    <mergeCell ref="A72:B72"/>
    <mergeCell ref="A73:B73"/>
  </mergeCells>
  <conditionalFormatting sqref="C53:N53">
    <cfRule type="cellIs" dxfId="0" priority="1" operator="greaterThan">
      <formula>0</formula>
    </cfRule>
  </conditionalFormatting>
  <conditionalFormatting sqref="C53:N53">
    <cfRule type="cellIs" dxfId="1" priority="2" operator="lessThanOrEqual">
      <formula>0</formula>
    </cfRule>
  </conditionalFormatting>
  <conditionalFormatting sqref="C55:N55">
    <cfRule type="cellIs" dxfId="0" priority="3" operator="greaterThan">
      <formula>0</formula>
    </cfRule>
  </conditionalFormatting>
  <conditionalFormatting sqref="C55:N55">
    <cfRule type="cellIs" dxfId="1" priority="4" operator="lessThanOrEqual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8.38"/>
    <col customWidth="1" min="2" max="14" width="11.13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</row>
    <row r="2" ht="29.25" customHeight="1">
      <c r="A2" s="23" t="s">
        <v>14</v>
      </c>
      <c r="B2" s="24">
        <f>sum(C2:N2)</f>
        <v>56328733.66</v>
      </c>
      <c r="C2" s="25">
        <f t="shared" ref="C2:N2" si="1">C8*$B$9</f>
        <v>3339000</v>
      </c>
      <c r="D2" s="25">
        <f t="shared" si="1"/>
        <v>3539340</v>
      </c>
      <c r="E2" s="25">
        <f t="shared" si="1"/>
        <v>3751700.4</v>
      </c>
      <c r="F2" s="25">
        <f t="shared" si="1"/>
        <v>3976802.424</v>
      </c>
      <c r="G2" s="25">
        <f t="shared" si="1"/>
        <v>4215410.569</v>
      </c>
      <c r="H2" s="25">
        <f t="shared" si="1"/>
        <v>4468335.204</v>
      </c>
      <c r="I2" s="25">
        <f t="shared" si="1"/>
        <v>4736435.316</v>
      </c>
      <c r="J2" s="25">
        <f t="shared" si="1"/>
        <v>5020621.435</v>
      </c>
      <c r="K2" s="25">
        <f t="shared" si="1"/>
        <v>5321858.721</v>
      </c>
      <c r="L2" s="25">
        <f t="shared" si="1"/>
        <v>5641170.244</v>
      </c>
      <c r="M2" s="25">
        <f t="shared" si="1"/>
        <v>5979640.459</v>
      </c>
      <c r="N2" s="25">
        <f t="shared" si="1"/>
        <v>6338418.886</v>
      </c>
    </row>
    <row r="3">
      <c r="A3" s="26" t="s">
        <v>17</v>
      </c>
      <c r="B3" s="27">
        <v>4000.0</v>
      </c>
      <c r="C3" s="28">
        <f t="shared" ref="C3:N3" si="2">B3+B3*$B$4</f>
        <v>4240</v>
      </c>
      <c r="D3" s="28">
        <f t="shared" si="2"/>
        <v>4494.4</v>
      </c>
      <c r="E3" s="28">
        <f t="shared" si="2"/>
        <v>4764.064</v>
      </c>
      <c r="F3" s="28">
        <f t="shared" si="2"/>
        <v>5049.90784</v>
      </c>
      <c r="G3" s="28">
        <f t="shared" si="2"/>
        <v>5352.90231</v>
      </c>
      <c r="H3" s="28">
        <f t="shared" si="2"/>
        <v>5674.076449</v>
      </c>
      <c r="I3" s="28">
        <f t="shared" si="2"/>
        <v>6014.521036</v>
      </c>
      <c r="J3" s="28">
        <f t="shared" si="2"/>
        <v>6375.392298</v>
      </c>
      <c r="K3" s="28">
        <f t="shared" si="2"/>
        <v>6757.915836</v>
      </c>
      <c r="L3" s="28">
        <f t="shared" si="2"/>
        <v>7163.390786</v>
      </c>
      <c r="M3" s="28">
        <f t="shared" si="2"/>
        <v>7593.194233</v>
      </c>
      <c r="N3" s="28">
        <f t="shared" si="2"/>
        <v>8048.785887</v>
      </c>
    </row>
    <row r="4">
      <c r="A4" s="22" t="s">
        <v>18</v>
      </c>
      <c r="B4" s="29">
        <v>0.06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>
      <c r="A5" s="22" t="s">
        <v>19</v>
      </c>
      <c r="B5" s="29">
        <v>0.35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>
      <c r="A6" s="26" t="s">
        <v>20</v>
      </c>
      <c r="C6" s="26">
        <f t="shared" ref="C6:N6" si="3">C3*$B$5</f>
        <v>1484</v>
      </c>
      <c r="D6" s="26">
        <f t="shared" si="3"/>
        <v>1573.04</v>
      </c>
      <c r="E6" s="26">
        <f t="shared" si="3"/>
        <v>1667.4224</v>
      </c>
      <c r="F6" s="26">
        <f t="shared" si="3"/>
        <v>1767.467744</v>
      </c>
      <c r="G6" s="26">
        <f t="shared" si="3"/>
        <v>1873.515809</v>
      </c>
      <c r="H6" s="26">
        <f t="shared" si="3"/>
        <v>1985.926757</v>
      </c>
      <c r="I6" s="26">
        <f t="shared" si="3"/>
        <v>2105.082363</v>
      </c>
      <c r="J6" s="26">
        <f t="shared" si="3"/>
        <v>2231.387304</v>
      </c>
      <c r="K6" s="26">
        <f t="shared" si="3"/>
        <v>2365.270543</v>
      </c>
      <c r="L6" s="26">
        <f t="shared" si="3"/>
        <v>2507.186775</v>
      </c>
      <c r="M6" s="26">
        <f t="shared" si="3"/>
        <v>2657.617982</v>
      </c>
      <c r="N6" s="26">
        <f t="shared" si="3"/>
        <v>2817.075061</v>
      </c>
    </row>
    <row r="7">
      <c r="A7" s="22" t="s">
        <v>21</v>
      </c>
      <c r="B7" s="29">
        <v>0.9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>
      <c r="A8" s="26" t="s">
        <v>22</v>
      </c>
      <c r="C8" s="26">
        <f t="shared" ref="C8:N8" si="4">C6*$B$7</f>
        <v>1335.6</v>
      </c>
      <c r="D8" s="26">
        <f t="shared" si="4"/>
        <v>1415.736</v>
      </c>
      <c r="E8" s="26">
        <f t="shared" si="4"/>
        <v>1500.68016</v>
      </c>
      <c r="F8" s="26">
        <f t="shared" si="4"/>
        <v>1590.72097</v>
      </c>
      <c r="G8" s="26">
        <f t="shared" si="4"/>
        <v>1686.164228</v>
      </c>
      <c r="H8" s="26">
        <f t="shared" si="4"/>
        <v>1787.334081</v>
      </c>
      <c r="I8" s="26">
        <f t="shared" si="4"/>
        <v>1894.574126</v>
      </c>
      <c r="J8" s="26">
        <f t="shared" si="4"/>
        <v>2008.248574</v>
      </c>
      <c r="K8" s="26">
        <f t="shared" si="4"/>
        <v>2128.743488</v>
      </c>
      <c r="L8" s="26">
        <f t="shared" si="4"/>
        <v>2256.468098</v>
      </c>
      <c r="M8" s="26">
        <f t="shared" si="4"/>
        <v>2391.856184</v>
      </c>
      <c r="N8" s="26">
        <f t="shared" si="4"/>
        <v>2535.367555</v>
      </c>
    </row>
    <row r="9">
      <c r="A9" s="22" t="s">
        <v>66</v>
      </c>
      <c r="B9" s="31">
        <v>2500.0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>
      <c r="A10" s="22" t="s">
        <v>25</v>
      </c>
      <c r="B10" s="29">
        <v>0.15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>
      <c r="A11" s="32" t="s">
        <v>26</v>
      </c>
      <c r="C11" s="33">
        <f t="shared" ref="C11:N11" si="5">-C2*(1-$B$10)</f>
        <v>-2838150</v>
      </c>
      <c r="D11" s="33">
        <f t="shared" si="5"/>
        <v>-3008439</v>
      </c>
      <c r="E11" s="33">
        <f t="shared" si="5"/>
        <v>-3188945.34</v>
      </c>
      <c r="F11" s="33">
        <f t="shared" si="5"/>
        <v>-3380282.06</v>
      </c>
      <c r="G11" s="33">
        <f t="shared" si="5"/>
        <v>-3583098.984</v>
      </c>
      <c r="H11" s="33">
        <f t="shared" si="5"/>
        <v>-3798084.923</v>
      </c>
      <c r="I11" s="33">
        <f t="shared" si="5"/>
        <v>-4025970.018</v>
      </c>
      <c r="J11" s="33">
        <f t="shared" si="5"/>
        <v>-4267528.22</v>
      </c>
      <c r="K11" s="33">
        <f t="shared" si="5"/>
        <v>-4523579.913</v>
      </c>
      <c r="L11" s="33">
        <f t="shared" si="5"/>
        <v>-4794994.707</v>
      </c>
      <c r="M11" s="33">
        <f t="shared" si="5"/>
        <v>-5082694.39</v>
      </c>
      <c r="N11" s="33">
        <f t="shared" si="5"/>
        <v>-5387656.053</v>
      </c>
    </row>
    <row r="12">
      <c r="A12" s="22" t="s">
        <v>27</v>
      </c>
      <c r="B12" s="29">
        <v>0.3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>
      <c r="A13" s="22" t="s">
        <v>28</v>
      </c>
      <c r="B13" s="34">
        <v>12.0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>
      <c r="A14" s="35" t="s">
        <v>29</v>
      </c>
      <c r="C14" s="36">
        <f t="shared" ref="C14:N14" si="6">-C3*$B$13</f>
        <v>-50880</v>
      </c>
      <c r="D14" s="36">
        <f t="shared" si="6"/>
        <v>-53932.8</v>
      </c>
      <c r="E14" s="36">
        <f t="shared" si="6"/>
        <v>-57168.768</v>
      </c>
      <c r="F14" s="36">
        <f t="shared" si="6"/>
        <v>-60598.89408</v>
      </c>
      <c r="G14" s="36">
        <f t="shared" si="6"/>
        <v>-64234.82772</v>
      </c>
      <c r="H14" s="36">
        <f t="shared" si="6"/>
        <v>-68088.91739</v>
      </c>
      <c r="I14" s="36">
        <f t="shared" si="6"/>
        <v>-72174.25243</v>
      </c>
      <c r="J14" s="36">
        <f t="shared" si="6"/>
        <v>-76504.70758</v>
      </c>
      <c r="K14" s="36">
        <f t="shared" si="6"/>
        <v>-81094.99003</v>
      </c>
      <c r="L14" s="36">
        <f t="shared" si="6"/>
        <v>-85960.68943</v>
      </c>
      <c r="M14" s="36">
        <f t="shared" si="6"/>
        <v>-91118.3308</v>
      </c>
      <c r="N14" s="36">
        <f t="shared" si="6"/>
        <v>-96585.43065</v>
      </c>
    </row>
    <row r="15">
      <c r="A15" s="37"/>
      <c r="C15" s="37"/>
    </row>
    <row r="16" ht="25.5" customHeight="1">
      <c r="A16" s="38" t="s">
        <v>30</v>
      </c>
      <c r="C16" s="39">
        <f t="shared" ref="C16:N16" si="7">C2+C11</f>
        <v>500850</v>
      </c>
      <c r="D16" s="39">
        <f t="shared" si="7"/>
        <v>530901</v>
      </c>
      <c r="E16" s="39">
        <f t="shared" si="7"/>
        <v>562755.06</v>
      </c>
      <c r="F16" s="39">
        <f t="shared" si="7"/>
        <v>596520.3636</v>
      </c>
      <c r="G16" s="39">
        <f t="shared" si="7"/>
        <v>632311.5854</v>
      </c>
      <c r="H16" s="39">
        <f t="shared" si="7"/>
        <v>670250.2805</v>
      </c>
      <c r="I16" s="39">
        <f t="shared" si="7"/>
        <v>710465.2974</v>
      </c>
      <c r="J16" s="39">
        <f t="shared" si="7"/>
        <v>753093.2152</v>
      </c>
      <c r="K16" s="39">
        <f t="shared" si="7"/>
        <v>798278.8081</v>
      </c>
      <c r="L16" s="39">
        <f t="shared" si="7"/>
        <v>846175.5366</v>
      </c>
      <c r="M16" s="39">
        <f t="shared" si="7"/>
        <v>896946.0688</v>
      </c>
      <c r="N16" s="39">
        <f t="shared" si="7"/>
        <v>950762.8329</v>
      </c>
    </row>
    <row r="17">
      <c r="A17" s="40" t="s">
        <v>31</v>
      </c>
      <c r="C17" s="41">
        <f t="shared" ref="C17:N17" si="8">C16/C2</f>
        <v>0.15</v>
      </c>
      <c r="D17" s="41">
        <f t="shared" si="8"/>
        <v>0.15</v>
      </c>
      <c r="E17" s="41">
        <f t="shared" si="8"/>
        <v>0.15</v>
      </c>
      <c r="F17" s="41">
        <f t="shared" si="8"/>
        <v>0.15</v>
      </c>
      <c r="G17" s="41">
        <f t="shared" si="8"/>
        <v>0.15</v>
      </c>
      <c r="H17" s="41">
        <f t="shared" si="8"/>
        <v>0.15</v>
      </c>
      <c r="I17" s="41">
        <f t="shared" si="8"/>
        <v>0.15</v>
      </c>
      <c r="J17" s="41">
        <f t="shared" si="8"/>
        <v>0.15</v>
      </c>
      <c r="K17" s="41">
        <f t="shared" si="8"/>
        <v>0.15</v>
      </c>
      <c r="L17" s="41">
        <f t="shared" si="8"/>
        <v>0.15</v>
      </c>
      <c r="M17" s="41">
        <f t="shared" si="8"/>
        <v>0.15</v>
      </c>
      <c r="N17" s="41">
        <f t="shared" si="8"/>
        <v>0.15</v>
      </c>
    </row>
    <row r="18">
      <c r="A18" s="37"/>
      <c r="C18" s="37"/>
    </row>
    <row r="19" ht="25.5" customHeight="1">
      <c r="A19" s="23" t="s">
        <v>32</v>
      </c>
      <c r="C19" s="42">
        <f t="shared" ref="C19:N19" si="9">sum(C20:C30)</f>
        <v>-345289.1</v>
      </c>
      <c r="D19" s="42">
        <f t="shared" si="9"/>
        <v>-346671.446</v>
      </c>
      <c r="E19" s="42">
        <f t="shared" si="9"/>
        <v>-348136.7328</v>
      </c>
      <c r="F19" s="42">
        <f t="shared" si="9"/>
        <v>-349689.9367</v>
      </c>
      <c r="G19" s="42">
        <f t="shared" si="9"/>
        <v>-351336.3329</v>
      </c>
      <c r="H19" s="42">
        <f t="shared" si="9"/>
        <v>-353081.5129</v>
      </c>
      <c r="I19" s="42">
        <f t="shared" si="9"/>
        <v>-354931.4037</v>
      </c>
      <c r="J19" s="42">
        <f t="shared" si="9"/>
        <v>-356892.2879</v>
      </c>
      <c r="K19" s="42">
        <f t="shared" si="9"/>
        <v>-358970.8252</v>
      </c>
      <c r="L19" s="42">
        <f t="shared" si="9"/>
        <v>-361174.0747</v>
      </c>
      <c r="M19" s="42">
        <f t="shared" si="9"/>
        <v>-363509.5192</v>
      </c>
      <c r="N19" s="42">
        <f t="shared" si="9"/>
        <v>-365985.0903</v>
      </c>
    </row>
    <row r="20">
      <c r="A20" s="22" t="s">
        <v>67</v>
      </c>
      <c r="B20" s="43">
        <v>0.023</v>
      </c>
      <c r="C20" s="36">
        <f t="shared" ref="C20:N20" si="10">-C2*$B$12*$B$20</f>
        <v>-23039.1</v>
      </c>
      <c r="D20" s="36">
        <f t="shared" si="10"/>
        <v>-24421.446</v>
      </c>
      <c r="E20" s="36">
        <f t="shared" si="10"/>
        <v>-25886.73276</v>
      </c>
      <c r="F20" s="36">
        <f t="shared" si="10"/>
        <v>-27439.93673</v>
      </c>
      <c r="G20" s="36">
        <f t="shared" si="10"/>
        <v>-29086.33293</v>
      </c>
      <c r="H20" s="36">
        <f t="shared" si="10"/>
        <v>-30831.5129</v>
      </c>
      <c r="I20" s="36">
        <f t="shared" si="10"/>
        <v>-32681.40368</v>
      </c>
      <c r="J20" s="36">
        <f t="shared" si="10"/>
        <v>-34642.2879</v>
      </c>
      <c r="K20" s="36">
        <f t="shared" si="10"/>
        <v>-36720.82517</v>
      </c>
      <c r="L20" s="36">
        <f t="shared" si="10"/>
        <v>-38924.07468</v>
      </c>
      <c r="M20" s="36">
        <f t="shared" si="10"/>
        <v>-41259.51917</v>
      </c>
      <c r="N20" s="36">
        <f t="shared" si="10"/>
        <v>-43735.09032</v>
      </c>
    </row>
    <row r="21">
      <c r="A21" s="22" t="s">
        <v>68</v>
      </c>
      <c r="B21" s="34">
        <v>-47250.0</v>
      </c>
      <c r="C21" s="36">
        <f t="shared" ref="C21:N21" si="11">$B$21</f>
        <v>-47250</v>
      </c>
      <c r="D21" s="36">
        <f t="shared" si="11"/>
        <v>-47250</v>
      </c>
      <c r="E21" s="36">
        <f t="shared" si="11"/>
        <v>-47250</v>
      </c>
      <c r="F21" s="36">
        <f t="shared" si="11"/>
        <v>-47250</v>
      </c>
      <c r="G21" s="36">
        <f t="shared" si="11"/>
        <v>-47250</v>
      </c>
      <c r="H21" s="36">
        <f t="shared" si="11"/>
        <v>-47250</v>
      </c>
      <c r="I21" s="36">
        <f t="shared" si="11"/>
        <v>-47250</v>
      </c>
      <c r="J21" s="36">
        <f t="shared" si="11"/>
        <v>-47250</v>
      </c>
      <c r="K21" s="36">
        <f t="shared" si="11"/>
        <v>-47250</v>
      </c>
      <c r="L21" s="36">
        <f t="shared" si="11"/>
        <v>-47250</v>
      </c>
      <c r="M21" s="36">
        <f t="shared" si="11"/>
        <v>-47250</v>
      </c>
      <c r="N21" s="36">
        <f t="shared" si="11"/>
        <v>-47250</v>
      </c>
    </row>
    <row r="22">
      <c r="A22" s="22" t="s">
        <v>69</v>
      </c>
      <c r="B22" s="34">
        <v>-100000.0</v>
      </c>
      <c r="C22" s="36">
        <f t="shared" ref="C22:N22" si="12">$B$22</f>
        <v>-100000</v>
      </c>
      <c r="D22" s="36">
        <f t="shared" si="12"/>
        <v>-100000</v>
      </c>
      <c r="E22" s="36">
        <f t="shared" si="12"/>
        <v>-100000</v>
      </c>
      <c r="F22" s="36">
        <f t="shared" si="12"/>
        <v>-100000</v>
      </c>
      <c r="G22" s="36">
        <f t="shared" si="12"/>
        <v>-100000</v>
      </c>
      <c r="H22" s="36">
        <f t="shared" si="12"/>
        <v>-100000</v>
      </c>
      <c r="I22" s="36">
        <f t="shared" si="12"/>
        <v>-100000</v>
      </c>
      <c r="J22" s="36">
        <f t="shared" si="12"/>
        <v>-100000</v>
      </c>
      <c r="K22" s="36">
        <f t="shared" si="12"/>
        <v>-100000</v>
      </c>
      <c r="L22" s="36">
        <f t="shared" si="12"/>
        <v>-100000</v>
      </c>
      <c r="M22" s="36">
        <f t="shared" si="12"/>
        <v>-100000</v>
      </c>
      <c r="N22" s="36">
        <f t="shared" si="12"/>
        <v>-100000</v>
      </c>
    </row>
    <row r="23">
      <c r="A23" s="22" t="s">
        <v>70</v>
      </c>
      <c r="B23" s="34">
        <v>-40000.0</v>
      </c>
      <c r="C23" s="36">
        <f t="shared" ref="C23:N23" si="13">$B$23</f>
        <v>-40000</v>
      </c>
      <c r="D23" s="36">
        <f t="shared" si="13"/>
        <v>-40000</v>
      </c>
      <c r="E23" s="36">
        <f t="shared" si="13"/>
        <v>-40000</v>
      </c>
      <c r="F23" s="36">
        <f t="shared" si="13"/>
        <v>-40000</v>
      </c>
      <c r="G23" s="36">
        <f t="shared" si="13"/>
        <v>-40000</v>
      </c>
      <c r="H23" s="36">
        <f t="shared" si="13"/>
        <v>-40000</v>
      </c>
      <c r="I23" s="36">
        <f t="shared" si="13"/>
        <v>-40000</v>
      </c>
      <c r="J23" s="36">
        <f t="shared" si="13"/>
        <v>-40000</v>
      </c>
      <c r="K23" s="36">
        <f t="shared" si="13"/>
        <v>-40000</v>
      </c>
      <c r="L23" s="36">
        <f t="shared" si="13"/>
        <v>-40000</v>
      </c>
      <c r="M23" s="36">
        <f t="shared" si="13"/>
        <v>-40000</v>
      </c>
      <c r="N23" s="36">
        <f t="shared" si="13"/>
        <v>-40000</v>
      </c>
    </row>
    <row r="24">
      <c r="A24" s="22" t="s">
        <v>71</v>
      </c>
      <c r="B24" s="34">
        <v>-4000.0</v>
      </c>
      <c r="C24" s="36">
        <f t="shared" ref="C24:N24" si="14">$B$24</f>
        <v>-4000</v>
      </c>
      <c r="D24" s="36">
        <f t="shared" si="14"/>
        <v>-4000</v>
      </c>
      <c r="E24" s="36">
        <f t="shared" si="14"/>
        <v>-4000</v>
      </c>
      <c r="F24" s="36">
        <f t="shared" si="14"/>
        <v>-4000</v>
      </c>
      <c r="G24" s="36">
        <f t="shared" si="14"/>
        <v>-4000</v>
      </c>
      <c r="H24" s="36">
        <f t="shared" si="14"/>
        <v>-4000</v>
      </c>
      <c r="I24" s="36">
        <f t="shared" si="14"/>
        <v>-4000</v>
      </c>
      <c r="J24" s="36">
        <f t="shared" si="14"/>
        <v>-4000</v>
      </c>
      <c r="K24" s="36">
        <f t="shared" si="14"/>
        <v>-4000</v>
      </c>
      <c r="L24" s="36">
        <f t="shared" si="14"/>
        <v>-4000</v>
      </c>
      <c r="M24" s="36">
        <f t="shared" si="14"/>
        <v>-4000</v>
      </c>
      <c r="N24" s="36">
        <f t="shared" si="14"/>
        <v>-4000</v>
      </c>
    </row>
    <row r="25">
      <c r="A25" s="22" t="s">
        <v>72</v>
      </c>
      <c r="B25" s="34">
        <v>-100000.0</v>
      </c>
      <c r="C25" s="36">
        <f t="shared" ref="C25:N25" si="15">$B$25</f>
        <v>-100000</v>
      </c>
      <c r="D25" s="36">
        <f t="shared" si="15"/>
        <v>-100000</v>
      </c>
      <c r="E25" s="36">
        <f t="shared" si="15"/>
        <v>-100000</v>
      </c>
      <c r="F25" s="36">
        <f t="shared" si="15"/>
        <v>-100000</v>
      </c>
      <c r="G25" s="36">
        <f t="shared" si="15"/>
        <v>-100000</v>
      </c>
      <c r="H25" s="36">
        <f t="shared" si="15"/>
        <v>-100000</v>
      </c>
      <c r="I25" s="36">
        <f t="shared" si="15"/>
        <v>-100000</v>
      </c>
      <c r="J25" s="36">
        <f t="shared" si="15"/>
        <v>-100000</v>
      </c>
      <c r="K25" s="36">
        <f t="shared" si="15"/>
        <v>-100000</v>
      </c>
      <c r="L25" s="36">
        <f t="shared" si="15"/>
        <v>-100000</v>
      </c>
      <c r="M25" s="36">
        <f t="shared" si="15"/>
        <v>-100000</v>
      </c>
      <c r="N25" s="36">
        <f t="shared" si="15"/>
        <v>-100000</v>
      </c>
    </row>
    <row r="26">
      <c r="A26" s="22" t="s">
        <v>73</v>
      </c>
      <c r="B26" s="34">
        <v>-10000.0</v>
      </c>
      <c r="C26" s="36">
        <f t="shared" ref="C26:N26" si="16">$B$26</f>
        <v>-10000</v>
      </c>
      <c r="D26" s="36">
        <f t="shared" si="16"/>
        <v>-10000</v>
      </c>
      <c r="E26" s="36">
        <f t="shared" si="16"/>
        <v>-10000</v>
      </c>
      <c r="F26" s="36">
        <f t="shared" si="16"/>
        <v>-10000</v>
      </c>
      <c r="G26" s="36">
        <f t="shared" si="16"/>
        <v>-10000</v>
      </c>
      <c r="H26" s="36">
        <f t="shared" si="16"/>
        <v>-10000</v>
      </c>
      <c r="I26" s="36">
        <f t="shared" si="16"/>
        <v>-10000</v>
      </c>
      <c r="J26" s="36">
        <f t="shared" si="16"/>
        <v>-10000</v>
      </c>
      <c r="K26" s="36">
        <f t="shared" si="16"/>
        <v>-10000</v>
      </c>
      <c r="L26" s="36">
        <f t="shared" si="16"/>
        <v>-10000</v>
      </c>
      <c r="M26" s="36">
        <f t="shared" si="16"/>
        <v>-10000</v>
      </c>
      <c r="N26" s="36">
        <f t="shared" si="16"/>
        <v>-10000</v>
      </c>
    </row>
    <row r="27">
      <c r="A27" s="22" t="s">
        <v>74</v>
      </c>
      <c r="B27" s="34">
        <v>-15000.0</v>
      </c>
      <c r="C27" s="36">
        <f t="shared" ref="C27:N27" si="17">$B$27</f>
        <v>-15000</v>
      </c>
      <c r="D27" s="36">
        <f t="shared" si="17"/>
        <v>-15000</v>
      </c>
      <c r="E27" s="36">
        <f t="shared" si="17"/>
        <v>-15000</v>
      </c>
      <c r="F27" s="36">
        <f t="shared" si="17"/>
        <v>-15000</v>
      </c>
      <c r="G27" s="36">
        <f t="shared" si="17"/>
        <v>-15000</v>
      </c>
      <c r="H27" s="36">
        <f t="shared" si="17"/>
        <v>-15000</v>
      </c>
      <c r="I27" s="36">
        <f t="shared" si="17"/>
        <v>-15000</v>
      </c>
      <c r="J27" s="36">
        <f t="shared" si="17"/>
        <v>-15000</v>
      </c>
      <c r="K27" s="36">
        <f t="shared" si="17"/>
        <v>-15000</v>
      </c>
      <c r="L27" s="36">
        <f t="shared" si="17"/>
        <v>-15000</v>
      </c>
      <c r="M27" s="36">
        <f t="shared" si="17"/>
        <v>-15000</v>
      </c>
      <c r="N27" s="36">
        <f t="shared" si="17"/>
        <v>-15000</v>
      </c>
    </row>
    <row r="28">
      <c r="A28" s="22" t="s">
        <v>75</v>
      </c>
      <c r="B28" s="34">
        <v>-3000.0</v>
      </c>
      <c r="C28" s="36">
        <f t="shared" ref="C28:N28" si="18">$B$28</f>
        <v>-3000</v>
      </c>
      <c r="D28" s="36">
        <f t="shared" si="18"/>
        <v>-3000</v>
      </c>
      <c r="E28" s="36">
        <f t="shared" si="18"/>
        <v>-3000</v>
      </c>
      <c r="F28" s="36">
        <f t="shared" si="18"/>
        <v>-3000</v>
      </c>
      <c r="G28" s="36">
        <f t="shared" si="18"/>
        <v>-3000</v>
      </c>
      <c r="H28" s="36">
        <f t="shared" si="18"/>
        <v>-3000</v>
      </c>
      <c r="I28" s="36">
        <f t="shared" si="18"/>
        <v>-3000</v>
      </c>
      <c r="J28" s="36">
        <f t="shared" si="18"/>
        <v>-3000</v>
      </c>
      <c r="K28" s="36">
        <f t="shared" si="18"/>
        <v>-3000</v>
      </c>
      <c r="L28" s="36">
        <f t="shared" si="18"/>
        <v>-3000</v>
      </c>
      <c r="M28" s="36">
        <f t="shared" si="18"/>
        <v>-3000</v>
      </c>
      <c r="N28" s="36">
        <f t="shared" si="18"/>
        <v>-3000</v>
      </c>
    </row>
    <row r="29">
      <c r="A29" s="22" t="s">
        <v>76</v>
      </c>
      <c r="B29" s="34">
        <v>-3000.0</v>
      </c>
      <c r="C29" s="36">
        <f t="shared" ref="C29:N29" si="19">$B$29</f>
        <v>-3000</v>
      </c>
      <c r="D29" s="36">
        <f t="shared" si="19"/>
        <v>-3000</v>
      </c>
      <c r="E29" s="36">
        <f t="shared" si="19"/>
        <v>-3000</v>
      </c>
      <c r="F29" s="36">
        <f t="shared" si="19"/>
        <v>-3000</v>
      </c>
      <c r="G29" s="36">
        <f t="shared" si="19"/>
        <v>-3000</v>
      </c>
      <c r="H29" s="36">
        <f t="shared" si="19"/>
        <v>-3000</v>
      </c>
      <c r="I29" s="36">
        <f t="shared" si="19"/>
        <v>-3000</v>
      </c>
      <c r="J29" s="36">
        <f t="shared" si="19"/>
        <v>-3000</v>
      </c>
      <c r="K29" s="36">
        <f t="shared" si="19"/>
        <v>-3000</v>
      </c>
      <c r="L29" s="36">
        <f t="shared" si="19"/>
        <v>-3000</v>
      </c>
      <c r="M29" s="36">
        <f t="shared" si="19"/>
        <v>-3000</v>
      </c>
      <c r="N29" s="36">
        <f t="shared" si="19"/>
        <v>-3000</v>
      </c>
    </row>
    <row r="30">
      <c r="A30" s="37"/>
      <c r="B30" s="30"/>
      <c r="C30" s="30" t="str">
        <f t="shared" ref="C30:N30" si="20">$B$30</f>
        <v/>
      </c>
      <c r="D30" s="30" t="str">
        <f t="shared" si="20"/>
        <v/>
      </c>
      <c r="E30" s="30" t="str">
        <f t="shared" si="20"/>
        <v/>
      </c>
      <c r="F30" s="30" t="str">
        <f t="shared" si="20"/>
        <v/>
      </c>
      <c r="G30" s="30" t="str">
        <f t="shared" si="20"/>
        <v/>
      </c>
      <c r="H30" s="30" t="str">
        <f t="shared" si="20"/>
        <v/>
      </c>
      <c r="I30" s="30" t="str">
        <f t="shared" si="20"/>
        <v/>
      </c>
      <c r="J30" s="30" t="str">
        <f t="shared" si="20"/>
        <v/>
      </c>
      <c r="K30" s="30" t="str">
        <f t="shared" si="20"/>
        <v/>
      </c>
      <c r="L30" s="30" t="str">
        <f t="shared" si="20"/>
        <v/>
      </c>
      <c r="M30" s="30" t="str">
        <f t="shared" si="20"/>
        <v/>
      </c>
      <c r="N30" s="30" t="str">
        <f t="shared" si="20"/>
        <v/>
      </c>
    </row>
    <row r="31">
      <c r="A31" s="37"/>
      <c r="C31" s="37"/>
    </row>
    <row r="32" ht="25.5" customHeight="1">
      <c r="A32" s="38" t="s">
        <v>36</v>
      </c>
      <c r="C32" s="39">
        <f t="shared" ref="C32:N32" si="21">C16+C19</f>
        <v>155560.9</v>
      </c>
      <c r="D32" s="39">
        <f t="shared" si="21"/>
        <v>184229.554</v>
      </c>
      <c r="E32" s="39">
        <f t="shared" si="21"/>
        <v>214618.3272</v>
      </c>
      <c r="F32" s="39">
        <f t="shared" si="21"/>
        <v>246830.4269</v>
      </c>
      <c r="G32" s="39">
        <f t="shared" si="21"/>
        <v>280975.2525</v>
      </c>
      <c r="H32" s="39">
        <f t="shared" si="21"/>
        <v>317168.7676</v>
      </c>
      <c r="I32" s="39">
        <f t="shared" si="21"/>
        <v>355533.8937</v>
      </c>
      <c r="J32" s="39">
        <f t="shared" si="21"/>
        <v>396200.9273</v>
      </c>
      <c r="K32" s="39">
        <f t="shared" si="21"/>
        <v>439307.983</v>
      </c>
      <c r="L32" s="39">
        <f t="shared" si="21"/>
        <v>485001.4619</v>
      </c>
      <c r="M32" s="39">
        <f t="shared" si="21"/>
        <v>533436.5496</v>
      </c>
      <c r="N32" s="39">
        <f t="shared" si="21"/>
        <v>584777.7426</v>
      </c>
    </row>
    <row r="33">
      <c r="A33" s="40" t="s">
        <v>37</v>
      </c>
      <c r="C33" s="44">
        <f t="shared" ref="C33:N33" si="22">C32/C2</f>
        <v>0.04658906858</v>
      </c>
      <c r="D33" s="44">
        <f t="shared" si="22"/>
        <v>0.05205195149</v>
      </c>
      <c r="E33" s="44">
        <f t="shared" si="22"/>
        <v>0.05720561462</v>
      </c>
      <c r="F33" s="44">
        <f t="shared" si="22"/>
        <v>0.06206756096</v>
      </c>
      <c r="G33" s="44">
        <f t="shared" si="22"/>
        <v>0.06665430279</v>
      </c>
      <c r="H33" s="44">
        <f t="shared" si="22"/>
        <v>0.07098141773</v>
      </c>
      <c r="I33" s="44">
        <f t="shared" si="22"/>
        <v>0.07506360163</v>
      </c>
      <c r="J33" s="44">
        <f t="shared" si="22"/>
        <v>0.07891471852</v>
      </c>
      <c r="K33" s="44">
        <f t="shared" si="22"/>
        <v>0.08254784766</v>
      </c>
      <c r="L33" s="44">
        <f t="shared" si="22"/>
        <v>0.08597532798</v>
      </c>
      <c r="M33" s="44">
        <f t="shared" si="22"/>
        <v>0.08920879998</v>
      </c>
      <c r="N33" s="44">
        <f t="shared" si="22"/>
        <v>0.09225924527</v>
      </c>
    </row>
    <row r="34">
      <c r="A34" s="37"/>
      <c r="C34" s="37"/>
    </row>
    <row r="35" ht="24.75" customHeight="1">
      <c r="A35" s="23" t="s">
        <v>38</v>
      </c>
      <c r="C35" s="42">
        <f t="shared" ref="C35:N35" si="23">sum(C36:C43)</f>
        <v>-118980</v>
      </c>
      <c r="D35" s="42">
        <f t="shared" si="23"/>
        <v>-122032.8</v>
      </c>
      <c r="E35" s="42">
        <f t="shared" si="23"/>
        <v>-125268.768</v>
      </c>
      <c r="F35" s="42">
        <f t="shared" si="23"/>
        <v>-128698.8941</v>
      </c>
      <c r="G35" s="42">
        <f t="shared" si="23"/>
        <v>-132334.8277</v>
      </c>
      <c r="H35" s="42">
        <f t="shared" si="23"/>
        <v>-136188.9174</v>
      </c>
      <c r="I35" s="42">
        <f t="shared" si="23"/>
        <v>-140274.2524</v>
      </c>
      <c r="J35" s="42">
        <f t="shared" si="23"/>
        <v>-144604.7076</v>
      </c>
      <c r="K35" s="42">
        <f t="shared" si="23"/>
        <v>-149194.99</v>
      </c>
      <c r="L35" s="42">
        <f t="shared" si="23"/>
        <v>-154060.6894</v>
      </c>
      <c r="M35" s="42">
        <f t="shared" si="23"/>
        <v>-159218.3308</v>
      </c>
      <c r="N35" s="42">
        <f t="shared" si="23"/>
        <v>-164685.4306</v>
      </c>
    </row>
    <row r="36">
      <c r="A36" s="22" t="s">
        <v>77</v>
      </c>
      <c r="B36" s="34">
        <v>-3100.0</v>
      </c>
      <c r="C36" s="30">
        <f t="shared" ref="C36:N36" si="24">$B$36</f>
        <v>-3100</v>
      </c>
      <c r="D36" s="30">
        <f t="shared" si="24"/>
        <v>-3100</v>
      </c>
      <c r="E36" s="30">
        <f t="shared" si="24"/>
        <v>-3100</v>
      </c>
      <c r="F36" s="30">
        <f t="shared" si="24"/>
        <v>-3100</v>
      </c>
      <c r="G36" s="30">
        <f t="shared" si="24"/>
        <v>-3100</v>
      </c>
      <c r="H36" s="30">
        <f t="shared" si="24"/>
        <v>-3100</v>
      </c>
      <c r="I36" s="30">
        <f t="shared" si="24"/>
        <v>-3100</v>
      </c>
      <c r="J36" s="30">
        <f t="shared" si="24"/>
        <v>-3100</v>
      </c>
      <c r="K36" s="30">
        <f t="shared" si="24"/>
        <v>-3100</v>
      </c>
      <c r="L36" s="30">
        <f t="shared" si="24"/>
        <v>-3100</v>
      </c>
      <c r="M36" s="30">
        <f t="shared" si="24"/>
        <v>-3100</v>
      </c>
      <c r="N36" s="30">
        <f t="shared" si="24"/>
        <v>-3100</v>
      </c>
    </row>
    <row r="37">
      <c r="A37" s="22" t="s">
        <v>78</v>
      </c>
      <c r="B37" s="34">
        <v>-50000.0</v>
      </c>
      <c r="C37" s="30">
        <f t="shared" ref="C37:N37" si="25">$B$37</f>
        <v>-50000</v>
      </c>
      <c r="D37" s="30">
        <f t="shared" si="25"/>
        <v>-50000</v>
      </c>
      <c r="E37" s="30">
        <f t="shared" si="25"/>
        <v>-50000</v>
      </c>
      <c r="F37" s="30">
        <f t="shared" si="25"/>
        <v>-50000</v>
      </c>
      <c r="G37" s="30">
        <f t="shared" si="25"/>
        <v>-50000</v>
      </c>
      <c r="H37" s="30">
        <f t="shared" si="25"/>
        <v>-50000</v>
      </c>
      <c r="I37" s="30">
        <f t="shared" si="25"/>
        <v>-50000</v>
      </c>
      <c r="J37" s="30">
        <f t="shared" si="25"/>
        <v>-50000</v>
      </c>
      <c r="K37" s="30">
        <f t="shared" si="25"/>
        <v>-50000</v>
      </c>
      <c r="L37" s="30">
        <f t="shared" si="25"/>
        <v>-50000</v>
      </c>
      <c r="M37" s="30">
        <f t="shared" si="25"/>
        <v>-50000</v>
      </c>
      <c r="N37" s="30">
        <f t="shared" si="25"/>
        <v>-50000</v>
      </c>
    </row>
    <row r="38">
      <c r="A38" s="22" t="s">
        <v>79</v>
      </c>
      <c r="B38" s="34">
        <v>-5000.0</v>
      </c>
      <c r="C38" s="30">
        <f t="shared" ref="C38:N38" si="26">$B$38</f>
        <v>-5000</v>
      </c>
      <c r="D38" s="30">
        <f t="shared" si="26"/>
        <v>-5000</v>
      </c>
      <c r="E38" s="30">
        <f t="shared" si="26"/>
        <v>-5000</v>
      </c>
      <c r="F38" s="30">
        <f t="shared" si="26"/>
        <v>-5000</v>
      </c>
      <c r="G38" s="30">
        <f t="shared" si="26"/>
        <v>-5000</v>
      </c>
      <c r="H38" s="30">
        <f t="shared" si="26"/>
        <v>-5000</v>
      </c>
      <c r="I38" s="30">
        <f t="shared" si="26"/>
        <v>-5000</v>
      </c>
      <c r="J38" s="30">
        <f t="shared" si="26"/>
        <v>-5000</v>
      </c>
      <c r="K38" s="30">
        <f t="shared" si="26"/>
        <v>-5000</v>
      </c>
      <c r="L38" s="30">
        <f t="shared" si="26"/>
        <v>-5000</v>
      </c>
      <c r="M38" s="30">
        <f t="shared" si="26"/>
        <v>-5000</v>
      </c>
      <c r="N38" s="30">
        <f t="shared" si="26"/>
        <v>-5000</v>
      </c>
    </row>
    <row r="39">
      <c r="A39" s="22" t="s">
        <v>80</v>
      </c>
      <c r="B39" s="34">
        <v>-7000.0</v>
      </c>
      <c r="C39" s="30">
        <f t="shared" ref="C39:N39" si="27">$B$39</f>
        <v>-7000</v>
      </c>
      <c r="D39" s="30">
        <f t="shared" si="27"/>
        <v>-7000</v>
      </c>
      <c r="E39" s="30">
        <f t="shared" si="27"/>
        <v>-7000</v>
      </c>
      <c r="F39" s="30">
        <f t="shared" si="27"/>
        <v>-7000</v>
      </c>
      <c r="G39" s="30">
        <f t="shared" si="27"/>
        <v>-7000</v>
      </c>
      <c r="H39" s="30">
        <f t="shared" si="27"/>
        <v>-7000</v>
      </c>
      <c r="I39" s="30">
        <f t="shared" si="27"/>
        <v>-7000</v>
      </c>
      <c r="J39" s="30">
        <f t="shared" si="27"/>
        <v>-7000</v>
      </c>
      <c r="K39" s="30">
        <f t="shared" si="27"/>
        <v>-7000</v>
      </c>
      <c r="L39" s="30">
        <f t="shared" si="27"/>
        <v>-7000</v>
      </c>
      <c r="M39" s="30">
        <f t="shared" si="27"/>
        <v>-7000</v>
      </c>
      <c r="N39" s="30">
        <f t="shared" si="27"/>
        <v>-7000</v>
      </c>
    </row>
    <row r="40">
      <c r="A40" s="22" t="s">
        <v>81</v>
      </c>
      <c r="B40" s="34">
        <v>-2000.0</v>
      </c>
      <c r="C40" s="30">
        <f t="shared" ref="C40:N40" si="28">$B$40</f>
        <v>-2000</v>
      </c>
      <c r="D40" s="30">
        <f t="shared" si="28"/>
        <v>-2000</v>
      </c>
      <c r="E40" s="30">
        <f t="shared" si="28"/>
        <v>-2000</v>
      </c>
      <c r="F40" s="30">
        <f t="shared" si="28"/>
        <v>-2000</v>
      </c>
      <c r="G40" s="30">
        <f t="shared" si="28"/>
        <v>-2000</v>
      </c>
      <c r="H40" s="30">
        <f t="shared" si="28"/>
        <v>-2000</v>
      </c>
      <c r="I40" s="30">
        <f t="shared" si="28"/>
        <v>-2000</v>
      </c>
      <c r="J40" s="30">
        <f t="shared" si="28"/>
        <v>-2000</v>
      </c>
      <c r="K40" s="30">
        <f t="shared" si="28"/>
        <v>-2000</v>
      </c>
      <c r="L40" s="30">
        <f t="shared" si="28"/>
        <v>-2000</v>
      </c>
      <c r="M40" s="30">
        <f t="shared" si="28"/>
        <v>-2000</v>
      </c>
      <c r="N40" s="30">
        <f t="shared" si="28"/>
        <v>-2000</v>
      </c>
    </row>
    <row r="41">
      <c r="A41" s="22" t="s">
        <v>82</v>
      </c>
      <c r="C41" s="30">
        <f t="shared" ref="C41:N41" si="29">C14</f>
        <v>-50880</v>
      </c>
      <c r="D41" s="30">
        <f t="shared" si="29"/>
        <v>-53932.8</v>
      </c>
      <c r="E41" s="30">
        <f t="shared" si="29"/>
        <v>-57168.768</v>
      </c>
      <c r="F41" s="30">
        <f t="shared" si="29"/>
        <v>-60598.89408</v>
      </c>
      <c r="G41" s="30">
        <f t="shared" si="29"/>
        <v>-64234.82772</v>
      </c>
      <c r="H41" s="30">
        <f t="shared" si="29"/>
        <v>-68088.91739</v>
      </c>
      <c r="I41" s="30">
        <f t="shared" si="29"/>
        <v>-72174.25243</v>
      </c>
      <c r="J41" s="30">
        <f t="shared" si="29"/>
        <v>-76504.70758</v>
      </c>
      <c r="K41" s="30">
        <f t="shared" si="29"/>
        <v>-81094.99003</v>
      </c>
      <c r="L41" s="30">
        <f t="shared" si="29"/>
        <v>-85960.68943</v>
      </c>
      <c r="M41" s="30">
        <f t="shared" si="29"/>
        <v>-91118.3308</v>
      </c>
      <c r="N41" s="30">
        <f t="shared" si="29"/>
        <v>-96585.43065</v>
      </c>
    </row>
    <row r="42">
      <c r="A42" s="22" t="s">
        <v>83</v>
      </c>
      <c r="B42" s="34">
        <v>-1000.0</v>
      </c>
      <c r="C42" s="30">
        <f t="shared" ref="C42:N42" si="30">$B$42</f>
        <v>-1000</v>
      </c>
      <c r="D42" s="30">
        <f t="shared" si="30"/>
        <v>-1000</v>
      </c>
      <c r="E42" s="30">
        <f t="shared" si="30"/>
        <v>-1000</v>
      </c>
      <c r="F42" s="30">
        <f t="shared" si="30"/>
        <v>-1000</v>
      </c>
      <c r="G42" s="30">
        <f t="shared" si="30"/>
        <v>-1000</v>
      </c>
      <c r="H42" s="30">
        <f t="shared" si="30"/>
        <v>-1000</v>
      </c>
      <c r="I42" s="30">
        <f t="shared" si="30"/>
        <v>-1000</v>
      </c>
      <c r="J42" s="30">
        <f t="shared" si="30"/>
        <v>-1000</v>
      </c>
      <c r="K42" s="30">
        <f t="shared" si="30"/>
        <v>-1000</v>
      </c>
      <c r="L42" s="30">
        <f t="shared" si="30"/>
        <v>-1000</v>
      </c>
      <c r="M42" s="30">
        <f t="shared" si="30"/>
        <v>-1000</v>
      </c>
      <c r="N42" s="30">
        <f t="shared" si="30"/>
        <v>-1000</v>
      </c>
    </row>
    <row r="43">
      <c r="A43" s="37"/>
      <c r="B43" s="30"/>
      <c r="C43" s="30" t="str">
        <f t="shared" ref="C43:N43" si="31">$B$43</f>
        <v/>
      </c>
      <c r="D43" s="30" t="str">
        <f t="shared" si="31"/>
        <v/>
      </c>
      <c r="E43" s="30" t="str">
        <f t="shared" si="31"/>
        <v/>
      </c>
      <c r="F43" s="30" t="str">
        <f t="shared" si="31"/>
        <v/>
      </c>
      <c r="G43" s="30" t="str">
        <f t="shared" si="31"/>
        <v/>
      </c>
      <c r="H43" s="30" t="str">
        <f t="shared" si="31"/>
        <v/>
      </c>
      <c r="I43" s="30" t="str">
        <f t="shared" si="31"/>
        <v/>
      </c>
      <c r="J43" s="30" t="str">
        <f t="shared" si="31"/>
        <v/>
      </c>
      <c r="K43" s="30" t="str">
        <f t="shared" si="31"/>
        <v/>
      </c>
      <c r="L43" s="30" t="str">
        <f t="shared" si="31"/>
        <v/>
      </c>
      <c r="M43" s="30" t="str">
        <f t="shared" si="31"/>
        <v/>
      </c>
      <c r="N43" s="30" t="str">
        <f t="shared" si="31"/>
        <v/>
      </c>
    </row>
    <row r="44">
      <c r="A44" s="37"/>
      <c r="C44" s="37"/>
    </row>
    <row r="45" ht="25.5" customHeight="1">
      <c r="A45" s="38" t="s">
        <v>39</v>
      </c>
      <c r="C45" s="39">
        <f t="shared" ref="C45:N45" si="32">C32+C35</f>
        <v>36580.9</v>
      </c>
      <c r="D45" s="39">
        <f t="shared" si="32"/>
        <v>62196.754</v>
      </c>
      <c r="E45" s="39">
        <f t="shared" si="32"/>
        <v>89349.55924</v>
      </c>
      <c r="F45" s="39">
        <f t="shared" si="32"/>
        <v>118131.5328</v>
      </c>
      <c r="G45" s="39">
        <f t="shared" si="32"/>
        <v>148640.4248</v>
      </c>
      <c r="H45" s="39">
        <f t="shared" si="32"/>
        <v>180979.8502</v>
      </c>
      <c r="I45" s="39">
        <f t="shared" si="32"/>
        <v>215259.6413</v>
      </c>
      <c r="J45" s="39">
        <f t="shared" si="32"/>
        <v>251596.2197</v>
      </c>
      <c r="K45" s="39">
        <f t="shared" si="32"/>
        <v>290112.9929</v>
      </c>
      <c r="L45" s="39">
        <f t="shared" si="32"/>
        <v>330940.7725</v>
      </c>
      <c r="M45" s="39">
        <f t="shared" si="32"/>
        <v>374218.2188</v>
      </c>
      <c r="N45" s="39">
        <f t="shared" si="32"/>
        <v>420092.312</v>
      </c>
    </row>
    <row r="46">
      <c r="A46" s="40" t="s">
        <v>40</v>
      </c>
      <c r="C46" s="44">
        <f t="shared" ref="C46:N46" si="33">C45/C2</f>
        <v>0.0109556454</v>
      </c>
      <c r="D46" s="44">
        <f t="shared" si="33"/>
        <v>0.01757298084</v>
      </c>
      <c r="E46" s="44">
        <f t="shared" si="33"/>
        <v>0.02381575012</v>
      </c>
      <c r="F46" s="44">
        <f t="shared" si="33"/>
        <v>0.0297051551</v>
      </c>
      <c r="G46" s="44">
        <f t="shared" si="33"/>
        <v>0.03526119753</v>
      </c>
      <c r="H46" s="44">
        <f t="shared" si="33"/>
        <v>0.040502747</v>
      </c>
      <c r="I46" s="44">
        <f t="shared" si="33"/>
        <v>0.04544760498</v>
      </c>
      <c r="J46" s="44">
        <f t="shared" si="33"/>
        <v>0.05011256535</v>
      </c>
      <c r="K46" s="44">
        <f t="shared" si="33"/>
        <v>0.05451347135</v>
      </c>
      <c r="L46" s="44">
        <f t="shared" si="33"/>
        <v>0.05866526947</v>
      </c>
      <c r="M46" s="44">
        <f t="shared" si="33"/>
        <v>0.06258206015</v>
      </c>
      <c r="N46" s="44">
        <f t="shared" si="33"/>
        <v>0.06627714569</v>
      </c>
    </row>
    <row r="47">
      <c r="A47" s="22" t="s">
        <v>41</v>
      </c>
      <c r="B47" s="31">
        <v>-5500.0</v>
      </c>
      <c r="C47" s="30">
        <f t="shared" ref="C47:N47" si="34">$B$47</f>
        <v>-5500</v>
      </c>
      <c r="D47" s="30">
        <f t="shared" si="34"/>
        <v>-5500</v>
      </c>
      <c r="E47" s="30">
        <f t="shared" si="34"/>
        <v>-5500</v>
      </c>
      <c r="F47" s="30">
        <f t="shared" si="34"/>
        <v>-5500</v>
      </c>
      <c r="G47" s="30">
        <f t="shared" si="34"/>
        <v>-5500</v>
      </c>
      <c r="H47" s="30">
        <f t="shared" si="34"/>
        <v>-5500</v>
      </c>
      <c r="I47" s="30">
        <f t="shared" si="34"/>
        <v>-5500</v>
      </c>
      <c r="J47" s="30">
        <f t="shared" si="34"/>
        <v>-5500</v>
      </c>
      <c r="K47" s="30">
        <f t="shared" si="34"/>
        <v>-5500</v>
      </c>
      <c r="L47" s="30">
        <f t="shared" si="34"/>
        <v>-5500</v>
      </c>
      <c r="M47" s="30">
        <f t="shared" si="34"/>
        <v>-5500</v>
      </c>
      <c r="N47" s="30">
        <f t="shared" si="34"/>
        <v>-5500</v>
      </c>
    </row>
    <row r="48">
      <c r="A48" s="22" t="s">
        <v>42</v>
      </c>
      <c r="B48" s="31">
        <v>0.0</v>
      </c>
      <c r="C48" s="30">
        <f t="shared" ref="C48:N48" si="35">$B$48</f>
        <v>0</v>
      </c>
      <c r="D48" s="30">
        <f t="shared" si="35"/>
        <v>0</v>
      </c>
      <c r="E48" s="30">
        <f t="shared" si="35"/>
        <v>0</v>
      </c>
      <c r="F48" s="30">
        <f t="shared" si="35"/>
        <v>0</v>
      </c>
      <c r="G48" s="30">
        <f t="shared" si="35"/>
        <v>0</v>
      </c>
      <c r="H48" s="30">
        <f t="shared" si="35"/>
        <v>0</v>
      </c>
      <c r="I48" s="30">
        <f t="shared" si="35"/>
        <v>0</v>
      </c>
      <c r="J48" s="30">
        <f t="shared" si="35"/>
        <v>0</v>
      </c>
      <c r="K48" s="30">
        <f t="shared" si="35"/>
        <v>0</v>
      </c>
      <c r="L48" s="30">
        <f t="shared" si="35"/>
        <v>0</v>
      </c>
      <c r="M48" s="30">
        <f t="shared" si="35"/>
        <v>0</v>
      </c>
      <c r="N48" s="30">
        <f t="shared" si="35"/>
        <v>0</v>
      </c>
    </row>
    <row r="49">
      <c r="A49" s="22" t="s">
        <v>43</v>
      </c>
      <c r="B49" s="31">
        <v>-6500.0</v>
      </c>
      <c r="C49" s="30">
        <f t="shared" ref="C49:N49" si="36">$B$49</f>
        <v>-6500</v>
      </c>
      <c r="D49" s="30">
        <f t="shared" si="36"/>
        <v>-6500</v>
      </c>
      <c r="E49" s="30">
        <f t="shared" si="36"/>
        <v>-6500</v>
      </c>
      <c r="F49" s="30">
        <f t="shared" si="36"/>
        <v>-6500</v>
      </c>
      <c r="G49" s="30">
        <f t="shared" si="36"/>
        <v>-6500</v>
      </c>
      <c r="H49" s="30">
        <f t="shared" si="36"/>
        <v>-6500</v>
      </c>
      <c r="I49" s="30">
        <f t="shared" si="36"/>
        <v>-6500</v>
      </c>
      <c r="J49" s="30">
        <f t="shared" si="36"/>
        <v>-6500</v>
      </c>
      <c r="K49" s="30">
        <f t="shared" si="36"/>
        <v>-6500</v>
      </c>
      <c r="L49" s="30">
        <f t="shared" si="36"/>
        <v>-6500</v>
      </c>
      <c r="M49" s="30">
        <f t="shared" si="36"/>
        <v>-6500</v>
      </c>
      <c r="N49" s="30">
        <f t="shared" si="36"/>
        <v>-6500</v>
      </c>
    </row>
    <row r="50">
      <c r="A50" s="37"/>
      <c r="C50" s="37"/>
    </row>
    <row r="51" ht="24.75" customHeight="1">
      <c r="A51" s="23" t="s">
        <v>44</v>
      </c>
      <c r="C51" s="42">
        <f t="shared" ref="C51:N51" si="37">C45+C47+C48+C49</f>
        <v>24580.9</v>
      </c>
      <c r="D51" s="42">
        <f t="shared" si="37"/>
        <v>50196.754</v>
      </c>
      <c r="E51" s="42">
        <f t="shared" si="37"/>
        <v>77349.55924</v>
      </c>
      <c r="F51" s="42">
        <f t="shared" si="37"/>
        <v>106131.5328</v>
      </c>
      <c r="G51" s="42">
        <f t="shared" si="37"/>
        <v>136640.4248</v>
      </c>
      <c r="H51" s="42">
        <f t="shared" si="37"/>
        <v>168979.8502</v>
      </c>
      <c r="I51" s="42">
        <f t="shared" si="37"/>
        <v>203259.6413</v>
      </c>
      <c r="J51" s="42">
        <f t="shared" si="37"/>
        <v>239596.2197</v>
      </c>
      <c r="K51" s="42">
        <f t="shared" si="37"/>
        <v>278112.9929</v>
      </c>
      <c r="L51" s="42">
        <f t="shared" si="37"/>
        <v>318940.7725</v>
      </c>
      <c r="M51" s="42">
        <f t="shared" si="37"/>
        <v>362218.2188</v>
      </c>
      <c r="N51" s="42">
        <f t="shared" si="37"/>
        <v>408092.312</v>
      </c>
    </row>
    <row r="52">
      <c r="A52" s="40" t="s">
        <v>45</v>
      </c>
      <c r="C52" s="44">
        <f t="shared" ref="C52:N52" si="38">C51/C2</f>
        <v>0.007361755016</v>
      </c>
      <c r="D52" s="44">
        <f t="shared" si="38"/>
        <v>0.01418251821</v>
      </c>
      <c r="E52" s="44">
        <f t="shared" si="38"/>
        <v>0.02061720047</v>
      </c>
      <c r="F52" s="44">
        <f t="shared" si="38"/>
        <v>0.02668765543</v>
      </c>
      <c r="G52" s="44">
        <f t="shared" si="38"/>
        <v>0.03241449973</v>
      </c>
      <c r="H52" s="44">
        <f t="shared" si="38"/>
        <v>0.03781718303</v>
      </c>
      <c r="I52" s="44">
        <f t="shared" si="38"/>
        <v>0.04291405407</v>
      </c>
      <c r="J52" s="44">
        <f t="shared" si="38"/>
        <v>0.04772242298</v>
      </c>
      <c r="K52" s="44">
        <f t="shared" si="38"/>
        <v>0.05225862006</v>
      </c>
      <c r="L52" s="44">
        <f t="shared" si="38"/>
        <v>0.05653805127</v>
      </c>
      <c r="M52" s="44">
        <f t="shared" si="38"/>
        <v>0.06057525053</v>
      </c>
      <c r="N52" s="44">
        <f t="shared" si="38"/>
        <v>0.06438392907</v>
      </c>
    </row>
    <row r="53">
      <c r="A53" s="22" t="s">
        <v>46</v>
      </c>
      <c r="C53" s="30">
        <f t="shared" ref="C53:N53" si="39">B53+C51</f>
        <v>24580.9</v>
      </c>
      <c r="D53" s="30">
        <f t="shared" si="39"/>
        <v>74777.654</v>
      </c>
      <c r="E53" s="30">
        <f t="shared" si="39"/>
        <v>152127.2132</v>
      </c>
      <c r="F53" s="30">
        <f t="shared" si="39"/>
        <v>258258.746</v>
      </c>
      <c r="G53" s="30">
        <f t="shared" si="39"/>
        <v>394899.1708</v>
      </c>
      <c r="H53" s="30">
        <f t="shared" si="39"/>
        <v>563879.021</v>
      </c>
      <c r="I53" s="30">
        <f t="shared" si="39"/>
        <v>767138.6623</v>
      </c>
      <c r="J53" s="30">
        <f t="shared" si="39"/>
        <v>1006734.882</v>
      </c>
      <c r="K53" s="30">
        <f t="shared" si="39"/>
        <v>1284847.875</v>
      </c>
      <c r="L53" s="30">
        <f t="shared" si="39"/>
        <v>1603788.647</v>
      </c>
      <c r="M53" s="30">
        <f t="shared" si="39"/>
        <v>1966006.866</v>
      </c>
      <c r="N53" s="30">
        <f t="shared" si="39"/>
        <v>2374099.178</v>
      </c>
    </row>
    <row r="54" ht="33.0" customHeight="1">
      <c r="A54" s="37"/>
      <c r="C54" s="37"/>
    </row>
    <row r="55" ht="29.25" customHeight="1">
      <c r="A55" s="23" t="s">
        <v>47</v>
      </c>
      <c r="C55" s="25">
        <f t="shared" ref="C55:N55" si="40">C61-C67</f>
        <v>-946050</v>
      </c>
      <c r="D55" s="25">
        <f t="shared" si="40"/>
        <v>-1002813</v>
      </c>
      <c r="E55" s="25">
        <f t="shared" si="40"/>
        <v>-1062981.78</v>
      </c>
      <c r="F55" s="25">
        <f t="shared" si="40"/>
        <v>-1126760.687</v>
      </c>
      <c r="G55" s="25">
        <f t="shared" si="40"/>
        <v>-1194366.328</v>
      </c>
      <c r="H55" s="25">
        <f t="shared" si="40"/>
        <v>-1266028.308</v>
      </c>
      <c r="I55" s="25">
        <f t="shared" si="40"/>
        <v>-1341990.006</v>
      </c>
      <c r="J55" s="25">
        <f t="shared" si="40"/>
        <v>-1422509.407</v>
      </c>
      <c r="K55" s="25">
        <f t="shared" si="40"/>
        <v>-1507859.971</v>
      </c>
      <c r="L55" s="25">
        <f t="shared" si="40"/>
        <v>-1598331.569</v>
      </c>
      <c r="M55" s="25">
        <f t="shared" si="40"/>
        <v>-1694231.463</v>
      </c>
      <c r="N55" s="25">
        <f t="shared" si="40"/>
        <v>-1795885.351</v>
      </c>
    </row>
    <row r="56">
      <c r="A56" s="22" t="s">
        <v>84</v>
      </c>
      <c r="C56" s="30">
        <f t="shared" ref="C56:N56" si="41">C62-C68</f>
        <v>-946050</v>
      </c>
      <c r="D56" s="30">
        <f t="shared" si="41"/>
        <v>-56763</v>
      </c>
      <c r="E56" s="30">
        <f t="shared" si="41"/>
        <v>-60168.78</v>
      </c>
      <c r="F56" s="30">
        <f t="shared" si="41"/>
        <v>-63778.9068</v>
      </c>
      <c r="G56" s="30">
        <f t="shared" si="41"/>
        <v>-67605.64121</v>
      </c>
      <c r="H56" s="30">
        <f t="shared" si="41"/>
        <v>-71661.97968</v>
      </c>
      <c r="I56" s="30">
        <f t="shared" si="41"/>
        <v>-75961.69846</v>
      </c>
      <c r="J56" s="30">
        <f t="shared" si="41"/>
        <v>-80519.40037</v>
      </c>
      <c r="K56" s="30">
        <f t="shared" si="41"/>
        <v>-85350.56439</v>
      </c>
      <c r="L56" s="30">
        <f t="shared" si="41"/>
        <v>-90471.59825</v>
      </c>
      <c r="M56" s="30">
        <f t="shared" si="41"/>
        <v>-95899.89415</v>
      </c>
      <c r="N56" s="30">
        <f t="shared" si="41"/>
        <v>-101653.8878</v>
      </c>
    </row>
    <row r="57">
      <c r="A57" s="37"/>
      <c r="C57" s="37"/>
    </row>
    <row r="58">
      <c r="A58" s="45" t="s">
        <v>49</v>
      </c>
      <c r="C58" s="45"/>
    </row>
    <row r="59">
      <c r="A59" s="22" t="s">
        <v>50</v>
      </c>
      <c r="B59" s="27">
        <v>0.0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</row>
    <row r="60">
      <c r="A60" s="22" t="s">
        <v>51</v>
      </c>
      <c r="C60" s="30">
        <f t="shared" ref="C60:N60" si="42">B61</f>
        <v>0</v>
      </c>
      <c r="D60" s="30">
        <f t="shared" si="42"/>
        <v>0</v>
      </c>
      <c r="E60" s="30">
        <f t="shared" si="42"/>
        <v>0</v>
      </c>
      <c r="F60" s="30">
        <f t="shared" si="42"/>
        <v>0</v>
      </c>
      <c r="G60" s="30">
        <f t="shared" si="42"/>
        <v>0</v>
      </c>
      <c r="H60" s="30">
        <f t="shared" si="42"/>
        <v>0</v>
      </c>
      <c r="I60" s="30">
        <f t="shared" si="42"/>
        <v>0</v>
      </c>
      <c r="J60" s="30">
        <f t="shared" si="42"/>
        <v>0</v>
      </c>
      <c r="K60" s="30">
        <f t="shared" si="42"/>
        <v>0</v>
      </c>
      <c r="L60" s="30">
        <f t="shared" si="42"/>
        <v>0</v>
      </c>
      <c r="M60" s="30">
        <f t="shared" si="42"/>
        <v>0</v>
      </c>
      <c r="N60" s="30">
        <f t="shared" si="42"/>
        <v>0</v>
      </c>
    </row>
    <row r="61">
      <c r="A61" s="22" t="s">
        <v>52</v>
      </c>
      <c r="B61" s="27">
        <v>0.0</v>
      </c>
      <c r="C61" s="30">
        <f t="shared" ref="C61:N61" si="43">-C11*$B$59/30</f>
        <v>0</v>
      </c>
      <c r="D61" s="30">
        <f t="shared" si="43"/>
        <v>0</v>
      </c>
      <c r="E61" s="30">
        <f t="shared" si="43"/>
        <v>0</v>
      </c>
      <c r="F61" s="30">
        <f t="shared" si="43"/>
        <v>0</v>
      </c>
      <c r="G61" s="30">
        <f t="shared" si="43"/>
        <v>0</v>
      </c>
      <c r="H61" s="30">
        <f t="shared" si="43"/>
        <v>0</v>
      </c>
      <c r="I61" s="30">
        <f t="shared" si="43"/>
        <v>0</v>
      </c>
      <c r="J61" s="30">
        <f t="shared" si="43"/>
        <v>0</v>
      </c>
      <c r="K61" s="30">
        <f t="shared" si="43"/>
        <v>0</v>
      </c>
      <c r="L61" s="30">
        <f t="shared" si="43"/>
        <v>0</v>
      </c>
      <c r="M61" s="30">
        <f t="shared" si="43"/>
        <v>0</v>
      </c>
      <c r="N61" s="30">
        <f t="shared" si="43"/>
        <v>0</v>
      </c>
    </row>
    <row r="62">
      <c r="A62" s="22" t="s">
        <v>53</v>
      </c>
      <c r="C62" s="30">
        <f t="shared" ref="C62:N62" si="44">C61-C60</f>
        <v>0</v>
      </c>
      <c r="D62" s="30">
        <f t="shared" si="44"/>
        <v>0</v>
      </c>
      <c r="E62" s="30">
        <f t="shared" si="44"/>
        <v>0</v>
      </c>
      <c r="F62" s="30">
        <f t="shared" si="44"/>
        <v>0</v>
      </c>
      <c r="G62" s="30">
        <f t="shared" si="44"/>
        <v>0</v>
      </c>
      <c r="H62" s="30">
        <f t="shared" si="44"/>
        <v>0</v>
      </c>
      <c r="I62" s="30">
        <f t="shared" si="44"/>
        <v>0</v>
      </c>
      <c r="J62" s="30">
        <f t="shared" si="44"/>
        <v>0</v>
      </c>
      <c r="K62" s="30">
        <f t="shared" si="44"/>
        <v>0</v>
      </c>
      <c r="L62" s="30">
        <f t="shared" si="44"/>
        <v>0</v>
      </c>
      <c r="M62" s="30">
        <f t="shared" si="44"/>
        <v>0</v>
      </c>
      <c r="N62" s="30">
        <f t="shared" si="44"/>
        <v>0</v>
      </c>
    </row>
    <row r="63">
      <c r="A63" s="37"/>
      <c r="C63" s="37"/>
    </row>
    <row r="64">
      <c r="A64" s="45" t="s">
        <v>54</v>
      </c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</row>
    <row r="65">
      <c r="A65" s="22" t="s">
        <v>55</v>
      </c>
      <c r="B65" s="27">
        <v>10.0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</row>
    <row r="66">
      <c r="A66" s="22" t="s">
        <v>56</v>
      </c>
      <c r="C66" s="30">
        <f t="shared" ref="C66:N66" si="45">B67</f>
        <v>0</v>
      </c>
      <c r="D66" s="30">
        <f t="shared" si="45"/>
        <v>946050</v>
      </c>
      <c r="E66" s="30">
        <f t="shared" si="45"/>
        <v>1002813</v>
      </c>
      <c r="F66" s="30">
        <f t="shared" si="45"/>
        <v>1062981.78</v>
      </c>
      <c r="G66" s="30">
        <f t="shared" si="45"/>
        <v>1126760.687</v>
      </c>
      <c r="H66" s="30">
        <f t="shared" si="45"/>
        <v>1194366.328</v>
      </c>
      <c r="I66" s="30">
        <f t="shared" si="45"/>
        <v>1266028.308</v>
      </c>
      <c r="J66" s="30">
        <f t="shared" si="45"/>
        <v>1341990.006</v>
      </c>
      <c r="K66" s="30">
        <f t="shared" si="45"/>
        <v>1422509.407</v>
      </c>
      <c r="L66" s="30">
        <f t="shared" si="45"/>
        <v>1507859.971</v>
      </c>
      <c r="M66" s="30">
        <f t="shared" si="45"/>
        <v>1598331.569</v>
      </c>
      <c r="N66" s="30">
        <f t="shared" si="45"/>
        <v>1694231.463</v>
      </c>
    </row>
    <row r="67">
      <c r="A67" s="22" t="s">
        <v>57</v>
      </c>
      <c r="B67" s="27">
        <v>0.0</v>
      </c>
      <c r="C67" s="30">
        <f t="shared" ref="C67:N67" si="46">-C11*$B$65/30</f>
        <v>946050</v>
      </c>
      <c r="D67" s="30">
        <f t="shared" si="46"/>
        <v>1002813</v>
      </c>
      <c r="E67" s="30">
        <f t="shared" si="46"/>
        <v>1062981.78</v>
      </c>
      <c r="F67" s="30">
        <f t="shared" si="46"/>
        <v>1126760.687</v>
      </c>
      <c r="G67" s="30">
        <f t="shared" si="46"/>
        <v>1194366.328</v>
      </c>
      <c r="H67" s="30">
        <f t="shared" si="46"/>
        <v>1266028.308</v>
      </c>
      <c r="I67" s="30">
        <f t="shared" si="46"/>
        <v>1341990.006</v>
      </c>
      <c r="J67" s="30">
        <f t="shared" si="46"/>
        <v>1422509.407</v>
      </c>
      <c r="K67" s="30">
        <f t="shared" si="46"/>
        <v>1507859.971</v>
      </c>
      <c r="L67" s="30">
        <f t="shared" si="46"/>
        <v>1598331.569</v>
      </c>
      <c r="M67" s="30">
        <f t="shared" si="46"/>
        <v>1694231.463</v>
      </c>
      <c r="N67" s="30">
        <f t="shared" si="46"/>
        <v>1795885.351</v>
      </c>
    </row>
    <row r="68">
      <c r="A68" s="22" t="s">
        <v>58</v>
      </c>
      <c r="C68" s="30">
        <f t="shared" ref="C68:N68" si="47">C67-C66</f>
        <v>946050</v>
      </c>
      <c r="D68" s="30">
        <f t="shared" si="47"/>
        <v>56763</v>
      </c>
      <c r="E68" s="30">
        <f t="shared" si="47"/>
        <v>60168.78</v>
      </c>
      <c r="F68" s="30">
        <f t="shared" si="47"/>
        <v>63778.9068</v>
      </c>
      <c r="G68" s="30">
        <f t="shared" si="47"/>
        <v>67605.64121</v>
      </c>
      <c r="H68" s="30">
        <f t="shared" si="47"/>
        <v>71661.97968</v>
      </c>
      <c r="I68" s="30">
        <f t="shared" si="47"/>
        <v>75961.69846</v>
      </c>
      <c r="J68" s="30">
        <f t="shared" si="47"/>
        <v>80519.40037</v>
      </c>
      <c r="K68" s="30">
        <f t="shared" si="47"/>
        <v>85350.56439</v>
      </c>
      <c r="L68" s="30">
        <f t="shared" si="47"/>
        <v>90471.59825</v>
      </c>
      <c r="M68" s="30">
        <f t="shared" si="47"/>
        <v>95899.89415</v>
      </c>
      <c r="N68" s="30">
        <f t="shared" si="47"/>
        <v>101653.8878</v>
      </c>
    </row>
    <row r="69">
      <c r="A69" s="37"/>
      <c r="C69" s="37"/>
    </row>
    <row r="70" ht="29.25" customHeight="1">
      <c r="A70" s="46" t="s">
        <v>59</v>
      </c>
      <c r="C70" s="46"/>
    </row>
    <row r="71">
      <c r="A71" s="22" t="s">
        <v>60</v>
      </c>
      <c r="C71" s="30">
        <f t="shared" ref="C71:N71" si="48">B76</f>
        <v>0</v>
      </c>
      <c r="D71" s="30">
        <f t="shared" si="48"/>
        <v>977130.9</v>
      </c>
      <c r="E71" s="30">
        <f t="shared" si="48"/>
        <v>1090590.654</v>
      </c>
      <c r="F71" s="30">
        <f t="shared" si="48"/>
        <v>1234608.993</v>
      </c>
      <c r="G71" s="30">
        <f t="shared" si="48"/>
        <v>1411019.433</v>
      </c>
      <c r="H71" s="30">
        <f t="shared" si="48"/>
        <v>1621765.499</v>
      </c>
      <c r="I71" s="30">
        <f t="shared" si="48"/>
        <v>1868907.329</v>
      </c>
      <c r="J71" s="30">
        <f t="shared" si="48"/>
        <v>2154628.668</v>
      </c>
      <c r="K71" s="30">
        <f t="shared" si="48"/>
        <v>2481244.289</v>
      </c>
      <c r="L71" s="30">
        <f t="shared" si="48"/>
        <v>2851207.846</v>
      </c>
      <c r="M71" s="30">
        <f t="shared" si="48"/>
        <v>3267120.217</v>
      </c>
      <c r="N71" s="30">
        <f t="shared" si="48"/>
        <v>3731738.33</v>
      </c>
    </row>
    <row r="72">
      <c r="A72" s="22" t="s">
        <v>61</v>
      </c>
      <c r="C72" s="30">
        <f t="shared" ref="C72:N72" si="49">C45+C47-C56</f>
        <v>977130.9</v>
      </c>
      <c r="D72" s="30">
        <f t="shared" si="49"/>
        <v>113459.754</v>
      </c>
      <c r="E72" s="30">
        <f t="shared" si="49"/>
        <v>144018.3392</v>
      </c>
      <c r="F72" s="30">
        <f t="shared" si="49"/>
        <v>176410.4396</v>
      </c>
      <c r="G72" s="30">
        <f t="shared" si="49"/>
        <v>210746.066</v>
      </c>
      <c r="H72" s="30">
        <f t="shared" si="49"/>
        <v>247141.8299</v>
      </c>
      <c r="I72" s="30">
        <f t="shared" si="49"/>
        <v>285721.3397</v>
      </c>
      <c r="J72" s="30">
        <f t="shared" si="49"/>
        <v>326615.6201</v>
      </c>
      <c r="K72" s="30">
        <f t="shared" si="49"/>
        <v>369963.5573</v>
      </c>
      <c r="L72" s="30">
        <f t="shared" si="49"/>
        <v>415912.3708</v>
      </c>
      <c r="M72" s="30">
        <f t="shared" si="49"/>
        <v>464618.113</v>
      </c>
      <c r="N72" s="30">
        <f t="shared" si="49"/>
        <v>516246.1998</v>
      </c>
    </row>
    <row r="73">
      <c r="A73" s="22" t="s">
        <v>62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</row>
    <row r="74">
      <c r="A74" s="22" t="s">
        <v>63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</row>
    <row r="75">
      <c r="A75" s="22" t="s">
        <v>64</v>
      </c>
      <c r="C75" s="30">
        <f t="shared" ref="C75:N75" si="50">sum(C72:C74)</f>
        <v>977130.9</v>
      </c>
      <c r="D75" s="30">
        <f t="shared" si="50"/>
        <v>113459.754</v>
      </c>
      <c r="E75" s="30">
        <f t="shared" si="50"/>
        <v>144018.3392</v>
      </c>
      <c r="F75" s="30">
        <f t="shared" si="50"/>
        <v>176410.4396</v>
      </c>
      <c r="G75" s="30">
        <f t="shared" si="50"/>
        <v>210746.066</v>
      </c>
      <c r="H75" s="30">
        <f t="shared" si="50"/>
        <v>247141.8299</v>
      </c>
      <c r="I75" s="30">
        <f t="shared" si="50"/>
        <v>285721.3397</v>
      </c>
      <c r="J75" s="30">
        <f t="shared" si="50"/>
        <v>326615.6201</v>
      </c>
      <c r="K75" s="30">
        <f t="shared" si="50"/>
        <v>369963.5573</v>
      </c>
      <c r="L75" s="30">
        <f t="shared" si="50"/>
        <v>415912.3708</v>
      </c>
      <c r="M75" s="30">
        <f t="shared" si="50"/>
        <v>464618.113</v>
      </c>
      <c r="N75" s="30">
        <f t="shared" si="50"/>
        <v>516246.1998</v>
      </c>
    </row>
    <row r="76">
      <c r="A76" s="22" t="s">
        <v>65</v>
      </c>
      <c r="B76" s="47">
        <v>0.0</v>
      </c>
      <c r="C76" s="30">
        <f t="shared" ref="C76:N76" si="51">C71+C75</f>
        <v>977130.9</v>
      </c>
      <c r="D76" s="30">
        <f t="shared" si="51"/>
        <v>1090590.654</v>
      </c>
      <c r="E76" s="30">
        <f t="shared" si="51"/>
        <v>1234608.993</v>
      </c>
      <c r="F76" s="30">
        <f t="shared" si="51"/>
        <v>1411019.433</v>
      </c>
      <c r="G76" s="30">
        <f t="shared" si="51"/>
        <v>1621765.499</v>
      </c>
      <c r="H76" s="30">
        <f t="shared" si="51"/>
        <v>1868907.329</v>
      </c>
      <c r="I76" s="30">
        <f t="shared" si="51"/>
        <v>2154628.668</v>
      </c>
      <c r="J76" s="30">
        <f t="shared" si="51"/>
        <v>2481244.289</v>
      </c>
      <c r="K76" s="30">
        <f t="shared" si="51"/>
        <v>2851207.846</v>
      </c>
      <c r="L76" s="30">
        <f t="shared" si="51"/>
        <v>3267120.217</v>
      </c>
      <c r="M76" s="30">
        <f t="shared" si="51"/>
        <v>3731738.33</v>
      </c>
      <c r="N76" s="30">
        <f t="shared" si="51"/>
        <v>4247984.529</v>
      </c>
    </row>
    <row r="77">
      <c r="A77" s="37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</row>
    <row r="78">
      <c r="A78" s="37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</row>
    <row r="79">
      <c r="A79" s="37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</row>
    <row r="80">
      <c r="A80" s="37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</row>
    <row r="81">
      <c r="A81" s="37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</row>
    <row r="82">
      <c r="A82" s="37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>
      <c r="A83" s="37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4">
      <c r="A84" s="37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>
      <c r="A85" s="37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</row>
    <row r="86">
      <c r="A86" s="37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</row>
    <row r="87">
      <c r="A87" s="37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</row>
    <row r="88">
      <c r="A88" s="37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>
      <c r="A89" s="37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</row>
    <row r="90">
      <c r="A90" s="37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</row>
    <row r="91">
      <c r="A91" s="37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</row>
    <row r="92">
      <c r="A92" s="37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</row>
    <row r="93">
      <c r="A93" s="37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</row>
    <row r="94">
      <c r="A94" s="37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</row>
    <row r="95">
      <c r="A95" s="37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</row>
    <row r="96">
      <c r="A96" s="37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</row>
    <row r="97">
      <c r="A97" s="37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>
      <c r="A98" s="37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</row>
    <row r="99">
      <c r="A99" s="37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</row>
    <row r="100">
      <c r="A100" s="37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</row>
    <row r="101">
      <c r="A101" s="37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</row>
    <row r="102">
      <c r="A102" s="37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</row>
    <row r="103">
      <c r="A103" s="37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</row>
    <row r="104">
      <c r="A104" s="37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</row>
    <row r="105">
      <c r="A105" s="37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</row>
    <row r="106">
      <c r="A106" s="37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</row>
    <row r="107">
      <c r="A107" s="37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</row>
    <row r="108">
      <c r="A108" s="37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</row>
    <row r="109">
      <c r="A109" s="37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</row>
    <row r="110">
      <c r="A110" s="37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>
      <c r="A111" s="37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</row>
    <row r="112">
      <c r="A112" s="37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</row>
    <row r="113">
      <c r="A113" s="37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</row>
    <row r="114">
      <c r="A114" s="37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</row>
    <row r="115">
      <c r="A115" s="37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</row>
    <row r="116">
      <c r="A116" s="37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</row>
    <row r="117">
      <c r="A117" s="37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</row>
    <row r="118">
      <c r="A118" s="37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</row>
    <row r="119">
      <c r="A119" s="37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</row>
    <row r="120">
      <c r="A120" s="37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</row>
    <row r="121">
      <c r="A121" s="37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</row>
    <row r="122">
      <c r="A122" s="37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</row>
    <row r="123">
      <c r="A123" s="37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</row>
    <row r="124">
      <c r="A124" s="37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</row>
    <row r="125">
      <c r="A125" s="37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</row>
    <row r="126">
      <c r="A126" s="37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</row>
    <row r="127">
      <c r="A127" s="37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</row>
    <row r="128">
      <c r="A128" s="37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29">
      <c r="A129" s="37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</row>
    <row r="130">
      <c r="A130" s="37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</row>
    <row r="131">
      <c r="A131" s="37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</row>
    <row r="132">
      <c r="A132" s="37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</row>
    <row r="133">
      <c r="A133" s="37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</row>
    <row r="134">
      <c r="A134" s="37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</row>
    <row r="135">
      <c r="A135" s="37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</row>
    <row r="136">
      <c r="A136" s="37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</row>
    <row r="137">
      <c r="A137" s="37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</row>
    <row r="138">
      <c r="A138" s="37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</row>
    <row r="139">
      <c r="A139" s="37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</row>
    <row r="140">
      <c r="A140" s="37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</row>
    <row r="141">
      <c r="A141" s="37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</row>
    <row r="142">
      <c r="A142" s="37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</row>
    <row r="143">
      <c r="A143" s="37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</row>
    <row r="144">
      <c r="A144" s="37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</row>
    <row r="145">
      <c r="A145" s="37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</row>
    <row r="146">
      <c r="A146" s="37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</row>
    <row r="147">
      <c r="A147" s="37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</row>
    <row r="148">
      <c r="A148" s="37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</row>
    <row r="149">
      <c r="A149" s="37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</row>
    <row r="150">
      <c r="A150" s="37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</row>
    <row r="151">
      <c r="A151" s="37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</row>
    <row r="152">
      <c r="A152" s="37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</row>
    <row r="153">
      <c r="A153" s="37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</row>
    <row r="154">
      <c r="A154" s="37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</row>
    <row r="155">
      <c r="A155" s="37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</row>
    <row r="156">
      <c r="A156" s="37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</row>
    <row r="157">
      <c r="A157" s="37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</row>
    <row r="158">
      <c r="A158" s="37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</row>
    <row r="159">
      <c r="A159" s="37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</row>
    <row r="160">
      <c r="A160" s="37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</row>
    <row r="161">
      <c r="A161" s="37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</row>
    <row r="162">
      <c r="A162" s="37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</row>
    <row r="163">
      <c r="A163" s="37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</row>
    <row r="164">
      <c r="A164" s="37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</row>
    <row r="165">
      <c r="A165" s="37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</row>
    <row r="166">
      <c r="A166" s="37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</row>
    <row r="167">
      <c r="A167" s="37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</row>
    <row r="168">
      <c r="A168" s="37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</row>
    <row r="169">
      <c r="A169" s="37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</row>
    <row r="170">
      <c r="A170" s="37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</row>
    <row r="171">
      <c r="A171" s="37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</row>
    <row r="172">
      <c r="A172" s="37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</row>
    <row r="173">
      <c r="A173" s="37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</row>
    <row r="174">
      <c r="A174" s="37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</row>
    <row r="175">
      <c r="A175" s="37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</row>
    <row r="176">
      <c r="A176" s="37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</row>
    <row r="177">
      <c r="A177" s="37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</row>
    <row r="178">
      <c r="A178" s="37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</row>
    <row r="179">
      <c r="A179" s="37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</row>
    <row r="180">
      <c r="A180" s="37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</row>
    <row r="181">
      <c r="A181" s="37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</row>
    <row r="182">
      <c r="A182" s="37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</row>
    <row r="183">
      <c r="A183" s="37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</row>
    <row r="184">
      <c r="A184" s="37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</row>
    <row r="185">
      <c r="A185" s="37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</row>
    <row r="186">
      <c r="A186" s="37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</row>
    <row r="187">
      <c r="A187" s="37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</row>
    <row r="188">
      <c r="A188" s="37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</row>
    <row r="189">
      <c r="A189" s="37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</row>
    <row r="190">
      <c r="A190" s="37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</row>
    <row r="191">
      <c r="A191" s="37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</row>
    <row r="192">
      <c r="A192" s="37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</row>
    <row r="193">
      <c r="A193" s="37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</row>
    <row r="194">
      <c r="A194" s="37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</row>
    <row r="195">
      <c r="A195" s="37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</row>
    <row r="196">
      <c r="A196" s="37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</row>
    <row r="197">
      <c r="A197" s="37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</row>
    <row r="198">
      <c r="A198" s="37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</row>
    <row r="199">
      <c r="A199" s="37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</row>
    <row r="200">
      <c r="A200" s="37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</row>
    <row r="201">
      <c r="A201" s="37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</row>
    <row r="202">
      <c r="A202" s="37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</row>
    <row r="203">
      <c r="A203" s="37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</row>
    <row r="204">
      <c r="A204" s="37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</row>
    <row r="205">
      <c r="A205" s="37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</row>
    <row r="206">
      <c r="A206" s="37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</row>
    <row r="207">
      <c r="A207" s="37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</row>
    <row r="208">
      <c r="A208" s="37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</row>
    <row r="209">
      <c r="A209" s="37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</row>
    <row r="210">
      <c r="A210" s="37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>
      <c r="A211" s="37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</row>
    <row r="212">
      <c r="A212" s="37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</row>
    <row r="213">
      <c r="A213" s="37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</row>
    <row r="214">
      <c r="A214" s="37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</row>
    <row r="215">
      <c r="A215" s="37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</row>
    <row r="216">
      <c r="A216" s="37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</row>
    <row r="217">
      <c r="A217" s="37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>
      <c r="A218" s="37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</row>
    <row r="219">
      <c r="A219" s="37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</row>
    <row r="220">
      <c r="A220" s="37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</row>
    <row r="221">
      <c r="A221" s="37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</row>
    <row r="222">
      <c r="A222" s="37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</row>
    <row r="223">
      <c r="A223" s="37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</row>
    <row r="224">
      <c r="A224" s="37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</row>
    <row r="225">
      <c r="A225" s="37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</row>
    <row r="226">
      <c r="A226" s="37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</row>
    <row r="227">
      <c r="A227" s="37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</row>
    <row r="228">
      <c r="A228" s="37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</row>
    <row r="229">
      <c r="A229" s="37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</row>
    <row r="230">
      <c r="A230" s="37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</row>
    <row r="231">
      <c r="A231" s="37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</row>
    <row r="232">
      <c r="A232" s="37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</row>
    <row r="233">
      <c r="A233" s="37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</row>
    <row r="234">
      <c r="A234" s="37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</row>
    <row r="235">
      <c r="A235" s="37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</row>
    <row r="236">
      <c r="A236" s="37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</row>
    <row r="237">
      <c r="A237" s="37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</row>
    <row r="238">
      <c r="A238" s="37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</row>
    <row r="239">
      <c r="A239" s="37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</row>
    <row r="240">
      <c r="A240" s="37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</row>
    <row r="241">
      <c r="A241" s="37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</row>
    <row r="242">
      <c r="A242" s="37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</row>
    <row r="243">
      <c r="A243" s="37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</row>
    <row r="244">
      <c r="A244" s="37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</row>
    <row r="245">
      <c r="A245" s="37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</row>
    <row r="246">
      <c r="A246" s="37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</row>
    <row r="247">
      <c r="A247" s="37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</row>
    <row r="248">
      <c r="A248" s="37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</row>
    <row r="249">
      <c r="A249" s="37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</row>
    <row r="250">
      <c r="A250" s="37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</row>
    <row r="251">
      <c r="A251" s="37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</row>
    <row r="252">
      <c r="A252" s="37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</row>
    <row r="253">
      <c r="A253" s="37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</row>
    <row r="254">
      <c r="A254" s="37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</row>
    <row r="255">
      <c r="A255" s="37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</row>
    <row r="256">
      <c r="A256" s="37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</row>
    <row r="257">
      <c r="A257" s="37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</row>
    <row r="258">
      <c r="A258" s="37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</row>
    <row r="259">
      <c r="A259" s="37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</row>
    <row r="260">
      <c r="A260" s="37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</row>
    <row r="261">
      <c r="A261" s="37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</row>
    <row r="262">
      <c r="A262" s="37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</row>
    <row r="263">
      <c r="A263" s="37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</row>
    <row r="264">
      <c r="A264" s="37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</row>
    <row r="265">
      <c r="A265" s="37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</row>
    <row r="266">
      <c r="A266" s="37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</row>
    <row r="267">
      <c r="A267" s="37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</row>
    <row r="268">
      <c r="A268" s="37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</row>
    <row r="269">
      <c r="A269" s="37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</row>
    <row r="270">
      <c r="A270" s="37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</row>
    <row r="271">
      <c r="A271" s="37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</row>
    <row r="272">
      <c r="A272" s="37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</row>
    <row r="273">
      <c r="A273" s="37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</row>
    <row r="274">
      <c r="A274" s="37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</row>
    <row r="275">
      <c r="A275" s="37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</row>
    <row r="276">
      <c r="A276" s="37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</row>
    <row r="277">
      <c r="A277" s="37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</row>
    <row r="278">
      <c r="A278" s="37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</row>
    <row r="279">
      <c r="A279" s="37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</row>
    <row r="280">
      <c r="A280" s="37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</row>
    <row r="281">
      <c r="A281" s="37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</row>
    <row r="282">
      <c r="A282" s="37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</row>
    <row r="283">
      <c r="A283" s="37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</row>
    <row r="284">
      <c r="A284" s="37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</row>
    <row r="285">
      <c r="A285" s="37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</row>
  </sheetData>
  <mergeCells count="52">
    <mergeCell ref="A6:B6"/>
    <mergeCell ref="A8:B8"/>
    <mergeCell ref="A11:B11"/>
    <mergeCell ref="A14:B14"/>
    <mergeCell ref="A15:B15"/>
    <mergeCell ref="C15:N15"/>
    <mergeCell ref="A16:B16"/>
    <mergeCell ref="A17:B17"/>
    <mergeCell ref="A18:B18"/>
    <mergeCell ref="C18:N18"/>
    <mergeCell ref="A19:B19"/>
    <mergeCell ref="A31:B31"/>
    <mergeCell ref="C31:N31"/>
    <mergeCell ref="A32:B32"/>
    <mergeCell ref="A33:B33"/>
    <mergeCell ref="A34:B34"/>
    <mergeCell ref="C34:N34"/>
    <mergeCell ref="A35:B35"/>
    <mergeCell ref="A41:B41"/>
    <mergeCell ref="A44:B44"/>
    <mergeCell ref="C44:N44"/>
    <mergeCell ref="A45:B45"/>
    <mergeCell ref="A46:B46"/>
    <mergeCell ref="A50:B50"/>
    <mergeCell ref="C50:N50"/>
    <mergeCell ref="A51:B51"/>
    <mergeCell ref="A52:B52"/>
    <mergeCell ref="A53:B53"/>
    <mergeCell ref="C63:N63"/>
    <mergeCell ref="C69:N69"/>
    <mergeCell ref="C70:N70"/>
    <mergeCell ref="A54:B54"/>
    <mergeCell ref="C54:N54"/>
    <mergeCell ref="A55:B55"/>
    <mergeCell ref="A56:B56"/>
    <mergeCell ref="A57:B57"/>
    <mergeCell ref="C57:N57"/>
    <mergeCell ref="C58:N58"/>
    <mergeCell ref="A69:B69"/>
    <mergeCell ref="A70:B70"/>
    <mergeCell ref="A71:B71"/>
    <mergeCell ref="A72:B72"/>
    <mergeCell ref="A73:B73"/>
    <mergeCell ref="A74:B74"/>
    <mergeCell ref="A75:B75"/>
    <mergeCell ref="A58:B58"/>
    <mergeCell ref="A60:B60"/>
    <mergeCell ref="A62:B62"/>
    <mergeCell ref="A63:B63"/>
    <mergeCell ref="A64:B64"/>
    <mergeCell ref="A66:B66"/>
    <mergeCell ref="A68:B68"/>
  </mergeCells>
  <conditionalFormatting sqref="C51:N51">
    <cfRule type="cellIs" dxfId="0" priority="1" operator="greaterThan">
      <formula>0</formula>
    </cfRule>
  </conditionalFormatting>
  <conditionalFormatting sqref="C51:N51">
    <cfRule type="cellIs" dxfId="1" priority="2" operator="lessThanOrEqual">
      <formula>0</formula>
    </cfRule>
  </conditionalFormatting>
  <conditionalFormatting sqref="C53:N53">
    <cfRule type="cellIs" dxfId="0" priority="3" operator="greaterThan">
      <formula>0</formula>
    </cfRule>
  </conditionalFormatting>
  <conditionalFormatting sqref="C53:N53">
    <cfRule type="cellIs" dxfId="1" priority="4" operator="lessThanOr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8.38"/>
    <col customWidth="1" min="2" max="14" width="11.13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</row>
    <row r="2" ht="29.25" customHeight="1">
      <c r="A2" s="46" t="s">
        <v>14</v>
      </c>
      <c r="B2" s="48">
        <f>sum(C2:N2)</f>
        <v>16200000</v>
      </c>
      <c r="C2" s="49">
        <f t="shared" ref="C2:N2" si="1">C8*$B$9</f>
        <v>1350000</v>
      </c>
      <c r="D2" s="49">
        <f t="shared" si="1"/>
        <v>1350000</v>
      </c>
      <c r="E2" s="49">
        <f t="shared" si="1"/>
        <v>1350000</v>
      </c>
      <c r="F2" s="49">
        <f t="shared" si="1"/>
        <v>1350000</v>
      </c>
      <c r="G2" s="49">
        <f t="shared" si="1"/>
        <v>1350000</v>
      </c>
      <c r="H2" s="49">
        <f t="shared" si="1"/>
        <v>1350000</v>
      </c>
      <c r="I2" s="49">
        <f t="shared" si="1"/>
        <v>1350000</v>
      </c>
      <c r="J2" s="49">
        <f t="shared" si="1"/>
        <v>1350000</v>
      </c>
      <c r="K2" s="49">
        <f t="shared" si="1"/>
        <v>1350000</v>
      </c>
      <c r="L2" s="49">
        <f t="shared" si="1"/>
        <v>1350000</v>
      </c>
      <c r="M2" s="49">
        <f t="shared" si="1"/>
        <v>1350000</v>
      </c>
      <c r="N2" s="49">
        <f t="shared" si="1"/>
        <v>1350000</v>
      </c>
    </row>
    <row r="3">
      <c r="A3" s="26" t="s">
        <v>85</v>
      </c>
      <c r="B3" s="27">
        <v>20000.0</v>
      </c>
      <c r="C3" s="28">
        <f t="shared" ref="C3:N3" si="2">B3+B3*$B$4</f>
        <v>20000</v>
      </c>
      <c r="D3" s="28">
        <f t="shared" si="2"/>
        <v>20000</v>
      </c>
      <c r="E3" s="28">
        <f t="shared" si="2"/>
        <v>20000</v>
      </c>
      <c r="F3" s="28">
        <f t="shared" si="2"/>
        <v>20000</v>
      </c>
      <c r="G3" s="28">
        <f t="shared" si="2"/>
        <v>20000</v>
      </c>
      <c r="H3" s="28">
        <f t="shared" si="2"/>
        <v>20000</v>
      </c>
      <c r="I3" s="28">
        <f t="shared" si="2"/>
        <v>20000</v>
      </c>
      <c r="J3" s="28">
        <f t="shared" si="2"/>
        <v>20000</v>
      </c>
      <c r="K3" s="28">
        <f t="shared" si="2"/>
        <v>20000</v>
      </c>
      <c r="L3" s="28">
        <f t="shared" si="2"/>
        <v>20000</v>
      </c>
      <c r="M3" s="28">
        <f t="shared" si="2"/>
        <v>20000</v>
      </c>
      <c r="N3" s="28">
        <f t="shared" si="2"/>
        <v>20000</v>
      </c>
    </row>
    <row r="4">
      <c r="A4" s="22" t="s">
        <v>18</v>
      </c>
      <c r="B4" s="29">
        <v>0.0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>
      <c r="A5" s="22" t="s">
        <v>19</v>
      </c>
      <c r="B5" s="29">
        <v>0.03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>
      <c r="A6" s="26" t="s">
        <v>86</v>
      </c>
      <c r="C6" s="26">
        <f t="shared" ref="C6:N6" si="3">C3*$B$5</f>
        <v>600</v>
      </c>
      <c r="D6" s="26">
        <f t="shared" si="3"/>
        <v>600</v>
      </c>
      <c r="E6" s="26">
        <f t="shared" si="3"/>
        <v>600</v>
      </c>
      <c r="F6" s="26">
        <f t="shared" si="3"/>
        <v>600</v>
      </c>
      <c r="G6" s="26">
        <f t="shared" si="3"/>
        <v>600</v>
      </c>
      <c r="H6" s="26">
        <f t="shared" si="3"/>
        <v>600</v>
      </c>
      <c r="I6" s="26">
        <f t="shared" si="3"/>
        <v>600</v>
      </c>
      <c r="J6" s="26">
        <f t="shared" si="3"/>
        <v>600</v>
      </c>
      <c r="K6" s="26">
        <f t="shared" si="3"/>
        <v>600</v>
      </c>
      <c r="L6" s="26">
        <f t="shared" si="3"/>
        <v>600</v>
      </c>
      <c r="M6" s="26">
        <f t="shared" si="3"/>
        <v>600</v>
      </c>
      <c r="N6" s="26">
        <f t="shared" si="3"/>
        <v>600</v>
      </c>
    </row>
    <row r="7">
      <c r="A7" s="22" t="s">
        <v>21</v>
      </c>
      <c r="B7" s="29">
        <v>0.75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>
      <c r="A8" s="26" t="s">
        <v>22</v>
      </c>
      <c r="C8" s="26">
        <f t="shared" ref="C8:N8" si="4">C6*$B$7</f>
        <v>450</v>
      </c>
      <c r="D8" s="26">
        <f t="shared" si="4"/>
        <v>450</v>
      </c>
      <c r="E8" s="26">
        <f t="shared" si="4"/>
        <v>450</v>
      </c>
      <c r="F8" s="26">
        <f t="shared" si="4"/>
        <v>450</v>
      </c>
      <c r="G8" s="26">
        <f t="shared" si="4"/>
        <v>450</v>
      </c>
      <c r="H8" s="26">
        <f t="shared" si="4"/>
        <v>450</v>
      </c>
      <c r="I8" s="26">
        <f t="shared" si="4"/>
        <v>450</v>
      </c>
      <c r="J8" s="26">
        <f t="shared" si="4"/>
        <v>450</v>
      </c>
      <c r="K8" s="26">
        <f t="shared" si="4"/>
        <v>450</v>
      </c>
      <c r="L8" s="26">
        <f t="shared" si="4"/>
        <v>450</v>
      </c>
      <c r="M8" s="26">
        <f t="shared" si="4"/>
        <v>450</v>
      </c>
      <c r="N8" s="26">
        <f t="shared" si="4"/>
        <v>450</v>
      </c>
    </row>
    <row r="9">
      <c r="A9" s="22" t="s">
        <v>66</v>
      </c>
      <c r="B9" s="31">
        <v>3000.0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>
      <c r="A10" s="22" t="s">
        <v>25</v>
      </c>
      <c r="B10" s="29">
        <v>0.21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>
      <c r="A11" s="50" t="s">
        <v>26</v>
      </c>
      <c r="C11" s="51">
        <f t="shared" ref="C11:N11" si="5">-C2*(1-$B$10)</f>
        <v>-1066500</v>
      </c>
      <c r="D11" s="51">
        <f t="shared" si="5"/>
        <v>-1066500</v>
      </c>
      <c r="E11" s="51">
        <f t="shared" si="5"/>
        <v>-1066500</v>
      </c>
      <c r="F11" s="51">
        <f t="shared" si="5"/>
        <v>-1066500</v>
      </c>
      <c r="G11" s="51">
        <f t="shared" si="5"/>
        <v>-1066500</v>
      </c>
      <c r="H11" s="51">
        <f t="shared" si="5"/>
        <v>-1066500</v>
      </c>
      <c r="I11" s="51">
        <f t="shared" si="5"/>
        <v>-1066500</v>
      </c>
      <c r="J11" s="51">
        <f t="shared" si="5"/>
        <v>-1066500</v>
      </c>
      <c r="K11" s="51">
        <f t="shared" si="5"/>
        <v>-1066500</v>
      </c>
      <c r="L11" s="51">
        <f t="shared" si="5"/>
        <v>-1066500</v>
      </c>
      <c r="M11" s="51">
        <f t="shared" si="5"/>
        <v>-1066500</v>
      </c>
      <c r="N11" s="51">
        <f t="shared" si="5"/>
        <v>-1066500</v>
      </c>
    </row>
    <row r="12">
      <c r="A12" s="22" t="s">
        <v>27</v>
      </c>
      <c r="B12" s="29">
        <v>0.3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>
      <c r="A13" s="22" t="s">
        <v>28</v>
      </c>
      <c r="B13" s="34">
        <v>0.0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>
      <c r="A14" s="22" t="s">
        <v>29</v>
      </c>
      <c r="C14" s="30">
        <f t="shared" ref="C14:N14" si="6">-C3*$B$13</f>
        <v>0</v>
      </c>
      <c r="D14" s="30">
        <f t="shared" si="6"/>
        <v>0</v>
      </c>
      <c r="E14" s="30">
        <f t="shared" si="6"/>
        <v>0</v>
      </c>
      <c r="F14" s="30">
        <f t="shared" si="6"/>
        <v>0</v>
      </c>
      <c r="G14" s="30">
        <f t="shared" si="6"/>
        <v>0</v>
      </c>
      <c r="H14" s="30">
        <f t="shared" si="6"/>
        <v>0</v>
      </c>
      <c r="I14" s="30">
        <f t="shared" si="6"/>
        <v>0</v>
      </c>
      <c r="J14" s="30">
        <f t="shared" si="6"/>
        <v>0</v>
      </c>
      <c r="K14" s="30">
        <f t="shared" si="6"/>
        <v>0</v>
      </c>
      <c r="L14" s="30">
        <f t="shared" si="6"/>
        <v>0</v>
      </c>
      <c r="M14" s="30">
        <f t="shared" si="6"/>
        <v>0</v>
      </c>
      <c r="N14" s="30">
        <f t="shared" si="6"/>
        <v>0</v>
      </c>
    </row>
    <row r="15">
      <c r="A15" s="37"/>
      <c r="C15" s="37"/>
    </row>
    <row r="16" ht="25.5" customHeight="1">
      <c r="A16" s="52" t="s">
        <v>30</v>
      </c>
      <c r="C16" s="53">
        <f t="shared" ref="C16:N16" si="7">C2+C11</f>
        <v>283500</v>
      </c>
      <c r="D16" s="53">
        <f t="shared" si="7"/>
        <v>283500</v>
      </c>
      <c r="E16" s="53">
        <f t="shared" si="7"/>
        <v>283500</v>
      </c>
      <c r="F16" s="53">
        <f t="shared" si="7"/>
        <v>283500</v>
      </c>
      <c r="G16" s="53">
        <f t="shared" si="7"/>
        <v>283500</v>
      </c>
      <c r="H16" s="53">
        <f t="shared" si="7"/>
        <v>283500</v>
      </c>
      <c r="I16" s="53">
        <f t="shared" si="7"/>
        <v>283500</v>
      </c>
      <c r="J16" s="53">
        <f t="shared" si="7"/>
        <v>283500</v>
      </c>
      <c r="K16" s="53">
        <f t="shared" si="7"/>
        <v>283500</v>
      </c>
      <c r="L16" s="53">
        <f t="shared" si="7"/>
        <v>283500</v>
      </c>
      <c r="M16" s="53">
        <f t="shared" si="7"/>
        <v>283500</v>
      </c>
      <c r="N16" s="53">
        <f t="shared" si="7"/>
        <v>283500</v>
      </c>
    </row>
    <row r="17">
      <c r="A17" s="40" t="s">
        <v>31</v>
      </c>
      <c r="C17" s="41">
        <f t="shared" ref="C17:N17" si="8">C16/C2</f>
        <v>0.21</v>
      </c>
      <c r="D17" s="41">
        <f t="shared" si="8"/>
        <v>0.21</v>
      </c>
      <c r="E17" s="41">
        <f t="shared" si="8"/>
        <v>0.21</v>
      </c>
      <c r="F17" s="41">
        <f t="shared" si="8"/>
        <v>0.21</v>
      </c>
      <c r="G17" s="41">
        <f t="shared" si="8"/>
        <v>0.21</v>
      </c>
      <c r="H17" s="41">
        <f t="shared" si="8"/>
        <v>0.21</v>
      </c>
      <c r="I17" s="41">
        <f t="shared" si="8"/>
        <v>0.21</v>
      </c>
      <c r="J17" s="41">
        <f t="shared" si="8"/>
        <v>0.21</v>
      </c>
      <c r="K17" s="41">
        <f t="shared" si="8"/>
        <v>0.21</v>
      </c>
      <c r="L17" s="41">
        <f t="shared" si="8"/>
        <v>0.21</v>
      </c>
      <c r="M17" s="41">
        <f t="shared" si="8"/>
        <v>0.21</v>
      </c>
      <c r="N17" s="41">
        <f t="shared" si="8"/>
        <v>0.21</v>
      </c>
    </row>
    <row r="18">
      <c r="A18" s="37"/>
      <c r="C18" s="37"/>
    </row>
    <row r="19" ht="25.5" customHeight="1">
      <c r="A19" s="46" t="s">
        <v>32</v>
      </c>
      <c r="C19" s="54">
        <f t="shared" ref="C19:N19" si="9">sum(C20:C30)</f>
        <v>-151315</v>
      </c>
      <c r="D19" s="54">
        <f t="shared" si="9"/>
        <v>-151315</v>
      </c>
      <c r="E19" s="54">
        <f t="shared" si="9"/>
        <v>-151315</v>
      </c>
      <c r="F19" s="54">
        <f t="shared" si="9"/>
        <v>-151315</v>
      </c>
      <c r="G19" s="54">
        <f t="shared" si="9"/>
        <v>-151315</v>
      </c>
      <c r="H19" s="54">
        <f t="shared" si="9"/>
        <v>-151315</v>
      </c>
      <c r="I19" s="54">
        <f t="shared" si="9"/>
        <v>-151315</v>
      </c>
      <c r="J19" s="54">
        <f t="shared" si="9"/>
        <v>-151315</v>
      </c>
      <c r="K19" s="54">
        <f t="shared" si="9"/>
        <v>-151315</v>
      </c>
      <c r="L19" s="54">
        <f t="shared" si="9"/>
        <v>-151315</v>
      </c>
      <c r="M19" s="54">
        <f t="shared" si="9"/>
        <v>-151315</v>
      </c>
      <c r="N19" s="54">
        <f t="shared" si="9"/>
        <v>-151315</v>
      </c>
    </row>
    <row r="20">
      <c r="A20" s="22" t="s">
        <v>67</v>
      </c>
      <c r="B20" s="43">
        <v>0.023</v>
      </c>
      <c r="C20" s="30">
        <f t="shared" ref="C20:N20" si="10">-C2*$B$12*$B$20</f>
        <v>-9315</v>
      </c>
      <c r="D20" s="30">
        <f t="shared" si="10"/>
        <v>-9315</v>
      </c>
      <c r="E20" s="30">
        <f t="shared" si="10"/>
        <v>-9315</v>
      </c>
      <c r="F20" s="30">
        <f t="shared" si="10"/>
        <v>-9315</v>
      </c>
      <c r="G20" s="30">
        <f t="shared" si="10"/>
        <v>-9315</v>
      </c>
      <c r="H20" s="30">
        <f t="shared" si="10"/>
        <v>-9315</v>
      </c>
      <c r="I20" s="30">
        <f t="shared" si="10"/>
        <v>-9315</v>
      </c>
      <c r="J20" s="30">
        <f t="shared" si="10"/>
        <v>-9315</v>
      </c>
      <c r="K20" s="30">
        <f t="shared" si="10"/>
        <v>-9315</v>
      </c>
      <c r="L20" s="30">
        <f t="shared" si="10"/>
        <v>-9315</v>
      </c>
      <c r="M20" s="30">
        <f t="shared" si="10"/>
        <v>-9315</v>
      </c>
      <c r="N20" s="30">
        <f t="shared" si="10"/>
        <v>-9315</v>
      </c>
    </row>
    <row r="21">
      <c r="A21" s="22" t="s">
        <v>68</v>
      </c>
      <c r="B21" s="34">
        <v>-40000.0</v>
      </c>
      <c r="C21" s="30">
        <f t="shared" ref="C21:N21" si="11">$B$21</f>
        <v>-40000</v>
      </c>
      <c r="D21" s="30">
        <f t="shared" si="11"/>
        <v>-40000</v>
      </c>
      <c r="E21" s="30">
        <f t="shared" si="11"/>
        <v>-40000</v>
      </c>
      <c r="F21" s="30">
        <f t="shared" si="11"/>
        <v>-40000</v>
      </c>
      <c r="G21" s="30">
        <f t="shared" si="11"/>
        <v>-40000</v>
      </c>
      <c r="H21" s="30">
        <f t="shared" si="11"/>
        <v>-40000</v>
      </c>
      <c r="I21" s="30">
        <f t="shared" si="11"/>
        <v>-40000</v>
      </c>
      <c r="J21" s="30">
        <f t="shared" si="11"/>
        <v>-40000</v>
      </c>
      <c r="K21" s="30">
        <f t="shared" si="11"/>
        <v>-40000</v>
      </c>
      <c r="L21" s="30">
        <f t="shared" si="11"/>
        <v>-40000</v>
      </c>
      <c r="M21" s="30">
        <f t="shared" si="11"/>
        <v>-40000</v>
      </c>
      <c r="N21" s="30">
        <f t="shared" si="11"/>
        <v>-40000</v>
      </c>
    </row>
    <row r="22">
      <c r="A22" s="22" t="s">
        <v>69</v>
      </c>
      <c r="B22" s="34">
        <v>0.0</v>
      </c>
      <c r="C22" s="30">
        <f t="shared" ref="C22:N22" si="12">$B$22</f>
        <v>0</v>
      </c>
      <c r="D22" s="30">
        <f t="shared" si="12"/>
        <v>0</v>
      </c>
      <c r="E22" s="30">
        <f t="shared" si="12"/>
        <v>0</v>
      </c>
      <c r="F22" s="30">
        <f t="shared" si="12"/>
        <v>0</v>
      </c>
      <c r="G22" s="30">
        <f t="shared" si="12"/>
        <v>0</v>
      </c>
      <c r="H22" s="30">
        <f t="shared" si="12"/>
        <v>0</v>
      </c>
      <c r="I22" s="30">
        <f t="shared" si="12"/>
        <v>0</v>
      </c>
      <c r="J22" s="30">
        <f t="shared" si="12"/>
        <v>0</v>
      </c>
      <c r="K22" s="30">
        <f t="shared" si="12"/>
        <v>0</v>
      </c>
      <c r="L22" s="30">
        <f t="shared" si="12"/>
        <v>0</v>
      </c>
      <c r="M22" s="30">
        <f t="shared" si="12"/>
        <v>0</v>
      </c>
      <c r="N22" s="30">
        <f t="shared" si="12"/>
        <v>0</v>
      </c>
    </row>
    <row r="23">
      <c r="A23" s="22" t="s">
        <v>70</v>
      </c>
      <c r="B23" s="34">
        <v>0.0</v>
      </c>
      <c r="C23" s="30">
        <f t="shared" ref="C23:N23" si="13">$B$23</f>
        <v>0</v>
      </c>
      <c r="D23" s="30">
        <f t="shared" si="13"/>
        <v>0</v>
      </c>
      <c r="E23" s="30">
        <f t="shared" si="13"/>
        <v>0</v>
      </c>
      <c r="F23" s="30">
        <f t="shared" si="13"/>
        <v>0</v>
      </c>
      <c r="G23" s="30">
        <f t="shared" si="13"/>
        <v>0</v>
      </c>
      <c r="H23" s="30">
        <f t="shared" si="13"/>
        <v>0</v>
      </c>
      <c r="I23" s="30">
        <f t="shared" si="13"/>
        <v>0</v>
      </c>
      <c r="J23" s="30">
        <f t="shared" si="13"/>
        <v>0</v>
      </c>
      <c r="K23" s="30">
        <f t="shared" si="13"/>
        <v>0</v>
      </c>
      <c r="L23" s="30">
        <f t="shared" si="13"/>
        <v>0</v>
      </c>
      <c r="M23" s="30">
        <f t="shared" si="13"/>
        <v>0</v>
      </c>
      <c r="N23" s="30">
        <f t="shared" si="13"/>
        <v>0</v>
      </c>
    </row>
    <row r="24">
      <c r="A24" s="22" t="s">
        <v>71</v>
      </c>
      <c r="B24" s="34">
        <v>-4000.0</v>
      </c>
      <c r="C24" s="30">
        <f t="shared" ref="C24:N24" si="14">$B$24</f>
        <v>-4000</v>
      </c>
      <c r="D24" s="30">
        <f t="shared" si="14"/>
        <v>-4000</v>
      </c>
      <c r="E24" s="30">
        <f t="shared" si="14"/>
        <v>-4000</v>
      </c>
      <c r="F24" s="30">
        <f t="shared" si="14"/>
        <v>-4000</v>
      </c>
      <c r="G24" s="30">
        <f t="shared" si="14"/>
        <v>-4000</v>
      </c>
      <c r="H24" s="30">
        <f t="shared" si="14"/>
        <v>-4000</v>
      </c>
      <c r="I24" s="30">
        <f t="shared" si="14"/>
        <v>-4000</v>
      </c>
      <c r="J24" s="30">
        <f t="shared" si="14"/>
        <v>-4000</v>
      </c>
      <c r="K24" s="30">
        <f t="shared" si="14"/>
        <v>-4000</v>
      </c>
      <c r="L24" s="30">
        <f t="shared" si="14"/>
        <v>-4000</v>
      </c>
      <c r="M24" s="30">
        <f t="shared" si="14"/>
        <v>-4000</v>
      </c>
      <c r="N24" s="30">
        <f t="shared" si="14"/>
        <v>-4000</v>
      </c>
    </row>
    <row r="25">
      <c r="A25" s="22" t="s">
        <v>72</v>
      </c>
      <c r="B25" s="34">
        <v>-75000.0</v>
      </c>
      <c r="C25" s="30">
        <f t="shared" ref="C25:N25" si="15">$B$25</f>
        <v>-75000</v>
      </c>
      <c r="D25" s="30">
        <f t="shared" si="15"/>
        <v>-75000</v>
      </c>
      <c r="E25" s="30">
        <f t="shared" si="15"/>
        <v>-75000</v>
      </c>
      <c r="F25" s="30">
        <f t="shared" si="15"/>
        <v>-75000</v>
      </c>
      <c r="G25" s="30">
        <f t="shared" si="15"/>
        <v>-75000</v>
      </c>
      <c r="H25" s="30">
        <f t="shared" si="15"/>
        <v>-75000</v>
      </c>
      <c r="I25" s="30">
        <f t="shared" si="15"/>
        <v>-75000</v>
      </c>
      <c r="J25" s="30">
        <f t="shared" si="15"/>
        <v>-75000</v>
      </c>
      <c r="K25" s="30">
        <f t="shared" si="15"/>
        <v>-75000</v>
      </c>
      <c r="L25" s="30">
        <f t="shared" si="15"/>
        <v>-75000</v>
      </c>
      <c r="M25" s="30">
        <f t="shared" si="15"/>
        <v>-75000</v>
      </c>
      <c r="N25" s="30">
        <f t="shared" si="15"/>
        <v>-75000</v>
      </c>
    </row>
    <row r="26">
      <c r="A26" s="22" t="s">
        <v>73</v>
      </c>
      <c r="B26" s="34">
        <v>-15000.0</v>
      </c>
      <c r="C26" s="30">
        <f t="shared" ref="C26:N26" si="16">$B$26</f>
        <v>-15000</v>
      </c>
      <c r="D26" s="30">
        <f t="shared" si="16"/>
        <v>-15000</v>
      </c>
      <c r="E26" s="30">
        <f t="shared" si="16"/>
        <v>-15000</v>
      </c>
      <c r="F26" s="30">
        <f t="shared" si="16"/>
        <v>-15000</v>
      </c>
      <c r="G26" s="30">
        <f t="shared" si="16"/>
        <v>-15000</v>
      </c>
      <c r="H26" s="30">
        <f t="shared" si="16"/>
        <v>-15000</v>
      </c>
      <c r="I26" s="30">
        <f t="shared" si="16"/>
        <v>-15000</v>
      </c>
      <c r="J26" s="30">
        <f t="shared" si="16"/>
        <v>-15000</v>
      </c>
      <c r="K26" s="30">
        <f t="shared" si="16"/>
        <v>-15000</v>
      </c>
      <c r="L26" s="30">
        <f t="shared" si="16"/>
        <v>-15000</v>
      </c>
      <c r="M26" s="30">
        <f t="shared" si="16"/>
        <v>-15000</v>
      </c>
      <c r="N26" s="30">
        <f t="shared" si="16"/>
        <v>-15000</v>
      </c>
    </row>
    <row r="27">
      <c r="A27" s="22" t="s">
        <v>74</v>
      </c>
      <c r="B27" s="34">
        <v>-4000.0</v>
      </c>
      <c r="C27" s="30">
        <f t="shared" ref="C27:N27" si="17">$B$27</f>
        <v>-4000</v>
      </c>
      <c r="D27" s="30">
        <f t="shared" si="17"/>
        <v>-4000</v>
      </c>
      <c r="E27" s="30">
        <f t="shared" si="17"/>
        <v>-4000</v>
      </c>
      <c r="F27" s="30">
        <f t="shared" si="17"/>
        <v>-4000</v>
      </c>
      <c r="G27" s="30">
        <f t="shared" si="17"/>
        <v>-4000</v>
      </c>
      <c r="H27" s="30">
        <f t="shared" si="17"/>
        <v>-4000</v>
      </c>
      <c r="I27" s="30">
        <f t="shared" si="17"/>
        <v>-4000</v>
      </c>
      <c r="J27" s="30">
        <f t="shared" si="17"/>
        <v>-4000</v>
      </c>
      <c r="K27" s="30">
        <f t="shared" si="17"/>
        <v>-4000</v>
      </c>
      <c r="L27" s="30">
        <f t="shared" si="17"/>
        <v>-4000</v>
      </c>
      <c r="M27" s="30">
        <f t="shared" si="17"/>
        <v>-4000</v>
      </c>
      <c r="N27" s="30">
        <f t="shared" si="17"/>
        <v>-4000</v>
      </c>
    </row>
    <row r="28">
      <c r="A28" s="22" t="s">
        <v>75</v>
      </c>
      <c r="B28" s="34">
        <v>-1000.0</v>
      </c>
      <c r="C28" s="30">
        <f t="shared" ref="C28:N28" si="18">$B$28</f>
        <v>-1000</v>
      </c>
      <c r="D28" s="30">
        <f t="shared" si="18"/>
        <v>-1000</v>
      </c>
      <c r="E28" s="30">
        <f t="shared" si="18"/>
        <v>-1000</v>
      </c>
      <c r="F28" s="30">
        <f t="shared" si="18"/>
        <v>-1000</v>
      </c>
      <c r="G28" s="30">
        <f t="shared" si="18"/>
        <v>-1000</v>
      </c>
      <c r="H28" s="30">
        <f t="shared" si="18"/>
        <v>-1000</v>
      </c>
      <c r="I28" s="30">
        <f t="shared" si="18"/>
        <v>-1000</v>
      </c>
      <c r="J28" s="30">
        <f t="shared" si="18"/>
        <v>-1000</v>
      </c>
      <c r="K28" s="30">
        <f t="shared" si="18"/>
        <v>-1000</v>
      </c>
      <c r="L28" s="30">
        <f t="shared" si="18"/>
        <v>-1000</v>
      </c>
      <c r="M28" s="30">
        <f t="shared" si="18"/>
        <v>-1000</v>
      </c>
      <c r="N28" s="30">
        <f t="shared" si="18"/>
        <v>-1000</v>
      </c>
    </row>
    <row r="29">
      <c r="A29" s="22" t="s">
        <v>76</v>
      </c>
      <c r="B29" s="34">
        <v>-3000.0</v>
      </c>
      <c r="C29" s="30">
        <f t="shared" ref="C29:N29" si="19">$B$29</f>
        <v>-3000</v>
      </c>
      <c r="D29" s="30">
        <f t="shared" si="19"/>
        <v>-3000</v>
      </c>
      <c r="E29" s="30">
        <f t="shared" si="19"/>
        <v>-3000</v>
      </c>
      <c r="F29" s="30">
        <f t="shared" si="19"/>
        <v>-3000</v>
      </c>
      <c r="G29" s="30">
        <f t="shared" si="19"/>
        <v>-3000</v>
      </c>
      <c r="H29" s="30">
        <f t="shared" si="19"/>
        <v>-3000</v>
      </c>
      <c r="I29" s="30">
        <f t="shared" si="19"/>
        <v>-3000</v>
      </c>
      <c r="J29" s="30">
        <f t="shared" si="19"/>
        <v>-3000</v>
      </c>
      <c r="K29" s="30">
        <f t="shared" si="19"/>
        <v>-3000</v>
      </c>
      <c r="L29" s="30">
        <f t="shared" si="19"/>
        <v>-3000</v>
      </c>
      <c r="M29" s="30">
        <f t="shared" si="19"/>
        <v>-3000</v>
      </c>
      <c r="N29" s="30">
        <f t="shared" si="19"/>
        <v>-3000</v>
      </c>
    </row>
    <row r="30">
      <c r="A30" s="37"/>
      <c r="B30" s="30"/>
      <c r="C30" s="30" t="str">
        <f t="shared" ref="C30:N30" si="20">$B$30</f>
        <v/>
      </c>
      <c r="D30" s="30" t="str">
        <f t="shared" si="20"/>
        <v/>
      </c>
      <c r="E30" s="30" t="str">
        <f t="shared" si="20"/>
        <v/>
      </c>
      <c r="F30" s="30" t="str">
        <f t="shared" si="20"/>
        <v/>
      </c>
      <c r="G30" s="30" t="str">
        <f t="shared" si="20"/>
        <v/>
      </c>
      <c r="H30" s="30" t="str">
        <f t="shared" si="20"/>
        <v/>
      </c>
      <c r="I30" s="30" t="str">
        <f t="shared" si="20"/>
        <v/>
      </c>
      <c r="J30" s="30" t="str">
        <f t="shared" si="20"/>
        <v/>
      </c>
      <c r="K30" s="30" t="str">
        <f t="shared" si="20"/>
        <v/>
      </c>
      <c r="L30" s="30" t="str">
        <f t="shared" si="20"/>
        <v/>
      </c>
      <c r="M30" s="30" t="str">
        <f t="shared" si="20"/>
        <v/>
      </c>
      <c r="N30" s="30" t="str">
        <f t="shared" si="20"/>
        <v/>
      </c>
    </row>
    <row r="31">
      <c r="A31" s="37"/>
      <c r="C31" s="37"/>
    </row>
    <row r="32" ht="25.5" customHeight="1">
      <c r="A32" s="52" t="s">
        <v>36</v>
      </c>
      <c r="C32" s="53">
        <f t="shared" ref="C32:N32" si="21">C16+C19</f>
        <v>132185</v>
      </c>
      <c r="D32" s="53">
        <f t="shared" si="21"/>
        <v>132185</v>
      </c>
      <c r="E32" s="53">
        <f t="shared" si="21"/>
        <v>132185</v>
      </c>
      <c r="F32" s="53">
        <f t="shared" si="21"/>
        <v>132185</v>
      </c>
      <c r="G32" s="53">
        <f t="shared" si="21"/>
        <v>132185</v>
      </c>
      <c r="H32" s="53">
        <f t="shared" si="21"/>
        <v>132185</v>
      </c>
      <c r="I32" s="53">
        <f t="shared" si="21"/>
        <v>132185</v>
      </c>
      <c r="J32" s="53">
        <f t="shared" si="21"/>
        <v>132185</v>
      </c>
      <c r="K32" s="53">
        <f t="shared" si="21"/>
        <v>132185</v>
      </c>
      <c r="L32" s="53">
        <f t="shared" si="21"/>
        <v>132185</v>
      </c>
      <c r="M32" s="53">
        <f t="shared" si="21"/>
        <v>132185</v>
      </c>
      <c r="N32" s="53">
        <f t="shared" si="21"/>
        <v>132185</v>
      </c>
    </row>
    <row r="33">
      <c r="A33" s="40" t="s">
        <v>37</v>
      </c>
      <c r="C33" s="44">
        <f t="shared" ref="C33:N33" si="22">C32/C2</f>
        <v>0.09791481481</v>
      </c>
      <c r="D33" s="44">
        <f t="shared" si="22"/>
        <v>0.09791481481</v>
      </c>
      <c r="E33" s="44">
        <f t="shared" si="22"/>
        <v>0.09791481481</v>
      </c>
      <c r="F33" s="44">
        <f t="shared" si="22"/>
        <v>0.09791481481</v>
      </c>
      <c r="G33" s="44">
        <f t="shared" si="22"/>
        <v>0.09791481481</v>
      </c>
      <c r="H33" s="44">
        <f t="shared" si="22"/>
        <v>0.09791481481</v>
      </c>
      <c r="I33" s="44">
        <f t="shared" si="22"/>
        <v>0.09791481481</v>
      </c>
      <c r="J33" s="44">
        <f t="shared" si="22"/>
        <v>0.09791481481</v>
      </c>
      <c r="K33" s="44">
        <f t="shared" si="22"/>
        <v>0.09791481481</v>
      </c>
      <c r="L33" s="44">
        <f t="shared" si="22"/>
        <v>0.09791481481</v>
      </c>
      <c r="M33" s="44">
        <f t="shared" si="22"/>
        <v>0.09791481481</v>
      </c>
      <c r="N33" s="44">
        <f t="shared" si="22"/>
        <v>0.09791481481</v>
      </c>
    </row>
    <row r="34">
      <c r="A34" s="37"/>
      <c r="C34" s="37"/>
    </row>
    <row r="35" ht="24.75" customHeight="1">
      <c r="A35" s="46" t="s">
        <v>38</v>
      </c>
      <c r="C35" s="54">
        <f t="shared" ref="C35:N35" si="23">sum(C36:C43)</f>
        <v>-68100</v>
      </c>
      <c r="D35" s="54">
        <f t="shared" si="23"/>
        <v>-68100</v>
      </c>
      <c r="E35" s="54">
        <f t="shared" si="23"/>
        <v>-68100</v>
      </c>
      <c r="F35" s="54">
        <f t="shared" si="23"/>
        <v>-68100</v>
      </c>
      <c r="G35" s="54">
        <f t="shared" si="23"/>
        <v>-68100</v>
      </c>
      <c r="H35" s="54">
        <f t="shared" si="23"/>
        <v>-68100</v>
      </c>
      <c r="I35" s="54">
        <f t="shared" si="23"/>
        <v>-68100</v>
      </c>
      <c r="J35" s="54">
        <f t="shared" si="23"/>
        <v>-68100</v>
      </c>
      <c r="K35" s="54">
        <f t="shared" si="23"/>
        <v>-68100</v>
      </c>
      <c r="L35" s="54">
        <f t="shared" si="23"/>
        <v>-68100</v>
      </c>
      <c r="M35" s="54">
        <f t="shared" si="23"/>
        <v>-68100</v>
      </c>
      <c r="N35" s="54">
        <f t="shared" si="23"/>
        <v>-68100</v>
      </c>
    </row>
    <row r="36">
      <c r="A36" s="22" t="s">
        <v>77</v>
      </c>
      <c r="B36" s="34">
        <v>-3100.0</v>
      </c>
      <c r="C36" s="30">
        <f t="shared" ref="C36:N36" si="24">$B$36</f>
        <v>-3100</v>
      </c>
      <c r="D36" s="30">
        <f t="shared" si="24"/>
        <v>-3100</v>
      </c>
      <c r="E36" s="30">
        <f t="shared" si="24"/>
        <v>-3100</v>
      </c>
      <c r="F36" s="30">
        <f t="shared" si="24"/>
        <v>-3100</v>
      </c>
      <c r="G36" s="30">
        <f t="shared" si="24"/>
        <v>-3100</v>
      </c>
      <c r="H36" s="30">
        <f t="shared" si="24"/>
        <v>-3100</v>
      </c>
      <c r="I36" s="30">
        <f t="shared" si="24"/>
        <v>-3100</v>
      </c>
      <c r="J36" s="30">
        <f t="shared" si="24"/>
        <v>-3100</v>
      </c>
      <c r="K36" s="30">
        <f t="shared" si="24"/>
        <v>-3100</v>
      </c>
      <c r="L36" s="30">
        <f t="shared" si="24"/>
        <v>-3100</v>
      </c>
      <c r="M36" s="30">
        <f t="shared" si="24"/>
        <v>-3100</v>
      </c>
      <c r="N36" s="30">
        <f t="shared" si="24"/>
        <v>-3100</v>
      </c>
    </row>
    <row r="37">
      <c r="A37" s="22" t="s">
        <v>78</v>
      </c>
      <c r="B37" s="34">
        <v>-50000.0</v>
      </c>
      <c r="C37" s="30">
        <f t="shared" ref="C37:N37" si="25">$B$37</f>
        <v>-50000</v>
      </c>
      <c r="D37" s="30">
        <f t="shared" si="25"/>
        <v>-50000</v>
      </c>
      <c r="E37" s="30">
        <f t="shared" si="25"/>
        <v>-50000</v>
      </c>
      <c r="F37" s="30">
        <f t="shared" si="25"/>
        <v>-50000</v>
      </c>
      <c r="G37" s="30">
        <f t="shared" si="25"/>
        <v>-50000</v>
      </c>
      <c r="H37" s="30">
        <f t="shared" si="25"/>
        <v>-50000</v>
      </c>
      <c r="I37" s="30">
        <f t="shared" si="25"/>
        <v>-50000</v>
      </c>
      <c r="J37" s="30">
        <f t="shared" si="25"/>
        <v>-50000</v>
      </c>
      <c r="K37" s="30">
        <f t="shared" si="25"/>
        <v>-50000</v>
      </c>
      <c r="L37" s="30">
        <f t="shared" si="25"/>
        <v>-50000</v>
      </c>
      <c r="M37" s="30">
        <f t="shared" si="25"/>
        <v>-50000</v>
      </c>
      <c r="N37" s="30">
        <f t="shared" si="25"/>
        <v>-50000</v>
      </c>
    </row>
    <row r="38">
      <c r="A38" s="22" t="s">
        <v>79</v>
      </c>
      <c r="B38" s="34">
        <v>-5000.0</v>
      </c>
      <c r="C38" s="30">
        <f t="shared" ref="C38:N38" si="26">$B$38</f>
        <v>-5000</v>
      </c>
      <c r="D38" s="30">
        <f t="shared" si="26"/>
        <v>-5000</v>
      </c>
      <c r="E38" s="30">
        <f t="shared" si="26"/>
        <v>-5000</v>
      </c>
      <c r="F38" s="30">
        <f t="shared" si="26"/>
        <v>-5000</v>
      </c>
      <c r="G38" s="30">
        <f t="shared" si="26"/>
        <v>-5000</v>
      </c>
      <c r="H38" s="30">
        <f t="shared" si="26"/>
        <v>-5000</v>
      </c>
      <c r="I38" s="30">
        <f t="shared" si="26"/>
        <v>-5000</v>
      </c>
      <c r="J38" s="30">
        <f t="shared" si="26"/>
        <v>-5000</v>
      </c>
      <c r="K38" s="30">
        <f t="shared" si="26"/>
        <v>-5000</v>
      </c>
      <c r="L38" s="30">
        <f t="shared" si="26"/>
        <v>-5000</v>
      </c>
      <c r="M38" s="30">
        <f t="shared" si="26"/>
        <v>-5000</v>
      </c>
      <c r="N38" s="30">
        <f t="shared" si="26"/>
        <v>-5000</v>
      </c>
    </row>
    <row r="39">
      <c r="A39" s="22" t="s">
        <v>80</v>
      </c>
      <c r="B39" s="34">
        <v>-7000.0</v>
      </c>
      <c r="C39" s="30">
        <f t="shared" ref="C39:N39" si="27">$B$39</f>
        <v>-7000</v>
      </c>
      <c r="D39" s="30">
        <f t="shared" si="27"/>
        <v>-7000</v>
      </c>
      <c r="E39" s="30">
        <f t="shared" si="27"/>
        <v>-7000</v>
      </c>
      <c r="F39" s="30">
        <f t="shared" si="27"/>
        <v>-7000</v>
      </c>
      <c r="G39" s="30">
        <f t="shared" si="27"/>
        <v>-7000</v>
      </c>
      <c r="H39" s="30">
        <f t="shared" si="27"/>
        <v>-7000</v>
      </c>
      <c r="I39" s="30">
        <f t="shared" si="27"/>
        <v>-7000</v>
      </c>
      <c r="J39" s="30">
        <f t="shared" si="27"/>
        <v>-7000</v>
      </c>
      <c r="K39" s="30">
        <f t="shared" si="27"/>
        <v>-7000</v>
      </c>
      <c r="L39" s="30">
        <f t="shared" si="27"/>
        <v>-7000</v>
      </c>
      <c r="M39" s="30">
        <f t="shared" si="27"/>
        <v>-7000</v>
      </c>
      <c r="N39" s="30">
        <f t="shared" si="27"/>
        <v>-7000</v>
      </c>
    </row>
    <row r="40">
      <c r="A40" s="22" t="s">
        <v>81</v>
      </c>
      <c r="B40" s="34">
        <v>-2000.0</v>
      </c>
      <c r="C40" s="30">
        <f t="shared" ref="C40:N40" si="28">$B$40</f>
        <v>-2000</v>
      </c>
      <c r="D40" s="30">
        <f t="shared" si="28"/>
        <v>-2000</v>
      </c>
      <c r="E40" s="30">
        <f t="shared" si="28"/>
        <v>-2000</v>
      </c>
      <c r="F40" s="30">
        <f t="shared" si="28"/>
        <v>-2000</v>
      </c>
      <c r="G40" s="30">
        <f t="shared" si="28"/>
        <v>-2000</v>
      </c>
      <c r="H40" s="30">
        <f t="shared" si="28"/>
        <v>-2000</v>
      </c>
      <c r="I40" s="30">
        <f t="shared" si="28"/>
        <v>-2000</v>
      </c>
      <c r="J40" s="30">
        <f t="shared" si="28"/>
        <v>-2000</v>
      </c>
      <c r="K40" s="30">
        <f t="shared" si="28"/>
        <v>-2000</v>
      </c>
      <c r="L40" s="30">
        <f t="shared" si="28"/>
        <v>-2000</v>
      </c>
      <c r="M40" s="30">
        <f t="shared" si="28"/>
        <v>-2000</v>
      </c>
      <c r="N40" s="30">
        <f t="shared" si="28"/>
        <v>-2000</v>
      </c>
    </row>
    <row r="41">
      <c r="A41" s="22" t="s">
        <v>82</v>
      </c>
      <c r="C41" s="30">
        <f t="shared" ref="C41:N41" si="29">C14</f>
        <v>0</v>
      </c>
      <c r="D41" s="30">
        <f t="shared" si="29"/>
        <v>0</v>
      </c>
      <c r="E41" s="30">
        <f t="shared" si="29"/>
        <v>0</v>
      </c>
      <c r="F41" s="30">
        <f t="shared" si="29"/>
        <v>0</v>
      </c>
      <c r="G41" s="30">
        <f t="shared" si="29"/>
        <v>0</v>
      </c>
      <c r="H41" s="30">
        <f t="shared" si="29"/>
        <v>0</v>
      </c>
      <c r="I41" s="30">
        <f t="shared" si="29"/>
        <v>0</v>
      </c>
      <c r="J41" s="30">
        <f t="shared" si="29"/>
        <v>0</v>
      </c>
      <c r="K41" s="30">
        <f t="shared" si="29"/>
        <v>0</v>
      </c>
      <c r="L41" s="30">
        <f t="shared" si="29"/>
        <v>0</v>
      </c>
      <c r="M41" s="30">
        <f t="shared" si="29"/>
        <v>0</v>
      </c>
      <c r="N41" s="30">
        <f t="shared" si="29"/>
        <v>0</v>
      </c>
    </row>
    <row r="42">
      <c r="A42" s="22" t="s">
        <v>83</v>
      </c>
      <c r="B42" s="34">
        <v>-1000.0</v>
      </c>
      <c r="C42" s="30">
        <f t="shared" ref="C42:N42" si="30">$B$42</f>
        <v>-1000</v>
      </c>
      <c r="D42" s="30">
        <f t="shared" si="30"/>
        <v>-1000</v>
      </c>
      <c r="E42" s="30">
        <f t="shared" si="30"/>
        <v>-1000</v>
      </c>
      <c r="F42" s="30">
        <f t="shared" si="30"/>
        <v>-1000</v>
      </c>
      <c r="G42" s="30">
        <f t="shared" si="30"/>
        <v>-1000</v>
      </c>
      <c r="H42" s="30">
        <f t="shared" si="30"/>
        <v>-1000</v>
      </c>
      <c r="I42" s="30">
        <f t="shared" si="30"/>
        <v>-1000</v>
      </c>
      <c r="J42" s="30">
        <f t="shared" si="30"/>
        <v>-1000</v>
      </c>
      <c r="K42" s="30">
        <f t="shared" si="30"/>
        <v>-1000</v>
      </c>
      <c r="L42" s="30">
        <f t="shared" si="30"/>
        <v>-1000</v>
      </c>
      <c r="M42" s="30">
        <f t="shared" si="30"/>
        <v>-1000</v>
      </c>
      <c r="N42" s="30">
        <f t="shared" si="30"/>
        <v>-1000</v>
      </c>
    </row>
    <row r="43">
      <c r="A43" s="37"/>
      <c r="B43" s="30"/>
      <c r="C43" s="30" t="str">
        <f t="shared" ref="C43:N43" si="31">$B$43</f>
        <v/>
      </c>
      <c r="D43" s="30" t="str">
        <f t="shared" si="31"/>
        <v/>
      </c>
      <c r="E43" s="30" t="str">
        <f t="shared" si="31"/>
        <v/>
      </c>
      <c r="F43" s="30" t="str">
        <f t="shared" si="31"/>
        <v/>
      </c>
      <c r="G43" s="30" t="str">
        <f t="shared" si="31"/>
        <v/>
      </c>
      <c r="H43" s="30" t="str">
        <f t="shared" si="31"/>
        <v/>
      </c>
      <c r="I43" s="30" t="str">
        <f t="shared" si="31"/>
        <v/>
      </c>
      <c r="J43" s="30" t="str">
        <f t="shared" si="31"/>
        <v/>
      </c>
      <c r="K43" s="30" t="str">
        <f t="shared" si="31"/>
        <v/>
      </c>
      <c r="L43" s="30" t="str">
        <f t="shared" si="31"/>
        <v/>
      </c>
      <c r="M43" s="30" t="str">
        <f t="shared" si="31"/>
        <v/>
      </c>
      <c r="N43" s="30" t="str">
        <f t="shared" si="31"/>
        <v/>
      </c>
    </row>
    <row r="44">
      <c r="A44" s="37"/>
      <c r="C44" s="37"/>
    </row>
    <row r="45" ht="25.5" customHeight="1">
      <c r="A45" s="52" t="s">
        <v>39</v>
      </c>
      <c r="C45" s="53">
        <f t="shared" ref="C45:N45" si="32">C32+C35</f>
        <v>64085</v>
      </c>
      <c r="D45" s="53">
        <f t="shared" si="32"/>
        <v>64085</v>
      </c>
      <c r="E45" s="53">
        <f t="shared" si="32"/>
        <v>64085</v>
      </c>
      <c r="F45" s="53">
        <f t="shared" si="32"/>
        <v>64085</v>
      </c>
      <c r="G45" s="53">
        <f t="shared" si="32"/>
        <v>64085</v>
      </c>
      <c r="H45" s="53">
        <f t="shared" si="32"/>
        <v>64085</v>
      </c>
      <c r="I45" s="53">
        <f t="shared" si="32"/>
        <v>64085</v>
      </c>
      <c r="J45" s="53">
        <f t="shared" si="32"/>
        <v>64085</v>
      </c>
      <c r="K45" s="53">
        <f t="shared" si="32"/>
        <v>64085</v>
      </c>
      <c r="L45" s="53">
        <f t="shared" si="32"/>
        <v>64085</v>
      </c>
      <c r="M45" s="53">
        <f t="shared" si="32"/>
        <v>64085</v>
      </c>
      <c r="N45" s="53">
        <f t="shared" si="32"/>
        <v>64085</v>
      </c>
    </row>
    <row r="46">
      <c r="A46" s="40" t="s">
        <v>40</v>
      </c>
      <c r="C46" s="44">
        <f t="shared" ref="C46:N46" si="33">C45/C2</f>
        <v>0.04747037037</v>
      </c>
      <c r="D46" s="44">
        <f t="shared" si="33"/>
        <v>0.04747037037</v>
      </c>
      <c r="E46" s="44">
        <f t="shared" si="33"/>
        <v>0.04747037037</v>
      </c>
      <c r="F46" s="44">
        <f t="shared" si="33"/>
        <v>0.04747037037</v>
      </c>
      <c r="G46" s="44">
        <f t="shared" si="33"/>
        <v>0.04747037037</v>
      </c>
      <c r="H46" s="44">
        <f t="shared" si="33"/>
        <v>0.04747037037</v>
      </c>
      <c r="I46" s="44">
        <f t="shared" si="33"/>
        <v>0.04747037037</v>
      </c>
      <c r="J46" s="44">
        <f t="shared" si="33"/>
        <v>0.04747037037</v>
      </c>
      <c r="K46" s="44">
        <f t="shared" si="33"/>
        <v>0.04747037037</v>
      </c>
      <c r="L46" s="44">
        <f t="shared" si="33"/>
        <v>0.04747037037</v>
      </c>
      <c r="M46" s="44">
        <f t="shared" si="33"/>
        <v>0.04747037037</v>
      </c>
      <c r="N46" s="44">
        <f t="shared" si="33"/>
        <v>0.04747037037</v>
      </c>
    </row>
    <row r="47">
      <c r="A47" s="22" t="s">
        <v>41</v>
      </c>
      <c r="B47" s="31">
        <v>-5500.0</v>
      </c>
      <c r="C47" s="30">
        <f t="shared" ref="C47:N47" si="34">$B$47</f>
        <v>-5500</v>
      </c>
      <c r="D47" s="30">
        <f t="shared" si="34"/>
        <v>-5500</v>
      </c>
      <c r="E47" s="30">
        <f t="shared" si="34"/>
        <v>-5500</v>
      </c>
      <c r="F47" s="30">
        <f t="shared" si="34"/>
        <v>-5500</v>
      </c>
      <c r="G47" s="30">
        <f t="shared" si="34"/>
        <v>-5500</v>
      </c>
      <c r="H47" s="30">
        <f t="shared" si="34"/>
        <v>-5500</v>
      </c>
      <c r="I47" s="30">
        <f t="shared" si="34"/>
        <v>-5500</v>
      </c>
      <c r="J47" s="30">
        <f t="shared" si="34"/>
        <v>-5500</v>
      </c>
      <c r="K47" s="30">
        <f t="shared" si="34"/>
        <v>-5500</v>
      </c>
      <c r="L47" s="30">
        <f t="shared" si="34"/>
        <v>-5500</v>
      </c>
      <c r="M47" s="30">
        <f t="shared" si="34"/>
        <v>-5500</v>
      </c>
      <c r="N47" s="30">
        <f t="shared" si="34"/>
        <v>-5500</v>
      </c>
    </row>
    <row r="48">
      <c r="A48" s="22" t="s">
        <v>42</v>
      </c>
      <c r="B48" s="31">
        <v>0.0</v>
      </c>
      <c r="C48" s="30">
        <f t="shared" ref="C48:N48" si="35">$B$48</f>
        <v>0</v>
      </c>
      <c r="D48" s="30">
        <f t="shared" si="35"/>
        <v>0</v>
      </c>
      <c r="E48" s="30">
        <f t="shared" si="35"/>
        <v>0</v>
      </c>
      <c r="F48" s="30">
        <f t="shared" si="35"/>
        <v>0</v>
      </c>
      <c r="G48" s="30">
        <f t="shared" si="35"/>
        <v>0</v>
      </c>
      <c r="H48" s="30">
        <f t="shared" si="35"/>
        <v>0</v>
      </c>
      <c r="I48" s="30">
        <f t="shared" si="35"/>
        <v>0</v>
      </c>
      <c r="J48" s="30">
        <f t="shared" si="35"/>
        <v>0</v>
      </c>
      <c r="K48" s="30">
        <f t="shared" si="35"/>
        <v>0</v>
      </c>
      <c r="L48" s="30">
        <f t="shared" si="35"/>
        <v>0</v>
      </c>
      <c r="M48" s="30">
        <f t="shared" si="35"/>
        <v>0</v>
      </c>
      <c r="N48" s="30">
        <f t="shared" si="35"/>
        <v>0</v>
      </c>
    </row>
    <row r="49">
      <c r="A49" s="22" t="s">
        <v>43</v>
      </c>
      <c r="B49" s="31">
        <v>-6500.0</v>
      </c>
      <c r="C49" s="30">
        <f t="shared" ref="C49:N49" si="36">$B$49</f>
        <v>-6500</v>
      </c>
      <c r="D49" s="30">
        <f t="shared" si="36"/>
        <v>-6500</v>
      </c>
      <c r="E49" s="30">
        <f t="shared" si="36"/>
        <v>-6500</v>
      </c>
      <c r="F49" s="30">
        <f t="shared" si="36"/>
        <v>-6500</v>
      </c>
      <c r="G49" s="30">
        <f t="shared" si="36"/>
        <v>-6500</v>
      </c>
      <c r="H49" s="30">
        <f t="shared" si="36"/>
        <v>-6500</v>
      </c>
      <c r="I49" s="30">
        <f t="shared" si="36"/>
        <v>-6500</v>
      </c>
      <c r="J49" s="30">
        <f t="shared" si="36"/>
        <v>-6500</v>
      </c>
      <c r="K49" s="30">
        <f t="shared" si="36"/>
        <v>-6500</v>
      </c>
      <c r="L49" s="30">
        <f t="shared" si="36"/>
        <v>-6500</v>
      </c>
      <c r="M49" s="30">
        <f t="shared" si="36"/>
        <v>-6500</v>
      </c>
      <c r="N49" s="30">
        <f t="shared" si="36"/>
        <v>-6500</v>
      </c>
    </row>
    <row r="50">
      <c r="A50" s="37"/>
      <c r="C50" s="37"/>
    </row>
    <row r="51" ht="24.75" customHeight="1">
      <c r="A51" s="46" t="s">
        <v>44</v>
      </c>
      <c r="C51" s="54">
        <f t="shared" ref="C51:N51" si="37">C45+C47+C48+C49</f>
        <v>52085</v>
      </c>
      <c r="D51" s="54">
        <f t="shared" si="37"/>
        <v>52085</v>
      </c>
      <c r="E51" s="54">
        <f t="shared" si="37"/>
        <v>52085</v>
      </c>
      <c r="F51" s="54">
        <f t="shared" si="37"/>
        <v>52085</v>
      </c>
      <c r="G51" s="54">
        <f t="shared" si="37"/>
        <v>52085</v>
      </c>
      <c r="H51" s="54">
        <f t="shared" si="37"/>
        <v>52085</v>
      </c>
      <c r="I51" s="54">
        <f t="shared" si="37"/>
        <v>52085</v>
      </c>
      <c r="J51" s="54">
        <f t="shared" si="37"/>
        <v>52085</v>
      </c>
      <c r="K51" s="54">
        <f t="shared" si="37"/>
        <v>52085</v>
      </c>
      <c r="L51" s="54">
        <f t="shared" si="37"/>
        <v>52085</v>
      </c>
      <c r="M51" s="54">
        <f t="shared" si="37"/>
        <v>52085</v>
      </c>
      <c r="N51" s="54">
        <f t="shared" si="37"/>
        <v>52085</v>
      </c>
    </row>
    <row r="52">
      <c r="A52" s="40" t="s">
        <v>45</v>
      </c>
      <c r="C52" s="44">
        <f t="shared" ref="C52:N52" si="38">C51/C2</f>
        <v>0.03858148148</v>
      </c>
      <c r="D52" s="44">
        <f t="shared" si="38"/>
        <v>0.03858148148</v>
      </c>
      <c r="E52" s="44">
        <f t="shared" si="38"/>
        <v>0.03858148148</v>
      </c>
      <c r="F52" s="44">
        <f t="shared" si="38"/>
        <v>0.03858148148</v>
      </c>
      <c r="G52" s="44">
        <f t="shared" si="38"/>
        <v>0.03858148148</v>
      </c>
      <c r="H52" s="44">
        <f t="shared" si="38"/>
        <v>0.03858148148</v>
      </c>
      <c r="I52" s="44">
        <f t="shared" si="38"/>
        <v>0.03858148148</v>
      </c>
      <c r="J52" s="44">
        <f t="shared" si="38"/>
        <v>0.03858148148</v>
      </c>
      <c r="K52" s="44">
        <f t="shared" si="38"/>
        <v>0.03858148148</v>
      </c>
      <c r="L52" s="44">
        <f t="shared" si="38"/>
        <v>0.03858148148</v>
      </c>
      <c r="M52" s="44">
        <f t="shared" si="38"/>
        <v>0.03858148148</v>
      </c>
      <c r="N52" s="44">
        <f t="shared" si="38"/>
        <v>0.03858148148</v>
      </c>
    </row>
    <row r="53">
      <c r="A53" s="22" t="s">
        <v>46</v>
      </c>
      <c r="C53" s="30">
        <f t="shared" ref="C53:N53" si="39">B53+C51</f>
        <v>52085</v>
      </c>
      <c r="D53" s="30">
        <f t="shared" si="39"/>
        <v>104170</v>
      </c>
      <c r="E53" s="30">
        <f t="shared" si="39"/>
        <v>156255</v>
      </c>
      <c r="F53" s="30">
        <f t="shared" si="39"/>
        <v>208340</v>
      </c>
      <c r="G53" s="30">
        <f t="shared" si="39"/>
        <v>260425</v>
      </c>
      <c r="H53" s="30">
        <f t="shared" si="39"/>
        <v>312510</v>
      </c>
      <c r="I53" s="30">
        <f t="shared" si="39"/>
        <v>364595</v>
      </c>
      <c r="J53" s="30">
        <f t="shared" si="39"/>
        <v>416680</v>
      </c>
      <c r="K53" s="30">
        <f t="shared" si="39"/>
        <v>468765</v>
      </c>
      <c r="L53" s="30">
        <f t="shared" si="39"/>
        <v>520850</v>
      </c>
      <c r="M53" s="30">
        <f t="shared" si="39"/>
        <v>572935</v>
      </c>
      <c r="N53" s="30">
        <f t="shared" si="39"/>
        <v>625020</v>
      </c>
    </row>
    <row r="54" ht="33.0" customHeight="1">
      <c r="A54" s="37"/>
      <c r="C54" s="37"/>
    </row>
    <row r="55" ht="29.25" customHeight="1">
      <c r="A55" s="46" t="s">
        <v>47</v>
      </c>
      <c r="C55" s="49">
        <f t="shared" ref="C55:N55" si="40">C61-C67</f>
        <v>-177750</v>
      </c>
      <c r="D55" s="49">
        <f t="shared" si="40"/>
        <v>-177750</v>
      </c>
      <c r="E55" s="49">
        <f t="shared" si="40"/>
        <v>-177750</v>
      </c>
      <c r="F55" s="49">
        <f t="shared" si="40"/>
        <v>-177750</v>
      </c>
      <c r="G55" s="49">
        <f t="shared" si="40"/>
        <v>-177750</v>
      </c>
      <c r="H55" s="49">
        <f t="shared" si="40"/>
        <v>-177750</v>
      </c>
      <c r="I55" s="49">
        <f t="shared" si="40"/>
        <v>-177750</v>
      </c>
      <c r="J55" s="49">
        <f t="shared" si="40"/>
        <v>-177750</v>
      </c>
      <c r="K55" s="49">
        <f t="shared" si="40"/>
        <v>-177750</v>
      </c>
      <c r="L55" s="49">
        <f t="shared" si="40"/>
        <v>-177750</v>
      </c>
      <c r="M55" s="49">
        <f t="shared" si="40"/>
        <v>-177750</v>
      </c>
      <c r="N55" s="49">
        <f t="shared" si="40"/>
        <v>-177750</v>
      </c>
    </row>
    <row r="56">
      <c r="A56" s="22" t="s">
        <v>84</v>
      </c>
      <c r="C56" s="30">
        <f t="shared" ref="C56:N56" si="41">C62-C68</f>
        <v>-177750</v>
      </c>
      <c r="D56" s="30">
        <f t="shared" si="41"/>
        <v>0</v>
      </c>
      <c r="E56" s="30">
        <f t="shared" si="41"/>
        <v>0</v>
      </c>
      <c r="F56" s="30">
        <f t="shared" si="41"/>
        <v>0</v>
      </c>
      <c r="G56" s="30">
        <f t="shared" si="41"/>
        <v>0</v>
      </c>
      <c r="H56" s="30">
        <f t="shared" si="41"/>
        <v>0</v>
      </c>
      <c r="I56" s="30">
        <f t="shared" si="41"/>
        <v>0</v>
      </c>
      <c r="J56" s="30">
        <f t="shared" si="41"/>
        <v>0</v>
      </c>
      <c r="K56" s="30">
        <f t="shared" si="41"/>
        <v>0</v>
      </c>
      <c r="L56" s="30">
        <f t="shared" si="41"/>
        <v>0</v>
      </c>
      <c r="M56" s="30">
        <f t="shared" si="41"/>
        <v>0</v>
      </c>
      <c r="N56" s="30">
        <f t="shared" si="41"/>
        <v>0</v>
      </c>
    </row>
    <row r="57">
      <c r="A57" s="37"/>
      <c r="C57" s="37"/>
    </row>
    <row r="58">
      <c r="A58" s="45" t="s">
        <v>49</v>
      </c>
      <c r="C58" s="45"/>
    </row>
    <row r="59">
      <c r="A59" s="22" t="s">
        <v>50</v>
      </c>
      <c r="B59" s="27">
        <v>5.0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</row>
    <row r="60">
      <c r="A60" s="22" t="s">
        <v>51</v>
      </c>
      <c r="C60" s="30">
        <f t="shared" ref="C60:N60" si="42">B61</f>
        <v>0</v>
      </c>
      <c r="D60" s="30">
        <f t="shared" si="42"/>
        <v>177750</v>
      </c>
      <c r="E60" s="30">
        <f t="shared" si="42"/>
        <v>177750</v>
      </c>
      <c r="F60" s="30">
        <f t="shared" si="42"/>
        <v>177750</v>
      </c>
      <c r="G60" s="30">
        <f t="shared" si="42"/>
        <v>177750</v>
      </c>
      <c r="H60" s="30">
        <f t="shared" si="42"/>
        <v>177750</v>
      </c>
      <c r="I60" s="30">
        <f t="shared" si="42"/>
        <v>177750</v>
      </c>
      <c r="J60" s="30">
        <f t="shared" si="42"/>
        <v>177750</v>
      </c>
      <c r="K60" s="30">
        <f t="shared" si="42"/>
        <v>177750</v>
      </c>
      <c r="L60" s="30">
        <f t="shared" si="42"/>
        <v>177750</v>
      </c>
      <c r="M60" s="30">
        <f t="shared" si="42"/>
        <v>177750</v>
      </c>
      <c r="N60" s="30">
        <f t="shared" si="42"/>
        <v>177750</v>
      </c>
    </row>
    <row r="61">
      <c r="A61" s="22" t="s">
        <v>52</v>
      </c>
      <c r="B61" s="27">
        <v>0.0</v>
      </c>
      <c r="C61" s="30">
        <f t="shared" ref="C61:N61" si="43">-C11*$B$59/30</f>
        <v>177750</v>
      </c>
      <c r="D61" s="30">
        <f t="shared" si="43"/>
        <v>177750</v>
      </c>
      <c r="E61" s="30">
        <f t="shared" si="43"/>
        <v>177750</v>
      </c>
      <c r="F61" s="30">
        <f t="shared" si="43"/>
        <v>177750</v>
      </c>
      <c r="G61" s="30">
        <f t="shared" si="43"/>
        <v>177750</v>
      </c>
      <c r="H61" s="30">
        <f t="shared" si="43"/>
        <v>177750</v>
      </c>
      <c r="I61" s="30">
        <f t="shared" si="43"/>
        <v>177750</v>
      </c>
      <c r="J61" s="30">
        <f t="shared" si="43"/>
        <v>177750</v>
      </c>
      <c r="K61" s="30">
        <f t="shared" si="43"/>
        <v>177750</v>
      </c>
      <c r="L61" s="30">
        <f t="shared" si="43"/>
        <v>177750</v>
      </c>
      <c r="M61" s="30">
        <f t="shared" si="43"/>
        <v>177750</v>
      </c>
      <c r="N61" s="30">
        <f t="shared" si="43"/>
        <v>177750</v>
      </c>
    </row>
    <row r="62">
      <c r="A62" s="22" t="s">
        <v>53</v>
      </c>
      <c r="C62" s="30">
        <f t="shared" ref="C62:N62" si="44">C61-C60</f>
        <v>177750</v>
      </c>
      <c r="D62" s="30">
        <f t="shared" si="44"/>
        <v>0</v>
      </c>
      <c r="E62" s="30">
        <f t="shared" si="44"/>
        <v>0</v>
      </c>
      <c r="F62" s="30">
        <f t="shared" si="44"/>
        <v>0</v>
      </c>
      <c r="G62" s="30">
        <f t="shared" si="44"/>
        <v>0</v>
      </c>
      <c r="H62" s="30">
        <f t="shared" si="44"/>
        <v>0</v>
      </c>
      <c r="I62" s="30">
        <f t="shared" si="44"/>
        <v>0</v>
      </c>
      <c r="J62" s="30">
        <f t="shared" si="44"/>
        <v>0</v>
      </c>
      <c r="K62" s="30">
        <f t="shared" si="44"/>
        <v>0</v>
      </c>
      <c r="L62" s="30">
        <f t="shared" si="44"/>
        <v>0</v>
      </c>
      <c r="M62" s="30">
        <f t="shared" si="44"/>
        <v>0</v>
      </c>
      <c r="N62" s="30">
        <f t="shared" si="44"/>
        <v>0</v>
      </c>
    </row>
    <row r="63">
      <c r="A63" s="37"/>
      <c r="C63" s="37"/>
    </row>
    <row r="64">
      <c r="A64" s="45" t="s">
        <v>54</v>
      </c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</row>
    <row r="65">
      <c r="A65" s="22" t="s">
        <v>55</v>
      </c>
      <c r="B65" s="27">
        <v>10.0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</row>
    <row r="66">
      <c r="A66" s="22" t="s">
        <v>56</v>
      </c>
      <c r="C66" s="30">
        <f t="shared" ref="C66:N66" si="45">B67</f>
        <v>0</v>
      </c>
      <c r="D66" s="30">
        <f t="shared" si="45"/>
        <v>355500</v>
      </c>
      <c r="E66" s="30">
        <f t="shared" si="45"/>
        <v>355500</v>
      </c>
      <c r="F66" s="30">
        <f t="shared" si="45"/>
        <v>355500</v>
      </c>
      <c r="G66" s="30">
        <f t="shared" si="45"/>
        <v>355500</v>
      </c>
      <c r="H66" s="30">
        <f t="shared" si="45"/>
        <v>355500</v>
      </c>
      <c r="I66" s="30">
        <f t="shared" si="45"/>
        <v>355500</v>
      </c>
      <c r="J66" s="30">
        <f t="shared" si="45"/>
        <v>355500</v>
      </c>
      <c r="K66" s="30">
        <f t="shared" si="45"/>
        <v>355500</v>
      </c>
      <c r="L66" s="30">
        <f t="shared" si="45"/>
        <v>355500</v>
      </c>
      <c r="M66" s="30">
        <f t="shared" si="45"/>
        <v>355500</v>
      </c>
      <c r="N66" s="30">
        <f t="shared" si="45"/>
        <v>355500</v>
      </c>
    </row>
    <row r="67">
      <c r="A67" s="22" t="s">
        <v>57</v>
      </c>
      <c r="B67" s="27">
        <v>0.0</v>
      </c>
      <c r="C67" s="30">
        <f t="shared" ref="C67:N67" si="46">-C11*$B$65/30</f>
        <v>355500</v>
      </c>
      <c r="D67" s="30">
        <f t="shared" si="46"/>
        <v>355500</v>
      </c>
      <c r="E67" s="30">
        <f t="shared" si="46"/>
        <v>355500</v>
      </c>
      <c r="F67" s="30">
        <f t="shared" si="46"/>
        <v>355500</v>
      </c>
      <c r="G67" s="30">
        <f t="shared" si="46"/>
        <v>355500</v>
      </c>
      <c r="H67" s="30">
        <f t="shared" si="46"/>
        <v>355500</v>
      </c>
      <c r="I67" s="30">
        <f t="shared" si="46"/>
        <v>355500</v>
      </c>
      <c r="J67" s="30">
        <f t="shared" si="46"/>
        <v>355500</v>
      </c>
      <c r="K67" s="30">
        <f t="shared" si="46"/>
        <v>355500</v>
      </c>
      <c r="L67" s="30">
        <f t="shared" si="46"/>
        <v>355500</v>
      </c>
      <c r="M67" s="30">
        <f t="shared" si="46"/>
        <v>355500</v>
      </c>
      <c r="N67" s="30">
        <f t="shared" si="46"/>
        <v>355500</v>
      </c>
    </row>
    <row r="68">
      <c r="A68" s="22" t="s">
        <v>58</v>
      </c>
      <c r="C68" s="30">
        <f t="shared" ref="C68:N68" si="47">C67-C66</f>
        <v>355500</v>
      </c>
      <c r="D68" s="30">
        <f t="shared" si="47"/>
        <v>0</v>
      </c>
      <c r="E68" s="30">
        <f t="shared" si="47"/>
        <v>0</v>
      </c>
      <c r="F68" s="30">
        <f t="shared" si="47"/>
        <v>0</v>
      </c>
      <c r="G68" s="30">
        <f t="shared" si="47"/>
        <v>0</v>
      </c>
      <c r="H68" s="30">
        <f t="shared" si="47"/>
        <v>0</v>
      </c>
      <c r="I68" s="30">
        <f t="shared" si="47"/>
        <v>0</v>
      </c>
      <c r="J68" s="30">
        <f t="shared" si="47"/>
        <v>0</v>
      </c>
      <c r="K68" s="30">
        <f t="shared" si="47"/>
        <v>0</v>
      </c>
      <c r="L68" s="30">
        <f t="shared" si="47"/>
        <v>0</v>
      </c>
      <c r="M68" s="30">
        <f t="shared" si="47"/>
        <v>0</v>
      </c>
      <c r="N68" s="30">
        <f t="shared" si="47"/>
        <v>0</v>
      </c>
    </row>
    <row r="69">
      <c r="A69" s="37"/>
      <c r="C69" s="37"/>
    </row>
    <row r="70" ht="29.25" customHeight="1">
      <c r="A70" s="46" t="s">
        <v>59</v>
      </c>
      <c r="C70" s="46"/>
    </row>
    <row r="71">
      <c r="A71" s="22" t="s">
        <v>60</v>
      </c>
      <c r="C71" s="30">
        <f t="shared" ref="C71:N71" si="48">B76</f>
        <v>0</v>
      </c>
      <c r="D71" s="30">
        <f t="shared" si="48"/>
        <v>236335</v>
      </c>
      <c r="E71" s="30">
        <f t="shared" si="48"/>
        <v>294920</v>
      </c>
      <c r="F71" s="30">
        <f t="shared" si="48"/>
        <v>353505</v>
      </c>
      <c r="G71" s="30">
        <f t="shared" si="48"/>
        <v>412090</v>
      </c>
      <c r="H71" s="30">
        <f t="shared" si="48"/>
        <v>470675</v>
      </c>
      <c r="I71" s="30">
        <f t="shared" si="48"/>
        <v>529260</v>
      </c>
      <c r="J71" s="30">
        <f t="shared" si="48"/>
        <v>587845</v>
      </c>
      <c r="K71" s="30">
        <f t="shared" si="48"/>
        <v>646430</v>
      </c>
      <c r="L71" s="30">
        <f t="shared" si="48"/>
        <v>705015</v>
      </c>
      <c r="M71" s="30">
        <f t="shared" si="48"/>
        <v>763600</v>
      </c>
      <c r="N71" s="30">
        <f t="shared" si="48"/>
        <v>822185</v>
      </c>
    </row>
    <row r="72">
      <c r="A72" s="22" t="s">
        <v>61</v>
      </c>
      <c r="C72" s="30">
        <f t="shared" ref="C72:N72" si="49">C45+C47-C56</f>
        <v>236335</v>
      </c>
      <c r="D72" s="30">
        <f t="shared" si="49"/>
        <v>58585</v>
      </c>
      <c r="E72" s="30">
        <f t="shared" si="49"/>
        <v>58585</v>
      </c>
      <c r="F72" s="30">
        <f t="shared" si="49"/>
        <v>58585</v>
      </c>
      <c r="G72" s="30">
        <f t="shared" si="49"/>
        <v>58585</v>
      </c>
      <c r="H72" s="30">
        <f t="shared" si="49"/>
        <v>58585</v>
      </c>
      <c r="I72" s="30">
        <f t="shared" si="49"/>
        <v>58585</v>
      </c>
      <c r="J72" s="30">
        <f t="shared" si="49"/>
        <v>58585</v>
      </c>
      <c r="K72" s="30">
        <f t="shared" si="49"/>
        <v>58585</v>
      </c>
      <c r="L72" s="30">
        <f t="shared" si="49"/>
        <v>58585</v>
      </c>
      <c r="M72" s="30">
        <f t="shared" si="49"/>
        <v>58585</v>
      </c>
      <c r="N72" s="30">
        <f t="shared" si="49"/>
        <v>58585</v>
      </c>
    </row>
    <row r="73">
      <c r="A73" s="22" t="s">
        <v>62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</row>
    <row r="74">
      <c r="A74" s="22" t="s">
        <v>63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</row>
    <row r="75">
      <c r="A75" s="22" t="s">
        <v>64</v>
      </c>
      <c r="C75" s="30">
        <f t="shared" ref="C75:N75" si="50">sum(C72:C74)</f>
        <v>236335</v>
      </c>
      <c r="D75" s="30">
        <f t="shared" si="50"/>
        <v>58585</v>
      </c>
      <c r="E75" s="30">
        <f t="shared" si="50"/>
        <v>58585</v>
      </c>
      <c r="F75" s="30">
        <f t="shared" si="50"/>
        <v>58585</v>
      </c>
      <c r="G75" s="30">
        <f t="shared" si="50"/>
        <v>58585</v>
      </c>
      <c r="H75" s="30">
        <f t="shared" si="50"/>
        <v>58585</v>
      </c>
      <c r="I75" s="30">
        <f t="shared" si="50"/>
        <v>58585</v>
      </c>
      <c r="J75" s="30">
        <f t="shared" si="50"/>
        <v>58585</v>
      </c>
      <c r="K75" s="30">
        <f t="shared" si="50"/>
        <v>58585</v>
      </c>
      <c r="L75" s="30">
        <f t="shared" si="50"/>
        <v>58585</v>
      </c>
      <c r="M75" s="30">
        <f t="shared" si="50"/>
        <v>58585</v>
      </c>
      <c r="N75" s="30">
        <f t="shared" si="50"/>
        <v>58585</v>
      </c>
    </row>
    <row r="76">
      <c r="A76" s="22" t="s">
        <v>65</v>
      </c>
      <c r="B76" s="47">
        <v>0.0</v>
      </c>
      <c r="C76" s="30">
        <f t="shared" ref="C76:N76" si="51">C71+C75</f>
        <v>236335</v>
      </c>
      <c r="D76" s="30">
        <f t="shared" si="51"/>
        <v>294920</v>
      </c>
      <c r="E76" s="30">
        <f t="shared" si="51"/>
        <v>353505</v>
      </c>
      <c r="F76" s="30">
        <f t="shared" si="51"/>
        <v>412090</v>
      </c>
      <c r="G76" s="30">
        <f t="shared" si="51"/>
        <v>470675</v>
      </c>
      <c r="H76" s="30">
        <f t="shared" si="51"/>
        <v>529260</v>
      </c>
      <c r="I76" s="30">
        <f t="shared" si="51"/>
        <v>587845</v>
      </c>
      <c r="J76" s="30">
        <f t="shared" si="51"/>
        <v>646430</v>
      </c>
      <c r="K76" s="30">
        <f t="shared" si="51"/>
        <v>705015</v>
      </c>
      <c r="L76" s="30">
        <f t="shared" si="51"/>
        <v>763600</v>
      </c>
      <c r="M76" s="30">
        <f t="shared" si="51"/>
        <v>822185</v>
      </c>
      <c r="N76" s="30">
        <f t="shared" si="51"/>
        <v>880770</v>
      </c>
    </row>
    <row r="77">
      <c r="A77" s="37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</row>
    <row r="78">
      <c r="A78" s="37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</row>
    <row r="79">
      <c r="A79" s="37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</row>
    <row r="80">
      <c r="A80" s="37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</row>
    <row r="81">
      <c r="A81" s="37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</row>
    <row r="82">
      <c r="A82" s="37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>
      <c r="A83" s="37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4">
      <c r="A84" s="37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>
      <c r="A85" s="37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</row>
    <row r="86">
      <c r="A86" s="37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</row>
    <row r="87">
      <c r="A87" s="37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</row>
    <row r="88">
      <c r="A88" s="37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>
      <c r="A89" s="37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</row>
    <row r="90">
      <c r="A90" s="37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</row>
    <row r="91">
      <c r="A91" s="37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</row>
    <row r="92">
      <c r="A92" s="37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</row>
    <row r="93">
      <c r="A93" s="37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</row>
    <row r="94">
      <c r="A94" s="37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</row>
    <row r="95">
      <c r="A95" s="37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</row>
    <row r="96">
      <c r="A96" s="37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</row>
    <row r="97">
      <c r="A97" s="37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>
      <c r="A98" s="37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</row>
    <row r="99">
      <c r="A99" s="37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</row>
    <row r="100">
      <c r="A100" s="37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</row>
    <row r="101">
      <c r="A101" s="37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</row>
    <row r="102">
      <c r="A102" s="37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</row>
    <row r="103">
      <c r="A103" s="37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</row>
    <row r="104">
      <c r="A104" s="37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</row>
    <row r="105">
      <c r="A105" s="37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</row>
    <row r="106">
      <c r="A106" s="37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</row>
    <row r="107">
      <c r="A107" s="37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</row>
    <row r="108">
      <c r="A108" s="37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</row>
    <row r="109">
      <c r="A109" s="37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</row>
    <row r="110">
      <c r="A110" s="37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>
      <c r="A111" s="37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</row>
    <row r="112">
      <c r="A112" s="37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</row>
    <row r="113">
      <c r="A113" s="37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</row>
    <row r="114">
      <c r="A114" s="37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</row>
    <row r="115">
      <c r="A115" s="37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</row>
    <row r="116">
      <c r="A116" s="37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</row>
    <row r="117">
      <c r="A117" s="37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</row>
    <row r="118">
      <c r="A118" s="37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</row>
    <row r="119">
      <c r="A119" s="37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</row>
    <row r="120">
      <c r="A120" s="37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</row>
    <row r="121">
      <c r="A121" s="37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</row>
    <row r="122">
      <c r="A122" s="37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</row>
    <row r="123">
      <c r="A123" s="37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</row>
    <row r="124">
      <c r="A124" s="37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</row>
    <row r="125">
      <c r="A125" s="37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</row>
    <row r="126">
      <c r="A126" s="37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</row>
    <row r="127">
      <c r="A127" s="37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</row>
    <row r="128">
      <c r="A128" s="37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29">
      <c r="A129" s="37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</row>
    <row r="130">
      <c r="A130" s="37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</row>
    <row r="131">
      <c r="A131" s="37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</row>
    <row r="132">
      <c r="A132" s="37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</row>
    <row r="133">
      <c r="A133" s="37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</row>
    <row r="134">
      <c r="A134" s="37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</row>
    <row r="135">
      <c r="A135" s="37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</row>
    <row r="136">
      <c r="A136" s="37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</row>
    <row r="137">
      <c r="A137" s="37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</row>
    <row r="138">
      <c r="A138" s="37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</row>
    <row r="139">
      <c r="A139" s="37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</row>
    <row r="140">
      <c r="A140" s="37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</row>
    <row r="141">
      <c r="A141" s="37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</row>
    <row r="142">
      <c r="A142" s="37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</row>
    <row r="143">
      <c r="A143" s="37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</row>
    <row r="144">
      <c r="A144" s="37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</row>
    <row r="145">
      <c r="A145" s="37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</row>
    <row r="146">
      <c r="A146" s="37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</row>
    <row r="147">
      <c r="A147" s="37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</row>
    <row r="148">
      <c r="A148" s="37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</row>
    <row r="149">
      <c r="A149" s="37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</row>
    <row r="150">
      <c r="A150" s="37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</row>
    <row r="151">
      <c r="A151" s="37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</row>
    <row r="152">
      <c r="A152" s="37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</row>
    <row r="153">
      <c r="A153" s="37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</row>
    <row r="154">
      <c r="A154" s="37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</row>
    <row r="155">
      <c r="A155" s="37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</row>
    <row r="156">
      <c r="A156" s="37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</row>
    <row r="157">
      <c r="A157" s="37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</row>
    <row r="158">
      <c r="A158" s="37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</row>
    <row r="159">
      <c r="A159" s="37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</row>
    <row r="160">
      <c r="A160" s="37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</row>
    <row r="161">
      <c r="A161" s="37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</row>
    <row r="162">
      <c r="A162" s="37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</row>
    <row r="163">
      <c r="A163" s="37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</row>
    <row r="164">
      <c r="A164" s="37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</row>
    <row r="165">
      <c r="A165" s="37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</row>
    <row r="166">
      <c r="A166" s="37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</row>
    <row r="167">
      <c r="A167" s="37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</row>
    <row r="168">
      <c r="A168" s="37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</row>
    <row r="169">
      <c r="A169" s="37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</row>
    <row r="170">
      <c r="A170" s="37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</row>
    <row r="171">
      <c r="A171" s="37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</row>
    <row r="172">
      <c r="A172" s="37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</row>
    <row r="173">
      <c r="A173" s="37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</row>
    <row r="174">
      <c r="A174" s="37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</row>
    <row r="175">
      <c r="A175" s="37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</row>
    <row r="176">
      <c r="A176" s="37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</row>
    <row r="177">
      <c r="A177" s="37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</row>
    <row r="178">
      <c r="A178" s="37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</row>
    <row r="179">
      <c r="A179" s="37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</row>
    <row r="180">
      <c r="A180" s="37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</row>
    <row r="181">
      <c r="A181" s="37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</row>
    <row r="182">
      <c r="A182" s="37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</row>
    <row r="183">
      <c r="A183" s="37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</row>
    <row r="184">
      <c r="A184" s="37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</row>
    <row r="185">
      <c r="A185" s="37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</row>
    <row r="186">
      <c r="A186" s="37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</row>
    <row r="187">
      <c r="A187" s="37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</row>
    <row r="188">
      <c r="A188" s="37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</row>
    <row r="189">
      <c r="A189" s="37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</row>
    <row r="190">
      <c r="A190" s="37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</row>
    <row r="191">
      <c r="A191" s="37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</row>
    <row r="192">
      <c r="A192" s="37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</row>
    <row r="193">
      <c r="A193" s="37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</row>
    <row r="194">
      <c r="A194" s="37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</row>
    <row r="195">
      <c r="A195" s="37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</row>
    <row r="196">
      <c r="A196" s="37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</row>
    <row r="197">
      <c r="A197" s="37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</row>
    <row r="198">
      <c r="A198" s="37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</row>
    <row r="199">
      <c r="A199" s="37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</row>
    <row r="200">
      <c r="A200" s="37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</row>
    <row r="201">
      <c r="A201" s="37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</row>
    <row r="202">
      <c r="A202" s="37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</row>
    <row r="203">
      <c r="A203" s="37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</row>
    <row r="204">
      <c r="A204" s="37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</row>
    <row r="205">
      <c r="A205" s="37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</row>
    <row r="206">
      <c r="A206" s="37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</row>
    <row r="207">
      <c r="A207" s="37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</row>
    <row r="208">
      <c r="A208" s="37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</row>
    <row r="209">
      <c r="A209" s="37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</row>
    <row r="210">
      <c r="A210" s="37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>
      <c r="A211" s="37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</row>
    <row r="212">
      <c r="A212" s="37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</row>
    <row r="213">
      <c r="A213" s="37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</row>
    <row r="214">
      <c r="A214" s="37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</row>
    <row r="215">
      <c r="A215" s="37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</row>
    <row r="216">
      <c r="A216" s="37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</row>
    <row r="217">
      <c r="A217" s="37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>
      <c r="A218" s="37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</row>
    <row r="219">
      <c r="A219" s="37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</row>
    <row r="220">
      <c r="A220" s="37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</row>
    <row r="221">
      <c r="A221" s="37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</row>
    <row r="222">
      <c r="A222" s="37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</row>
    <row r="223">
      <c r="A223" s="37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</row>
    <row r="224">
      <c r="A224" s="37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</row>
    <row r="225">
      <c r="A225" s="37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</row>
    <row r="226">
      <c r="A226" s="37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</row>
    <row r="227">
      <c r="A227" s="37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</row>
    <row r="228">
      <c r="A228" s="37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</row>
    <row r="229">
      <c r="A229" s="37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</row>
    <row r="230">
      <c r="A230" s="37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</row>
    <row r="231">
      <c r="A231" s="37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</row>
    <row r="232">
      <c r="A232" s="37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</row>
    <row r="233">
      <c r="A233" s="37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</row>
    <row r="234">
      <c r="A234" s="37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</row>
    <row r="235">
      <c r="A235" s="37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</row>
    <row r="236">
      <c r="A236" s="37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</row>
    <row r="237">
      <c r="A237" s="37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</row>
    <row r="238">
      <c r="A238" s="37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</row>
    <row r="239">
      <c r="A239" s="37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</row>
    <row r="240">
      <c r="A240" s="37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</row>
    <row r="241">
      <c r="A241" s="37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</row>
    <row r="242">
      <c r="A242" s="37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</row>
    <row r="243">
      <c r="A243" s="37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</row>
    <row r="244">
      <c r="A244" s="37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</row>
    <row r="245">
      <c r="A245" s="37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</row>
    <row r="246">
      <c r="A246" s="37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</row>
    <row r="247">
      <c r="A247" s="37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</row>
    <row r="248">
      <c r="A248" s="37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</row>
    <row r="249">
      <c r="A249" s="37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</row>
    <row r="250">
      <c r="A250" s="37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</row>
    <row r="251">
      <c r="A251" s="37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</row>
    <row r="252">
      <c r="A252" s="37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</row>
    <row r="253">
      <c r="A253" s="37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</row>
    <row r="254">
      <c r="A254" s="37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</row>
    <row r="255">
      <c r="A255" s="37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</row>
    <row r="256">
      <c r="A256" s="37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</row>
    <row r="257">
      <c r="A257" s="37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</row>
    <row r="258">
      <c r="A258" s="37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</row>
    <row r="259">
      <c r="A259" s="37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</row>
    <row r="260">
      <c r="A260" s="37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</row>
    <row r="261">
      <c r="A261" s="37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</row>
    <row r="262">
      <c r="A262" s="37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</row>
    <row r="263">
      <c r="A263" s="37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</row>
    <row r="264">
      <c r="A264" s="37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</row>
    <row r="265">
      <c r="A265" s="37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</row>
    <row r="266">
      <c r="A266" s="37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</row>
    <row r="267">
      <c r="A267" s="37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</row>
    <row r="268">
      <c r="A268" s="37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</row>
    <row r="269">
      <c r="A269" s="37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</row>
    <row r="270">
      <c r="A270" s="37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</row>
    <row r="271">
      <c r="A271" s="37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</row>
    <row r="272">
      <c r="A272" s="37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</row>
    <row r="273">
      <c r="A273" s="37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</row>
    <row r="274">
      <c r="A274" s="37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</row>
    <row r="275">
      <c r="A275" s="37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</row>
    <row r="276">
      <c r="A276" s="37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</row>
    <row r="277">
      <c r="A277" s="37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</row>
    <row r="278">
      <c r="A278" s="37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</row>
    <row r="279">
      <c r="A279" s="37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</row>
    <row r="280">
      <c r="A280" s="37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</row>
    <row r="281">
      <c r="A281" s="37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</row>
    <row r="282">
      <c r="A282" s="37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</row>
    <row r="283">
      <c r="A283" s="37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</row>
    <row r="284">
      <c r="A284" s="37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</row>
    <row r="285">
      <c r="A285" s="37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</row>
  </sheetData>
  <mergeCells count="52">
    <mergeCell ref="A6:B6"/>
    <mergeCell ref="A8:B8"/>
    <mergeCell ref="A11:B11"/>
    <mergeCell ref="A14:B14"/>
    <mergeCell ref="A15:B15"/>
    <mergeCell ref="C15:N15"/>
    <mergeCell ref="A16:B16"/>
    <mergeCell ref="A17:B17"/>
    <mergeCell ref="A18:B18"/>
    <mergeCell ref="C18:N18"/>
    <mergeCell ref="A19:B19"/>
    <mergeCell ref="A31:B31"/>
    <mergeCell ref="C31:N31"/>
    <mergeCell ref="A32:B32"/>
    <mergeCell ref="A33:B33"/>
    <mergeCell ref="A34:B34"/>
    <mergeCell ref="C34:N34"/>
    <mergeCell ref="A35:B35"/>
    <mergeCell ref="A41:B41"/>
    <mergeCell ref="A44:B44"/>
    <mergeCell ref="C44:N44"/>
    <mergeCell ref="A45:B45"/>
    <mergeCell ref="A46:B46"/>
    <mergeCell ref="A50:B50"/>
    <mergeCell ref="C50:N50"/>
    <mergeCell ref="A51:B51"/>
    <mergeCell ref="A52:B52"/>
    <mergeCell ref="A53:B53"/>
    <mergeCell ref="C63:N63"/>
    <mergeCell ref="C69:N69"/>
    <mergeCell ref="C70:N70"/>
    <mergeCell ref="A54:B54"/>
    <mergeCell ref="C54:N54"/>
    <mergeCell ref="A55:B55"/>
    <mergeCell ref="A56:B56"/>
    <mergeCell ref="A57:B57"/>
    <mergeCell ref="C57:N57"/>
    <mergeCell ref="C58:N58"/>
    <mergeCell ref="A69:B69"/>
    <mergeCell ref="A70:B70"/>
    <mergeCell ref="A71:B71"/>
    <mergeCell ref="A72:B72"/>
    <mergeCell ref="A73:B73"/>
    <mergeCell ref="A74:B74"/>
    <mergeCell ref="A75:B75"/>
    <mergeCell ref="A58:B58"/>
    <mergeCell ref="A60:B60"/>
    <mergeCell ref="A62:B62"/>
    <mergeCell ref="A63:B63"/>
    <mergeCell ref="A64:B64"/>
    <mergeCell ref="A66:B66"/>
    <mergeCell ref="A68:B68"/>
  </mergeCells>
  <conditionalFormatting sqref="C51:N51">
    <cfRule type="cellIs" dxfId="0" priority="1" operator="greaterThan">
      <formula>0</formula>
    </cfRule>
  </conditionalFormatting>
  <conditionalFormatting sqref="C51:N51">
    <cfRule type="cellIs" dxfId="1" priority="2" operator="lessThanOrEqual">
      <formula>0</formula>
    </cfRule>
  </conditionalFormatting>
  <conditionalFormatting sqref="C53:N53">
    <cfRule type="cellIs" dxfId="0" priority="3" operator="greaterThan">
      <formula>0</formula>
    </cfRule>
  </conditionalFormatting>
  <conditionalFormatting sqref="C53:N53">
    <cfRule type="cellIs" dxfId="1" priority="4" operator="lessThanOrEqual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8.38"/>
    <col customWidth="1" min="2" max="14" width="11.13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</row>
    <row r="2" ht="29.25" customHeight="1">
      <c r="A2" s="46" t="s">
        <v>14</v>
      </c>
      <c r="B2" s="48">
        <f>sum(C2:N2)</f>
        <v>16200000</v>
      </c>
      <c r="C2" s="49">
        <f t="shared" ref="C2:N2" si="1">C8*$B$9</f>
        <v>1350000</v>
      </c>
      <c r="D2" s="49">
        <f t="shared" si="1"/>
        <v>1350000</v>
      </c>
      <c r="E2" s="49">
        <f t="shared" si="1"/>
        <v>1350000</v>
      </c>
      <c r="F2" s="49">
        <f t="shared" si="1"/>
        <v>1350000</v>
      </c>
      <c r="G2" s="49">
        <f t="shared" si="1"/>
        <v>1350000</v>
      </c>
      <c r="H2" s="49">
        <f t="shared" si="1"/>
        <v>1350000</v>
      </c>
      <c r="I2" s="49">
        <f t="shared" si="1"/>
        <v>1350000</v>
      </c>
      <c r="J2" s="49">
        <f t="shared" si="1"/>
        <v>1350000</v>
      </c>
      <c r="K2" s="49">
        <f t="shared" si="1"/>
        <v>1350000</v>
      </c>
      <c r="L2" s="49">
        <f t="shared" si="1"/>
        <v>1350000</v>
      </c>
      <c r="M2" s="49">
        <f t="shared" si="1"/>
        <v>1350000</v>
      </c>
      <c r="N2" s="49">
        <f t="shared" si="1"/>
        <v>1350000</v>
      </c>
    </row>
    <row r="3">
      <c r="A3" s="26" t="s">
        <v>85</v>
      </c>
      <c r="B3" s="27">
        <v>20000.0</v>
      </c>
      <c r="C3" s="28">
        <f t="shared" ref="C3:N3" si="2">B3+B3*$B$4</f>
        <v>20000</v>
      </c>
      <c r="D3" s="28">
        <f t="shared" si="2"/>
        <v>20000</v>
      </c>
      <c r="E3" s="28">
        <f t="shared" si="2"/>
        <v>20000</v>
      </c>
      <c r="F3" s="28">
        <f t="shared" si="2"/>
        <v>20000</v>
      </c>
      <c r="G3" s="28">
        <f t="shared" si="2"/>
        <v>20000</v>
      </c>
      <c r="H3" s="28">
        <f t="shared" si="2"/>
        <v>20000</v>
      </c>
      <c r="I3" s="28">
        <f t="shared" si="2"/>
        <v>20000</v>
      </c>
      <c r="J3" s="28">
        <f t="shared" si="2"/>
        <v>20000</v>
      </c>
      <c r="K3" s="28">
        <f t="shared" si="2"/>
        <v>20000</v>
      </c>
      <c r="L3" s="28">
        <f t="shared" si="2"/>
        <v>20000</v>
      </c>
      <c r="M3" s="28">
        <f t="shared" si="2"/>
        <v>20000</v>
      </c>
      <c r="N3" s="28">
        <f t="shared" si="2"/>
        <v>20000</v>
      </c>
    </row>
    <row r="4">
      <c r="A4" s="22" t="s">
        <v>18</v>
      </c>
      <c r="B4" s="29">
        <v>0.0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>
      <c r="A5" s="22" t="s">
        <v>19</v>
      </c>
      <c r="B5" s="29">
        <v>0.03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>
      <c r="A6" s="26" t="s">
        <v>86</v>
      </c>
      <c r="C6" s="26">
        <f t="shared" ref="C6:N6" si="3">C3*$B$5</f>
        <v>600</v>
      </c>
      <c r="D6" s="26">
        <f t="shared" si="3"/>
        <v>600</v>
      </c>
      <c r="E6" s="26">
        <f t="shared" si="3"/>
        <v>600</v>
      </c>
      <c r="F6" s="26">
        <f t="shared" si="3"/>
        <v>600</v>
      </c>
      <c r="G6" s="26">
        <f t="shared" si="3"/>
        <v>600</v>
      </c>
      <c r="H6" s="26">
        <f t="shared" si="3"/>
        <v>600</v>
      </c>
      <c r="I6" s="26">
        <f t="shared" si="3"/>
        <v>600</v>
      </c>
      <c r="J6" s="26">
        <f t="shared" si="3"/>
        <v>600</v>
      </c>
      <c r="K6" s="26">
        <f t="shared" si="3"/>
        <v>600</v>
      </c>
      <c r="L6" s="26">
        <f t="shared" si="3"/>
        <v>600</v>
      </c>
      <c r="M6" s="26">
        <f t="shared" si="3"/>
        <v>600</v>
      </c>
      <c r="N6" s="26">
        <f t="shared" si="3"/>
        <v>600</v>
      </c>
    </row>
    <row r="7">
      <c r="A7" s="22" t="s">
        <v>21</v>
      </c>
      <c r="B7" s="29">
        <v>0.75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>
      <c r="A8" s="26" t="s">
        <v>22</v>
      </c>
      <c r="C8" s="26">
        <f t="shared" ref="C8:N8" si="4">C6*$B$7</f>
        <v>450</v>
      </c>
      <c r="D8" s="26">
        <f t="shared" si="4"/>
        <v>450</v>
      </c>
      <c r="E8" s="26">
        <f t="shared" si="4"/>
        <v>450</v>
      </c>
      <c r="F8" s="26">
        <f t="shared" si="4"/>
        <v>450</v>
      </c>
      <c r="G8" s="26">
        <f t="shared" si="4"/>
        <v>450</v>
      </c>
      <c r="H8" s="26">
        <f t="shared" si="4"/>
        <v>450</v>
      </c>
      <c r="I8" s="26">
        <f t="shared" si="4"/>
        <v>450</v>
      </c>
      <c r="J8" s="26">
        <f t="shared" si="4"/>
        <v>450</v>
      </c>
      <c r="K8" s="26">
        <f t="shared" si="4"/>
        <v>450</v>
      </c>
      <c r="L8" s="26">
        <f t="shared" si="4"/>
        <v>450</v>
      </c>
      <c r="M8" s="26">
        <f t="shared" si="4"/>
        <v>450</v>
      </c>
      <c r="N8" s="26">
        <f t="shared" si="4"/>
        <v>450</v>
      </c>
    </row>
    <row r="9">
      <c r="A9" s="22" t="s">
        <v>66</v>
      </c>
      <c r="B9" s="31">
        <v>3000.0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>
      <c r="A10" s="22" t="s">
        <v>25</v>
      </c>
      <c r="B10" s="29">
        <v>0.21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>
      <c r="A11" s="50" t="s">
        <v>26</v>
      </c>
      <c r="C11" s="51">
        <f t="shared" ref="C11:N11" si="5">-C2*(1-$B$10)</f>
        <v>-1066500</v>
      </c>
      <c r="D11" s="51">
        <f t="shared" si="5"/>
        <v>-1066500</v>
      </c>
      <c r="E11" s="51">
        <f t="shared" si="5"/>
        <v>-1066500</v>
      </c>
      <c r="F11" s="51">
        <f t="shared" si="5"/>
        <v>-1066500</v>
      </c>
      <c r="G11" s="51">
        <f t="shared" si="5"/>
        <v>-1066500</v>
      </c>
      <c r="H11" s="51">
        <f t="shared" si="5"/>
        <v>-1066500</v>
      </c>
      <c r="I11" s="51">
        <f t="shared" si="5"/>
        <v>-1066500</v>
      </c>
      <c r="J11" s="51">
        <f t="shared" si="5"/>
        <v>-1066500</v>
      </c>
      <c r="K11" s="51">
        <f t="shared" si="5"/>
        <v>-1066500</v>
      </c>
      <c r="L11" s="51">
        <f t="shared" si="5"/>
        <v>-1066500</v>
      </c>
      <c r="M11" s="51">
        <f t="shared" si="5"/>
        <v>-1066500</v>
      </c>
      <c r="N11" s="51">
        <f t="shared" si="5"/>
        <v>-1066500</v>
      </c>
    </row>
    <row r="12">
      <c r="A12" s="22" t="s">
        <v>27</v>
      </c>
      <c r="B12" s="29">
        <v>0.3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>
      <c r="A13" s="22" t="s">
        <v>28</v>
      </c>
      <c r="B13" s="34">
        <v>0.0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>
      <c r="A14" s="22" t="s">
        <v>29</v>
      </c>
      <c r="C14" s="30">
        <f t="shared" ref="C14:N14" si="6">-C3*$B$13</f>
        <v>0</v>
      </c>
      <c r="D14" s="30">
        <f t="shared" si="6"/>
        <v>0</v>
      </c>
      <c r="E14" s="30">
        <f t="shared" si="6"/>
        <v>0</v>
      </c>
      <c r="F14" s="30">
        <f t="shared" si="6"/>
        <v>0</v>
      </c>
      <c r="G14" s="30">
        <f t="shared" si="6"/>
        <v>0</v>
      </c>
      <c r="H14" s="30">
        <f t="shared" si="6"/>
        <v>0</v>
      </c>
      <c r="I14" s="30">
        <f t="shared" si="6"/>
        <v>0</v>
      </c>
      <c r="J14" s="30">
        <f t="shared" si="6"/>
        <v>0</v>
      </c>
      <c r="K14" s="30">
        <f t="shared" si="6"/>
        <v>0</v>
      </c>
      <c r="L14" s="30">
        <f t="shared" si="6"/>
        <v>0</v>
      </c>
      <c r="M14" s="30">
        <f t="shared" si="6"/>
        <v>0</v>
      </c>
      <c r="N14" s="30">
        <f t="shared" si="6"/>
        <v>0</v>
      </c>
    </row>
    <row r="15">
      <c r="A15" s="37"/>
      <c r="C15" s="37"/>
    </row>
    <row r="16" ht="25.5" customHeight="1">
      <c r="A16" s="52" t="s">
        <v>30</v>
      </c>
      <c r="C16" s="53">
        <f t="shared" ref="C16:N16" si="7">C2+C11</f>
        <v>283500</v>
      </c>
      <c r="D16" s="53">
        <f t="shared" si="7"/>
        <v>283500</v>
      </c>
      <c r="E16" s="53">
        <f t="shared" si="7"/>
        <v>283500</v>
      </c>
      <c r="F16" s="53">
        <f t="shared" si="7"/>
        <v>283500</v>
      </c>
      <c r="G16" s="53">
        <f t="shared" si="7"/>
        <v>283500</v>
      </c>
      <c r="H16" s="53">
        <f t="shared" si="7"/>
        <v>283500</v>
      </c>
      <c r="I16" s="53">
        <f t="shared" si="7"/>
        <v>283500</v>
      </c>
      <c r="J16" s="53">
        <f t="shared" si="7"/>
        <v>283500</v>
      </c>
      <c r="K16" s="53">
        <f t="shared" si="7"/>
        <v>283500</v>
      </c>
      <c r="L16" s="53">
        <f t="shared" si="7"/>
        <v>283500</v>
      </c>
      <c r="M16" s="53">
        <f t="shared" si="7"/>
        <v>283500</v>
      </c>
      <c r="N16" s="53">
        <f t="shared" si="7"/>
        <v>283500</v>
      </c>
    </row>
    <row r="17">
      <c r="A17" s="40" t="s">
        <v>31</v>
      </c>
      <c r="C17" s="41">
        <f t="shared" ref="C17:N17" si="8">C16/C2</f>
        <v>0.21</v>
      </c>
      <c r="D17" s="41">
        <f t="shared" si="8"/>
        <v>0.21</v>
      </c>
      <c r="E17" s="41">
        <f t="shared" si="8"/>
        <v>0.21</v>
      </c>
      <c r="F17" s="41">
        <f t="shared" si="8"/>
        <v>0.21</v>
      </c>
      <c r="G17" s="41">
        <f t="shared" si="8"/>
        <v>0.21</v>
      </c>
      <c r="H17" s="41">
        <f t="shared" si="8"/>
        <v>0.21</v>
      </c>
      <c r="I17" s="41">
        <f t="shared" si="8"/>
        <v>0.21</v>
      </c>
      <c r="J17" s="41">
        <f t="shared" si="8"/>
        <v>0.21</v>
      </c>
      <c r="K17" s="41">
        <f t="shared" si="8"/>
        <v>0.21</v>
      </c>
      <c r="L17" s="41">
        <f t="shared" si="8"/>
        <v>0.21</v>
      </c>
      <c r="M17" s="41">
        <f t="shared" si="8"/>
        <v>0.21</v>
      </c>
      <c r="N17" s="41">
        <f t="shared" si="8"/>
        <v>0.21</v>
      </c>
    </row>
    <row r="18">
      <c r="A18" s="37"/>
      <c r="C18" s="37"/>
    </row>
    <row r="19" ht="25.5" customHeight="1">
      <c r="A19" s="46" t="s">
        <v>32</v>
      </c>
      <c r="C19" s="54">
        <f t="shared" ref="C19:N19" si="9">sum(C20:C30)</f>
        <v>-151315</v>
      </c>
      <c r="D19" s="54">
        <f t="shared" si="9"/>
        <v>-151315</v>
      </c>
      <c r="E19" s="54">
        <f t="shared" si="9"/>
        <v>-151315</v>
      </c>
      <c r="F19" s="54">
        <f t="shared" si="9"/>
        <v>-151315</v>
      </c>
      <c r="G19" s="54">
        <f t="shared" si="9"/>
        <v>-151315</v>
      </c>
      <c r="H19" s="54">
        <f t="shared" si="9"/>
        <v>-151315</v>
      </c>
      <c r="I19" s="54">
        <f t="shared" si="9"/>
        <v>-151315</v>
      </c>
      <c r="J19" s="54">
        <f t="shared" si="9"/>
        <v>-151315</v>
      </c>
      <c r="K19" s="54">
        <f t="shared" si="9"/>
        <v>-151315</v>
      </c>
      <c r="L19" s="54">
        <f t="shared" si="9"/>
        <v>-151315</v>
      </c>
      <c r="M19" s="54">
        <f t="shared" si="9"/>
        <v>-151315</v>
      </c>
      <c r="N19" s="54">
        <f t="shared" si="9"/>
        <v>-151315</v>
      </c>
    </row>
    <row r="20">
      <c r="A20" s="22" t="s">
        <v>67</v>
      </c>
      <c r="B20" s="43">
        <v>0.023</v>
      </c>
      <c r="C20" s="30">
        <f t="shared" ref="C20:N20" si="10">-C2*$B$12*$B$20</f>
        <v>-9315</v>
      </c>
      <c r="D20" s="30">
        <f t="shared" si="10"/>
        <v>-9315</v>
      </c>
      <c r="E20" s="30">
        <f t="shared" si="10"/>
        <v>-9315</v>
      </c>
      <c r="F20" s="30">
        <f t="shared" si="10"/>
        <v>-9315</v>
      </c>
      <c r="G20" s="30">
        <f t="shared" si="10"/>
        <v>-9315</v>
      </c>
      <c r="H20" s="30">
        <f t="shared" si="10"/>
        <v>-9315</v>
      </c>
      <c r="I20" s="30">
        <f t="shared" si="10"/>
        <v>-9315</v>
      </c>
      <c r="J20" s="30">
        <f t="shared" si="10"/>
        <v>-9315</v>
      </c>
      <c r="K20" s="30">
        <f t="shared" si="10"/>
        <v>-9315</v>
      </c>
      <c r="L20" s="30">
        <f t="shared" si="10"/>
        <v>-9315</v>
      </c>
      <c r="M20" s="30">
        <f t="shared" si="10"/>
        <v>-9315</v>
      </c>
      <c r="N20" s="30">
        <f t="shared" si="10"/>
        <v>-9315</v>
      </c>
    </row>
    <row r="21">
      <c r="A21" s="22" t="s">
        <v>68</v>
      </c>
      <c r="B21" s="34">
        <v>-40000.0</v>
      </c>
      <c r="C21" s="30">
        <f t="shared" ref="C21:N21" si="11">$B$21</f>
        <v>-40000</v>
      </c>
      <c r="D21" s="30">
        <f t="shared" si="11"/>
        <v>-40000</v>
      </c>
      <c r="E21" s="30">
        <f t="shared" si="11"/>
        <v>-40000</v>
      </c>
      <c r="F21" s="30">
        <f t="shared" si="11"/>
        <v>-40000</v>
      </c>
      <c r="G21" s="30">
        <f t="shared" si="11"/>
        <v>-40000</v>
      </c>
      <c r="H21" s="30">
        <f t="shared" si="11"/>
        <v>-40000</v>
      </c>
      <c r="I21" s="30">
        <f t="shared" si="11"/>
        <v>-40000</v>
      </c>
      <c r="J21" s="30">
        <f t="shared" si="11"/>
        <v>-40000</v>
      </c>
      <c r="K21" s="30">
        <f t="shared" si="11"/>
        <v>-40000</v>
      </c>
      <c r="L21" s="30">
        <f t="shared" si="11"/>
        <v>-40000</v>
      </c>
      <c r="M21" s="30">
        <f t="shared" si="11"/>
        <v>-40000</v>
      </c>
      <c r="N21" s="30">
        <f t="shared" si="11"/>
        <v>-40000</v>
      </c>
    </row>
    <row r="22">
      <c r="A22" s="22" t="s">
        <v>69</v>
      </c>
      <c r="B22" s="34">
        <v>0.0</v>
      </c>
      <c r="C22" s="30">
        <f t="shared" ref="C22:N22" si="12">$B$22</f>
        <v>0</v>
      </c>
      <c r="D22" s="30">
        <f t="shared" si="12"/>
        <v>0</v>
      </c>
      <c r="E22" s="30">
        <f t="shared" si="12"/>
        <v>0</v>
      </c>
      <c r="F22" s="30">
        <f t="shared" si="12"/>
        <v>0</v>
      </c>
      <c r="G22" s="30">
        <f t="shared" si="12"/>
        <v>0</v>
      </c>
      <c r="H22" s="30">
        <f t="shared" si="12"/>
        <v>0</v>
      </c>
      <c r="I22" s="30">
        <f t="shared" si="12"/>
        <v>0</v>
      </c>
      <c r="J22" s="30">
        <f t="shared" si="12"/>
        <v>0</v>
      </c>
      <c r="K22" s="30">
        <f t="shared" si="12"/>
        <v>0</v>
      </c>
      <c r="L22" s="30">
        <f t="shared" si="12"/>
        <v>0</v>
      </c>
      <c r="M22" s="30">
        <f t="shared" si="12"/>
        <v>0</v>
      </c>
      <c r="N22" s="30">
        <f t="shared" si="12"/>
        <v>0</v>
      </c>
    </row>
    <row r="23">
      <c r="A23" s="22" t="s">
        <v>70</v>
      </c>
      <c r="B23" s="34">
        <v>0.0</v>
      </c>
      <c r="C23" s="30">
        <f t="shared" ref="C23:N23" si="13">$B$23</f>
        <v>0</v>
      </c>
      <c r="D23" s="30">
        <f t="shared" si="13"/>
        <v>0</v>
      </c>
      <c r="E23" s="30">
        <f t="shared" si="13"/>
        <v>0</v>
      </c>
      <c r="F23" s="30">
        <f t="shared" si="13"/>
        <v>0</v>
      </c>
      <c r="G23" s="30">
        <f t="shared" si="13"/>
        <v>0</v>
      </c>
      <c r="H23" s="30">
        <f t="shared" si="13"/>
        <v>0</v>
      </c>
      <c r="I23" s="30">
        <f t="shared" si="13"/>
        <v>0</v>
      </c>
      <c r="J23" s="30">
        <f t="shared" si="13"/>
        <v>0</v>
      </c>
      <c r="K23" s="30">
        <f t="shared" si="13"/>
        <v>0</v>
      </c>
      <c r="L23" s="30">
        <f t="shared" si="13"/>
        <v>0</v>
      </c>
      <c r="M23" s="30">
        <f t="shared" si="13"/>
        <v>0</v>
      </c>
      <c r="N23" s="30">
        <f t="shared" si="13"/>
        <v>0</v>
      </c>
    </row>
    <row r="24">
      <c r="A24" s="22" t="s">
        <v>71</v>
      </c>
      <c r="B24" s="34">
        <v>-4000.0</v>
      </c>
      <c r="C24" s="30">
        <f t="shared" ref="C24:N24" si="14">$B$24</f>
        <v>-4000</v>
      </c>
      <c r="D24" s="30">
        <f t="shared" si="14"/>
        <v>-4000</v>
      </c>
      <c r="E24" s="30">
        <f t="shared" si="14"/>
        <v>-4000</v>
      </c>
      <c r="F24" s="30">
        <f t="shared" si="14"/>
        <v>-4000</v>
      </c>
      <c r="G24" s="30">
        <f t="shared" si="14"/>
        <v>-4000</v>
      </c>
      <c r="H24" s="30">
        <f t="shared" si="14"/>
        <v>-4000</v>
      </c>
      <c r="I24" s="30">
        <f t="shared" si="14"/>
        <v>-4000</v>
      </c>
      <c r="J24" s="30">
        <f t="shared" si="14"/>
        <v>-4000</v>
      </c>
      <c r="K24" s="30">
        <f t="shared" si="14"/>
        <v>-4000</v>
      </c>
      <c r="L24" s="30">
        <f t="shared" si="14"/>
        <v>-4000</v>
      </c>
      <c r="M24" s="30">
        <f t="shared" si="14"/>
        <v>-4000</v>
      </c>
      <c r="N24" s="30">
        <f t="shared" si="14"/>
        <v>-4000</v>
      </c>
    </row>
    <row r="25">
      <c r="A25" s="22" t="s">
        <v>72</v>
      </c>
      <c r="B25" s="34">
        <v>-75000.0</v>
      </c>
      <c r="C25" s="30">
        <f t="shared" ref="C25:N25" si="15">$B$25</f>
        <v>-75000</v>
      </c>
      <c r="D25" s="30">
        <f t="shared" si="15"/>
        <v>-75000</v>
      </c>
      <c r="E25" s="30">
        <f t="shared" si="15"/>
        <v>-75000</v>
      </c>
      <c r="F25" s="30">
        <f t="shared" si="15"/>
        <v>-75000</v>
      </c>
      <c r="G25" s="30">
        <f t="shared" si="15"/>
        <v>-75000</v>
      </c>
      <c r="H25" s="30">
        <f t="shared" si="15"/>
        <v>-75000</v>
      </c>
      <c r="I25" s="30">
        <f t="shared" si="15"/>
        <v>-75000</v>
      </c>
      <c r="J25" s="30">
        <f t="shared" si="15"/>
        <v>-75000</v>
      </c>
      <c r="K25" s="30">
        <f t="shared" si="15"/>
        <v>-75000</v>
      </c>
      <c r="L25" s="30">
        <f t="shared" si="15"/>
        <v>-75000</v>
      </c>
      <c r="M25" s="30">
        <f t="shared" si="15"/>
        <v>-75000</v>
      </c>
      <c r="N25" s="30">
        <f t="shared" si="15"/>
        <v>-75000</v>
      </c>
    </row>
    <row r="26">
      <c r="A26" s="22" t="s">
        <v>73</v>
      </c>
      <c r="B26" s="34">
        <v>-15000.0</v>
      </c>
      <c r="C26" s="30">
        <f t="shared" ref="C26:N26" si="16">$B$26</f>
        <v>-15000</v>
      </c>
      <c r="D26" s="30">
        <f t="shared" si="16"/>
        <v>-15000</v>
      </c>
      <c r="E26" s="30">
        <f t="shared" si="16"/>
        <v>-15000</v>
      </c>
      <c r="F26" s="30">
        <f t="shared" si="16"/>
        <v>-15000</v>
      </c>
      <c r="G26" s="30">
        <f t="shared" si="16"/>
        <v>-15000</v>
      </c>
      <c r="H26" s="30">
        <f t="shared" si="16"/>
        <v>-15000</v>
      </c>
      <c r="I26" s="30">
        <f t="shared" si="16"/>
        <v>-15000</v>
      </c>
      <c r="J26" s="30">
        <f t="shared" si="16"/>
        <v>-15000</v>
      </c>
      <c r="K26" s="30">
        <f t="shared" si="16"/>
        <v>-15000</v>
      </c>
      <c r="L26" s="30">
        <f t="shared" si="16"/>
        <v>-15000</v>
      </c>
      <c r="M26" s="30">
        <f t="shared" si="16"/>
        <v>-15000</v>
      </c>
      <c r="N26" s="30">
        <f t="shared" si="16"/>
        <v>-15000</v>
      </c>
    </row>
    <row r="27">
      <c r="A27" s="22" t="s">
        <v>74</v>
      </c>
      <c r="B27" s="34">
        <v>-4000.0</v>
      </c>
      <c r="C27" s="30">
        <f t="shared" ref="C27:N27" si="17">$B$27</f>
        <v>-4000</v>
      </c>
      <c r="D27" s="30">
        <f t="shared" si="17"/>
        <v>-4000</v>
      </c>
      <c r="E27" s="30">
        <f t="shared" si="17"/>
        <v>-4000</v>
      </c>
      <c r="F27" s="30">
        <f t="shared" si="17"/>
        <v>-4000</v>
      </c>
      <c r="G27" s="30">
        <f t="shared" si="17"/>
        <v>-4000</v>
      </c>
      <c r="H27" s="30">
        <f t="shared" si="17"/>
        <v>-4000</v>
      </c>
      <c r="I27" s="30">
        <f t="shared" si="17"/>
        <v>-4000</v>
      </c>
      <c r="J27" s="30">
        <f t="shared" si="17"/>
        <v>-4000</v>
      </c>
      <c r="K27" s="30">
        <f t="shared" si="17"/>
        <v>-4000</v>
      </c>
      <c r="L27" s="30">
        <f t="shared" si="17"/>
        <v>-4000</v>
      </c>
      <c r="M27" s="30">
        <f t="shared" si="17"/>
        <v>-4000</v>
      </c>
      <c r="N27" s="30">
        <f t="shared" si="17"/>
        <v>-4000</v>
      </c>
    </row>
    <row r="28">
      <c r="A28" s="22" t="s">
        <v>75</v>
      </c>
      <c r="B28" s="34">
        <v>-1000.0</v>
      </c>
      <c r="C28" s="30">
        <f t="shared" ref="C28:N28" si="18">$B$28</f>
        <v>-1000</v>
      </c>
      <c r="D28" s="30">
        <f t="shared" si="18"/>
        <v>-1000</v>
      </c>
      <c r="E28" s="30">
        <f t="shared" si="18"/>
        <v>-1000</v>
      </c>
      <c r="F28" s="30">
        <f t="shared" si="18"/>
        <v>-1000</v>
      </c>
      <c r="G28" s="30">
        <f t="shared" si="18"/>
        <v>-1000</v>
      </c>
      <c r="H28" s="30">
        <f t="shared" si="18"/>
        <v>-1000</v>
      </c>
      <c r="I28" s="30">
        <f t="shared" si="18"/>
        <v>-1000</v>
      </c>
      <c r="J28" s="30">
        <f t="shared" si="18"/>
        <v>-1000</v>
      </c>
      <c r="K28" s="30">
        <f t="shared" si="18"/>
        <v>-1000</v>
      </c>
      <c r="L28" s="30">
        <f t="shared" si="18"/>
        <v>-1000</v>
      </c>
      <c r="M28" s="30">
        <f t="shared" si="18"/>
        <v>-1000</v>
      </c>
      <c r="N28" s="30">
        <f t="shared" si="18"/>
        <v>-1000</v>
      </c>
    </row>
    <row r="29">
      <c r="A29" s="22" t="s">
        <v>76</v>
      </c>
      <c r="B29" s="34">
        <v>-3000.0</v>
      </c>
      <c r="C29" s="30">
        <f t="shared" ref="C29:N29" si="19">$B$29</f>
        <v>-3000</v>
      </c>
      <c r="D29" s="30">
        <f t="shared" si="19"/>
        <v>-3000</v>
      </c>
      <c r="E29" s="30">
        <f t="shared" si="19"/>
        <v>-3000</v>
      </c>
      <c r="F29" s="30">
        <f t="shared" si="19"/>
        <v>-3000</v>
      </c>
      <c r="G29" s="30">
        <f t="shared" si="19"/>
        <v>-3000</v>
      </c>
      <c r="H29" s="30">
        <f t="shared" si="19"/>
        <v>-3000</v>
      </c>
      <c r="I29" s="30">
        <f t="shared" si="19"/>
        <v>-3000</v>
      </c>
      <c r="J29" s="30">
        <f t="shared" si="19"/>
        <v>-3000</v>
      </c>
      <c r="K29" s="30">
        <f t="shared" si="19"/>
        <v>-3000</v>
      </c>
      <c r="L29" s="30">
        <f t="shared" si="19"/>
        <v>-3000</v>
      </c>
      <c r="M29" s="30">
        <f t="shared" si="19"/>
        <v>-3000</v>
      </c>
      <c r="N29" s="30">
        <f t="shared" si="19"/>
        <v>-3000</v>
      </c>
    </row>
    <row r="30">
      <c r="A30" s="37"/>
      <c r="B30" s="30"/>
      <c r="C30" s="30" t="str">
        <f t="shared" ref="C30:N30" si="20">$B$30</f>
        <v/>
      </c>
      <c r="D30" s="30" t="str">
        <f t="shared" si="20"/>
        <v/>
      </c>
      <c r="E30" s="30" t="str">
        <f t="shared" si="20"/>
        <v/>
      </c>
      <c r="F30" s="30" t="str">
        <f t="shared" si="20"/>
        <v/>
      </c>
      <c r="G30" s="30" t="str">
        <f t="shared" si="20"/>
        <v/>
      </c>
      <c r="H30" s="30" t="str">
        <f t="shared" si="20"/>
        <v/>
      </c>
      <c r="I30" s="30" t="str">
        <f t="shared" si="20"/>
        <v/>
      </c>
      <c r="J30" s="30" t="str">
        <f t="shared" si="20"/>
        <v/>
      </c>
      <c r="K30" s="30" t="str">
        <f t="shared" si="20"/>
        <v/>
      </c>
      <c r="L30" s="30" t="str">
        <f t="shared" si="20"/>
        <v/>
      </c>
      <c r="M30" s="30" t="str">
        <f t="shared" si="20"/>
        <v/>
      </c>
      <c r="N30" s="30" t="str">
        <f t="shared" si="20"/>
        <v/>
      </c>
    </row>
    <row r="31">
      <c r="A31" s="37"/>
      <c r="C31" s="37"/>
    </row>
    <row r="32" ht="25.5" customHeight="1">
      <c r="A32" s="52" t="s">
        <v>36</v>
      </c>
      <c r="C32" s="53">
        <f t="shared" ref="C32:N32" si="21">C16+C19</f>
        <v>132185</v>
      </c>
      <c r="D32" s="53">
        <f t="shared" si="21"/>
        <v>132185</v>
      </c>
      <c r="E32" s="53">
        <f t="shared" si="21"/>
        <v>132185</v>
      </c>
      <c r="F32" s="53">
        <f t="shared" si="21"/>
        <v>132185</v>
      </c>
      <c r="G32" s="53">
        <f t="shared" si="21"/>
        <v>132185</v>
      </c>
      <c r="H32" s="53">
        <f t="shared" si="21"/>
        <v>132185</v>
      </c>
      <c r="I32" s="53">
        <f t="shared" si="21"/>
        <v>132185</v>
      </c>
      <c r="J32" s="53">
        <f t="shared" si="21"/>
        <v>132185</v>
      </c>
      <c r="K32" s="53">
        <f t="shared" si="21"/>
        <v>132185</v>
      </c>
      <c r="L32" s="53">
        <f t="shared" si="21"/>
        <v>132185</v>
      </c>
      <c r="M32" s="53">
        <f t="shared" si="21"/>
        <v>132185</v>
      </c>
      <c r="N32" s="53">
        <f t="shared" si="21"/>
        <v>132185</v>
      </c>
    </row>
    <row r="33">
      <c r="A33" s="40" t="s">
        <v>37</v>
      </c>
      <c r="C33" s="44">
        <f t="shared" ref="C33:N33" si="22">C32/C2</f>
        <v>0.09791481481</v>
      </c>
      <c r="D33" s="44">
        <f t="shared" si="22"/>
        <v>0.09791481481</v>
      </c>
      <c r="E33" s="44">
        <f t="shared" si="22"/>
        <v>0.09791481481</v>
      </c>
      <c r="F33" s="44">
        <f t="shared" si="22"/>
        <v>0.09791481481</v>
      </c>
      <c r="G33" s="44">
        <f t="shared" si="22"/>
        <v>0.09791481481</v>
      </c>
      <c r="H33" s="44">
        <f t="shared" si="22"/>
        <v>0.09791481481</v>
      </c>
      <c r="I33" s="44">
        <f t="shared" si="22"/>
        <v>0.09791481481</v>
      </c>
      <c r="J33" s="44">
        <f t="shared" si="22"/>
        <v>0.09791481481</v>
      </c>
      <c r="K33" s="44">
        <f t="shared" si="22"/>
        <v>0.09791481481</v>
      </c>
      <c r="L33" s="44">
        <f t="shared" si="22"/>
        <v>0.09791481481</v>
      </c>
      <c r="M33" s="44">
        <f t="shared" si="22"/>
        <v>0.09791481481</v>
      </c>
      <c r="N33" s="44">
        <f t="shared" si="22"/>
        <v>0.09791481481</v>
      </c>
    </row>
    <row r="34">
      <c r="A34" s="37"/>
      <c r="C34" s="37"/>
    </row>
    <row r="35" ht="24.75" customHeight="1">
      <c r="A35" s="46" t="s">
        <v>38</v>
      </c>
      <c r="C35" s="54">
        <f t="shared" ref="C35:N35" si="23">sum(C36:C43)</f>
        <v>-68100</v>
      </c>
      <c r="D35" s="54">
        <f t="shared" si="23"/>
        <v>-68100</v>
      </c>
      <c r="E35" s="54">
        <f t="shared" si="23"/>
        <v>-68100</v>
      </c>
      <c r="F35" s="54">
        <f t="shared" si="23"/>
        <v>-68100</v>
      </c>
      <c r="G35" s="54">
        <f t="shared" si="23"/>
        <v>-68100</v>
      </c>
      <c r="H35" s="54">
        <f t="shared" si="23"/>
        <v>-68100</v>
      </c>
      <c r="I35" s="54">
        <f t="shared" si="23"/>
        <v>-68100</v>
      </c>
      <c r="J35" s="54">
        <f t="shared" si="23"/>
        <v>-68100</v>
      </c>
      <c r="K35" s="54">
        <f t="shared" si="23"/>
        <v>-68100</v>
      </c>
      <c r="L35" s="54">
        <f t="shared" si="23"/>
        <v>-68100</v>
      </c>
      <c r="M35" s="54">
        <f t="shared" si="23"/>
        <v>-68100</v>
      </c>
      <c r="N35" s="54">
        <f t="shared" si="23"/>
        <v>-68100</v>
      </c>
    </row>
    <row r="36">
      <c r="A36" s="22" t="s">
        <v>77</v>
      </c>
      <c r="B36" s="34">
        <v>-3100.0</v>
      </c>
      <c r="C36" s="30">
        <f t="shared" ref="C36:N36" si="24">$B$36</f>
        <v>-3100</v>
      </c>
      <c r="D36" s="30">
        <f t="shared" si="24"/>
        <v>-3100</v>
      </c>
      <c r="E36" s="30">
        <f t="shared" si="24"/>
        <v>-3100</v>
      </c>
      <c r="F36" s="30">
        <f t="shared" si="24"/>
        <v>-3100</v>
      </c>
      <c r="G36" s="30">
        <f t="shared" si="24"/>
        <v>-3100</v>
      </c>
      <c r="H36" s="30">
        <f t="shared" si="24"/>
        <v>-3100</v>
      </c>
      <c r="I36" s="30">
        <f t="shared" si="24"/>
        <v>-3100</v>
      </c>
      <c r="J36" s="30">
        <f t="shared" si="24"/>
        <v>-3100</v>
      </c>
      <c r="K36" s="30">
        <f t="shared" si="24"/>
        <v>-3100</v>
      </c>
      <c r="L36" s="30">
        <f t="shared" si="24"/>
        <v>-3100</v>
      </c>
      <c r="M36" s="30">
        <f t="shared" si="24"/>
        <v>-3100</v>
      </c>
      <c r="N36" s="30">
        <f t="shared" si="24"/>
        <v>-3100</v>
      </c>
    </row>
    <row r="37">
      <c r="A37" s="22" t="s">
        <v>78</v>
      </c>
      <c r="B37" s="34">
        <v>-50000.0</v>
      </c>
      <c r="C37" s="30">
        <f t="shared" ref="C37:N37" si="25">$B$37</f>
        <v>-50000</v>
      </c>
      <c r="D37" s="30">
        <f t="shared" si="25"/>
        <v>-50000</v>
      </c>
      <c r="E37" s="30">
        <f t="shared" si="25"/>
        <v>-50000</v>
      </c>
      <c r="F37" s="30">
        <f t="shared" si="25"/>
        <v>-50000</v>
      </c>
      <c r="G37" s="30">
        <f t="shared" si="25"/>
        <v>-50000</v>
      </c>
      <c r="H37" s="30">
        <f t="shared" si="25"/>
        <v>-50000</v>
      </c>
      <c r="I37" s="30">
        <f t="shared" si="25"/>
        <v>-50000</v>
      </c>
      <c r="J37" s="30">
        <f t="shared" si="25"/>
        <v>-50000</v>
      </c>
      <c r="K37" s="30">
        <f t="shared" si="25"/>
        <v>-50000</v>
      </c>
      <c r="L37" s="30">
        <f t="shared" si="25"/>
        <v>-50000</v>
      </c>
      <c r="M37" s="30">
        <f t="shared" si="25"/>
        <v>-50000</v>
      </c>
      <c r="N37" s="30">
        <f t="shared" si="25"/>
        <v>-50000</v>
      </c>
    </row>
    <row r="38">
      <c r="A38" s="22" t="s">
        <v>79</v>
      </c>
      <c r="B38" s="34">
        <v>-5000.0</v>
      </c>
      <c r="C38" s="30">
        <f t="shared" ref="C38:N38" si="26">$B$38</f>
        <v>-5000</v>
      </c>
      <c r="D38" s="30">
        <f t="shared" si="26"/>
        <v>-5000</v>
      </c>
      <c r="E38" s="30">
        <f t="shared" si="26"/>
        <v>-5000</v>
      </c>
      <c r="F38" s="30">
        <f t="shared" si="26"/>
        <v>-5000</v>
      </c>
      <c r="G38" s="30">
        <f t="shared" si="26"/>
        <v>-5000</v>
      </c>
      <c r="H38" s="30">
        <f t="shared" si="26"/>
        <v>-5000</v>
      </c>
      <c r="I38" s="30">
        <f t="shared" si="26"/>
        <v>-5000</v>
      </c>
      <c r="J38" s="30">
        <f t="shared" si="26"/>
        <v>-5000</v>
      </c>
      <c r="K38" s="30">
        <f t="shared" si="26"/>
        <v>-5000</v>
      </c>
      <c r="L38" s="30">
        <f t="shared" si="26"/>
        <v>-5000</v>
      </c>
      <c r="M38" s="30">
        <f t="shared" si="26"/>
        <v>-5000</v>
      </c>
      <c r="N38" s="30">
        <f t="shared" si="26"/>
        <v>-5000</v>
      </c>
    </row>
    <row r="39">
      <c r="A39" s="22" t="s">
        <v>80</v>
      </c>
      <c r="B39" s="34">
        <v>-7000.0</v>
      </c>
      <c r="C39" s="30">
        <f t="shared" ref="C39:N39" si="27">$B$39</f>
        <v>-7000</v>
      </c>
      <c r="D39" s="30">
        <f t="shared" si="27"/>
        <v>-7000</v>
      </c>
      <c r="E39" s="30">
        <f t="shared" si="27"/>
        <v>-7000</v>
      </c>
      <c r="F39" s="30">
        <f t="shared" si="27"/>
        <v>-7000</v>
      </c>
      <c r="G39" s="30">
        <f t="shared" si="27"/>
        <v>-7000</v>
      </c>
      <c r="H39" s="30">
        <f t="shared" si="27"/>
        <v>-7000</v>
      </c>
      <c r="I39" s="30">
        <f t="shared" si="27"/>
        <v>-7000</v>
      </c>
      <c r="J39" s="30">
        <f t="shared" si="27"/>
        <v>-7000</v>
      </c>
      <c r="K39" s="30">
        <f t="shared" si="27"/>
        <v>-7000</v>
      </c>
      <c r="L39" s="30">
        <f t="shared" si="27"/>
        <v>-7000</v>
      </c>
      <c r="M39" s="30">
        <f t="shared" si="27"/>
        <v>-7000</v>
      </c>
      <c r="N39" s="30">
        <f t="shared" si="27"/>
        <v>-7000</v>
      </c>
    </row>
    <row r="40">
      <c r="A40" s="22" t="s">
        <v>81</v>
      </c>
      <c r="B40" s="34">
        <v>-2000.0</v>
      </c>
      <c r="C40" s="30">
        <f t="shared" ref="C40:N40" si="28">$B$40</f>
        <v>-2000</v>
      </c>
      <c r="D40" s="30">
        <f t="shared" si="28"/>
        <v>-2000</v>
      </c>
      <c r="E40" s="30">
        <f t="shared" si="28"/>
        <v>-2000</v>
      </c>
      <c r="F40" s="30">
        <f t="shared" si="28"/>
        <v>-2000</v>
      </c>
      <c r="G40" s="30">
        <f t="shared" si="28"/>
        <v>-2000</v>
      </c>
      <c r="H40" s="30">
        <f t="shared" si="28"/>
        <v>-2000</v>
      </c>
      <c r="I40" s="30">
        <f t="shared" si="28"/>
        <v>-2000</v>
      </c>
      <c r="J40" s="30">
        <f t="shared" si="28"/>
        <v>-2000</v>
      </c>
      <c r="K40" s="30">
        <f t="shared" si="28"/>
        <v>-2000</v>
      </c>
      <c r="L40" s="30">
        <f t="shared" si="28"/>
        <v>-2000</v>
      </c>
      <c r="M40" s="30">
        <f t="shared" si="28"/>
        <v>-2000</v>
      </c>
      <c r="N40" s="30">
        <f t="shared" si="28"/>
        <v>-2000</v>
      </c>
    </row>
    <row r="41">
      <c r="A41" s="22" t="s">
        <v>82</v>
      </c>
      <c r="C41" s="30">
        <f t="shared" ref="C41:N41" si="29">C14</f>
        <v>0</v>
      </c>
      <c r="D41" s="30">
        <f t="shared" si="29"/>
        <v>0</v>
      </c>
      <c r="E41" s="30">
        <f t="shared" si="29"/>
        <v>0</v>
      </c>
      <c r="F41" s="30">
        <f t="shared" si="29"/>
        <v>0</v>
      </c>
      <c r="G41" s="30">
        <f t="shared" si="29"/>
        <v>0</v>
      </c>
      <c r="H41" s="30">
        <f t="shared" si="29"/>
        <v>0</v>
      </c>
      <c r="I41" s="30">
        <f t="shared" si="29"/>
        <v>0</v>
      </c>
      <c r="J41" s="30">
        <f t="shared" si="29"/>
        <v>0</v>
      </c>
      <c r="K41" s="30">
        <f t="shared" si="29"/>
        <v>0</v>
      </c>
      <c r="L41" s="30">
        <f t="shared" si="29"/>
        <v>0</v>
      </c>
      <c r="M41" s="30">
        <f t="shared" si="29"/>
        <v>0</v>
      </c>
      <c r="N41" s="30">
        <f t="shared" si="29"/>
        <v>0</v>
      </c>
    </row>
    <row r="42">
      <c r="A42" s="22" t="s">
        <v>83</v>
      </c>
      <c r="B42" s="34">
        <v>-1000.0</v>
      </c>
      <c r="C42" s="30">
        <f t="shared" ref="C42:N42" si="30">$B$42</f>
        <v>-1000</v>
      </c>
      <c r="D42" s="30">
        <f t="shared" si="30"/>
        <v>-1000</v>
      </c>
      <c r="E42" s="30">
        <f t="shared" si="30"/>
        <v>-1000</v>
      </c>
      <c r="F42" s="30">
        <f t="shared" si="30"/>
        <v>-1000</v>
      </c>
      <c r="G42" s="30">
        <f t="shared" si="30"/>
        <v>-1000</v>
      </c>
      <c r="H42" s="30">
        <f t="shared" si="30"/>
        <v>-1000</v>
      </c>
      <c r="I42" s="30">
        <f t="shared" si="30"/>
        <v>-1000</v>
      </c>
      <c r="J42" s="30">
        <f t="shared" si="30"/>
        <v>-1000</v>
      </c>
      <c r="K42" s="30">
        <f t="shared" si="30"/>
        <v>-1000</v>
      </c>
      <c r="L42" s="30">
        <f t="shared" si="30"/>
        <v>-1000</v>
      </c>
      <c r="M42" s="30">
        <f t="shared" si="30"/>
        <v>-1000</v>
      </c>
      <c r="N42" s="30">
        <f t="shared" si="30"/>
        <v>-1000</v>
      </c>
    </row>
    <row r="43">
      <c r="A43" s="37"/>
      <c r="B43" s="30"/>
      <c r="C43" s="30" t="str">
        <f t="shared" ref="C43:N43" si="31">$B$43</f>
        <v/>
      </c>
      <c r="D43" s="30" t="str">
        <f t="shared" si="31"/>
        <v/>
      </c>
      <c r="E43" s="30" t="str">
        <f t="shared" si="31"/>
        <v/>
      </c>
      <c r="F43" s="30" t="str">
        <f t="shared" si="31"/>
        <v/>
      </c>
      <c r="G43" s="30" t="str">
        <f t="shared" si="31"/>
        <v/>
      </c>
      <c r="H43" s="30" t="str">
        <f t="shared" si="31"/>
        <v/>
      </c>
      <c r="I43" s="30" t="str">
        <f t="shared" si="31"/>
        <v/>
      </c>
      <c r="J43" s="30" t="str">
        <f t="shared" si="31"/>
        <v/>
      </c>
      <c r="K43" s="30" t="str">
        <f t="shared" si="31"/>
        <v/>
      </c>
      <c r="L43" s="30" t="str">
        <f t="shared" si="31"/>
        <v/>
      </c>
      <c r="M43" s="30" t="str">
        <f t="shared" si="31"/>
        <v/>
      </c>
      <c r="N43" s="30" t="str">
        <f t="shared" si="31"/>
        <v/>
      </c>
    </row>
    <row r="44">
      <c r="A44" s="37"/>
      <c r="C44" s="37"/>
    </row>
    <row r="45" ht="25.5" customHeight="1">
      <c r="A45" s="52" t="s">
        <v>39</v>
      </c>
      <c r="C45" s="53">
        <f t="shared" ref="C45:N45" si="32">C32+C35</f>
        <v>64085</v>
      </c>
      <c r="D45" s="53">
        <f t="shared" si="32"/>
        <v>64085</v>
      </c>
      <c r="E45" s="53">
        <f t="shared" si="32"/>
        <v>64085</v>
      </c>
      <c r="F45" s="53">
        <f t="shared" si="32"/>
        <v>64085</v>
      </c>
      <c r="G45" s="53">
        <f t="shared" si="32"/>
        <v>64085</v>
      </c>
      <c r="H45" s="53">
        <f t="shared" si="32"/>
        <v>64085</v>
      </c>
      <c r="I45" s="53">
        <f t="shared" si="32"/>
        <v>64085</v>
      </c>
      <c r="J45" s="53">
        <f t="shared" si="32"/>
        <v>64085</v>
      </c>
      <c r="K45" s="53">
        <f t="shared" si="32"/>
        <v>64085</v>
      </c>
      <c r="L45" s="53">
        <f t="shared" si="32"/>
        <v>64085</v>
      </c>
      <c r="M45" s="53">
        <f t="shared" si="32"/>
        <v>64085</v>
      </c>
      <c r="N45" s="53">
        <f t="shared" si="32"/>
        <v>64085</v>
      </c>
    </row>
    <row r="46">
      <c r="A46" s="40" t="s">
        <v>40</v>
      </c>
      <c r="C46" s="44">
        <f t="shared" ref="C46:N46" si="33">C45/C2</f>
        <v>0.04747037037</v>
      </c>
      <c r="D46" s="44">
        <f t="shared" si="33"/>
        <v>0.04747037037</v>
      </c>
      <c r="E46" s="44">
        <f t="shared" si="33"/>
        <v>0.04747037037</v>
      </c>
      <c r="F46" s="44">
        <f t="shared" si="33"/>
        <v>0.04747037037</v>
      </c>
      <c r="G46" s="44">
        <f t="shared" si="33"/>
        <v>0.04747037037</v>
      </c>
      <c r="H46" s="44">
        <f t="shared" si="33"/>
        <v>0.04747037037</v>
      </c>
      <c r="I46" s="44">
        <f t="shared" si="33"/>
        <v>0.04747037037</v>
      </c>
      <c r="J46" s="44">
        <f t="shared" si="33"/>
        <v>0.04747037037</v>
      </c>
      <c r="K46" s="44">
        <f t="shared" si="33"/>
        <v>0.04747037037</v>
      </c>
      <c r="L46" s="44">
        <f t="shared" si="33"/>
        <v>0.04747037037</v>
      </c>
      <c r="M46" s="44">
        <f t="shared" si="33"/>
        <v>0.04747037037</v>
      </c>
      <c r="N46" s="44">
        <f t="shared" si="33"/>
        <v>0.04747037037</v>
      </c>
    </row>
    <row r="47">
      <c r="A47" s="22" t="s">
        <v>41</v>
      </c>
      <c r="B47" s="31">
        <v>-5500.0</v>
      </c>
      <c r="C47" s="30">
        <f t="shared" ref="C47:N47" si="34">$B$47</f>
        <v>-5500</v>
      </c>
      <c r="D47" s="30">
        <f t="shared" si="34"/>
        <v>-5500</v>
      </c>
      <c r="E47" s="30">
        <f t="shared" si="34"/>
        <v>-5500</v>
      </c>
      <c r="F47" s="30">
        <f t="shared" si="34"/>
        <v>-5500</v>
      </c>
      <c r="G47" s="30">
        <f t="shared" si="34"/>
        <v>-5500</v>
      </c>
      <c r="H47" s="30">
        <f t="shared" si="34"/>
        <v>-5500</v>
      </c>
      <c r="I47" s="30">
        <f t="shared" si="34"/>
        <v>-5500</v>
      </c>
      <c r="J47" s="30">
        <f t="shared" si="34"/>
        <v>-5500</v>
      </c>
      <c r="K47" s="30">
        <f t="shared" si="34"/>
        <v>-5500</v>
      </c>
      <c r="L47" s="30">
        <f t="shared" si="34"/>
        <v>-5500</v>
      </c>
      <c r="M47" s="30">
        <f t="shared" si="34"/>
        <v>-5500</v>
      </c>
      <c r="N47" s="30">
        <f t="shared" si="34"/>
        <v>-5500</v>
      </c>
    </row>
    <row r="48">
      <c r="A48" s="22" t="s">
        <v>42</v>
      </c>
      <c r="B48" s="31">
        <v>0.0</v>
      </c>
      <c r="C48" s="30">
        <f t="shared" ref="C48:N48" si="35">$B$48</f>
        <v>0</v>
      </c>
      <c r="D48" s="30">
        <f t="shared" si="35"/>
        <v>0</v>
      </c>
      <c r="E48" s="30">
        <f t="shared" si="35"/>
        <v>0</v>
      </c>
      <c r="F48" s="30">
        <f t="shared" si="35"/>
        <v>0</v>
      </c>
      <c r="G48" s="30">
        <f t="shared" si="35"/>
        <v>0</v>
      </c>
      <c r="H48" s="30">
        <f t="shared" si="35"/>
        <v>0</v>
      </c>
      <c r="I48" s="30">
        <f t="shared" si="35"/>
        <v>0</v>
      </c>
      <c r="J48" s="30">
        <f t="shared" si="35"/>
        <v>0</v>
      </c>
      <c r="K48" s="30">
        <f t="shared" si="35"/>
        <v>0</v>
      </c>
      <c r="L48" s="30">
        <f t="shared" si="35"/>
        <v>0</v>
      </c>
      <c r="M48" s="30">
        <f t="shared" si="35"/>
        <v>0</v>
      </c>
      <c r="N48" s="30">
        <f t="shared" si="35"/>
        <v>0</v>
      </c>
    </row>
    <row r="49">
      <c r="A49" s="22" t="s">
        <v>43</v>
      </c>
      <c r="B49" s="31">
        <v>-6500.0</v>
      </c>
      <c r="C49" s="30">
        <f t="shared" ref="C49:N49" si="36">$B$49</f>
        <v>-6500</v>
      </c>
      <c r="D49" s="30">
        <f t="shared" si="36"/>
        <v>-6500</v>
      </c>
      <c r="E49" s="30">
        <f t="shared" si="36"/>
        <v>-6500</v>
      </c>
      <c r="F49" s="30">
        <f t="shared" si="36"/>
        <v>-6500</v>
      </c>
      <c r="G49" s="30">
        <f t="shared" si="36"/>
        <v>-6500</v>
      </c>
      <c r="H49" s="30">
        <f t="shared" si="36"/>
        <v>-6500</v>
      </c>
      <c r="I49" s="30">
        <f t="shared" si="36"/>
        <v>-6500</v>
      </c>
      <c r="J49" s="30">
        <f t="shared" si="36"/>
        <v>-6500</v>
      </c>
      <c r="K49" s="30">
        <f t="shared" si="36"/>
        <v>-6500</v>
      </c>
      <c r="L49" s="30">
        <f t="shared" si="36"/>
        <v>-6500</v>
      </c>
      <c r="M49" s="30">
        <f t="shared" si="36"/>
        <v>-6500</v>
      </c>
      <c r="N49" s="30">
        <f t="shared" si="36"/>
        <v>-6500</v>
      </c>
    </row>
    <row r="50">
      <c r="A50" s="37"/>
      <c r="C50" s="37"/>
    </row>
    <row r="51" ht="24.75" customHeight="1">
      <c r="A51" s="46" t="s">
        <v>44</v>
      </c>
      <c r="C51" s="54">
        <f t="shared" ref="C51:N51" si="37">C45+C47+C48+C49</f>
        <v>52085</v>
      </c>
      <c r="D51" s="54">
        <f t="shared" si="37"/>
        <v>52085</v>
      </c>
      <c r="E51" s="54">
        <f t="shared" si="37"/>
        <v>52085</v>
      </c>
      <c r="F51" s="54">
        <f t="shared" si="37"/>
        <v>52085</v>
      </c>
      <c r="G51" s="54">
        <f t="shared" si="37"/>
        <v>52085</v>
      </c>
      <c r="H51" s="54">
        <f t="shared" si="37"/>
        <v>52085</v>
      </c>
      <c r="I51" s="54">
        <f t="shared" si="37"/>
        <v>52085</v>
      </c>
      <c r="J51" s="54">
        <f t="shared" si="37"/>
        <v>52085</v>
      </c>
      <c r="K51" s="54">
        <f t="shared" si="37"/>
        <v>52085</v>
      </c>
      <c r="L51" s="54">
        <f t="shared" si="37"/>
        <v>52085</v>
      </c>
      <c r="M51" s="54">
        <f t="shared" si="37"/>
        <v>52085</v>
      </c>
      <c r="N51" s="54">
        <f t="shared" si="37"/>
        <v>52085</v>
      </c>
    </row>
    <row r="52">
      <c r="A52" s="40" t="s">
        <v>45</v>
      </c>
      <c r="C52" s="44">
        <f t="shared" ref="C52:N52" si="38">C51/C2</f>
        <v>0.03858148148</v>
      </c>
      <c r="D52" s="44">
        <f t="shared" si="38"/>
        <v>0.03858148148</v>
      </c>
      <c r="E52" s="44">
        <f t="shared" si="38"/>
        <v>0.03858148148</v>
      </c>
      <c r="F52" s="44">
        <f t="shared" si="38"/>
        <v>0.03858148148</v>
      </c>
      <c r="G52" s="44">
        <f t="shared" si="38"/>
        <v>0.03858148148</v>
      </c>
      <c r="H52" s="44">
        <f t="shared" si="38"/>
        <v>0.03858148148</v>
      </c>
      <c r="I52" s="44">
        <f t="shared" si="38"/>
        <v>0.03858148148</v>
      </c>
      <c r="J52" s="44">
        <f t="shared" si="38"/>
        <v>0.03858148148</v>
      </c>
      <c r="K52" s="44">
        <f t="shared" si="38"/>
        <v>0.03858148148</v>
      </c>
      <c r="L52" s="44">
        <f t="shared" si="38"/>
        <v>0.03858148148</v>
      </c>
      <c r="M52" s="44">
        <f t="shared" si="38"/>
        <v>0.03858148148</v>
      </c>
      <c r="N52" s="44">
        <f t="shared" si="38"/>
        <v>0.03858148148</v>
      </c>
    </row>
    <row r="53">
      <c r="A53" s="22" t="s">
        <v>46</v>
      </c>
      <c r="C53" s="30">
        <f t="shared" ref="C53:N53" si="39">B53+C51</f>
        <v>52085</v>
      </c>
      <c r="D53" s="30">
        <f t="shared" si="39"/>
        <v>104170</v>
      </c>
      <c r="E53" s="30">
        <f t="shared" si="39"/>
        <v>156255</v>
      </c>
      <c r="F53" s="30">
        <f t="shared" si="39"/>
        <v>208340</v>
      </c>
      <c r="G53" s="30">
        <f t="shared" si="39"/>
        <v>260425</v>
      </c>
      <c r="H53" s="30">
        <f t="shared" si="39"/>
        <v>312510</v>
      </c>
      <c r="I53" s="30">
        <f t="shared" si="39"/>
        <v>364595</v>
      </c>
      <c r="J53" s="30">
        <f t="shared" si="39"/>
        <v>416680</v>
      </c>
      <c r="K53" s="30">
        <f t="shared" si="39"/>
        <v>468765</v>
      </c>
      <c r="L53" s="30">
        <f t="shared" si="39"/>
        <v>520850</v>
      </c>
      <c r="M53" s="30">
        <f t="shared" si="39"/>
        <v>572935</v>
      </c>
      <c r="N53" s="30">
        <f t="shared" si="39"/>
        <v>625020</v>
      </c>
    </row>
    <row r="54" ht="33.0" customHeight="1">
      <c r="A54" s="37"/>
      <c r="C54" s="37"/>
    </row>
    <row r="55" ht="29.25" customHeight="1">
      <c r="A55" s="46" t="s">
        <v>47</v>
      </c>
      <c r="C55" s="49">
        <f t="shared" ref="C55:N55" si="40">C61-C67</f>
        <v>-177750</v>
      </c>
      <c r="D55" s="49">
        <f t="shared" si="40"/>
        <v>-177750</v>
      </c>
      <c r="E55" s="49">
        <f t="shared" si="40"/>
        <v>-177750</v>
      </c>
      <c r="F55" s="49">
        <f t="shared" si="40"/>
        <v>-177750</v>
      </c>
      <c r="G55" s="49">
        <f t="shared" si="40"/>
        <v>-177750</v>
      </c>
      <c r="H55" s="49">
        <f t="shared" si="40"/>
        <v>-177750</v>
      </c>
      <c r="I55" s="49">
        <f t="shared" si="40"/>
        <v>-177750</v>
      </c>
      <c r="J55" s="49">
        <f t="shared" si="40"/>
        <v>-177750</v>
      </c>
      <c r="K55" s="49">
        <f t="shared" si="40"/>
        <v>-177750</v>
      </c>
      <c r="L55" s="49">
        <f t="shared" si="40"/>
        <v>-177750</v>
      </c>
      <c r="M55" s="49">
        <f t="shared" si="40"/>
        <v>-177750</v>
      </c>
      <c r="N55" s="49">
        <f t="shared" si="40"/>
        <v>-177750</v>
      </c>
    </row>
    <row r="56">
      <c r="A56" s="22" t="s">
        <v>84</v>
      </c>
      <c r="C56" s="30">
        <f t="shared" ref="C56:N56" si="41">C62-C68</f>
        <v>-177750</v>
      </c>
      <c r="D56" s="30">
        <f t="shared" si="41"/>
        <v>0</v>
      </c>
      <c r="E56" s="30">
        <f t="shared" si="41"/>
        <v>0</v>
      </c>
      <c r="F56" s="30">
        <f t="shared" si="41"/>
        <v>0</v>
      </c>
      <c r="G56" s="30">
        <f t="shared" si="41"/>
        <v>0</v>
      </c>
      <c r="H56" s="30">
        <f t="shared" si="41"/>
        <v>0</v>
      </c>
      <c r="I56" s="30">
        <f t="shared" si="41"/>
        <v>0</v>
      </c>
      <c r="J56" s="30">
        <f t="shared" si="41"/>
        <v>0</v>
      </c>
      <c r="K56" s="30">
        <f t="shared" si="41"/>
        <v>0</v>
      </c>
      <c r="L56" s="30">
        <f t="shared" si="41"/>
        <v>0</v>
      </c>
      <c r="M56" s="30">
        <f t="shared" si="41"/>
        <v>0</v>
      </c>
      <c r="N56" s="30">
        <f t="shared" si="41"/>
        <v>0</v>
      </c>
    </row>
    <row r="57">
      <c r="A57" s="37"/>
      <c r="C57" s="37"/>
    </row>
    <row r="58">
      <c r="A58" s="45" t="s">
        <v>49</v>
      </c>
      <c r="C58" s="45"/>
    </row>
    <row r="59">
      <c r="A59" s="22" t="s">
        <v>50</v>
      </c>
      <c r="B59" s="27">
        <v>5.0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</row>
    <row r="60">
      <c r="A60" s="22" t="s">
        <v>51</v>
      </c>
      <c r="C60" s="30">
        <f t="shared" ref="C60:N60" si="42">B61</f>
        <v>0</v>
      </c>
      <c r="D60" s="30">
        <f t="shared" si="42"/>
        <v>177750</v>
      </c>
      <c r="E60" s="30">
        <f t="shared" si="42"/>
        <v>177750</v>
      </c>
      <c r="F60" s="30">
        <f t="shared" si="42"/>
        <v>177750</v>
      </c>
      <c r="G60" s="30">
        <f t="shared" si="42"/>
        <v>177750</v>
      </c>
      <c r="H60" s="30">
        <f t="shared" si="42"/>
        <v>177750</v>
      </c>
      <c r="I60" s="30">
        <f t="shared" si="42"/>
        <v>177750</v>
      </c>
      <c r="J60" s="30">
        <f t="shared" si="42"/>
        <v>177750</v>
      </c>
      <c r="K60" s="30">
        <f t="shared" si="42"/>
        <v>177750</v>
      </c>
      <c r="L60" s="30">
        <f t="shared" si="42"/>
        <v>177750</v>
      </c>
      <c r="M60" s="30">
        <f t="shared" si="42"/>
        <v>177750</v>
      </c>
      <c r="N60" s="30">
        <f t="shared" si="42"/>
        <v>177750</v>
      </c>
    </row>
    <row r="61">
      <c r="A61" s="22" t="s">
        <v>52</v>
      </c>
      <c r="B61" s="27">
        <v>0.0</v>
      </c>
      <c r="C61" s="30">
        <f t="shared" ref="C61:N61" si="43">-C11*$B$59/30</f>
        <v>177750</v>
      </c>
      <c r="D61" s="30">
        <f t="shared" si="43"/>
        <v>177750</v>
      </c>
      <c r="E61" s="30">
        <f t="shared" si="43"/>
        <v>177750</v>
      </c>
      <c r="F61" s="30">
        <f t="shared" si="43"/>
        <v>177750</v>
      </c>
      <c r="G61" s="30">
        <f t="shared" si="43"/>
        <v>177750</v>
      </c>
      <c r="H61" s="30">
        <f t="shared" si="43"/>
        <v>177750</v>
      </c>
      <c r="I61" s="30">
        <f t="shared" si="43"/>
        <v>177750</v>
      </c>
      <c r="J61" s="30">
        <f t="shared" si="43"/>
        <v>177750</v>
      </c>
      <c r="K61" s="30">
        <f t="shared" si="43"/>
        <v>177750</v>
      </c>
      <c r="L61" s="30">
        <f t="shared" si="43"/>
        <v>177750</v>
      </c>
      <c r="M61" s="30">
        <f t="shared" si="43"/>
        <v>177750</v>
      </c>
      <c r="N61" s="30">
        <f t="shared" si="43"/>
        <v>177750</v>
      </c>
    </row>
    <row r="62">
      <c r="A62" s="22" t="s">
        <v>53</v>
      </c>
      <c r="C62" s="30">
        <f t="shared" ref="C62:N62" si="44">C61-C60</f>
        <v>177750</v>
      </c>
      <c r="D62" s="30">
        <f t="shared" si="44"/>
        <v>0</v>
      </c>
      <c r="E62" s="30">
        <f t="shared" si="44"/>
        <v>0</v>
      </c>
      <c r="F62" s="30">
        <f t="shared" si="44"/>
        <v>0</v>
      </c>
      <c r="G62" s="30">
        <f t="shared" si="44"/>
        <v>0</v>
      </c>
      <c r="H62" s="30">
        <f t="shared" si="44"/>
        <v>0</v>
      </c>
      <c r="I62" s="30">
        <f t="shared" si="44"/>
        <v>0</v>
      </c>
      <c r="J62" s="30">
        <f t="shared" si="44"/>
        <v>0</v>
      </c>
      <c r="K62" s="30">
        <f t="shared" si="44"/>
        <v>0</v>
      </c>
      <c r="L62" s="30">
        <f t="shared" si="44"/>
        <v>0</v>
      </c>
      <c r="M62" s="30">
        <f t="shared" si="44"/>
        <v>0</v>
      </c>
      <c r="N62" s="30">
        <f t="shared" si="44"/>
        <v>0</v>
      </c>
    </row>
    <row r="63">
      <c r="A63" s="37"/>
      <c r="C63" s="37"/>
    </row>
    <row r="64">
      <c r="A64" s="45" t="s">
        <v>54</v>
      </c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</row>
    <row r="65">
      <c r="A65" s="22" t="s">
        <v>55</v>
      </c>
      <c r="B65" s="27">
        <v>10.0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</row>
    <row r="66">
      <c r="A66" s="22" t="s">
        <v>56</v>
      </c>
      <c r="C66" s="30">
        <f t="shared" ref="C66:N66" si="45">B67</f>
        <v>0</v>
      </c>
      <c r="D66" s="30">
        <f t="shared" si="45"/>
        <v>355500</v>
      </c>
      <c r="E66" s="30">
        <f t="shared" si="45"/>
        <v>355500</v>
      </c>
      <c r="F66" s="30">
        <f t="shared" si="45"/>
        <v>355500</v>
      </c>
      <c r="G66" s="30">
        <f t="shared" si="45"/>
        <v>355500</v>
      </c>
      <c r="H66" s="30">
        <f t="shared" si="45"/>
        <v>355500</v>
      </c>
      <c r="I66" s="30">
        <f t="shared" si="45"/>
        <v>355500</v>
      </c>
      <c r="J66" s="30">
        <f t="shared" si="45"/>
        <v>355500</v>
      </c>
      <c r="K66" s="30">
        <f t="shared" si="45"/>
        <v>355500</v>
      </c>
      <c r="L66" s="30">
        <f t="shared" si="45"/>
        <v>355500</v>
      </c>
      <c r="M66" s="30">
        <f t="shared" si="45"/>
        <v>355500</v>
      </c>
      <c r="N66" s="30">
        <f t="shared" si="45"/>
        <v>355500</v>
      </c>
    </row>
    <row r="67">
      <c r="A67" s="22" t="s">
        <v>57</v>
      </c>
      <c r="B67" s="27">
        <v>0.0</v>
      </c>
      <c r="C67" s="30">
        <f t="shared" ref="C67:N67" si="46">-C11*$B$65/30</f>
        <v>355500</v>
      </c>
      <c r="D67" s="30">
        <f t="shared" si="46"/>
        <v>355500</v>
      </c>
      <c r="E67" s="30">
        <f t="shared" si="46"/>
        <v>355500</v>
      </c>
      <c r="F67" s="30">
        <f t="shared" si="46"/>
        <v>355500</v>
      </c>
      <c r="G67" s="30">
        <f t="shared" si="46"/>
        <v>355500</v>
      </c>
      <c r="H67" s="30">
        <f t="shared" si="46"/>
        <v>355500</v>
      </c>
      <c r="I67" s="30">
        <f t="shared" si="46"/>
        <v>355500</v>
      </c>
      <c r="J67" s="30">
        <f t="shared" si="46"/>
        <v>355500</v>
      </c>
      <c r="K67" s="30">
        <f t="shared" si="46"/>
        <v>355500</v>
      </c>
      <c r="L67" s="30">
        <f t="shared" si="46"/>
        <v>355500</v>
      </c>
      <c r="M67" s="30">
        <f t="shared" si="46"/>
        <v>355500</v>
      </c>
      <c r="N67" s="30">
        <f t="shared" si="46"/>
        <v>355500</v>
      </c>
    </row>
    <row r="68">
      <c r="A68" s="22" t="s">
        <v>58</v>
      </c>
      <c r="C68" s="30">
        <f t="shared" ref="C68:N68" si="47">C67-C66</f>
        <v>355500</v>
      </c>
      <c r="D68" s="30">
        <f t="shared" si="47"/>
        <v>0</v>
      </c>
      <c r="E68" s="30">
        <f t="shared" si="47"/>
        <v>0</v>
      </c>
      <c r="F68" s="30">
        <f t="shared" si="47"/>
        <v>0</v>
      </c>
      <c r="G68" s="30">
        <f t="shared" si="47"/>
        <v>0</v>
      </c>
      <c r="H68" s="30">
        <f t="shared" si="47"/>
        <v>0</v>
      </c>
      <c r="I68" s="30">
        <f t="shared" si="47"/>
        <v>0</v>
      </c>
      <c r="J68" s="30">
        <f t="shared" si="47"/>
        <v>0</v>
      </c>
      <c r="K68" s="30">
        <f t="shared" si="47"/>
        <v>0</v>
      </c>
      <c r="L68" s="30">
        <f t="shared" si="47"/>
        <v>0</v>
      </c>
      <c r="M68" s="30">
        <f t="shared" si="47"/>
        <v>0</v>
      </c>
      <c r="N68" s="30">
        <f t="shared" si="47"/>
        <v>0</v>
      </c>
    </row>
    <row r="69">
      <c r="A69" s="37"/>
      <c r="C69" s="37"/>
    </row>
    <row r="70" ht="29.25" customHeight="1">
      <c r="A70" s="46" t="s">
        <v>59</v>
      </c>
      <c r="C70" s="46"/>
    </row>
    <row r="71">
      <c r="A71" s="22" t="s">
        <v>60</v>
      </c>
      <c r="C71" s="30">
        <f t="shared" ref="C71:N71" si="48">B76</f>
        <v>0</v>
      </c>
      <c r="D71" s="30">
        <f t="shared" si="48"/>
        <v>236335</v>
      </c>
      <c r="E71" s="30">
        <f t="shared" si="48"/>
        <v>294920</v>
      </c>
      <c r="F71" s="30">
        <f t="shared" si="48"/>
        <v>353505</v>
      </c>
      <c r="G71" s="30">
        <f t="shared" si="48"/>
        <v>412090</v>
      </c>
      <c r="H71" s="30">
        <f t="shared" si="48"/>
        <v>470675</v>
      </c>
      <c r="I71" s="30">
        <f t="shared" si="48"/>
        <v>529260</v>
      </c>
      <c r="J71" s="30">
        <f t="shared" si="48"/>
        <v>587845</v>
      </c>
      <c r="K71" s="30">
        <f t="shared" si="48"/>
        <v>646430</v>
      </c>
      <c r="L71" s="30">
        <f t="shared" si="48"/>
        <v>705015</v>
      </c>
      <c r="M71" s="30">
        <f t="shared" si="48"/>
        <v>763600</v>
      </c>
      <c r="N71" s="30">
        <f t="shared" si="48"/>
        <v>822185</v>
      </c>
    </row>
    <row r="72">
      <c r="A72" s="22" t="s">
        <v>61</v>
      </c>
      <c r="C72" s="30">
        <f t="shared" ref="C72:N72" si="49">C45+C47-C56</f>
        <v>236335</v>
      </c>
      <c r="D72" s="30">
        <f t="shared" si="49"/>
        <v>58585</v>
      </c>
      <c r="E72" s="30">
        <f t="shared" si="49"/>
        <v>58585</v>
      </c>
      <c r="F72" s="30">
        <f t="shared" si="49"/>
        <v>58585</v>
      </c>
      <c r="G72" s="30">
        <f t="shared" si="49"/>
        <v>58585</v>
      </c>
      <c r="H72" s="30">
        <f t="shared" si="49"/>
        <v>58585</v>
      </c>
      <c r="I72" s="30">
        <f t="shared" si="49"/>
        <v>58585</v>
      </c>
      <c r="J72" s="30">
        <f t="shared" si="49"/>
        <v>58585</v>
      </c>
      <c r="K72" s="30">
        <f t="shared" si="49"/>
        <v>58585</v>
      </c>
      <c r="L72" s="30">
        <f t="shared" si="49"/>
        <v>58585</v>
      </c>
      <c r="M72" s="30">
        <f t="shared" si="49"/>
        <v>58585</v>
      </c>
      <c r="N72" s="30">
        <f t="shared" si="49"/>
        <v>58585</v>
      </c>
    </row>
    <row r="73">
      <c r="A73" s="22" t="s">
        <v>62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</row>
    <row r="74">
      <c r="A74" s="22" t="s">
        <v>63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</row>
    <row r="75">
      <c r="A75" s="22" t="s">
        <v>64</v>
      </c>
      <c r="C75" s="30">
        <f t="shared" ref="C75:N75" si="50">sum(C72:C74)</f>
        <v>236335</v>
      </c>
      <c r="D75" s="30">
        <f t="shared" si="50"/>
        <v>58585</v>
      </c>
      <c r="E75" s="30">
        <f t="shared" si="50"/>
        <v>58585</v>
      </c>
      <c r="F75" s="30">
        <f t="shared" si="50"/>
        <v>58585</v>
      </c>
      <c r="G75" s="30">
        <f t="shared" si="50"/>
        <v>58585</v>
      </c>
      <c r="H75" s="30">
        <f t="shared" si="50"/>
        <v>58585</v>
      </c>
      <c r="I75" s="30">
        <f t="shared" si="50"/>
        <v>58585</v>
      </c>
      <c r="J75" s="30">
        <f t="shared" si="50"/>
        <v>58585</v>
      </c>
      <c r="K75" s="30">
        <f t="shared" si="50"/>
        <v>58585</v>
      </c>
      <c r="L75" s="30">
        <f t="shared" si="50"/>
        <v>58585</v>
      </c>
      <c r="M75" s="30">
        <f t="shared" si="50"/>
        <v>58585</v>
      </c>
      <c r="N75" s="30">
        <f t="shared" si="50"/>
        <v>58585</v>
      </c>
    </row>
    <row r="76">
      <c r="A76" s="22" t="s">
        <v>65</v>
      </c>
      <c r="B76" s="47">
        <v>0.0</v>
      </c>
      <c r="C76" s="30">
        <f t="shared" ref="C76:N76" si="51">C71+C75</f>
        <v>236335</v>
      </c>
      <c r="D76" s="30">
        <f t="shared" si="51"/>
        <v>294920</v>
      </c>
      <c r="E76" s="30">
        <f t="shared" si="51"/>
        <v>353505</v>
      </c>
      <c r="F76" s="30">
        <f t="shared" si="51"/>
        <v>412090</v>
      </c>
      <c r="G76" s="30">
        <f t="shared" si="51"/>
        <v>470675</v>
      </c>
      <c r="H76" s="30">
        <f t="shared" si="51"/>
        <v>529260</v>
      </c>
      <c r="I76" s="30">
        <f t="shared" si="51"/>
        <v>587845</v>
      </c>
      <c r="J76" s="30">
        <f t="shared" si="51"/>
        <v>646430</v>
      </c>
      <c r="K76" s="30">
        <f t="shared" si="51"/>
        <v>705015</v>
      </c>
      <c r="L76" s="30">
        <f t="shared" si="51"/>
        <v>763600</v>
      </c>
      <c r="M76" s="30">
        <f t="shared" si="51"/>
        <v>822185</v>
      </c>
      <c r="N76" s="30">
        <f t="shared" si="51"/>
        <v>880770</v>
      </c>
    </row>
    <row r="77">
      <c r="A77" s="37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</row>
    <row r="78">
      <c r="A78" s="37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</row>
    <row r="79">
      <c r="A79" s="37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</row>
    <row r="80">
      <c r="A80" s="37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</row>
    <row r="81">
      <c r="A81" s="37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</row>
    <row r="82">
      <c r="A82" s="37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>
      <c r="A83" s="37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4">
      <c r="A84" s="37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>
      <c r="A85" s="37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</row>
    <row r="86">
      <c r="A86" s="37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</row>
    <row r="87">
      <c r="A87" s="37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</row>
    <row r="88">
      <c r="A88" s="37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>
      <c r="A89" s="37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</row>
    <row r="90">
      <c r="A90" s="37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</row>
    <row r="91">
      <c r="A91" s="37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</row>
    <row r="92">
      <c r="A92" s="37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</row>
    <row r="93">
      <c r="A93" s="37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</row>
    <row r="94">
      <c r="A94" s="37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</row>
    <row r="95">
      <c r="A95" s="37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</row>
    <row r="96">
      <c r="A96" s="37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</row>
    <row r="97">
      <c r="A97" s="37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>
      <c r="A98" s="37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</row>
    <row r="99">
      <c r="A99" s="37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</row>
    <row r="100">
      <c r="A100" s="37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</row>
    <row r="101">
      <c r="A101" s="37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</row>
    <row r="102">
      <c r="A102" s="37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</row>
    <row r="103">
      <c r="A103" s="37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</row>
    <row r="104">
      <c r="A104" s="37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</row>
    <row r="105">
      <c r="A105" s="37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</row>
    <row r="106">
      <c r="A106" s="37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</row>
    <row r="107">
      <c r="A107" s="37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</row>
    <row r="108">
      <c r="A108" s="37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</row>
    <row r="109">
      <c r="A109" s="37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</row>
    <row r="110">
      <c r="A110" s="37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>
      <c r="A111" s="37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</row>
    <row r="112">
      <c r="A112" s="37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</row>
    <row r="113">
      <c r="A113" s="37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</row>
    <row r="114">
      <c r="A114" s="37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</row>
    <row r="115">
      <c r="A115" s="37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</row>
    <row r="116">
      <c r="A116" s="37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</row>
    <row r="117">
      <c r="A117" s="37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</row>
    <row r="118">
      <c r="A118" s="37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</row>
    <row r="119">
      <c r="A119" s="37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</row>
    <row r="120">
      <c r="A120" s="37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</row>
    <row r="121">
      <c r="A121" s="37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</row>
    <row r="122">
      <c r="A122" s="37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</row>
    <row r="123">
      <c r="A123" s="37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</row>
    <row r="124">
      <c r="A124" s="37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</row>
    <row r="125">
      <c r="A125" s="37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</row>
    <row r="126">
      <c r="A126" s="37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</row>
    <row r="127">
      <c r="A127" s="37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</row>
    <row r="128">
      <c r="A128" s="37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29">
      <c r="A129" s="37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</row>
    <row r="130">
      <c r="A130" s="37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</row>
    <row r="131">
      <c r="A131" s="37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</row>
    <row r="132">
      <c r="A132" s="37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</row>
    <row r="133">
      <c r="A133" s="37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</row>
    <row r="134">
      <c r="A134" s="37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</row>
    <row r="135">
      <c r="A135" s="37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</row>
    <row r="136">
      <c r="A136" s="37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</row>
    <row r="137">
      <c r="A137" s="37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</row>
    <row r="138">
      <c r="A138" s="37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</row>
    <row r="139">
      <c r="A139" s="37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</row>
    <row r="140">
      <c r="A140" s="37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</row>
    <row r="141">
      <c r="A141" s="37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</row>
    <row r="142">
      <c r="A142" s="37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</row>
    <row r="143">
      <c r="A143" s="37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</row>
    <row r="144">
      <c r="A144" s="37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</row>
    <row r="145">
      <c r="A145" s="37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</row>
    <row r="146">
      <c r="A146" s="37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</row>
    <row r="147">
      <c r="A147" s="37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</row>
    <row r="148">
      <c r="A148" s="37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</row>
    <row r="149">
      <c r="A149" s="37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</row>
    <row r="150">
      <c r="A150" s="37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</row>
    <row r="151">
      <c r="A151" s="37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</row>
    <row r="152">
      <c r="A152" s="37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</row>
    <row r="153">
      <c r="A153" s="37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</row>
    <row r="154">
      <c r="A154" s="37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</row>
    <row r="155">
      <c r="A155" s="37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</row>
    <row r="156">
      <c r="A156" s="37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</row>
    <row r="157">
      <c r="A157" s="37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</row>
    <row r="158">
      <c r="A158" s="37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</row>
    <row r="159">
      <c r="A159" s="37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</row>
    <row r="160">
      <c r="A160" s="37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</row>
    <row r="161">
      <c r="A161" s="37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</row>
    <row r="162">
      <c r="A162" s="37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</row>
    <row r="163">
      <c r="A163" s="37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</row>
    <row r="164">
      <c r="A164" s="37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</row>
    <row r="165">
      <c r="A165" s="37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</row>
    <row r="166">
      <c r="A166" s="37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</row>
    <row r="167">
      <c r="A167" s="37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</row>
    <row r="168">
      <c r="A168" s="37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</row>
    <row r="169">
      <c r="A169" s="37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</row>
    <row r="170">
      <c r="A170" s="37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</row>
    <row r="171">
      <c r="A171" s="37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</row>
    <row r="172">
      <c r="A172" s="37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</row>
    <row r="173">
      <c r="A173" s="37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</row>
    <row r="174">
      <c r="A174" s="37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</row>
    <row r="175">
      <c r="A175" s="37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</row>
    <row r="176">
      <c r="A176" s="37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</row>
    <row r="177">
      <c r="A177" s="37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</row>
    <row r="178">
      <c r="A178" s="37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</row>
    <row r="179">
      <c r="A179" s="37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</row>
    <row r="180">
      <c r="A180" s="37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</row>
    <row r="181">
      <c r="A181" s="37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</row>
    <row r="182">
      <c r="A182" s="37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</row>
    <row r="183">
      <c r="A183" s="37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</row>
    <row r="184">
      <c r="A184" s="37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</row>
    <row r="185">
      <c r="A185" s="37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</row>
    <row r="186">
      <c r="A186" s="37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</row>
    <row r="187">
      <c r="A187" s="37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</row>
    <row r="188">
      <c r="A188" s="37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</row>
    <row r="189">
      <c r="A189" s="37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</row>
    <row r="190">
      <c r="A190" s="37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</row>
    <row r="191">
      <c r="A191" s="37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</row>
    <row r="192">
      <c r="A192" s="37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</row>
    <row r="193">
      <c r="A193" s="37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</row>
    <row r="194">
      <c r="A194" s="37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</row>
    <row r="195">
      <c r="A195" s="37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</row>
    <row r="196">
      <c r="A196" s="37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</row>
    <row r="197">
      <c r="A197" s="37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</row>
    <row r="198">
      <c r="A198" s="37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</row>
    <row r="199">
      <c r="A199" s="37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</row>
    <row r="200">
      <c r="A200" s="37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</row>
    <row r="201">
      <c r="A201" s="37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</row>
    <row r="202">
      <c r="A202" s="37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</row>
    <row r="203">
      <c r="A203" s="37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</row>
    <row r="204">
      <c r="A204" s="37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</row>
    <row r="205">
      <c r="A205" s="37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</row>
    <row r="206">
      <c r="A206" s="37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</row>
    <row r="207">
      <c r="A207" s="37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</row>
    <row r="208">
      <c r="A208" s="37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</row>
    <row r="209">
      <c r="A209" s="37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</row>
    <row r="210">
      <c r="A210" s="37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>
      <c r="A211" s="37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</row>
    <row r="212">
      <c r="A212" s="37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</row>
    <row r="213">
      <c r="A213" s="37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</row>
    <row r="214">
      <c r="A214" s="37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</row>
    <row r="215">
      <c r="A215" s="37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</row>
    <row r="216">
      <c r="A216" s="37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</row>
    <row r="217">
      <c r="A217" s="37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>
      <c r="A218" s="37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</row>
    <row r="219">
      <c r="A219" s="37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</row>
    <row r="220">
      <c r="A220" s="37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</row>
    <row r="221">
      <c r="A221" s="37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</row>
    <row r="222">
      <c r="A222" s="37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</row>
    <row r="223">
      <c r="A223" s="37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</row>
    <row r="224">
      <c r="A224" s="37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</row>
    <row r="225">
      <c r="A225" s="37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</row>
    <row r="226">
      <c r="A226" s="37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</row>
    <row r="227">
      <c r="A227" s="37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</row>
    <row r="228">
      <c r="A228" s="37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</row>
    <row r="229">
      <c r="A229" s="37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</row>
    <row r="230">
      <c r="A230" s="37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</row>
    <row r="231">
      <c r="A231" s="37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</row>
    <row r="232">
      <c r="A232" s="37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</row>
    <row r="233">
      <c r="A233" s="37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</row>
    <row r="234">
      <c r="A234" s="37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</row>
    <row r="235">
      <c r="A235" s="37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</row>
    <row r="236">
      <c r="A236" s="37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</row>
    <row r="237">
      <c r="A237" s="37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</row>
    <row r="238">
      <c r="A238" s="37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</row>
    <row r="239">
      <c r="A239" s="37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</row>
    <row r="240">
      <c r="A240" s="37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</row>
    <row r="241">
      <c r="A241" s="37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</row>
    <row r="242">
      <c r="A242" s="37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</row>
    <row r="243">
      <c r="A243" s="37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</row>
    <row r="244">
      <c r="A244" s="37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</row>
    <row r="245">
      <c r="A245" s="37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</row>
    <row r="246">
      <c r="A246" s="37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</row>
    <row r="247">
      <c r="A247" s="37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</row>
    <row r="248">
      <c r="A248" s="37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</row>
    <row r="249">
      <c r="A249" s="37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</row>
    <row r="250">
      <c r="A250" s="37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</row>
    <row r="251">
      <c r="A251" s="37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</row>
    <row r="252">
      <c r="A252" s="37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</row>
    <row r="253">
      <c r="A253" s="37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</row>
    <row r="254">
      <c r="A254" s="37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</row>
    <row r="255">
      <c r="A255" s="37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</row>
    <row r="256">
      <c r="A256" s="37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</row>
    <row r="257">
      <c r="A257" s="37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</row>
    <row r="258">
      <c r="A258" s="37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</row>
    <row r="259">
      <c r="A259" s="37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</row>
    <row r="260">
      <c r="A260" s="37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</row>
    <row r="261">
      <c r="A261" s="37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</row>
    <row r="262">
      <c r="A262" s="37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</row>
    <row r="263">
      <c r="A263" s="37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</row>
    <row r="264">
      <c r="A264" s="37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</row>
    <row r="265">
      <c r="A265" s="37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</row>
    <row r="266">
      <c r="A266" s="37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</row>
    <row r="267">
      <c r="A267" s="37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</row>
    <row r="268">
      <c r="A268" s="37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</row>
    <row r="269">
      <c r="A269" s="37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</row>
    <row r="270">
      <c r="A270" s="37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</row>
    <row r="271">
      <c r="A271" s="37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</row>
    <row r="272">
      <c r="A272" s="37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</row>
    <row r="273">
      <c r="A273" s="37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</row>
    <row r="274">
      <c r="A274" s="37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</row>
    <row r="275">
      <c r="A275" s="37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</row>
    <row r="276">
      <c r="A276" s="37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</row>
    <row r="277">
      <c r="A277" s="37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</row>
    <row r="278">
      <c r="A278" s="37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</row>
    <row r="279">
      <c r="A279" s="37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</row>
    <row r="280">
      <c r="A280" s="37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</row>
    <row r="281">
      <c r="A281" s="37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</row>
    <row r="282">
      <c r="A282" s="37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</row>
    <row r="283">
      <c r="A283" s="37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</row>
    <row r="284">
      <c r="A284" s="37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</row>
    <row r="285">
      <c r="A285" s="37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</row>
  </sheetData>
  <mergeCells count="52">
    <mergeCell ref="A6:B6"/>
    <mergeCell ref="A8:B8"/>
    <mergeCell ref="A11:B11"/>
    <mergeCell ref="A14:B14"/>
    <mergeCell ref="A15:B15"/>
    <mergeCell ref="C15:N15"/>
    <mergeCell ref="A16:B16"/>
    <mergeCell ref="A17:B17"/>
    <mergeCell ref="A18:B18"/>
    <mergeCell ref="C18:N18"/>
    <mergeCell ref="A19:B19"/>
    <mergeCell ref="A31:B31"/>
    <mergeCell ref="C31:N31"/>
    <mergeCell ref="A32:B32"/>
    <mergeCell ref="A33:B33"/>
    <mergeCell ref="A34:B34"/>
    <mergeCell ref="C34:N34"/>
    <mergeCell ref="A35:B35"/>
    <mergeCell ref="A41:B41"/>
    <mergeCell ref="A44:B44"/>
    <mergeCell ref="C44:N44"/>
    <mergeCell ref="A45:B45"/>
    <mergeCell ref="A46:B46"/>
    <mergeCell ref="A50:B50"/>
    <mergeCell ref="C50:N50"/>
    <mergeCell ref="A51:B51"/>
    <mergeCell ref="A52:B52"/>
    <mergeCell ref="A53:B53"/>
    <mergeCell ref="C63:N63"/>
    <mergeCell ref="C69:N69"/>
    <mergeCell ref="C70:N70"/>
    <mergeCell ref="A54:B54"/>
    <mergeCell ref="C54:N54"/>
    <mergeCell ref="A55:B55"/>
    <mergeCell ref="A56:B56"/>
    <mergeCell ref="A57:B57"/>
    <mergeCell ref="C57:N57"/>
    <mergeCell ref="C58:N58"/>
    <mergeCell ref="A69:B69"/>
    <mergeCell ref="A70:B70"/>
    <mergeCell ref="A71:B71"/>
    <mergeCell ref="A72:B72"/>
    <mergeCell ref="A73:B73"/>
    <mergeCell ref="A74:B74"/>
    <mergeCell ref="A75:B75"/>
    <mergeCell ref="A58:B58"/>
    <mergeCell ref="A60:B60"/>
    <mergeCell ref="A62:B62"/>
    <mergeCell ref="A63:B63"/>
    <mergeCell ref="A64:B64"/>
    <mergeCell ref="A66:B66"/>
    <mergeCell ref="A68:B68"/>
  </mergeCells>
  <conditionalFormatting sqref="C51:N51">
    <cfRule type="cellIs" dxfId="0" priority="1" operator="greaterThan">
      <formula>0</formula>
    </cfRule>
  </conditionalFormatting>
  <conditionalFormatting sqref="C51:N51">
    <cfRule type="cellIs" dxfId="1" priority="2" operator="lessThanOrEqual">
      <formula>0</formula>
    </cfRule>
  </conditionalFormatting>
  <conditionalFormatting sqref="C53:N53">
    <cfRule type="cellIs" dxfId="0" priority="3" operator="greaterThan">
      <formula>0</formula>
    </cfRule>
  </conditionalFormatting>
  <conditionalFormatting sqref="C53:N53">
    <cfRule type="cellIs" dxfId="1" priority="4" operator="lessThanOr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8.38"/>
    <col customWidth="1" min="2" max="14" width="10.88"/>
  </cols>
  <sheetData>
    <row r="1">
      <c r="A1" s="22" t="s">
        <v>87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</row>
    <row r="2" ht="29.25" customHeight="1">
      <c r="A2" s="46" t="s">
        <v>14</v>
      </c>
      <c r="B2" s="56">
        <f>sum(C2:N2)</f>
        <v>4344000</v>
      </c>
      <c r="C2" s="57">
        <f t="shared" ref="C2:N2" si="1">sum(C3:C4)</f>
        <v>362000</v>
      </c>
      <c r="D2" s="57">
        <f t="shared" si="1"/>
        <v>362000</v>
      </c>
      <c r="E2" s="57">
        <f t="shared" si="1"/>
        <v>362000</v>
      </c>
      <c r="F2" s="57">
        <f t="shared" si="1"/>
        <v>362000</v>
      </c>
      <c r="G2" s="57">
        <f t="shared" si="1"/>
        <v>362000</v>
      </c>
      <c r="H2" s="57">
        <f t="shared" si="1"/>
        <v>362000</v>
      </c>
      <c r="I2" s="57">
        <f t="shared" si="1"/>
        <v>362000</v>
      </c>
      <c r="J2" s="57">
        <f t="shared" si="1"/>
        <v>362000</v>
      </c>
      <c r="K2" s="57">
        <f t="shared" si="1"/>
        <v>362000</v>
      </c>
      <c r="L2" s="57">
        <f t="shared" si="1"/>
        <v>362000</v>
      </c>
      <c r="M2" s="57">
        <f t="shared" si="1"/>
        <v>362000</v>
      </c>
      <c r="N2" s="57">
        <f t="shared" si="1"/>
        <v>362000</v>
      </c>
    </row>
    <row r="3">
      <c r="A3" s="26" t="s">
        <v>88</v>
      </c>
      <c r="B3" s="58">
        <v>0.9</v>
      </c>
      <c r="C3" s="59">
        <f t="shared" ref="C3:N3" si="2">C10*$B$3*$B$11</f>
        <v>360000</v>
      </c>
      <c r="D3" s="59">
        <f t="shared" si="2"/>
        <v>360000</v>
      </c>
      <c r="E3" s="59">
        <f t="shared" si="2"/>
        <v>360000</v>
      </c>
      <c r="F3" s="59">
        <f t="shared" si="2"/>
        <v>360000</v>
      </c>
      <c r="G3" s="59">
        <f t="shared" si="2"/>
        <v>360000</v>
      </c>
      <c r="H3" s="59">
        <f t="shared" si="2"/>
        <v>360000</v>
      </c>
      <c r="I3" s="59">
        <f t="shared" si="2"/>
        <v>360000</v>
      </c>
      <c r="J3" s="59">
        <f t="shared" si="2"/>
        <v>360000</v>
      </c>
      <c r="K3" s="59">
        <f t="shared" si="2"/>
        <v>360000</v>
      </c>
      <c r="L3" s="59">
        <f t="shared" si="2"/>
        <v>360000</v>
      </c>
      <c r="M3" s="59">
        <f t="shared" si="2"/>
        <v>360000</v>
      </c>
      <c r="N3" s="59">
        <f t="shared" si="2"/>
        <v>360000</v>
      </c>
    </row>
    <row r="4">
      <c r="A4" s="26" t="s">
        <v>89</v>
      </c>
      <c r="B4" s="58">
        <v>0.1</v>
      </c>
      <c r="C4" s="59">
        <f t="shared" ref="C4:N4" si="3">C10*$B$4*$B$12</f>
        <v>2000</v>
      </c>
      <c r="D4" s="59">
        <f t="shared" si="3"/>
        <v>2000</v>
      </c>
      <c r="E4" s="59">
        <f t="shared" si="3"/>
        <v>2000</v>
      </c>
      <c r="F4" s="59">
        <f t="shared" si="3"/>
        <v>2000</v>
      </c>
      <c r="G4" s="59">
        <f t="shared" si="3"/>
        <v>2000</v>
      </c>
      <c r="H4" s="59">
        <f t="shared" si="3"/>
        <v>2000</v>
      </c>
      <c r="I4" s="59">
        <f t="shared" si="3"/>
        <v>2000</v>
      </c>
      <c r="J4" s="59">
        <f t="shared" si="3"/>
        <v>2000</v>
      </c>
      <c r="K4" s="59">
        <f t="shared" si="3"/>
        <v>2000</v>
      </c>
      <c r="L4" s="59">
        <f t="shared" si="3"/>
        <v>2000</v>
      </c>
      <c r="M4" s="59">
        <f t="shared" si="3"/>
        <v>2000</v>
      </c>
      <c r="N4" s="59">
        <f t="shared" si="3"/>
        <v>2000</v>
      </c>
    </row>
    <row r="5">
      <c r="A5" s="26" t="s">
        <v>17</v>
      </c>
      <c r="B5" s="60">
        <v>1000.0</v>
      </c>
      <c r="C5" s="59">
        <f t="shared" ref="C5:N5" si="4">B5+B5*$B$6</f>
        <v>1000</v>
      </c>
      <c r="D5" s="59">
        <f t="shared" si="4"/>
        <v>1000</v>
      </c>
      <c r="E5" s="59">
        <f t="shared" si="4"/>
        <v>1000</v>
      </c>
      <c r="F5" s="59">
        <f t="shared" si="4"/>
        <v>1000</v>
      </c>
      <c r="G5" s="59">
        <f t="shared" si="4"/>
        <v>1000</v>
      </c>
      <c r="H5" s="59">
        <f t="shared" si="4"/>
        <v>1000</v>
      </c>
      <c r="I5" s="59">
        <f t="shared" si="4"/>
        <v>1000</v>
      </c>
      <c r="J5" s="59">
        <f t="shared" si="4"/>
        <v>1000</v>
      </c>
      <c r="K5" s="59">
        <f t="shared" si="4"/>
        <v>1000</v>
      </c>
      <c r="L5" s="59">
        <f t="shared" si="4"/>
        <v>1000</v>
      </c>
      <c r="M5" s="59">
        <f t="shared" si="4"/>
        <v>1000</v>
      </c>
      <c r="N5" s="59">
        <f t="shared" si="4"/>
        <v>1000</v>
      </c>
    </row>
    <row r="6">
      <c r="A6" s="22" t="s">
        <v>18</v>
      </c>
      <c r="B6" s="61">
        <v>0.0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>
      <c r="A7" s="22" t="s">
        <v>19</v>
      </c>
      <c r="B7" s="61">
        <v>0.04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</row>
    <row r="8">
      <c r="A8" s="26" t="s">
        <v>90</v>
      </c>
      <c r="C8" s="62">
        <f t="shared" ref="C8:N8" si="5">C5*$B$7</f>
        <v>40</v>
      </c>
      <c r="D8" s="62">
        <f t="shared" si="5"/>
        <v>40</v>
      </c>
      <c r="E8" s="62">
        <f t="shared" si="5"/>
        <v>40</v>
      </c>
      <c r="F8" s="62">
        <f t="shared" si="5"/>
        <v>40</v>
      </c>
      <c r="G8" s="62">
        <f t="shared" si="5"/>
        <v>40</v>
      </c>
      <c r="H8" s="62">
        <f t="shared" si="5"/>
        <v>40</v>
      </c>
      <c r="I8" s="62">
        <f t="shared" si="5"/>
        <v>40</v>
      </c>
      <c r="J8" s="62">
        <f t="shared" si="5"/>
        <v>40</v>
      </c>
      <c r="K8" s="62">
        <f t="shared" si="5"/>
        <v>40</v>
      </c>
      <c r="L8" s="62">
        <f t="shared" si="5"/>
        <v>40</v>
      </c>
      <c r="M8" s="62">
        <f t="shared" si="5"/>
        <v>40</v>
      </c>
      <c r="N8" s="62">
        <f t="shared" si="5"/>
        <v>40</v>
      </c>
    </row>
    <row r="9">
      <c r="A9" s="22" t="s">
        <v>21</v>
      </c>
      <c r="B9" s="61">
        <v>0.5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>
      <c r="A10" s="26" t="s">
        <v>22</v>
      </c>
      <c r="C10" s="62">
        <f t="shared" ref="C10:N10" si="6">C8*$B$9</f>
        <v>20</v>
      </c>
      <c r="D10" s="62">
        <f t="shared" si="6"/>
        <v>20</v>
      </c>
      <c r="E10" s="62">
        <f t="shared" si="6"/>
        <v>20</v>
      </c>
      <c r="F10" s="62">
        <f t="shared" si="6"/>
        <v>20</v>
      </c>
      <c r="G10" s="62">
        <f t="shared" si="6"/>
        <v>20</v>
      </c>
      <c r="H10" s="62">
        <f t="shared" si="6"/>
        <v>20</v>
      </c>
      <c r="I10" s="62">
        <f t="shared" si="6"/>
        <v>20</v>
      </c>
      <c r="J10" s="62">
        <f t="shared" si="6"/>
        <v>20</v>
      </c>
      <c r="K10" s="62">
        <f t="shared" si="6"/>
        <v>20</v>
      </c>
      <c r="L10" s="62">
        <f t="shared" si="6"/>
        <v>20</v>
      </c>
      <c r="M10" s="62">
        <f t="shared" si="6"/>
        <v>20</v>
      </c>
      <c r="N10" s="62">
        <f t="shared" si="6"/>
        <v>20</v>
      </c>
    </row>
    <row r="11">
      <c r="A11" s="22" t="s">
        <v>23</v>
      </c>
      <c r="B11" s="62">
        <v>20000.0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</row>
    <row r="12">
      <c r="A12" s="22" t="s">
        <v>24</v>
      </c>
      <c r="B12" s="62">
        <v>1000.0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>
      <c r="A13" s="22" t="s">
        <v>28</v>
      </c>
      <c r="B13" s="58">
        <v>20.0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</row>
    <row r="14">
      <c r="A14" s="22" t="s">
        <v>82</v>
      </c>
      <c r="C14" s="59">
        <f t="shared" ref="C14:N14" si="7">-C5*$B$13</f>
        <v>-20000</v>
      </c>
      <c r="D14" s="59">
        <f t="shared" si="7"/>
        <v>-20000</v>
      </c>
      <c r="E14" s="59">
        <f t="shared" si="7"/>
        <v>-20000</v>
      </c>
      <c r="F14" s="59">
        <f t="shared" si="7"/>
        <v>-20000</v>
      </c>
      <c r="G14" s="59">
        <f t="shared" si="7"/>
        <v>-20000</v>
      </c>
      <c r="H14" s="59">
        <f t="shared" si="7"/>
        <v>-20000</v>
      </c>
      <c r="I14" s="59">
        <f t="shared" si="7"/>
        <v>-20000</v>
      </c>
      <c r="J14" s="59">
        <f t="shared" si="7"/>
        <v>-20000</v>
      </c>
      <c r="K14" s="59">
        <f t="shared" si="7"/>
        <v>-20000</v>
      </c>
      <c r="L14" s="59">
        <f t="shared" si="7"/>
        <v>-20000</v>
      </c>
      <c r="M14" s="59">
        <f t="shared" si="7"/>
        <v>-20000</v>
      </c>
      <c r="N14" s="59">
        <f t="shared" si="7"/>
        <v>-20000</v>
      </c>
    </row>
    <row r="15">
      <c r="A15" s="37"/>
      <c r="C15" s="59"/>
    </row>
    <row r="16">
      <c r="A16" s="37"/>
      <c r="C16" s="59"/>
    </row>
    <row r="17" ht="25.5" customHeight="1">
      <c r="A17" s="46" t="s">
        <v>32</v>
      </c>
      <c r="C17" s="63">
        <f t="shared" ref="C17:N17" si="8">sum(C18:C21)</f>
        <v>-152080</v>
      </c>
      <c r="D17" s="63">
        <f t="shared" si="8"/>
        <v>-152080</v>
      </c>
      <c r="E17" s="63">
        <f t="shared" si="8"/>
        <v>-152080</v>
      </c>
      <c r="F17" s="63">
        <f t="shared" si="8"/>
        <v>-152080</v>
      </c>
      <c r="G17" s="63">
        <f t="shared" si="8"/>
        <v>-152080</v>
      </c>
      <c r="H17" s="63">
        <f t="shared" si="8"/>
        <v>-152080</v>
      </c>
      <c r="I17" s="63">
        <f t="shared" si="8"/>
        <v>-152080</v>
      </c>
      <c r="J17" s="63">
        <f t="shared" si="8"/>
        <v>-152080</v>
      </c>
      <c r="K17" s="63">
        <f t="shared" si="8"/>
        <v>-152080</v>
      </c>
      <c r="L17" s="63">
        <f t="shared" si="8"/>
        <v>-152080</v>
      </c>
      <c r="M17" s="63">
        <f t="shared" si="8"/>
        <v>-152080</v>
      </c>
      <c r="N17" s="63">
        <f t="shared" si="8"/>
        <v>-152080</v>
      </c>
    </row>
    <row r="18">
      <c r="A18" s="22" t="s">
        <v>91</v>
      </c>
      <c r="B18" s="61">
        <v>0.09</v>
      </c>
      <c r="C18" s="59">
        <f t="shared" ref="C18:N18" si="9">-C2*$B$18</f>
        <v>-32580</v>
      </c>
      <c r="D18" s="59">
        <f t="shared" si="9"/>
        <v>-32580</v>
      </c>
      <c r="E18" s="59">
        <f t="shared" si="9"/>
        <v>-32580</v>
      </c>
      <c r="F18" s="59">
        <f t="shared" si="9"/>
        <v>-32580</v>
      </c>
      <c r="G18" s="59">
        <f t="shared" si="9"/>
        <v>-32580</v>
      </c>
      <c r="H18" s="59">
        <f t="shared" si="9"/>
        <v>-32580</v>
      </c>
      <c r="I18" s="59">
        <f t="shared" si="9"/>
        <v>-32580</v>
      </c>
      <c r="J18" s="59">
        <f t="shared" si="9"/>
        <v>-32580</v>
      </c>
      <c r="K18" s="59">
        <f t="shared" si="9"/>
        <v>-32580</v>
      </c>
      <c r="L18" s="59">
        <f t="shared" si="9"/>
        <v>-32580</v>
      </c>
      <c r="M18" s="59">
        <f t="shared" si="9"/>
        <v>-32580</v>
      </c>
      <c r="N18" s="59">
        <f t="shared" si="9"/>
        <v>-32580</v>
      </c>
    </row>
    <row r="19">
      <c r="A19" s="22" t="s">
        <v>92</v>
      </c>
      <c r="B19" s="61">
        <v>0.25</v>
      </c>
      <c r="C19" s="59">
        <f t="shared" ref="C19:N19" si="10">-C2*$B$19</f>
        <v>-90500</v>
      </c>
      <c r="D19" s="59">
        <f t="shared" si="10"/>
        <v>-90500</v>
      </c>
      <c r="E19" s="59">
        <f t="shared" si="10"/>
        <v>-90500</v>
      </c>
      <c r="F19" s="59">
        <f t="shared" si="10"/>
        <v>-90500</v>
      </c>
      <c r="G19" s="59">
        <f t="shared" si="10"/>
        <v>-90500</v>
      </c>
      <c r="H19" s="59">
        <f t="shared" si="10"/>
        <v>-90500</v>
      </c>
      <c r="I19" s="59">
        <f t="shared" si="10"/>
        <v>-90500</v>
      </c>
      <c r="J19" s="59">
        <f t="shared" si="10"/>
        <v>-90500</v>
      </c>
      <c r="K19" s="59">
        <f t="shared" si="10"/>
        <v>-90500</v>
      </c>
      <c r="L19" s="59">
        <f t="shared" si="10"/>
        <v>-90500</v>
      </c>
      <c r="M19" s="59">
        <f t="shared" si="10"/>
        <v>-90500</v>
      </c>
      <c r="N19" s="59">
        <f t="shared" si="10"/>
        <v>-90500</v>
      </c>
    </row>
    <row r="20">
      <c r="A20" s="22" t="s">
        <v>93</v>
      </c>
      <c r="B20" s="58">
        <v>-29000.0</v>
      </c>
      <c r="C20" s="59">
        <f t="shared" ref="C20:N20" si="11">$B$20</f>
        <v>-29000</v>
      </c>
      <c r="D20" s="59">
        <f t="shared" si="11"/>
        <v>-29000</v>
      </c>
      <c r="E20" s="59">
        <f t="shared" si="11"/>
        <v>-29000</v>
      </c>
      <c r="F20" s="59">
        <f t="shared" si="11"/>
        <v>-29000</v>
      </c>
      <c r="G20" s="59">
        <f t="shared" si="11"/>
        <v>-29000</v>
      </c>
      <c r="H20" s="59">
        <f t="shared" si="11"/>
        <v>-29000</v>
      </c>
      <c r="I20" s="59">
        <f t="shared" si="11"/>
        <v>-29000</v>
      </c>
      <c r="J20" s="59">
        <f t="shared" si="11"/>
        <v>-29000</v>
      </c>
      <c r="K20" s="59">
        <f t="shared" si="11"/>
        <v>-29000</v>
      </c>
      <c r="L20" s="59">
        <f t="shared" si="11"/>
        <v>-29000</v>
      </c>
      <c r="M20" s="59">
        <f t="shared" si="11"/>
        <v>-29000</v>
      </c>
      <c r="N20" s="59">
        <f t="shared" si="11"/>
        <v>-29000</v>
      </c>
    </row>
    <row r="21">
      <c r="A21" s="22"/>
      <c r="B21" s="64">
        <v>0.0</v>
      </c>
      <c r="C21" s="59">
        <f t="shared" ref="C21:N21" si="12">$B$21</f>
        <v>0</v>
      </c>
      <c r="D21" s="59">
        <f t="shared" si="12"/>
        <v>0</v>
      </c>
      <c r="E21" s="59">
        <f t="shared" si="12"/>
        <v>0</v>
      </c>
      <c r="F21" s="59">
        <f t="shared" si="12"/>
        <v>0</v>
      </c>
      <c r="G21" s="59">
        <f t="shared" si="12"/>
        <v>0</v>
      </c>
      <c r="H21" s="59">
        <f t="shared" si="12"/>
        <v>0</v>
      </c>
      <c r="I21" s="59">
        <f t="shared" si="12"/>
        <v>0</v>
      </c>
      <c r="J21" s="59">
        <f t="shared" si="12"/>
        <v>0</v>
      </c>
      <c r="K21" s="59">
        <f t="shared" si="12"/>
        <v>0</v>
      </c>
      <c r="L21" s="59">
        <f t="shared" si="12"/>
        <v>0</v>
      </c>
      <c r="M21" s="59">
        <f t="shared" si="12"/>
        <v>0</v>
      </c>
      <c r="N21" s="59">
        <f t="shared" si="12"/>
        <v>0</v>
      </c>
    </row>
    <row r="22">
      <c r="A22" s="37"/>
      <c r="C22" s="59"/>
    </row>
    <row r="23" ht="25.5" customHeight="1">
      <c r="A23" s="52" t="s">
        <v>36</v>
      </c>
      <c r="C23" s="65">
        <f t="shared" ref="C23:N23" si="13">C2+C17</f>
        <v>209920</v>
      </c>
      <c r="D23" s="65">
        <f t="shared" si="13"/>
        <v>209920</v>
      </c>
      <c r="E23" s="65">
        <f t="shared" si="13"/>
        <v>209920</v>
      </c>
      <c r="F23" s="65">
        <f t="shared" si="13"/>
        <v>209920</v>
      </c>
      <c r="G23" s="65">
        <f t="shared" si="13"/>
        <v>209920</v>
      </c>
      <c r="H23" s="65">
        <f t="shared" si="13"/>
        <v>209920</v>
      </c>
      <c r="I23" s="65">
        <f t="shared" si="13"/>
        <v>209920</v>
      </c>
      <c r="J23" s="65">
        <f t="shared" si="13"/>
        <v>209920</v>
      </c>
      <c r="K23" s="65">
        <f t="shared" si="13"/>
        <v>209920</v>
      </c>
      <c r="L23" s="65">
        <f t="shared" si="13"/>
        <v>209920</v>
      </c>
      <c r="M23" s="65">
        <f t="shared" si="13"/>
        <v>209920</v>
      </c>
      <c r="N23" s="65">
        <f t="shared" si="13"/>
        <v>209920</v>
      </c>
    </row>
    <row r="24">
      <c r="A24" s="40" t="s">
        <v>37</v>
      </c>
      <c r="C24" s="66">
        <f t="shared" ref="C24:N24" si="14">C23/C2</f>
        <v>0.5798895028</v>
      </c>
      <c r="D24" s="66">
        <f t="shared" si="14"/>
        <v>0.5798895028</v>
      </c>
      <c r="E24" s="66">
        <f t="shared" si="14"/>
        <v>0.5798895028</v>
      </c>
      <c r="F24" s="66">
        <f t="shared" si="14"/>
        <v>0.5798895028</v>
      </c>
      <c r="G24" s="66">
        <f t="shared" si="14"/>
        <v>0.5798895028</v>
      </c>
      <c r="H24" s="66">
        <f t="shared" si="14"/>
        <v>0.5798895028</v>
      </c>
      <c r="I24" s="66">
        <f t="shared" si="14"/>
        <v>0.5798895028</v>
      </c>
      <c r="J24" s="66">
        <f t="shared" si="14"/>
        <v>0.5798895028</v>
      </c>
      <c r="K24" s="66">
        <f t="shared" si="14"/>
        <v>0.5798895028</v>
      </c>
      <c r="L24" s="66">
        <f t="shared" si="14"/>
        <v>0.5798895028</v>
      </c>
      <c r="M24" s="66">
        <f t="shared" si="14"/>
        <v>0.5798895028</v>
      </c>
      <c r="N24" s="66">
        <f t="shared" si="14"/>
        <v>0.5798895028</v>
      </c>
    </row>
    <row r="25">
      <c r="A25" s="37"/>
      <c r="C25" s="67"/>
    </row>
    <row r="26" ht="24.75" customHeight="1">
      <c r="A26" s="46" t="s">
        <v>38</v>
      </c>
      <c r="C26" s="63">
        <f t="shared" ref="C26:N26" si="15">sum(C27:C36)</f>
        <v>-139340</v>
      </c>
      <c r="D26" s="63">
        <f t="shared" si="15"/>
        <v>-139340</v>
      </c>
      <c r="E26" s="63">
        <f t="shared" si="15"/>
        <v>-139340</v>
      </c>
      <c r="F26" s="63">
        <f t="shared" si="15"/>
        <v>-139340</v>
      </c>
      <c r="G26" s="63">
        <f t="shared" si="15"/>
        <v>-139340</v>
      </c>
      <c r="H26" s="63">
        <f t="shared" si="15"/>
        <v>-139340</v>
      </c>
      <c r="I26" s="63">
        <f t="shared" si="15"/>
        <v>-139340</v>
      </c>
      <c r="J26" s="63">
        <f t="shared" si="15"/>
        <v>-139340</v>
      </c>
      <c r="K26" s="63">
        <f t="shared" si="15"/>
        <v>-139340</v>
      </c>
      <c r="L26" s="63">
        <f t="shared" si="15"/>
        <v>-139340</v>
      </c>
      <c r="M26" s="63">
        <f t="shared" si="15"/>
        <v>-139340</v>
      </c>
      <c r="N26" s="63">
        <f t="shared" si="15"/>
        <v>-139340</v>
      </c>
    </row>
    <row r="27">
      <c r="A27" s="22" t="s">
        <v>94</v>
      </c>
      <c r="B27" s="58">
        <v>-10000.0</v>
      </c>
      <c r="C27" s="59">
        <f t="shared" ref="C27:N27" si="16">$B$27</f>
        <v>-10000</v>
      </c>
      <c r="D27" s="59">
        <f t="shared" si="16"/>
        <v>-10000</v>
      </c>
      <c r="E27" s="59">
        <f t="shared" si="16"/>
        <v>-10000</v>
      </c>
      <c r="F27" s="59">
        <f t="shared" si="16"/>
        <v>-10000</v>
      </c>
      <c r="G27" s="59">
        <f t="shared" si="16"/>
        <v>-10000</v>
      </c>
      <c r="H27" s="59">
        <f t="shared" si="16"/>
        <v>-10000</v>
      </c>
      <c r="I27" s="59">
        <f t="shared" si="16"/>
        <v>-10000</v>
      </c>
      <c r="J27" s="59">
        <f t="shared" si="16"/>
        <v>-10000</v>
      </c>
      <c r="K27" s="59">
        <f t="shared" si="16"/>
        <v>-10000</v>
      </c>
      <c r="L27" s="59">
        <f t="shared" si="16"/>
        <v>-10000</v>
      </c>
      <c r="M27" s="59">
        <f t="shared" si="16"/>
        <v>-10000</v>
      </c>
      <c r="N27" s="59">
        <f t="shared" si="16"/>
        <v>-10000</v>
      </c>
    </row>
    <row r="28">
      <c r="A28" s="22" t="s">
        <v>95</v>
      </c>
      <c r="B28" s="58">
        <v>-40000.0</v>
      </c>
      <c r="C28" s="59">
        <f t="shared" ref="C28:N28" si="17">$B$28</f>
        <v>-40000</v>
      </c>
      <c r="D28" s="59">
        <f t="shared" si="17"/>
        <v>-40000</v>
      </c>
      <c r="E28" s="59">
        <f t="shared" si="17"/>
        <v>-40000</v>
      </c>
      <c r="F28" s="59">
        <f t="shared" si="17"/>
        <v>-40000</v>
      </c>
      <c r="G28" s="59">
        <f t="shared" si="17"/>
        <v>-40000</v>
      </c>
      <c r="H28" s="59">
        <f t="shared" si="17"/>
        <v>-40000</v>
      </c>
      <c r="I28" s="59">
        <f t="shared" si="17"/>
        <v>-40000</v>
      </c>
      <c r="J28" s="59">
        <f t="shared" si="17"/>
        <v>-40000</v>
      </c>
      <c r="K28" s="59">
        <f t="shared" si="17"/>
        <v>-40000</v>
      </c>
      <c r="L28" s="59">
        <f t="shared" si="17"/>
        <v>-40000</v>
      </c>
      <c r="M28" s="59">
        <f t="shared" si="17"/>
        <v>-40000</v>
      </c>
      <c r="N28" s="59">
        <f t="shared" si="17"/>
        <v>-40000</v>
      </c>
    </row>
    <row r="29">
      <c r="A29" s="22" t="s">
        <v>96</v>
      </c>
      <c r="B29" s="61">
        <v>0.01</v>
      </c>
      <c r="C29" s="59">
        <f t="shared" ref="C29:N29" si="18">-$B$29*C2</f>
        <v>-3620</v>
      </c>
      <c r="D29" s="59">
        <f t="shared" si="18"/>
        <v>-3620</v>
      </c>
      <c r="E29" s="59">
        <f t="shared" si="18"/>
        <v>-3620</v>
      </c>
      <c r="F29" s="59">
        <f t="shared" si="18"/>
        <v>-3620</v>
      </c>
      <c r="G29" s="59">
        <f t="shared" si="18"/>
        <v>-3620</v>
      </c>
      <c r="H29" s="59">
        <f t="shared" si="18"/>
        <v>-3620</v>
      </c>
      <c r="I29" s="59">
        <f t="shared" si="18"/>
        <v>-3620</v>
      </c>
      <c r="J29" s="59">
        <f t="shared" si="18"/>
        <v>-3620</v>
      </c>
      <c r="K29" s="59">
        <f t="shared" si="18"/>
        <v>-3620</v>
      </c>
      <c r="L29" s="59">
        <f t="shared" si="18"/>
        <v>-3620</v>
      </c>
      <c r="M29" s="59">
        <f t="shared" si="18"/>
        <v>-3620</v>
      </c>
      <c r="N29" s="59">
        <f t="shared" si="18"/>
        <v>-3620</v>
      </c>
    </row>
    <row r="30">
      <c r="A30" s="22" t="s">
        <v>97</v>
      </c>
      <c r="B30" s="61">
        <v>0.06</v>
      </c>
      <c r="C30" s="59">
        <f t="shared" ref="C30:N30" si="19">-$B$30*C2</f>
        <v>-21720</v>
      </c>
      <c r="D30" s="59">
        <f t="shared" si="19"/>
        <v>-21720</v>
      </c>
      <c r="E30" s="59">
        <f t="shared" si="19"/>
        <v>-21720</v>
      </c>
      <c r="F30" s="59">
        <f t="shared" si="19"/>
        <v>-21720</v>
      </c>
      <c r="G30" s="59">
        <f t="shared" si="19"/>
        <v>-21720</v>
      </c>
      <c r="H30" s="59">
        <f t="shared" si="19"/>
        <v>-21720</v>
      </c>
      <c r="I30" s="59">
        <f t="shared" si="19"/>
        <v>-21720</v>
      </c>
      <c r="J30" s="59">
        <f t="shared" si="19"/>
        <v>-21720</v>
      </c>
      <c r="K30" s="59">
        <f t="shared" si="19"/>
        <v>-21720</v>
      </c>
      <c r="L30" s="59">
        <f t="shared" si="19"/>
        <v>-21720</v>
      </c>
      <c r="M30" s="59">
        <f t="shared" si="19"/>
        <v>-21720</v>
      </c>
      <c r="N30" s="59">
        <f t="shared" si="19"/>
        <v>-21720</v>
      </c>
    </row>
    <row r="31">
      <c r="A31" s="22" t="s">
        <v>98</v>
      </c>
      <c r="B31" s="61">
        <v>0.05</v>
      </c>
      <c r="C31" s="59">
        <f t="shared" ref="C31:N31" si="20">-$B$31*C2</f>
        <v>-18100</v>
      </c>
      <c r="D31" s="59">
        <f t="shared" si="20"/>
        <v>-18100</v>
      </c>
      <c r="E31" s="59">
        <f t="shared" si="20"/>
        <v>-18100</v>
      </c>
      <c r="F31" s="59">
        <f t="shared" si="20"/>
        <v>-18100</v>
      </c>
      <c r="G31" s="59">
        <f t="shared" si="20"/>
        <v>-18100</v>
      </c>
      <c r="H31" s="59">
        <f t="shared" si="20"/>
        <v>-18100</v>
      </c>
      <c r="I31" s="59">
        <f t="shared" si="20"/>
        <v>-18100</v>
      </c>
      <c r="J31" s="59">
        <f t="shared" si="20"/>
        <v>-18100</v>
      </c>
      <c r="K31" s="59">
        <f t="shared" si="20"/>
        <v>-18100</v>
      </c>
      <c r="L31" s="59">
        <f t="shared" si="20"/>
        <v>-18100</v>
      </c>
      <c r="M31" s="59">
        <f t="shared" si="20"/>
        <v>-18100</v>
      </c>
      <c r="N31" s="59">
        <f t="shared" si="20"/>
        <v>-18100</v>
      </c>
    </row>
    <row r="32">
      <c r="A32" s="22" t="s">
        <v>82</v>
      </c>
      <c r="C32" s="59">
        <f t="shared" ref="C32:N32" si="21">C14</f>
        <v>-20000</v>
      </c>
      <c r="D32" s="59">
        <f t="shared" si="21"/>
        <v>-20000</v>
      </c>
      <c r="E32" s="59">
        <f t="shared" si="21"/>
        <v>-20000</v>
      </c>
      <c r="F32" s="59">
        <f t="shared" si="21"/>
        <v>-20000</v>
      </c>
      <c r="G32" s="59">
        <f t="shared" si="21"/>
        <v>-20000</v>
      </c>
      <c r="H32" s="59">
        <f t="shared" si="21"/>
        <v>-20000</v>
      </c>
      <c r="I32" s="59">
        <f t="shared" si="21"/>
        <v>-20000</v>
      </c>
      <c r="J32" s="59">
        <f t="shared" si="21"/>
        <v>-20000</v>
      </c>
      <c r="K32" s="59">
        <f t="shared" si="21"/>
        <v>-20000</v>
      </c>
      <c r="L32" s="59">
        <f t="shared" si="21"/>
        <v>-20000</v>
      </c>
      <c r="M32" s="59">
        <f t="shared" si="21"/>
        <v>-20000</v>
      </c>
      <c r="N32" s="59">
        <f t="shared" si="21"/>
        <v>-20000</v>
      </c>
    </row>
    <row r="33">
      <c r="A33" s="22" t="s">
        <v>99</v>
      </c>
      <c r="B33" s="58">
        <v>-3000.0</v>
      </c>
      <c r="C33" s="59">
        <f t="shared" ref="C33:N33" si="22">$B$33</f>
        <v>-3000</v>
      </c>
      <c r="D33" s="59">
        <f t="shared" si="22"/>
        <v>-3000</v>
      </c>
      <c r="E33" s="59">
        <f t="shared" si="22"/>
        <v>-3000</v>
      </c>
      <c r="F33" s="59">
        <f t="shared" si="22"/>
        <v>-3000</v>
      </c>
      <c r="G33" s="59">
        <f t="shared" si="22"/>
        <v>-3000</v>
      </c>
      <c r="H33" s="59">
        <f t="shared" si="22"/>
        <v>-3000</v>
      </c>
      <c r="I33" s="59">
        <f t="shared" si="22"/>
        <v>-3000</v>
      </c>
      <c r="J33" s="59">
        <f t="shared" si="22"/>
        <v>-3000</v>
      </c>
      <c r="K33" s="59">
        <f t="shared" si="22"/>
        <v>-3000</v>
      </c>
      <c r="L33" s="59">
        <f t="shared" si="22"/>
        <v>-3000</v>
      </c>
      <c r="M33" s="59">
        <f t="shared" si="22"/>
        <v>-3000</v>
      </c>
      <c r="N33" s="59">
        <f t="shared" si="22"/>
        <v>-3000</v>
      </c>
    </row>
    <row r="34">
      <c r="A34" s="22" t="s">
        <v>100</v>
      </c>
      <c r="B34" s="58">
        <v>-7900.0</v>
      </c>
      <c r="C34" s="59">
        <f t="shared" ref="C34:N34" si="23">$B$34</f>
        <v>-7900</v>
      </c>
      <c r="D34" s="59">
        <f t="shared" si="23"/>
        <v>-7900</v>
      </c>
      <c r="E34" s="59">
        <f t="shared" si="23"/>
        <v>-7900</v>
      </c>
      <c r="F34" s="59">
        <f t="shared" si="23"/>
        <v>-7900</v>
      </c>
      <c r="G34" s="59">
        <f t="shared" si="23"/>
        <v>-7900</v>
      </c>
      <c r="H34" s="59">
        <f t="shared" si="23"/>
        <v>-7900</v>
      </c>
      <c r="I34" s="59">
        <f t="shared" si="23"/>
        <v>-7900</v>
      </c>
      <c r="J34" s="59">
        <f t="shared" si="23"/>
        <v>-7900</v>
      </c>
      <c r="K34" s="59">
        <f t="shared" si="23"/>
        <v>-7900</v>
      </c>
      <c r="L34" s="59">
        <f t="shared" si="23"/>
        <v>-7900</v>
      </c>
      <c r="M34" s="59">
        <f t="shared" si="23"/>
        <v>-7900</v>
      </c>
      <c r="N34" s="59">
        <f t="shared" si="23"/>
        <v>-7900</v>
      </c>
    </row>
    <row r="35">
      <c r="A35" s="22" t="s">
        <v>101</v>
      </c>
      <c r="B35" s="58">
        <v>-15000.0</v>
      </c>
      <c r="C35" s="59">
        <f t="shared" ref="C35:N35" si="24">$B$35</f>
        <v>-15000</v>
      </c>
      <c r="D35" s="59">
        <f t="shared" si="24"/>
        <v>-15000</v>
      </c>
      <c r="E35" s="59">
        <f t="shared" si="24"/>
        <v>-15000</v>
      </c>
      <c r="F35" s="59">
        <f t="shared" si="24"/>
        <v>-15000</v>
      </c>
      <c r="G35" s="59">
        <f t="shared" si="24"/>
        <v>-15000</v>
      </c>
      <c r="H35" s="59">
        <f t="shared" si="24"/>
        <v>-15000</v>
      </c>
      <c r="I35" s="59">
        <f t="shared" si="24"/>
        <v>-15000</v>
      </c>
      <c r="J35" s="59">
        <f t="shared" si="24"/>
        <v>-15000</v>
      </c>
      <c r="K35" s="59">
        <f t="shared" si="24"/>
        <v>-15000</v>
      </c>
      <c r="L35" s="59">
        <f t="shared" si="24"/>
        <v>-15000</v>
      </c>
      <c r="M35" s="59">
        <f t="shared" si="24"/>
        <v>-15000</v>
      </c>
      <c r="N35" s="59">
        <f t="shared" si="24"/>
        <v>-15000</v>
      </c>
    </row>
    <row r="36">
      <c r="A36" s="37"/>
      <c r="B36" s="68"/>
      <c r="C36" s="59" t="str">
        <f t="shared" ref="C36:N36" si="25">$B$36</f>
        <v/>
      </c>
      <c r="D36" s="59" t="str">
        <f t="shared" si="25"/>
        <v/>
      </c>
      <c r="E36" s="59" t="str">
        <f t="shared" si="25"/>
        <v/>
      </c>
      <c r="F36" s="59" t="str">
        <f t="shared" si="25"/>
        <v/>
      </c>
      <c r="G36" s="59" t="str">
        <f t="shared" si="25"/>
        <v/>
      </c>
      <c r="H36" s="59" t="str">
        <f t="shared" si="25"/>
        <v/>
      </c>
      <c r="I36" s="59" t="str">
        <f t="shared" si="25"/>
        <v/>
      </c>
      <c r="J36" s="59" t="str">
        <f t="shared" si="25"/>
        <v/>
      </c>
      <c r="K36" s="59" t="str">
        <f t="shared" si="25"/>
        <v/>
      </c>
      <c r="L36" s="59" t="str">
        <f t="shared" si="25"/>
        <v/>
      </c>
      <c r="M36" s="59" t="str">
        <f t="shared" si="25"/>
        <v/>
      </c>
      <c r="N36" s="59" t="str">
        <f t="shared" si="25"/>
        <v/>
      </c>
    </row>
    <row r="37">
      <c r="A37" s="37"/>
      <c r="C37" s="59"/>
    </row>
    <row r="38" ht="25.5" customHeight="1">
      <c r="A38" s="52" t="s">
        <v>39</v>
      </c>
      <c r="C38" s="65">
        <f t="shared" ref="C38:N38" si="26">C23+C26</f>
        <v>70580</v>
      </c>
      <c r="D38" s="65">
        <f t="shared" si="26"/>
        <v>70580</v>
      </c>
      <c r="E38" s="65">
        <f t="shared" si="26"/>
        <v>70580</v>
      </c>
      <c r="F38" s="65">
        <f t="shared" si="26"/>
        <v>70580</v>
      </c>
      <c r="G38" s="65">
        <f t="shared" si="26"/>
        <v>70580</v>
      </c>
      <c r="H38" s="65">
        <f t="shared" si="26"/>
        <v>70580</v>
      </c>
      <c r="I38" s="65">
        <f t="shared" si="26"/>
        <v>70580</v>
      </c>
      <c r="J38" s="65">
        <f t="shared" si="26"/>
        <v>70580</v>
      </c>
      <c r="K38" s="65">
        <f t="shared" si="26"/>
        <v>70580</v>
      </c>
      <c r="L38" s="65">
        <f t="shared" si="26"/>
        <v>70580</v>
      </c>
      <c r="M38" s="65">
        <f t="shared" si="26"/>
        <v>70580</v>
      </c>
      <c r="N38" s="65">
        <f t="shared" si="26"/>
        <v>70580</v>
      </c>
    </row>
    <row r="39">
      <c r="A39" s="40" t="s">
        <v>40</v>
      </c>
      <c r="C39" s="66">
        <f t="shared" ref="C39:N39" si="27">C38/C2</f>
        <v>0.1949723757</v>
      </c>
      <c r="D39" s="66">
        <f t="shared" si="27"/>
        <v>0.1949723757</v>
      </c>
      <c r="E39" s="66">
        <f t="shared" si="27"/>
        <v>0.1949723757</v>
      </c>
      <c r="F39" s="66">
        <f t="shared" si="27"/>
        <v>0.1949723757</v>
      </c>
      <c r="G39" s="66">
        <f t="shared" si="27"/>
        <v>0.1949723757</v>
      </c>
      <c r="H39" s="66">
        <f t="shared" si="27"/>
        <v>0.1949723757</v>
      </c>
      <c r="I39" s="66">
        <f t="shared" si="27"/>
        <v>0.1949723757</v>
      </c>
      <c r="J39" s="66">
        <f t="shared" si="27"/>
        <v>0.1949723757</v>
      </c>
      <c r="K39" s="66">
        <f t="shared" si="27"/>
        <v>0.1949723757</v>
      </c>
      <c r="L39" s="66">
        <f t="shared" si="27"/>
        <v>0.1949723757</v>
      </c>
      <c r="M39" s="66">
        <f t="shared" si="27"/>
        <v>0.1949723757</v>
      </c>
      <c r="N39" s="66">
        <f t="shared" si="27"/>
        <v>0.1949723757</v>
      </c>
    </row>
    <row r="40">
      <c r="A40" s="22" t="s">
        <v>41</v>
      </c>
      <c r="B40" s="69">
        <v>0.06</v>
      </c>
      <c r="C40" s="59">
        <f t="shared" ref="C40:N40" si="28">-$B$40*C2</f>
        <v>-21720</v>
      </c>
      <c r="D40" s="59">
        <f t="shared" si="28"/>
        <v>-21720</v>
      </c>
      <c r="E40" s="59">
        <f t="shared" si="28"/>
        <v>-21720</v>
      </c>
      <c r="F40" s="59">
        <f t="shared" si="28"/>
        <v>-21720</v>
      </c>
      <c r="G40" s="59">
        <f t="shared" si="28"/>
        <v>-21720</v>
      </c>
      <c r="H40" s="59">
        <f t="shared" si="28"/>
        <v>-21720</v>
      </c>
      <c r="I40" s="59">
        <f t="shared" si="28"/>
        <v>-21720</v>
      </c>
      <c r="J40" s="59">
        <f t="shared" si="28"/>
        <v>-21720</v>
      </c>
      <c r="K40" s="59">
        <f t="shared" si="28"/>
        <v>-21720</v>
      </c>
      <c r="L40" s="59">
        <f t="shared" si="28"/>
        <v>-21720</v>
      </c>
      <c r="M40" s="59">
        <f t="shared" si="28"/>
        <v>-21720</v>
      </c>
      <c r="N40" s="59">
        <f t="shared" si="28"/>
        <v>-21720</v>
      </c>
    </row>
    <row r="41">
      <c r="A41" s="22" t="s">
        <v>42</v>
      </c>
      <c r="B41" s="64">
        <v>-9500.0</v>
      </c>
      <c r="C41" s="59">
        <f t="shared" ref="C41:N41" si="29">$B$41</f>
        <v>-9500</v>
      </c>
      <c r="D41" s="59">
        <f t="shared" si="29"/>
        <v>-9500</v>
      </c>
      <c r="E41" s="59">
        <f t="shared" si="29"/>
        <v>-9500</v>
      </c>
      <c r="F41" s="59">
        <f t="shared" si="29"/>
        <v>-9500</v>
      </c>
      <c r="G41" s="59">
        <f t="shared" si="29"/>
        <v>-9500</v>
      </c>
      <c r="H41" s="59">
        <f t="shared" si="29"/>
        <v>-9500</v>
      </c>
      <c r="I41" s="59">
        <f t="shared" si="29"/>
        <v>-9500</v>
      </c>
      <c r="J41" s="59">
        <f t="shared" si="29"/>
        <v>-9500</v>
      </c>
      <c r="K41" s="59">
        <f t="shared" si="29"/>
        <v>-9500</v>
      </c>
      <c r="L41" s="59">
        <f t="shared" si="29"/>
        <v>-9500</v>
      </c>
      <c r="M41" s="59">
        <f t="shared" si="29"/>
        <v>-9500</v>
      </c>
      <c r="N41" s="59">
        <f t="shared" si="29"/>
        <v>-9500</v>
      </c>
    </row>
    <row r="42">
      <c r="A42" s="22" t="s">
        <v>43</v>
      </c>
      <c r="B42" s="64">
        <v>0.0</v>
      </c>
      <c r="C42" s="59">
        <f t="shared" ref="C42:N42" si="30">$B$42</f>
        <v>0</v>
      </c>
      <c r="D42" s="59">
        <f t="shared" si="30"/>
        <v>0</v>
      </c>
      <c r="E42" s="59">
        <f t="shared" si="30"/>
        <v>0</v>
      </c>
      <c r="F42" s="59">
        <f t="shared" si="30"/>
        <v>0</v>
      </c>
      <c r="G42" s="59">
        <f t="shared" si="30"/>
        <v>0</v>
      </c>
      <c r="H42" s="59">
        <f t="shared" si="30"/>
        <v>0</v>
      </c>
      <c r="I42" s="59">
        <f t="shared" si="30"/>
        <v>0</v>
      </c>
      <c r="J42" s="59">
        <f t="shared" si="30"/>
        <v>0</v>
      </c>
      <c r="K42" s="59">
        <f t="shared" si="30"/>
        <v>0</v>
      </c>
      <c r="L42" s="59">
        <f t="shared" si="30"/>
        <v>0</v>
      </c>
      <c r="M42" s="59">
        <f t="shared" si="30"/>
        <v>0</v>
      </c>
      <c r="N42" s="59">
        <f t="shared" si="30"/>
        <v>0</v>
      </c>
    </row>
    <row r="43">
      <c r="A43" s="37"/>
      <c r="C43" s="67"/>
    </row>
    <row r="44" ht="24.75" customHeight="1">
      <c r="A44" s="46" t="s">
        <v>44</v>
      </c>
      <c r="C44" s="63">
        <f t="shared" ref="C44:N44" si="31">C38+C40+C41+C42</f>
        <v>39360</v>
      </c>
      <c r="D44" s="63">
        <f t="shared" si="31"/>
        <v>39360</v>
      </c>
      <c r="E44" s="63">
        <f t="shared" si="31"/>
        <v>39360</v>
      </c>
      <c r="F44" s="63">
        <f t="shared" si="31"/>
        <v>39360</v>
      </c>
      <c r="G44" s="63">
        <f t="shared" si="31"/>
        <v>39360</v>
      </c>
      <c r="H44" s="63">
        <f t="shared" si="31"/>
        <v>39360</v>
      </c>
      <c r="I44" s="63">
        <f t="shared" si="31"/>
        <v>39360</v>
      </c>
      <c r="J44" s="63">
        <f t="shared" si="31"/>
        <v>39360</v>
      </c>
      <c r="K44" s="63">
        <f t="shared" si="31"/>
        <v>39360</v>
      </c>
      <c r="L44" s="63">
        <f t="shared" si="31"/>
        <v>39360</v>
      </c>
      <c r="M44" s="63">
        <f t="shared" si="31"/>
        <v>39360</v>
      </c>
      <c r="N44" s="63">
        <f t="shared" si="31"/>
        <v>39360</v>
      </c>
    </row>
    <row r="45">
      <c r="A45" s="40" t="s">
        <v>45</v>
      </c>
      <c r="C45" s="66">
        <f t="shared" ref="C45:N45" si="32">C44/C2</f>
        <v>0.1087292818</v>
      </c>
      <c r="D45" s="66">
        <f t="shared" si="32"/>
        <v>0.1087292818</v>
      </c>
      <c r="E45" s="66">
        <f t="shared" si="32"/>
        <v>0.1087292818</v>
      </c>
      <c r="F45" s="66">
        <f t="shared" si="32"/>
        <v>0.1087292818</v>
      </c>
      <c r="G45" s="66">
        <f t="shared" si="32"/>
        <v>0.1087292818</v>
      </c>
      <c r="H45" s="66">
        <f t="shared" si="32"/>
        <v>0.1087292818</v>
      </c>
      <c r="I45" s="66">
        <f t="shared" si="32"/>
        <v>0.1087292818</v>
      </c>
      <c r="J45" s="66">
        <f t="shared" si="32"/>
        <v>0.1087292818</v>
      </c>
      <c r="K45" s="66">
        <f t="shared" si="32"/>
        <v>0.1087292818</v>
      </c>
      <c r="L45" s="66">
        <f t="shared" si="32"/>
        <v>0.1087292818</v>
      </c>
      <c r="M45" s="66">
        <f t="shared" si="32"/>
        <v>0.1087292818</v>
      </c>
      <c r="N45" s="66">
        <f t="shared" si="32"/>
        <v>0.1087292818</v>
      </c>
    </row>
    <row r="46">
      <c r="A46" s="22" t="s">
        <v>46</v>
      </c>
      <c r="C46" s="59">
        <f t="shared" ref="C46:N46" si="33">B46+C44</f>
        <v>39360</v>
      </c>
      <c r="D46" s="59">
        <f t="shared" si="33"/>
        <v>78720</v>
      </c>
      <c r="E46" s="59">
        <f t="shared" si="33"/>
        <v>118080</v>
      </c>
      <c r="F46" s="59">
        <f t="shared" si="33"/>
        <v>157440</v>
      </c>
      <c r="G46" s="59">
        <f t="shared" si="33"/>
        <v>196800</v>
      </c>
      <c r="H46" s="59">
        <f t="shared" si="33"/>
        <v>236160</v>
      </c>
      <c r="I46" s="59">
        <f t="shared" si="33"/>
        <v>275520</v>
      </c>
      <c r="J46" s="59">
        <f t="shared" si="33"/>
        <v>314880</v>
      </c>
      <c r="K46" s="59">
        <f t="shared" si="33"/>
        <v>354240</v>
      </c>
      <c r="L46" s="59">
        <f t="shared" si="33"/>
        <v>393600</v>
      </c>
      <c r="M46" s="59">
        <f t="shared" si="33"/>
        <v>432960</v>
      </c>
      <c r="N46" s="59">
        <f t="shared" si="33"/>
        <v>472320</v>
      </c>
    </row>
    <row r="47" ht="33.0" customHeight="1">
      <c r="A47" s="37"/>
      <c r="C47" s="67"/>
    </row>
    <row r="48" ht="29.25" customHeight="1">
      <c r="A48" s="46" t="s">
        <v>47</v>
      </c>
      <c r="C48" s="57">
        <f t="shared" ref="C48:N48" si="34">C54+C60</f>
        <v>633500</v>
      </c>
      <c r="D48" s="57">
        <f t="shared" si="34"/>
        <v>633500</v>
      </c>
      <c r="E48" s="57">
        <f t="shared" si="34"/>
        <v>633500</v>
      </c>
      <c r="F48" s="57">
        <f t="shared" si="34"/>
        <v>633500</v>
      </c>
      <c r="G48" s="57">
        <f t="shared" si="34"/>
        <v>633500</v>
      </c>
      <c r="H48" s="57">
        <f t="shared" si="34"/>
        <v>633500</v>
      </c>
      <c r="I48" s="57">
        <f t="shared" si="34"/>
        <v>633500</v>
      </c>
      <c r="J48" s="57">
        <f t="shared" si="34"/>
        <v>633500</v>
      </c>
      <c r="K48" s="57">
        <f t="shared" si="34"/>
        <v>633500</v>
      </c>
      <c r="L48" s="57">
        <f t="shared" si="34"/>
        <v>633500</v>
      </c>
      <c r="M48" s="57">
        <f t="shared" si="34"/>
        <v>633500</v>
      </c>
      <c r="N48" s="57">
        <f t="shared" si="34"/>
        <v>633500</v>
      </c>
    </row>
    <row r="49">
      <c r="A49" s="22" t="s">
        <v>84</v>
      </c>
      <c r="C49" s="59">
        <f t="shared" ref="C49:N49" si="35">C55+C61</f>
        <v>633500</v>
      </c>
      <c r="D49" s="59">
        <f t="shared" si="35"/>
        <v>0</v>
      </c>
      <c r="E49" s="59">
        <f t="shared" si="35"/>
        <v>0</v>
      </c>
      <c r="F49" s="59">
        <f t="shared" si="35"/>
        <v>0</v>
      </c>
      <c r="G49" s="59">
        <f t="shared" si="35"/>
        <v>0</v>
      </c>
      <c r="H49" s="59">
        <f t="shared" si="35"/>
        <v>0</v>
      </c>
      <c r="I49" s="59">
        <f t="shared" si="35"/>
        <v>0</v>
      </c>
      <c r="J49" s="59">
        <f t="shared" si="35"/>
        <v>0</v>
      </c>
      <c r="K49" s="59">
        <f t="shared" si="35"/>
        <v>0</v>
      </c>
      <c r="L49" s="59">
        <f t="shared" si="35"/>
        <v>0</v>
      </c>
      <c r="M49" s="59">
        <f t="shared" si="35"/>
        <v>0</v>
      </c>
      <c r="N49" s="59">
        <f t="shared" si="35"/>
        <v>0</v>
      </c>
    </row>
    <row r="50">
      <c r="A50" s="37"/>
      <c r="C50" s="67"/>
    </row>
    <row r="51">
      <c r="A51" s="45" t="s">
        <v>49</v>
      </c>
      <c r="C51" s="70"/>
    </row>
    <row r="52">
      <c r="A52" s="22" t="s">
        <v>50</v>
      </c>
      <c r="B52" s="60">
        <v>30.0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</row>
    <row r="53">
      <c r="A53" s="22" t="s">
        <v>51</v>
      </c>
      <c r="C53" s="59">
        <f t="shared" ref="C53:N53" si="36">B54</f>
        <v>0</v>
      </c>
      <c r="D53" s="59">
        <f t="shared" si="36"/>
        <v>90500</v>
      </c>
      <c r="E53" s="59">
        <f t="shared" si="36"/>
        <v>90500</v>
      </c>
      <c r="F53" s="59">
        <f t="shared" si="36"/>
        <v>90500</v>
      </c>
      <c r="G53" s="59">
        <f t="shared" si="36"/>
        <v>90500</v>
      </c>
      <c r="H53" s="59">
        <f t="shared" si="36"/>
        <v>90500</v>
      </c>
      <c r="I53" s="59">
        <f t="shared" si="36"/>
        <v>90500</v>
      </c>
      <c r="J53" s="59">
        <f t="shared" si="36"/>
        <v>90500</v>
      </c>
      <c r="K53" s="59">
        <f t="shared" si="36"/>
        <v>90500</v>
      </c>
      <c r="L53" s="59">
        <f t="shared" si="36"/>
        <v>90500</v>
      </c>
      <c r="M53" s="59">
        <f t="shared" si="36"/>
        <v>90500</v>
      </c>
      <c r="N53" s="59">
        <f t="shared" si="36"/>
        <v>90500</v>
      </c>
    </row>
    <row r="54">
      <c r="A54" s="22" t="s">
        <v>52</v>
      </c>
      <c r="B54" s="60">
        <v>0.0</v>
      </c>
      <c r="C54" s="59">
        <f t="shared" ref="C54:N54" si="37">-C19*$B$52/30</f>
        <v>90500</v>
      </c>
      <c r="D54" s="59">
        <f t="shared" si="37"/>
        <v>90500</v>
      </c>
      <c r="E54" s="59">
        <f t="shared" si="37"/>
        <v>90500</v>
      </c>
      <c r="F54" s="59">
        <f t="shared" si="37"/>
        <v>90500</v>
      </c>
      <c r="G54" s="59">
        <f t="shared" si="37"/>
        <v>90500</v>
      </c>
      <c r="H54" s="59">
        <f t="shared" si="37"/>
        <v>90500</v>
      </c>
      <c r="I54" s="59">
        <f t="shared" si="37"/>
        <v>90500</v>
      </c>
      <c r="J54" s="59">
        <f t="shared" si="37"/>
        <v>90500</v>
      </c>
      <c r="K54" s="59">
        <f t="shared" si="37"/>
        <v>90500</v>
      </c>
      <c r="L54" s="59">
        <f t="shared" si="37"/>
        <v>90500</v>
      </c>
      <c r="M54" s="59">
        <f t="shared" si="37"/>
        <v>90500</v>
      </c>
      <c r="N54" s="59">
        <f t="shared" si="37"/>
        <v>90500</v>
      </c>
    </row>
    <row r="55">
      <c r="A55" s="22" t="s">
        <v>53</v>
      </c>
      <c r="C55" s="59">
        <f t="shared" ref="C55:N55" si="38">C54-C53</f>
        <v>90500</v>
      </c>
      <c r="D55" s="59">
        <f t="shared" si="38"/>
        <v>0</v>
      </c>
      <c r="E55" s="59">
        <f t="shared" si="38"/>
        <v>0</v>
      </c>
      <c r="F55" s="59">
        <f t="shared" si="38"/>
        <v>0</v>
      </c>
      <c r="G55" s="59">
        <f t="shared" si="38"/>
        <v>0</v>
      </c>
      <c r="H55" s="59">
        <f t="shared" si="38"/>
        <v>0</v>
      </c>
      <c r="I55" s="59">
        <f t="shared" si="38"/>
        <v>0</v>
      </c>
      <c r="J55" s="59">
        <f t="shared" si="38"/>
        <v>0</v>
      </c>
      <c r="K55" s="59">
        <f t="shared" si="38"/>
        <v>0</v>
      </c>
      <c r="L55" s="59">
        <f t="shared" si="38"/>
        <v>0</v>
      </c>
      <c r="M55" s="59">
        <f t="shared" si="38"/>
        <v>0</v>
      </c>
      <c r="N55" s="59">
        <f t="shared" si="38"/>
        <v>0</v>
      </c>
    </row>
    <row r="56">
      <c r="A56" s="37"/>
      <c r="C56" s="59"/>
    </row>
    <row r="57">
      <c r="A57" s="45" t="s">
        <v>102</v>
      </c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</row>
    <row r="58">
      <c r="A58" s="22" t="s">
        <v>103</v>
      </c>
      <c r="B58" s="60">
        <v>45.0</v>
      </c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</row>
    <row r="59">
      <c r="A59" s="22" t="s">
        <v>104</v>
      </c>
      <c r="C59" s="59">
        <f t="shared" ref="C59:N59" si="39">B60</f>
        <v>0</v>
      </c>
      <c r="D59" s="59">
        <f t="shared" si="39"/>
        <v>543000</v>
      </c>
      <c r="E59" s="59">
        <f t="shared" si="39"/>
        <v>543000</v>
      </c>
      <c r="F59" s="59">
        <f t="shared" si="39"/>
        <v>543000</v>
      </c>
      <c r="G59" s="59">
        <f t="shared" si="39"/>
        <v>543000</v>
      </c>
      <c r="H59" s="59">
        <f t="shared" si="39"/>
        <v>543000</v>
      </c>
      <c r="I59" s="59">
        <f t="shared" si="39"/>
        <v>543000</v>
      </c>
      <c r="J59" s="59">
        <f t="shared" si="39"/>
        <v>543000</v>
      </c>
      <c r="K59" s="59">
        <f t="shared" si="39"/>
        <v>543000</v>
      </c>
      <c r="L59" s="59">
        <f t="shared" si="39"/>
        <v>543000</v>
      </c>
      <c r="M59" s="59">
        <f t="shared" si="39"/>
        <v>543000</v>
      </c>
      <c r="N59" s="59">
        <f t="shared" si="39"/>
        <v>543000</v>
      </c>
    </row>
    <row r="60">
      <c r="A60" s="22" t="s">
        <v>105</v>
      </c>
      <c r="B60" s="60">
        <v>0.0</v>
      </c>
      <c r="C60" s="59">
        <f t="shared" ref="C60:N60" si="40">C2*$B$58/30</f>
        <v>543000</v>
      </c>
      <c r="D60" s="59">
        <f t="shared" si="40"/>
        <v>543000</v>
      </c>
      <c r="E60" s="59">
        <f t="shared" si="40"/>
        <v>543000</v>
      </c>
      <c r="F60" s="59">
        <f t="shared" si="40"/>
        <v>543000</v>
      </c>
      <c r="G60" s="59">
        <f t="shared" si="40"/>
        <v>543000</v>
      </c>
      <c r="H60" s="59">
        <f t="shared" si="40"/>
        <v>543000</v>
      </c>
      <c r="I60" s="59">
        <f t="shared" si="40"/>
        <v>543000</v>
      </c>
      <c r="J60" s="59">
        <f t="shared" si="40"/>
        <v>543000</v>
      </c>
      <c r="K60" s="59">
        <f t="shared" si="40"/>
        <v>543000</v>
      </c>
      <c r="L60" s="59">
        <f t="shared" si="40"/>
        <v>543000</v>
      </c>
      <c r="M60" s="59">
        <f t="shared" si="40"/>
        <v>543000</v>
      </c>
      <c r="N60" s="59">
        <f t="shared" si="40"/>
        <v>543000</v>
      </c>
    </row>
    <row r="61">
      <c r="A61" s="22" t="s">
        <v>106</v>
      </c>
      <c r="C61" s="59">
        <f t="shared" ref="C61:N61" si="41">C60-C59</f>
        <v>543000</v>
      </c>
      <c r="D61" s="59">
        <f t="shared" si="41"/>
        <v>0</v>
      </c>
      <c r="E61" s="59">
        <f t="shared" si="41"/>
        <v>0</v>
      </c>
      <c r="F61" s="59">
        <f t="shared" si="41"/>
        <v>0</v>
      </c>
      <c r="G61" s="59">
        <f t="shared" si="41"/>
        <v>0</v>
      </c>
      <c r="H61" s="59">
        <f t="shared" si="41"/>
        <v>0</v>
      </c>
      <c r="I61" s="59">
        <f t="shared" si="41"/>
        <v>0</v>
      </c>
      <c r="J61" s="59">
        <f t="shared" si="41"/>
        <v>0</v>
      </c>
      <c r="K61" s="59">
        <f t="shared" si="41"/>
        <v>0</v>
      </c>
      <c r="L61" s="59">
        <f t="shared" si="41"/>
        <v>0</v>
      </c>
      <c r="M61" s="59">
        <f t="shared" si="41"/>
        <v>0</v>
      </c>
      <c r="N61" s="59">
        <f t="shared" si="41"/>
        <v>0</v>
      </c>
    </row>
    <row r="62">
      <c r="A62" s="37"/>
      <c r="C62" s="59"/>
    </row>
    <row r="63" ht="29.25" customHeight="1">
      <c r="A63" s="46" t="s">
        <v>59</v>
      </c>
      <c r="C63" s="72"/>
    </row>
    <row r="64">
      <c r="A64" s="22" t="s">
        <v>60</v>
      </c>
      <c r="C64" s="59">
        <f t="shared" ref="C64:N64" si="42">B69</f>
        <v>0</v>
      </c>
      <c r="D64" s="59">
        <f t="shared" si="42"/>
        <v>-594140</v>
      </c>
      <c r="E64" s="59">
        <f t="shared" si="42"/>
        <v>-554780</v>
      </c>
      <c r="F64" s="59">
        <f t="shared" si="42"/>
        <v>-515420</v>
      </c>
      <c r="G64" s="59">
        <f t="shared" si="42"/>
        <v>-476060</v>
      </c>
      <c r="H64" s="59">
        <f t="shared" si="42"/>
        <v>-436700</v>
      </c>
      <c r="I64" s="59">
        <f t="shared" si="42"/>
        <v>-397340</v>
      </c>
      <c r="J64" s="59">
        <f t="shared" si="42"/>
        <v>-357980</v>
      </c>
      <c r="K64" s="59">
        <f t="shared" si="42"/>
        <v>-318620</v>
      </c>
      <c r="L64" s="59">
        <f t="shared" si="42"/>
        <v>-279260</v>
      </c>
      <c r="M64" s="59">
        <f t="shared" si="42"/>
        <v>-239900</v>
      </c>
      <c r="N64" s="59">
        <f t="shared" si="42"/>
        <v>-200540</v>
      </c>
    </row>
    <row r="65">
      <c r="A65" s="22" t="s">
        <v>61</v>
      </c>
      <c r="C65" s="59">
        <f t="shared" ref="C65:N65" si="43">C38+C40+C41-C49</f>
        <v>-594140</v>
      </c>
      <c r="D65" s="59">
        <f t="shared" si="43"/>
        <v>39360</v>
      </c>
      <c r="E65" s="59">
        <f t="shared" si="43"/>
        <v>39360</v>
      </c>
      <c r="F65" s="59">
        <f t="shared" si="43"/>
        <v>39360</v>
      </c>
      <c r="G65" s="59">
        <f t="shared" si="43"/>
        <v>39360</v>
      </c>
      <c r="H65" s="59">
        <f t="shared" si="43"/>
        <v>39360</v>
      </c>
      <c r="I65" s="59">
        <f t="shared" si="43"/>
        <v>39360</v>
      </c>
      <c r="J65" s="59">
        <f t="shared" si="43"/>
        <v>39360</v>
      </c>
      <c r="K65" s="59">
        <f t="shared" si="43"/>
        <v>39360</v>
      </c>
      <c r="L65" s="59">
        <f t="shared" si="43"/>
        <v>39360</v>
      </c>
      <c r="M65" s="59">
        <f t="shared" si="43"/>
        <v>39360</v>
      </c>
      <c r="N65" s="59">
        <f t="shared" si="43"/>
        <v>39360</v>
      </c>
    </row>
    <row r="66">
      <c r="A66" s="22" t="s">
        <v>62</v>
      </c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</row>
    <row r="67">
      <c r="A67" s="22" t="s">
        <v>63</v>
      </c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</row>
    <row r="68">
      <c r="A68" s="22" t="s">
        <v>64</v>
      </c>
      <c r="C68" s="59">
        <f t="shared" ref="C68:N68" si="44">sum(C65:C67)</f>
        <v>-594140</v>
      </c>
      <c r="D68" s="59">
        <f t="shared" si="44"/>
        <v>39360</v>
      </c>
      <c r="E68" s="59">
        <f t="shared" si="44"/>
        <v>39360</v>
      </c>
      <c r="F68" s="59">
        <f t="shared" si="44"/>
        <v>39360</v>
      </c>
      <c r="G68" s="59">
        <f t="shared" si="44"/>
        <v>39360</v>
      </c>
      <c r="H68" s="59">
        <f t="shared" si="44"/>
        <v>39360</v>
      </c>
      <c r="I68" s="59">
        <f t="shared" si="44"/>
        <v>39360</v>
      </c>
      <c r="J68" s="59">
        <f t="shared" si="44"/>
        <v>39360</v>
      </c>
      <c r="K68" s="59">
        <f t="shared" si="44"/>
        <v>39360</v>
      </c>
      <c r="L68" s="59">
        <f t="shared" si="44"/>
        <v>39360</v>
      </c>
      <c r="M68" s="59">
        <f t="shared" si="44"/>
        <v>39360</v>
      </c>
      <c r="N68" s="59">
        <f t="shared" si="44"/>
        <v>39360</v>
      </c>
    </row>
    <row r="69">
      <c r="A69" s="22" t="s">
        <v>65</v>
      </c>
      <c r="B69" s="73">
        <v>0.0</v>
      </c>
      <c r="C69" s="59">
        <f t="shared" ref="C69:N69" si="45">C64+C68</f>
        <v>-594140</v>
      </c>
      <c r="D69" s="59">
        <f t="shared" si="45"/>
        <v>-554780</v>
      </c>
      <c r="E69" s="59">
        <f t="shared" si="45"/>
        <v>-515420</v>
      </c>
      <c r="F69" s="59">
        <f t="shared" si="45"/>
        <v>-476060</v>
      </c>
      <c r="G69" s="59">
        <f t="shared" si="45"/>
        <v>-436700</v>
      </c>
      <c r="H69" s="59">
        <f t="shared" si="45"/>
        <v>-397340</v>
      </c>
      <c r="I69" s="59">
        <f t="shared" si="45"/>
        <v>-357980</v>
      </c>
      <c r="J69" s="59">
        <f t="shared" si="45"/>
        <v>-318620</v>
      </c>
      <c r="K69" s="59">
        <f t="shared" si="45"/>
        <v>-279260</v>
      </c>
      <c r="L69" s="59">
        <f t="shared" si="45"/>
        <v>-239900</v>
      </c>
      <c r="M69" s="59">
        <f t="shared" si="45"/>
        <v>-200540</v>
      </c>
      <c r="N69" s="59">
        <f t="shared" si="45"/>
        <v>-161180</v>
      </c>
    </row>
    <row r="70">
      <c r="A70" s="37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</row>
    <row r="71">
      <c r="A71" s="37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</row>
    <row r="72">
      <c r="A72" s="37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</row>
    <row r="73">
      <c r="A73" s="37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</row>
    <row r="74">
      <c r="A74" s="37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</row>
    <row r="75">
      <c r="A75" s="37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</row>
    <row r="76">
      <c r="A76" s="37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</row>
    <row r="77">
      <c r="A77" s="37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</row>
    <row r="78">
      <c r="A78" s="37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</row>
    <row r="79">
      <c r="A79" s="37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</row>
    <row r="80">
      <c r="A80" s="37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</row>
    <row r="81">
      <c r="A81" s="37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</row>
    <row r="82">
      <c r="A82" s="37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</row>
    <row r="83">
      <c r="A83" s="37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</row>
    <row r="84">
      <c r="A84" s="37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</row>
    <row r="85">
      <c r="A85" s="37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</row>
    <row r="86">
      <c r="A86" s="37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</row>
    <row r="87">
      <c r="A87" s="37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</row>
    <row r="88">
      <c r="A88" s="37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</row>
    <row r="89">
      <c r="A89" s="37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</row>
    <row r="90">
      <c r="A90" s="37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</row>
    <row r="91">
      <c r="A91" s="37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</row>
    <row r="92">
      <c r="A92" s="37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</row>
    <row r="93">
      <c r="A93" s="37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</row>
    <row r="94">
      <c r="A94" s="37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</row>
    <row r="95">
      <c r="A95" s="37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</row>
    <row r="96">
      <c r="A96" s="37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</row>
    <row r="97">
      <c r="A97" s="37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</row>
    <row r="98">
      <c r="A98" s="37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</row>
    <row r="99">
      <c r="A99" s="37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</row>
    <row r="100">
      <c r="A100" s="37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</row>
    <row r="101">
      <c r="A101" s="37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</row>
    <row r="102">
      <c r="A102" s="37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</row>
    <row r="103">
      <c r="A103" s="37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</row>
    <row r="104">
      <c r="A104" s="37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</row>
    <row r="105">
      <c r="A105" s="37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</row>
    <row r="106">
      <c r="A106" s="37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</row>
    <row r="107">
      <c r="A107" s="37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</row>
    <row r="108">
      <c r="A108" s="37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</row>
    <row r="109">
      <c r="A109" s="37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</row>
    <row r="110">
      <c r="A110" s="37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</row>
    <row r="111">
      <c r="A111" s="37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</row>
    <row r="112">
      <c r="A112" s="37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</row>
    <row r="113">
      <c r="A113" s="37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</row>
    <row r="114">
      <c r="A114" s="37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</row>
    <row r="115">
      <c r="A115" s="37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</row>
    <row r="116">
      <c r="A116" s="37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</row>
    <row r="117">
      <c r="A117" s="37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</row>
    <row r="118">
      <c r="A118" s="37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</row>
    <row r="119">
      <c r="A119" s="37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</row>
    <row r="120">
      <c r="A120" s="37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</row>
    <row r="121">
      <c r="A121" s="37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</row>
    <row r="122">
      <c r="A122" s="37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</row>
    <row r="123">
      <c r="A123" s="37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</row>
    <row r="124">
      <c r="A124" s="37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</row>
    <row r="125">
      <c r="A125" s="37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</row>
    <row r="126">
      <c r="A126" s="37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</row>
    <row r="127">
      <c r="A127" s="37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</row>
    <row r="128">
      <c r="A128" s="37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</row>
    <row r="129">
      <c r="A129" s="37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</row>
    <row r="130">
      <c r="A130" s="37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</row>
    <row r="131">
      <c r="A131" s="37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</row>
    <row r="132">
      <c r="A132" s="37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</row>
    <row r="133">
      <c r="A133" s="37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</row>
    <row r="134">
      <c r="A134" s="37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</row>
    <row r="135">
      <c r="A135" s="37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</row>
    <row r="136">
      <c r="A136" s="37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</row>
    <row r="137">
      <c r="A137" s="37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</row>
    <row r="138">
      <c r="A138" s="37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</row>
    <row r="139">
      <c r="A139" s="37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</row>
    <row r="140">
      <c r="A140" s="37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</row>
    <row r="141">
      <c r="A141" s="37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</row>
    <row r="142">
      <c r="A142" s="37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</row>
    <row r="143">
      <c r="A143" s="37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</row>
    <row r="144">
      <c r="A144" s="37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</row>
    <row r="145">
      <c r="A145" s="37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</row>
    <row r="146">
      <c r="A146" s="37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</row>
    <row r="147">
      <c r="A147" s="37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</row>
    <row r="148">
      <c r="A148" s="37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</row>
    <row r="149">
      <c r="A149" s="37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</row>
    <row r="150">
      <c r="A150" s="37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</row>
    <row r="151">
      <c r="A151" s="37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</row>
    <row r="152">
      <c r="A152" s="37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</row>
    <row r="153">
      <c r="A153" s="37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</row>
    <row r="154">
      <c r="A154" s="37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</row>
    <row r="155">
      <c r="A155" s="37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</row>
    <row r="156">
      <c r="A156" s="37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</row>
    <row r="157">
      <c r="A157" s="37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</row>
    <row r="158">
      <c r="A158" s="37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</row>
    <row r="159">
      <c r="A159" s="37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</row>
    <row r="160">
      <c r="A160" s="37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</row>
    <row r="161">
      <c r="A161" s="37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</row>
    <row r="162">
      <c r="A162" s="37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</row>
    <row r="163">
      <c r="A163" s="37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</row>
    <row r="164">
      <c r="A164" s="37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</row>
    <row r="165">
      <c r="A165" s="37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</row>
    <row r="166">
      <c r="A166" s="37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</row>
    <row r="167">
      <c r="A167" s="37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</row>
    <row r="168">
      <c r="A168" s="37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</row>
    <row r="169">
      <c r="A169" s="37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</row>
    <row r="170">
      <c r="A170" s="37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</row>
    <row r="171">
      <c r="A171" s="37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</row>
    <row r="172">
      <c r="A172" s="37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</row>
    <row r="173">
      <c r="A173" s="37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</row>
    <row r="174">
      <c r="A174" s="37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</row>
    <row r="175">
      <c r="A175" s="37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</row>
    <row r="176">
      <c r="A176" s="37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</row>
    <row r="177">
      <c r="A177" s="37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</row>
    <row r="178">
      <c r="A178" s="37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</row>
    <row r="179">
      <c r="A179" s="37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</row>
    <row r="180">
      <c r="A180" s="37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</row>
    <row r="181">
      <c r="A181" s="37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</row>
    <row r="182">
      <c r="A182" s="37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</row>
    <row r="183">
      <c r="A183" s="37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</row>
    <row r="184">
      <c r="A184" s="37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</row>
    <row r="185">
      <c r="A185" s="37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</row>
    <row r="186">
      <c r="A186" s="37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</row>
    <row r="187">
      <c r="A187" s="37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</row>
    <row r="188">
      <c r="A188" s="37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</row>
    <row r="189">
      <c r="A189" s="37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</row>
    <row r="190">
      <c r="A190" s="37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</row>
    <row r="191">
      <c r="A191" s="37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</row>
    <row r="192">
      <c r="A192" s="37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</row>
    <row r="193">
      <c r="A193" s="37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</row>
    <row r="194">
      <c r="A194" s="37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</row>
    <row r="195">
      <c r="A195" s="37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</row>
    <row r="196">
      <c r="A196" s="37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</row>
    <row r="197">
      <c r="A197" s="37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</row>
    <row r="198">
      <c r="A198" s="37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</row>
    <row r="199">
      <c r="A199" s="37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</row>
    <row r="200">
      <c r="A200" s="37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</row>
    <row r="201">
      <c r="A201" s="37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</row>
    <row r="202">
      <c r="A202" s="37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</row>
    <row r="203">
      <c r="A203" s="37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</row>
    <row r="204">
      <c r="A204" s="37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</row>
    <row r="205">
      <c r="A205" s="37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</row>
    <row r="206">
      <c r="A206" s="37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</row>
    <row r="207">
      <c r="A207" s="37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</row>
    <row r="208">
      <c r="A208" s="37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</row>
    <row r="209">
      <c r="A209" s="37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</row>
    <row r="210">
      <c r="A210" s="37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</row>
    <row r="211">
      <c r="A211" s="37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</row>
    <row r="212">
      <c r="A212" s="37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</row>
    <row r="213">
      <c r="A213" s="37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</row>
    <row r="214">
      <c r="A214" s="37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</row>
    <row r="215">
      <c r="A215" s="37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</row>
    <row r="216">
      <c r="A216" s="37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</row>
    <row r="217">
      <c r="A217" s="37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</row>
    <row r="218">
      <c r="A218" s="37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</row>
    <row r="219">
      <c r="A219" s="37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</row>
    <row r="220">
      <c r="A220" s="37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</row>
    <row r="221">
      <c r="A221" s="37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</row>
    <row r="222">
      <c r="A222" s="37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</row>
    <row r="223">
      <c r="A223" s="37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</row>
    <row r="224">
      <c r="A224" s="37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</row>
    <row r="225">
      <c r="A225" s="37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</row>
    <row r="226">
      <c r="A226" s="37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</row>
    <row r="227">
      <c r="A227" s="37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</row>
    <row r="228">
      <c r="A228" s="37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</row>
    <row r="229">
      <c r="A229" s="37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</row>
    <row r="230">
      <c r="A230" s="37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</row>
    <row r="231">
      <c r="A231" s="37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</row>
    <row r="232">
      <c r="A232" s="37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</row>
    <row r="233">
      <c r="A233" s="37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</row>
    <row r="234">
      <c r="A234" s="37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</row>
    <row r="235">
      <c r="A235" s="37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</row>
    <row r="236">
      <c r="A236" s="37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</row>
    <row r="237">
      <c r="A237" s="37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</row>
    <row r="238">
      <c r="A238" s="37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</row>
    <row r="239">
      <c r="A239" s="37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</row>
    <row r="240">
      <c r="A240" s="37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</row>
    <row r="241">
      <c r="A241" s="37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</row>
    <row r="242">
      <c r="A242" s="37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</row>
    <row r="243">
      <c r="A243" s="37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</row>
    <row r="244">
      <c r="A244" s="37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</row>
    <row r="245">
      <c r="A245" s="37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</row>
    <row r="246">
      <c r="A246" s="37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</row>
    <row r="247">
      <c r="A247" s="37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</row>
    <row r="248">
      <c r="A248" s="37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</row>
    <row r="249">
      <c r="A249" s="37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</row>
    <row r="250">
      <c r="A250" s="37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</row>
    <row r="251">
      <c r="A251" s="37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</row>
    <row r="252">
      <c r="A252" s="37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</row>
    <row r="253">
      <c r="A253" s="37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</row>
    <row r="254">
      <c r="A254" s="37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</row>
    <row r="255">
      <c r="A255" s="37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</row>
    <row r="256">
      <c r="A256" s="37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</row>
    <row r="257">
      <c r="A257" s="37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</row>
    <row r="258">
      <c r="A258" s="37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</row>
    <row r="259">
      <c r="A259" s="37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</row>
    <row r="260">
      <c r="A260" s="37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</row>
    <row r="261">
      <c r="A261" s="37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</row>
    <row r="262">
      <c r="A262" s="37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</row>
    <row r="263">
      <c r="A263" s="37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</row>
    <row r="264">
      <c r="A264" s="37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</row>
    <row r="265">
      <c r="A265" s="37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</row>
    <row r="266">
      <c r="A266" s="37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</row>
    <row r="267">
      <c r="A267" s="37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</row>
    <row r="268">
      <c r="A268" s="37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</row>
    <row r="269">
      <c r="A269" s="37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</row>
    <row r="270">
      <c r="A270" s="37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</row>
    <row r="271">
      <c r="A271" s="37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</row>
    <row r="272">
      <c r="A272" s="37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</row>
    <row r="273">
      <c r="A273" s="37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</row>
    <row r="274">
      <c r="A274" s="37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</row>
    <row r="275">
      <c r="A275" s="37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</row>
    <row r="276">
      <c r="A276" s="37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</row>
    <row r="277">
      <c r="A277" s="37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</row>
    <row r="278">
      <c r="A278" s="37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</row>
    <row r="279">
      <c r="A279" s="3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</row>
    <row r="280">
      <c r="A280" s="3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</row>
    <row r="281">
      <c r="A281" s="3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</row>
    <row r="282">
      <c r="A282" s="3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</row>
    <row r="283">
      <c r="A283" s="3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</row>
    <row r="284">
      <c r="A284" s="3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</row>
    <row r="285">
      <c r="A285" s="3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</row>
    <row r="286">
      <c r="A286" s="3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</row>
    <row r="287">
      <c r="A287" s="3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</row>
    <row r="288">
      <c r="A288" s="3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</row>
    <row r="289">
      <c r="A289" s="3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</row>
    <row r="290">
      <c r="A290" s="3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</row>
    <row r="291">
      <c r="A291" s="3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</row>
    <row r="292">
      <c r="A292" s="3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</row>
    <row r="293">
      <c r="A293" s="3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</row>
    <row r="294">
      <c r="A294" s="3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</row>
    <row r="295">
      <c r="A295" s="3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</row>
    <row r="296">
      <c r="A296" s="3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</row>
    <row r="297">
      <c r="A297" s="3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</row>
    <row r="298">
      <c r="A298" s="3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</row>
    <row r="299">
      <c r="A299" s="3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</row>
    <row r="300">
      <c r="A300" s="3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</row>
    <row r="301">
      <c r="A301" s="3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</row>
    <row r="302">
      <c r="A302" s="3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</row>
    <row r="303">
      <c r="A303" s="3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</row>
    <row r="304">
      <c r="A304" s="3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</row>
    <row r="305">
      <c r="A305" s="3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</row>
    <row r="306">
      <c r="A306" s="3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</row>
    <row r="307">
      <c r="A307" s="3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</row>
    <row r="308">
      <c r="A308" s="3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</row>
    <row r="309">
      <c r="A309" s="3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</row>
    <row r="310">
      <c r="A310" s="3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</row>
    <row r="311">
      <c r="A311" s="3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</row>
    <row r="312">
      <c r="A312" s="3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</row>
    <row r="313">
      <c r="A313" s="3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</row>
    <row r="314">
      <c r="A314" s="3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</row>
    <row r="315">
      <c r="A315" s="3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</row>
    <row r="316">
      <c r="A316" s="3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</row>
    <row r="317">
      <c r="A317" s="3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</row>
    <row r="318">
      <c r="A318" s="3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</row>
    <row r="319">
      <c r="A319" s="3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</row>
    <row r="320">
      <c r="A320" s="3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</row>
    <row r="321">
      <c r="A321" s="3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</row>
    <row r="322">
      <c r="A322" s="3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</row>
    <row r="323">
      <c r="A323" s="3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</row>
    <row r="324">
      <c r="A324" s="3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</row>
    <row r="325">
      <c r="A325" s="3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</row>
    <row r="326">
      <c r="A326" s="3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</row>
    <row r="327">
      <c r="A327" s="3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</row>
    <row r="328">
      <c r="A328" s="3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</row>
    <row r="329">
      <c r="A329" s="3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</row>
    <row r="330">
      <c r="A330" s="3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</row>
    <row r="331">
      <c r="A331" s="3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</row>
    <row r="332">
      <c r="A332" s="3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</row>
    <row r="333">
      <c r="A333" s="3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</row>
    <row r="334">
      <c r="A334" s="3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</row>
    <row r="335">
      <c r="A335" s="3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</row>
    <row r="336">
      <c r="A336" s="3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</row>
    <row r="337">
      <c r="A337" s="3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</row>
    <row r="338">
      <c r="A338" s="3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</row>
    <row r="339">
      <c r="A339" s="3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</row>
    <row r="340">
      <c r="A340" s="3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</row>
    <row r="341">
      <c r="A341" s="3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</row>
    <row r="342">
      <c r="A342" s="3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</row>
    <row r="343">
      <c r="A343" s="3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</row>
    <row r="344">
      <c r="A344" s="3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</row>
    <row r="345">
      <c r="A345" s="3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</row>
    <row r="346">
      <c r="A346" s="3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</row>
    <row r="347">
      <c r="A347" s="3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</row>
    <row r="348">
      <c r="A348" s="3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</row>
    <row r="349">
      <c r="A349" s="3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</row>
    <row r="350">
      <c r="A350" s="3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</row>
    <row r="351">
      <c r="A351" s="3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</row>
    <row r="352">
      <c r="A352" s="3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</row>
    <row r="353">
      <c r="A353" s="3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</row>
    <row r="354">
      <c r="A354" s="3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</row>
    <row r="355">
      <c r="A355" s="3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</row>
    <row r="356">
      <c r="A356" s="3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</row>
    <row r="357">
      <c r="A357" s="3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</row>
    <row r="358">
      <c r="A358" s="3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</row>
    <row r="359">
      <c r="A359" s="3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</row>
    <row r="360">
      <c r="A360" s="3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</row>
    <row r="361">
      <c r="A361" s="3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</row>
    <row r="362">
      <c r="A362" s="3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</row>
    <row r="363">
      <c r="A363" s="3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</row>
    <row r="364">
      <c r="A364" s="3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</row>
    <row r="365">
      <c r="A365" s="3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</row>
    <row r="366">
      <c r="A366" s="3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</row>
    <row r="367">
      <c r="A367" s="3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</row>
    <row r="368">
      <c r="A368" s="3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</row>
    <row r="369">
      <c r="A369" s="3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</row>
    <row r="370">
      <c r="A370" s="3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</row>
    <row r="371">
      <c r="A371" s="3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</row>
    <row r="372">
      <c r="A372" s="3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</row>
    <row r="373">
      <c r="A373" s="3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</row>
    <row r="374">
      <c r="A374" s="3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</row>
    <row r="375">
      <c r="A375" s="3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</row>
    <row r="376">
      <c r="A376" s="3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</row>
    <row r="377">
      <c r="A377" s="3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</row>
    <row r="378">
      <c r="A378" s="3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</row>
    <row r="379">
      <c r="A379" s="3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</row>
    <row r="380">
      <c r="A380" s="3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</row>
    <row r="381">
      <c r="A381" s="3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</row>
    <row r="382">
      <c r="A382" s="3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</row>
    <row r="383">
      <c r="A383" s="3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</row>
    <row r="384">
      <c r="A384" s="3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</row>
    <row r="385">
      <c r="A385" s="3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</row>
    <row r="386">
      <c r="A386" s="3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</row>
    <row r="387">
      <c r="A387" s="3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</row>
    <row r="388">
      <c r="A388" s="3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</row>
    <row r="389">
      <c r="A389" s="3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</row>
    <row r="390">
      <c r="A390" s="3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</row>
    <row r="391">
      <c r="A391" s="3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</row>
    <row r="392">
      <c r="A392" s="3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</row>
    <row r="393">
      <c r="A393" s="3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</row>
    <row r="394">
      <c r="A394" s="3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</row>
    <row r="395">
      <c r="A395" s="3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</row>
    <row r="396">
      <c r="A396" s="3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</row>
    <row r="397">
      <c r="A397" s="3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</row>
    <row r="398">
      <c r="A398" s="3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</row>
    <row r="399">
      <c r="A399" s="3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</row>
    <row r="400">
      <c r="A400" s="3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</row>
    <row r="401">
      <c r="A401" s="3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</row>
    <row r="402">
      <c r="A402" s="3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</row>
    <row r="403">
      <c r="A403" s="3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</row>
    <row r="404">
      <c r="A404" s="3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</row>
    <row r="405">
      <c r="A405" s="3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</row>
    <row r="406">
      <c r="A406" s="3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</row>
    <row r="407">
      <c r="A407" s="3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</row>
    <row r="408">
      <c r="A408" s="3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</row>
    <row r="409">
      <c r="A409" s="3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</row>
    <row r="410">
      <c r="A410" s="3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</row>
    <row r="411">
      <c r="A411" s="3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</row>
    <row r="412">
      <c r="A412" s="3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</row>
    <row r="413">
      <c r="A413" s="3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</row>
    <row r="414">
      <c r="A414" s="3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</row>
    <row r="415">
      <c r="A415" s="3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</row>
    <row r="416">
      <c r="A416" s="3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</row>
    <row r="417">
      <c r="A417" s="3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</row>
    <row r="418">
      <c r="A418" s="3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</row>
    <row r="419">
      <c r="A419" s="3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</row>
    <row r="420">
      <c r="A420" s="3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</row>
    <row r="421">
      <c r="A421" s="3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</row>
    <row r="422">
      <c r="A422" s="3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</row>
    <row r="423">
      <c r="A423" s="3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</row>
    <row r="424">
      <c r="A424" s="3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</row>
    <row r="425">
      <c r="A425" s="3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</row>
    <row r="426">
      <c r="A426" s="3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</row>
    <row r="427">
      <c r="A427" s="3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</row>
    <row r="428">
      <c r="A428" s="3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</row>
    <row r="429">
      <c r="A429" s="3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</row>
    <row r="430">
      <c r="A430" s="3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</row>
    <row r="431">
      <c r="A431" s="3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</row>
    <row r="432">
      <c r="A432" s="3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</row>
    <row r="433">
      <c r="A433" s="3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</row>
    <row r="434">
      <c r="A434" s="3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</row>
    <row r="435">
      <c r="A435" s="3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</row>
    <row r="436">
      <c r="A436" s="3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</row>
    <row r="437">
      <c r="A437" s="3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</row>
    <row r="438">
      <c r="A438" s="3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</row>
    <row r="439">
      <c r="A439" s="3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</row>
    <row r="440">
      <c r="A440" s="3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</row>
    <row r="441">
      <c r="A441" s="3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</row>
    <row r="442">
      <c r="A442" s="3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</row>
    <row r="443">
      <c r="A443" s="3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</row>
    <row r="444">
      <c r="A444" s="3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</row>
    <row r="445">
      <c r="A445" s="3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</row>
    <row r="446">
      <c r="A446" s="3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</row>
    <row r="447">
      <c r="A447" s="3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</row>
    <row r="448">
      <c r="A448" s="3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</row>
    <row r="449">
      <c r="A449" s="3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</row>
    <row r="450">
      <c r="A450" s="3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</row>
    <row r="451">
      <c r="A451" s="3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</row>
    <row r="452">
      <c r="A452" s="3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</row>
    <row r="453">
      <c r="A453" s="3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</row>
    <row r="454">
      <c r="A454" s="3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</row>
    <row r="455">
      <c r="A455" s="3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</row>
    <row r="456">
      <c r="A456" s="3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</row>
    <row r="457">
      <c r="A457" s="3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</row>
    <row r="458">
      <c r="A458" s="3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</row>
    <row r="459">
      <c r="A459" s="3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</row>
    <row r="460">
      <c r="A460" s="3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</row>
    <row r="461">
      <c r="A461" s="3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</row>
    <row r="462">
      <c r="A462" s="3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</row>
    <row r="463">
      <c r="A463" s="3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</row>
    <row r="464">
      <c r="A464" s="3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</row>
    <row r="465">
      <c r="A465" s="3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</row>
    <row r="466">
      <c r="A466" s="3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</row>
    <row r="467">
      <c r="A467" s="3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</row>
    <row r="468">
      <c r="A468" s="3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</row>
    <row r="469">
      <c r="A469" s="3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</row>
    <row r="470">
      <c r="A470" s="3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</row>
    <row r="471">
      <c r="A471" s="3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</row>
    <row r="472">
      <c r="A472" s="3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</row>
    <row r="473">
      <c r="A473" s="3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</row>
    <row r="474">
      <c r="A474" s="3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</row>
    <row r="475">
      <c r="A475" s="3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</row>
    <row r="476">
      <c r="A476" s="3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</row>
    <row r="477">
      <c r="A477" s="3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</row>
    <row r="478">
      <c r="A478" s="3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</row>
    <row r="479">
      <c r="A479" s="3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</row>
    <row r="480">
      <c r="A480" s="3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</row>
    <row r="481">
      <c r="A481" s="3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</row>
    <row r="482">
      <c r="A482" s="3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</row>
    <row r="483">
      <c r="A483" s="3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</row>
    <row r="484">
      <c r="A484" s="3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</row>
    <row r="485">
      <c r="A485" s="3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</row>
    <row r="486">
      <c r="A486" s="3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</row>
    <row r="487">
      <c r="A487" s="3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</row>
    <row r="488">
      <c r="A488" s="3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</row>
    <row r="489">
      <c r="A489" s="3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</row>
    <row r="490">
      <c r="A490" s="3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</row>
    <row r="491">
      <c r="A491" s="3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</row>
    <row r="492">
      <c r="A492" s="3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</row>
    <row r="493">
      <c r="A493" s="3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</row>
    <row r="494">
      <c r="A494" s="3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</row>
    <row r="495">
      <c r="A495" s="3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</row>
    <row r="496">
      <c r="A496" s="3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</row>
    <row r="497">
      <c r="A497" s="3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</row>
    <row r="498">
      <c r="A498" s="3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</row>
    <row r="499">
      <c r="A499" s="3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</row>
    <row r="500">
      <c r="A500" s="3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</row>
    <row r="501">
      <c r="A501" s="3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</row>
    <row r="502">
      <c r="A502" s="3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</row>
    <row r="503">
      <c r="A503" s="3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</row>
    <row r="504">
      <c r="A504" s="3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</row>
    <row r="505">
      <c r="A505" s="3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</row>
    <row r="506">
      <c r="A506" s="3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</row>
    <row r="507">
      <c r="A507" s="3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</row>
    <row r="508">
      <c r="A508" s="3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</row>
    <row r="509">
      <c r="A509" s="3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</row>
    <row r="510">
      <c r="A510" s="3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</row>
    <row r="511">
      <c r="A511" s="3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</row>
    <row r="512">
      <c r="A512" s="3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</row>
    <row r="513">
      <c r="A513" s="3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</row>
    <row r="514">
      <c r="A514" s="3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</row>
    <row r="515">
      <c r="A515" s="3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</row>
    <row r="516">
      <c r="A516" s="3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</row>
    <row r="517">
      <c r="A517" s="3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</row>
    <row r="518">
      <c r="A518" s="3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</row>
    <row r="519">
      <c r="A519" s="3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</row>
    <row r="520">
      <c r="A520" s="3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</row>
    <row r="521">
      <c r="A521" s="3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</row>
    <row r="522">
      <c r="A522" s="3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</row>
    <row r="523">
      <c r="A523" s="3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</row>
    <row r="524">
      <c r="A524" s="3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</row>
    <row r="525">
      <c r="A525" s="3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</row>
    <row r="526">
      <c r="A526" s="3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</row>
    <row r="527">
      <c r="A527" s="3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</row>
    <row r="528">
      <c r="A528" s="3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</row>
    <row r="529">
      <c r="A529" s="3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</row>
    <row r="530">
      <c r="A530" s="3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</row>
    <row r="531">
      <c r="A531" s="3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</row>
    <row r="532">
      <c r="A532" s="3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</row>
    <row r="533">
      <c r="A533" s="3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</row>
    <row r="534">
      <c r="A534" s="3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</row>
    <row r="535">
      <c r="A535" s="3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</row>
    <row r="536">
      <c r="A536" s="3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</row>
    <row r="537">
      <c r="A537" s="3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</row>
    <row r="538">
      <c r="A538" s="3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</row>
    <row r="539">
      <c r="A539" s="3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</row>
    <row r="540">
      <c r="A540" s="3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</row>
    <row r="541">
      <c r="A541" s="3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</row>
    <row r="542">
      <c r="A542" s="3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</row>
    <row r="543">
      <c r="A543" s="3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</row>
    <row r="544">
      <c r="A544" s="3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</row>
    <row r="545">
      <c r="A545" s="3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</row>
    <row r="546">
      <c r="A546" s="3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</row>
    <row r="547">
      <c r="A547" s="3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</row>
    <row r="548">
      <c r="A548" s="3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</row>
    <row r="549">
      <c r="A549" s="3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</row>
    <row r="550">
      <c r="A550" s="3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</row>
    <row r="551">
      <c r="A551" s="3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</row>
    <row r="552">
      <c r="A552" s="3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</row>
    <row r="553">
      <c r="A553" s="3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</row>
    <row r="554">
      <c r="A554" s="3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</row>
    <row r="555">
      <c r="A555" s="3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</row>
    <row r="556">
      <c r="A556" s="3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</row>
    <row r="557">
      <c r="A557" s="3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</row>
    <row r="558">
      <c r="A558" s="3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</row>
    <row r="559">
      <c r="A559" s="3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</row>
    <row r="560">
      <c r="A560" s="3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</row>
    <row r="561">
      <c r="A561" s="3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</row>
    <row r="562">
      <c r="A562" s="3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</row>
    <row r="563">
      <c r="A563" s="3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</row>
    <row r="564">
      <c r="A564" s="3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</row>
    <row r="565">
      <c r="A565" s="3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</row>
    <row r="566">
      <c r="A566" s="3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</row>
    <row r="567">
      <c r="A567" s="3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</row>
    <row r="568">
      <c r="A568" s="3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</row>
    <row r="569">
      <c r="A569" s="3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</row>
    <row r="570">
      <c r="A570" s="3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</row>
    <row r="571">
      <c r="A571" s="3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</row>
    <row r="572">
      <c r="A572" s="3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</row>
    <row r="573">
      <c r="A573" s="3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</row>
    <row r="574">
      <c r="A574" s="3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</row>
    <row r="575">
      <c r="A575" s="3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</row>
    <row r="576">
      <c r="A576" s="3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</row>
    <row r="577">
      <c r="A577" s="3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</row>
    <row r="578">
      <c r="A578" s="3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</row>
    <row r="579">
      <c r="A579" s="3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</row>
    <row r="580">
      <c r="A580" s="3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</row>
    <row r="581">
      <c r="A581" s="3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</row>
    <row r="582">
      <c r="A582" s="3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</row>
    <row r="583">
      <c r="A583" s="3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</row>
    <row r="584">
      <c r="A584" s="3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</row>
    <row r="585">
      <c r="A585" s="3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</row>
    <row r="586">
      <c r="A586" s="3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</row>
    <row r="587">
      <c r="A587" s="3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</row>
    <row r="588">
      <c r="A588" s="3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</row>
    <row r="589">
      <c r="A589" s="3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</row>
    <row r="590">
      <c r="A590" s="3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</row>
    <row r="591">
      <c r="A591" s="3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</row>
    <row r="592">
      <c r="A592" s="3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</row>
    <row r="593">
      <c r="A593" s="3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</row>
    <row r="594">
      <c r="A594" s="3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</row>
    <row r="595">
      <c r="A595" s="3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</row>
    <row r="596">
      <c r="A596" s="3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</row>
    <row r="597">
      <c r="A597" s="3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</row>
    <row r="598">
      <c r="A598" s="3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</row>
    <row r="599">
      <c r="A599" s="3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</row>
    <row r="600">
      <c r="A600" s="3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</row>
    <row r="601">
      <c r="A601" s="3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</row>
    <row r="602">
      <c r="A602" s="3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</row>
    <row r="603">
      <c r="A603" s="3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</row>
    <row r="604">
      <c r="A604" s="3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</row>
    <row r="605">
      <c r="A605" s="3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</row>
    <row r="606">
      <c r="A606" s="3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</row>
    <row r="607">
      <c r="A607" s="3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</row>
    <row r="608">
      <c r="A608" s="3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</row>
    <row r="609">
      <c r="A609" s="3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</row>
    <row r="610">
      <c r="A610" s="3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</row>
    <row r="611">
      <c r="A611" s="3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</row>
    <row r="612">
      <c r="A612" s="3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</row>
    <row r="613">
      <c r="A613" s="3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</row>
    <row r="614">
      <c r="A614" s="3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</row>
    <row r="615">
      <c r="A615" s="3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</row>
    <row r="616">
      <c r="A616" s="3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</row>
    <row r="617">
      <c r="A617" s="3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</row>
    <row r="618">
      <c r="A618" s="3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</row>
    <row r="619">
      <c r="A619" s="3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</row>
    <row r="620">
      <c r="A620" s="3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</row>
    <row r="621">
      <c r="A621" s="3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</row>
    <row r="622">
      <c r="A622" s="3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</row>
    <row r="623">
      <c r="A623" s="3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</row>
    <row r="624">
      <c r="A624" s="3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</row>
    <row r="625">
      <c r="A625" s="3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</row>
    <row r="626">
      <c r="A626" s="3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</row>
    <row r="627">
      <c r="A627" s="3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</row>
    <row r="628">
      <c r="A628" s="3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</row>
    <row r="629">
      <c r="A629" s="3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</row>
    <row r="630">
      <c r="A630" s="3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</row>
    <row r="631">
      <c r="A631" s="3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</row>
    <row r="632">
      <c r="A632" s="3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</row>
    <row r="633">
      <c r="A633" s="3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</row>
    <row r="634">
      <c r="A634" s="3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</row>
    <row r="635">
      <c r="A635" s="3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</row>
    <row r="636">
      <c r="A636" s="3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</row>
    <row r="637">
      <c r="A637" s="3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</row>
    <row r="638">
      <c r="A638" s="3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</row>
    <row r="639">
      <c r="A639" s="3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</row>
    <row r="640">
      <c r="A640" s="3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</row>
    <row r="641">
      <c r="A641" s="3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</row>
    <row r="642">
      <c r="A642" s="3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</row>
    <row r="643">
      <c r="A643" s="3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</row>
    <row r="644">
      <c r="A644" s="3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</row>
    <row r="645">
      <c r="A645" s="3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</row>
    <row r="646">
      <c r="A646" s="3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</row>
    <row r="647">
      <c r="A647" s="3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</row>
    <row r="648">
      <c r="A648" s="3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</row>
    <row r="649">
      <c r="A649" s="3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</row>
    <row r="650">
      <c r="A650" s="3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</row>
    <row r="651">
      <c r="A651" s="3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</row>
    <row r="652">
      <c r="A652" s="3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</row>
    <row r="653">
      <c r="A653" s="3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</row>
    <row r="654">
      <c r="A654" s="3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</row>
    <row r="655">
      <c r="A655" s="3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</row>
    <row r="656">
      <c r="A656" s="3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</row>
    <row r="657">
      <c r="A657" s="3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</row>
    <row r="658">
      <c r="A658" s="3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</row>
    <row r="659">
      <c r="A659" s="3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</row>
    <row r="660">
      <c r="A660" s="3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</row>
    <row r="661">
      <c r="A661" s="3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</row>
    <row r="662">
      <c r="A662" s="3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</row>
    <row r="663">
      <c r="A663" s="3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</row>
    <row r="664">
      <c r="A664" s="3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</row>
    <row r="665">
      <c r="A665" s="3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</row>
    <row r="666">
      <c r="A666" s="3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</row>
    <row r="667">
      <c r="A667" s="3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</row>
    <row r="668">
      <c r="A668" s="3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</row>
    <row r="669">
      <c r="A669" s="3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</row>
    <row r="670">
      <c r="A670" s="3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</row>
    <row r="671">
      <c r="A671" s="3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</row>
    <row r="672">
      <c r="A672" s="3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</row>
    <row r="673">
      <c r="A673" s="3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</row>
    <row r="674">
      <c r="A674" s="3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</row>
    <row r="675">
      <c r="A675" s="3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</row>
    <row r="676">
      <c r="A676" s="3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</row>
    <row r="677">
      <c r="A677" s="3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</row>
    <row r="678">
      <c r="A678" s="3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</row>
    <row r="679">
      <c r="A679" s="3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</row>
    <row r="680">
      <c r="A680" s="3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</row>
    <row r="681">
      <c r="A681" s="3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</row>
    <row r="682">
      <c r="A682" s="3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</row>
    <row r="683">
      <c r="A683" s="3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</row>
    <row r="684">
      <c r="A684" s="3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</row>
    <row r="685">
      <c r="A685" s="3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</row>
    <row r="686">
      <c r="A686" s="3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</row>
    <row r="687">
      <c r="A687" s="3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</row>
    <row r="688">
      <c r="A688" s="3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</row>
    <row r="689">
      <c r="A689" s="3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</row>
    <row r="690">
      <c r="A690" s="3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</row>
    <row r="691">
      <c r="A691" s="3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</row>
    <row r="692">
      <c r="A692" s="3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</row>
    <row r="693">
      <c r="A693" s="3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</row>
    <row r="694">
      <c r="A694" s="3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</row>
    <row r="695">
      <c r="A695" s="3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</row>
    <row r="696">
      <c r="A696" s="3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</row>
    <row r="697">
      <c r="A697" s="3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</row>
    <row r="698">
      <c r="A698" s="3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</row>
    <row r="699">
      <c r="A699" s="3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</row>
    <row r="700">
      <c r="A700" s="3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</row>
    <row r="701">
      <c r="A701" s="3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</row>
    <row r="702">
      <c r="A702" s="3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</row>
    <row r="703">
      <c r="A703" s="3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</row>
    <row r="704">
      <c r="A704" s="3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</row>
    <row r="705">
      <c r="A705" s="3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</row>
    <row r="706">
      <c r="A706" s="3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</row>
    <row r="707">
      <c r="A707" s="3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</row>
    <row r="708">
      <c r="A708" s="3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</row>
    <row r="709">
      <c r="A709" s="3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</row>
    <row r="710">
      <c r="A710" s="3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</row>
    <row r="711">
      <c r="A711" s="3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</row>
    <row r="712">
      <c r="A712" s="3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</row>
    <row r="713">
      <c r="A713" s="3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</row>
    <row r="714">
      <c r="A714" s="3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</row>
    <row r="715">
      <c r="A715" s="3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</row>
    <row r="716">
      <c r="A716" s="3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</row>
    <row r="717">
      <c r="A717" s="3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</row>
    <row r="718">
      <c r="A718" s="3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</row>
    <row r="719">
      <c r="A719" s="3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</row>
    <row r="720">
      <c r="A720" s="3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</row>
    <row r="721">
      <c r="A721" s="3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</row>
    <row r="722">
      <c r="A722" s="3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</row>
    <row r="723">
      <c r="A723" s="3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</row>
    <row r="724">
      <c r="A724" s="3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</row>
    <row r="725">
      <c r="A725" s="3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</row>
    <row r="726">
      <c r="A726" s="3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</row>
    <row r="727">
      <c r="A727" s="3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</row>
    <row r="728">
      <c r="A728" s="3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</row>
    <row r="729">
      <c r="A729" s="3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</row>
    <row r="730">
      <c r="A730" s="3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</row>
    <row r="731">
      <c r="A731" s="3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</row>
    <row r="732">
      <c r="A732" s="3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</row>
    <row r="733">
      <c r="A733" s="3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</row>
    <row r="734">
      <c r="A734" s="3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</row>
    <row r="735">
      <c r="A735" s="3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</row>
    <row r="736">
      <c r="A736" s="3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</row>
    <row r="737">
      <c r="A737" s="3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</row>
    <row r="738">
      <c r="A738" s="3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</row>
    <row r="739">
      <c r="A739" s="3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</row>
    <row r="740">
      <c r="A740" s="3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</row>
    <row r="741">
      <c r="A741" s="3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</row>
    <row r="742">
      <c r="A742" s="3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</row>
    <row r="743">
      <c r="A743" s="3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</row>
    <row r="744">
      <c r="A744" s="3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</row>
    <row r="745">
      <c r="A745" s="3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</row>
    <row r="746">
      <c r="A746" s="3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</row>
    <row r="747">
      <c r="A747" s="3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</row>
    <row r="748">
      <c r="A748" s="3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</row>
    <row r="749">
      <c r="A749" s="3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</row>
    <row r="750">
      <c r="A750" s="3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</row>
    <row r="751">
      <c r="A751" s="3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</row>
    <row r="752">
      <c r="A752" s="3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</row>
    <row r="753">
      <c r="A753" s="3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</row>
    <row r="754">
      <c r="A754" s="3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</row>
    <row r="755">
      <c r="A755" s="3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</row>
    <row r="756">
      <c r="A756" s="3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</row>
    <row r="757">
      <c r="A757" s="3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</row>
    <row r="758">
      <c r="A758" s="3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</row>
    <row r="759">
      <c r="A759" s="3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</row>
    <row r="760">
      <c r="A760" s="3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</row>
    <row r="761">
      <c r="A761" s="3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</row>
    <row r="762">
      <c r="A762" s="3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</row>
    <row r="763">
      <c r="A763" s="3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</row>
    <row r="764">
      <c r="A764" s="3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</row>
    <row r="765">
      <c r="A765" s="3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</row>
    <row r="766">
      <c r="A766" s="3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</row>
    <row r="767">
      <c r="A767" s="3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</row>
    <row r="768">
      <c r="A768" s="3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</row>
    <row r="769">
      <c r="A769" s="3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</row>
    <row r="770">
      <c r="A770" s="3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</row>
    <row r="771">
      <c r="A771" s="3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</row>
    <row r="772">
      <c r="A772" s="3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</row>
    <row r="773">
      <c r="A773" s="3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</row>
    <row r="774">
      <c r="A774" s="3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</row>
    <row r="775">
      <c r="A775" s="3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</row>
    <row r="776">
      <c r="A776" s="3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</row>
    <row r="777">
      <c r="A777" s="3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</row>
    <row r="778">
      <c r="A778" s="3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</row>
    <row r="779">
      <c r="A779" s="3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</row>
    <row r="780">
      <c r="A780" s="3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</row>
    <row r="781">
      <c r="A781" s="3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</row>
    <row r="782">
      <c r="A782" s="3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</row>
    <row r="783">
      <c r="A783" s="3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</row>
    <row r="784">
      <c r="A784" s="3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</row>
    <row r="785">
      <c r="A785" s="3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</row>
    <row r="786">
      <c r="A786" s="3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</row>
    <row r="787">
      <c r="A787" s="3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</row>
    <row r="788">
      <c r="A788" s="3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</row>
    <row r="789">
      <c r="A789" s="3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</row>
    <row r="790">
      <c r="A790" s="3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</row>
    <row r="791">
      <c r="A791" s="3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</row>
    <row r="792">
      <c r="A792" s="3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</row>
    <row r="793">
      <c r="A793" s="3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</row>
    <row r="794">
      <c r="A794" s="3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</row>
    <row r="795">
      <c r="A795" s="3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</row>
    <row r="796">
      <c r="A796" s="3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</row>
    <row r="797">
      <c r="A797" s="3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</row>
    <row r="798">
      <c r="A798" s="3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</row>
    <row r="799">
      <c r="A799" s="3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</row>
    <row r="800">
      <c r="A800" s="3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</row>
    <row r="801">
      <c r="A801" s="3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</row>
    <row r="802">
      <c r="A802" s="3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</row>
    <row r="803">
      <c r="A803" s="3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</row>
    <row r="804">
      <c r="A804" s="3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</row>
    <row r="805">
      <c r="A805" s="3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</row>
    <row r="806">
      <c r="A806" s="3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</row>
    <row r="807">
      <c r="A807" s="3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</row>
    <row r="808">
      <c r="A808" s="3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</row>
    <row r="809">
      <c r="A809" s="3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</row>
    <row r="810">
      <c r="A810" s="3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</row>
    <row r="811">
      <c r="A811" s="3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</row>
    <row r="812">
      <c r="A812" s="3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</row>
    <row r="813">
      <c r="A813" s="3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</row>
    <row r="814">
      <c r="A814" s="3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</row>
    <row r="815">
      <c r="A815" s="3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</row>
    <row r="816">
      <c r="A816" s="3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</row>
    <row r="817">
      <c r="A817" s="3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</row>
    <row r="818">
      <c r="A818" s="3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</row>
    <row r="819">
      <c r="A819" s="3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</row>
    <row r="820">
      <c r="A820" s="3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</row>
    <row r="821">
      <c r="A821" s="3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</row>
    <row r="822">
      <c r="A822" s="3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</row>
    <row r="823">
      <c r="A823" s="3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</row>
    <row r="824">
      <c r="A824" s="3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</row>
    <row r="825">
      <c r="A825" s="3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</row>
    <row r="826">
      <c r="A826" s="3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</row>
    <row r="827">
      <c r="A827" s="3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</row>
    <row r="828">
      <c r="A828" s="3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</row>
    <row r="829">
      <c r="A829" s="3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</row>
    <row r="830">
      <c r="A830" s="3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</row>
    <row r="831">
      <c r="A831" s="3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</row>
    <row r="832">
      <c r="A832" s="3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</row>
    <row r="833">
      <c r="A833" s="3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</row>
    <row r="834">
      <c r="A834" s="3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</row>
    <row r="835">
      <c r="A835" s="3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</row>
    <row r="836">
      <c r="A836" s="3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</row>
    <row r="837">
      <c r="A837" s="3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</row>
    <row r="838">
      <c r="A838" s="3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</row>
    <row r="839">
      <c r="A839" s="3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</row>
    <row r="840">
      <c r="A840" s="3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</row>
    <row r="841">
      <c r="A841" s="3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</row>
    <row r="842">
      <c r="A842" s="3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</row>
    <row r="843">
      <c r="A843" s="3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</row>
    <row r="844">
      <c r="A844" s="3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</row>
    <row r="845">
      <c r="A845" s="3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</row>
    <row r="846">
      <c r="A846" s="3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</row>
    <row r="847">
      <c r="A847" s="3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</row>
    <row r="848">
      <c r="A848" s="3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</row>
    <row r="849">
      <c r="A849" s="3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</row>
    <row r="850">
      <c r="A850" s="3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</row>
    <row r="851">
      <c r="A851" s="3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</row>
    <row r="852">
      <c r="A852" s="3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</row>
    <row r="853">
      <c r="A853" s="3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</row>
    <row r="854">
      <c r="A854" s="3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</row>
    <row r="855">
      <c r="A855" s="3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</row>
    <row r="856">
      <c r="A856" s="3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</row>
    <row r="857">
      <c r="A857" s="3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</row>
    <row r="858">
      <c r="A858" s="3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</row>
    <row r="859">
      <c r="A859" s="3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</row>
    <row r="860">
      <c r="A860" s="3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</row>
    <row r="861">
      <c r="A861" s="3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</row>
    <row r="862">
      <c r="A862" s="3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</row>
    <row r="863">
      <c r="A863" s="3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</row>
    <row r="864">
      <c r="A864" s="3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</row>
    <row r="865">
      <c r="A865" s="3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</row>
    <row r="866">
      <c r="A866" s="3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</row>
    <row r="867">
      <c r="A867" s="3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</row>
    <row r="868">
      <c r="A868" s="3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</row>
    <row r="869">
      <c r="A869" s="3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</row>
    <row r="870">
      <c r="A870" s="3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</row>
    <row r="871">
      <c r="A871" s="3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</row>
    <row r="872">
      <c r="A872" s="3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</row>
    <row r="873">
      <c r="A873" s="3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</row>
    <row r="874">
      <c r="A874" s="3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</row>
    <row r="875">
      <c r="A875" s="3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</row>
    <row r="876">
      <c r="A876" s="3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</row>
    <row r="877">
      <c r="A877" s="3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</row>
    <row r="878">
      <c r="A878" s="3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</row>
    <row r="879">
      <c r="A879" s="3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</row>
    <row r="880">
      <c r="A880" s="3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</row>
    <row r="881">
      <c r="A881" s="3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</row>
    <row r="882">
      <c r="A882" s="3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</row>
    <row r="883">
      <c r="A883" s="3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</row>
    <row r="884">
      <c r="A884" s="3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</row>
    <row r="885">
      <c r="A885" s="3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</row>
    <row r="886">
      <c r="A886" s="3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</row>
    <row r="887">
      <c r="A887" s="3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</row>
    <row r="888">
      <c r="A888" s="3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</row>
    <row r="889">
      <c r="A889" s="3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</row>
    <row r="890">
      <c r="A890" s="3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</row>
    <row r="891">
      <c r="A891" s="3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</row>
    <row r="892">
      <c r="A892" s="3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</row>
    <row r="893">
      <c r="A893" s="3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</row>
    <row r="894">
      <c r="A894" s="3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</row>
    <row r="895">
      <c r="A895" s="3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</row>
    <row r="896">
      <c r="A896" s="3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</row>
    <row r="897">
      <c r="A897" s="3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</row>
    <row r="898">
      <c r="A898" s="3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</row>
    <row r="899">
      <c r="A899" s="3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</row>
    <row r="900">
      <c r="A900" s="3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</row>
    <row r="901">
      <c r="A901" s="3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</row>
    <row r="902">
      <c r="A902" s="3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</row>
    <row r="903">
      <c r="A903" s="3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</row>
    <row r="904">
      <c r="A904" s="3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</row>
    <row r="905">
      <c r="A905" s="3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</row>
    <row r="906">
      <c r="A906" s="3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</row>
    <row r="907">
      <c r="A907" s="3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</row>
    <row r="908">
      <c r="A908" s="3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</row>
    <row r="909">
      <c r="A909" s="3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</row>
    <row r="910">
      <c r="A910" s="3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</row>
    <row r="911">
      <c r="A911" s="3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</row>
    <row r="912">
      <c r="A912" s="3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</row>
    <row r="913">
      <c r="A913" s="3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</row>
    <row r="914">
      <c r="A914" s="3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</row>
    <row r="915">
      <c r="A915" s="3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</row>
    <row r="916">
      <c r="A916" s="3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</row>
    <row r="917">
      <c r="A917" s="3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</row>
    <row r="918">
      <c r="A918" s="3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</row>
    <row r="919">
      <c r="A919" s="3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</row>
    <row r="920">
      <c r="A920" s="3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</row>
    <row r="921">
      <c r="A921" s="3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</row>
    <row r="922">
      <c r="A922" s="3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</row>
    <row r="923">
      <c r="A923" s="3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</row>
    <row r="924">
      <c r="A924" s="3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</row>
    <row r="925">
      <c r="A925" s="3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</row>
    <row r="926">
      <c r="A926" s="3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</row>
    <row r="927">
      <c r="A927" s="3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</row>
    <row r="928">
      <c r="A928" s="3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</row>
    <row r="929">
      <c r="A929" s="3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</row>
    <row r="930">
      <c r="A930" s="3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</row>
    <row r="931">
      <c r="A931" s="3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</row>
    <row r="932">
      <c r="A932" s="3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</row>
    <row r="933">
      <c r="A933" s="3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</row>
    <row r="934">
      <c r="A934" s="3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</row>
    <row r="935">
      <c r="A935" s="3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</row>
    <row r="936">
      <c r="A936" s="3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</row>
    <row r="937">
      <c r="A937" s="3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</row>
    <row r="938">
      <c r="A938" s="3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</row>
    <row r="939">
      <c r="A939" s="3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</row>
    <row r="940">
      <c r="A940" s="3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</row>
    <row r="941">
      <c r="A941" s="3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</row>
    <row r="942">
      <c r="A942" s="3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</row>
    <row r="943">
      <c r="A943" s="3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</row>
    <row r="944">
      <c r="A944" s="3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</row>
    <row r="945">
      <c r="A945" s="3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</row>
    <row r="946">
      <c r="A946" s="3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</row>
    <row r="947">
      <c r="A947" s="3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</row>
    <row r="948">
      <c r="A948" s="3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</row>
    <row r="949">
      <c r="A949" s="3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</row>
    <row r="950">
      <c r="A950" s="3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</row>
    <row r="951">
      <c r="A951" s="3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</row>
    <row r="952">
      <c r="A952" s="3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</row>
    <row r="953">
      <c r="A953" s="3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</row>
    <row r="954">
      <c r="A954" s="3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</row>
    <row r="955">
      <c r="A955" s="3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</row>
    <row r="956">
      <c r="A956" s="3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</row>
    <row r="957">
      <c r="A957" s="3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</row>
    <row r="958">
      <c r="A958" s="3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</row>
    <row r="959">
      <c r="A959" s="3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</row>
    <row r="960">
      <c r="A960" s="3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</row>
    <row r="961">
      <c r="A961" s="3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</row>
    <row r="962">
      <c r="A962" s="3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</row>
    <row r="963">
      <c r="A963" s="3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</row>
    <row r="964">
      <c r="A964" s="3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</row>
    <row r="965">
      <c r="A965" s="3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</row>
    <row r="966">
      <c r="A966" s="3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</row>
    <row r="967">
      <c r="A967" s="3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</row>
    <row r="968">
      <c r="A968" s="3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</row>
    <row r="969">
      <c r="A969" s="3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</row>
    <row r="970">
      <c r="A970" s="3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</row>
    <row r="971">
      <c r="A971" s="3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</row>
    <row r="972">
      <c r="A972" s="3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</row>
    <row r="973">
      <c r="A973" s="3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</row>
    <row r="974">
      <c r="A974" s="3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</row>
    <row r="975">
      <c r="A975" s="3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</row>
    <row r="976">
      <c r="A976" s="3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</row>
    <row r="977">
      <c r="A977" s="3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</row>
    <row r="978">
      <c r="A978" s="3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</row>
    <row r="979">
      <c r="A979" s="3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</row>
    <row r="980">
      <c r="A980" s="3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</row>
    <row r="981">
      <c r="A981" s="3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</row>
    <row r="982">
      <c r="A982" s="3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</row>
    <row r="983">
      <c r="A983" s="3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</row>
    <row r="984">
      <c r="A984" s="3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</row>
    <row r="985">
      <c r="A985" s="3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</row>
    <row r="986">
      <c r="A986" s="3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</row>
    <row r="987">
      <c r="A987" s="3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</row>
    <row r="988">
      <c r="A988" s="3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</row>
    <row r="989">
      <c r="A989" s="3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</row>
    <row r="990">
      <c r="A990" s="3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</row>
    <row r="991">
      <c r="A991" s="3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</row>
    <row r="992">
      <c r="A992" s="3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</row>
    <row r="993">
      <c r="A993" s="3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</row>
  </sheetData>
  <mergeCells count="49">
    <mergeCell ref="A8:B8"/>
    <mergeCell ref="A10:B10"/>
    <mergeCell ref="A14:B14"/>
    <mergeCell ref="A15:B15"/>
    <mergeCell ref="C15:N15"/>
    <mergeCell ref="A16:B16"/>
    <mergeCell ref="C16:N16"/>
    <mergeCell ref="A17:B17"/>
    <mergeCell ref="A22:B22"/>
    <mergeCell ref="C22:N22"/>
    <mergeCell ref="A23:B23"/>
    <mergeCell ref="A24:B24"/>
    <mergeCell ref="A25:B25"/>
    <mergeCell ref="C25:N25"/>
    <mergeCell ref="C47:N47"/>
    <mergeCell ref="C50:N50"/>
    <mergeCell ref="C51:N51"/>
    <mergeCell ref="C56:N56"/>
    <mergeCell ref="A26:B26"/>
    <mergeCell ref="A32:B32"/>
    <mergeCell ref="A37:B37"/>
    <mergeCell ref="C37:N37"/>
    <mergeCell ref="A38:B38"/>
    <mergeCell ref="A39:B39"/>
    <mergeCell ref="C43:N43"/>
    <mergeCell ref="A43:B43"/>
    <mergeCell ref="A44:B44"/>
    <mergeCell ref="A45:B45"/>
    <mergeCell ref="A46:B46"/>
    <mergeCell ref="A47:B47"/>
    <mergeCell ref="A48:B48"/>
    <mergeCell ref="A49:B49"/>
    <mergeCell ref="A61:B61"/>
    <mergeCell ref="A62:B62"/>
    <mergeCell ref="C62:N62"/>
    <mergeCell ref="C63:N63"/>
    <mergeCell ref="A63:B63"/>
    <mergeCell ref="A64:B64"/>
    <mergeCell ref="A65:B65"/>
    <mergeCell ref="A66:B66"/>
    <mergeCell ref="A67:B67"/>
    <mergeCell ref="A68:B68"/>
    <mergeCell ref="A50:B50"/>
    <mergeCell ref="A51:B51"/>
    <mergeCell ref="A53:B53"/>
    <mergeCell ref="A55:B55"/>
    <mergeCell ref="A56:B56"/>
    <mergeCell ref="A57:B57"/>
    <mergeCell ref="A59:B59"/>
  </mergeCells>
  <conditionalFormatting sqref="C44:N44">
    <cfRule type="cellIs" dxfId="0" priority="1" operator="greaterThan">
      <formula>0</formula>
    </cfRule>
  </conditionalFormatting>
  <conditionalFormatting sqref="C44:N44">
    <cfRule type="cellIs" dxfId="1" priority="2" operator="lessThanOrEqual">
      <formula>0</formula>
    </cfRule>
  </conditionalFormatting>
  <conditionalFormatting sqref="C46:N46">
    <cfRule type="cellIs" dxfId="0" priority="3" operator="greaterThan">
      <formula>0</formula>
    </cfRule>
  </conditionalFormatting>
  <conditionalFormatting sqref="C46:N46">
    <cfRule type="cellIs" dxfId="1" priority="4" operator="lessThanOrEqual">
      <formula>0</formula>
    </cfRule>
  </conditionalFormatting>
  <conditionalFormatting sqref="C69:N69">
    <cfRule type="cellIs" dxfId="2" priority="5" operator="lessThanOrEqual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3.75"/>
    <col customWidth="1" min="2" max="2" width="10.63"/>
    <col customWidth="1" min="3" max="3" width="11.88"/>
    <col customWidth="1" min="4" max="13" width="12.0"/>
  </cols>
  <sheetData>
    <row r="1">
      <c r="A1" s="74" t="s">
        <v>107</v>
      </c>
      <c r="B1" s="75"/>
      <c r="C1" s="76">
        <v>0.0</v>
      </c>
      <c r="D1" s="76">
        <v>1.0</v>
      </c>
      <c r="E1" s="76">
        <v>2.0</v>
      </c>
      <c r="F1" s="76">
        <v>3.0</v>
      </c>
      <c r="G1" s="76">
        <v>4.0</v>
      </c>
      <c r="H1" s="76">
        <v>5.0</v>
      </c>
      <c r="I1" s="76">
        <v>6.0</v>
      </c>
      <c r="J1" s="76">
        <v>7.0</v>
      </c>
      <c r="K1" s="76">
        <v>8.0</v>
      </c>
      <c r="L1" s="76">
        <v>9.0</v>
      </c>
      <c r="M1" s="76">
        <v>10.0</v>
      </c>
    </row>
    <row r="2" ht="24.75" customHeight="1">
      <c r="A2" s="77" t="s">
        <v>108</v>
      </c>
      <c r="B2" s="78"/>
      <c r="C2" s="78"/>
      <c r="D2" s="79">
        <f t="shared" ref="D2:M2" si="1">D3+D4</f>
        <v>68000000</v>
      </c>
      <c r="E2" s="79">
        <f t="shared" si="1"/>
        <v>81600000</v>
      </c>
      <c r="F2" s="79">
        <f t="shared" si="1"/>
        <v>97920000</v>
      </c>
      <c r="G2" s="79">
        <f t="shared" si="1"/>
        <v>117504000</v>
      </c>
      <c r="H2" s="79">
        <f t="shared" si="1"/>
        <v>141004800</v>
      </c>
      <c r="I2" s="79">
        <f t="shared" si="1"/>
        <v>169205760</v>
      </c>
      <c r="J2" s="79">
        <f t="shared" si="1"/>
        <v>203046912</v>
      </c>
      <c r="K2" s="79">
        <f t="shared" si="1"/>
        <v>243656294.4</v>
      </c>
      <c r="L2" s="79">
        <f t="shared" si="1"/>
        <v>292387553.3</v>
      </c>
      <c r="M2" s="79">
        <f t="shared" si="1"/>
        <v>350865063.9</v>
      </c>
    </row>
    <row r="3">
      <c r="A3" s="80" t="s">
        <v>109</v>
      </c>
      <c r="B3" s="75"/>
      <c r="C3" s="81"/>
      <c r="D3" s="82">
        <f t="shared" ref="D3:M3" si="2">D6*$C$8</f>
        <v>50000000</v>
      </c>
      <c r="E3" s="82">
        <f t="shared" si="2"/>
        <v>60000000</v>
      </c>
      <c r="F3" s="82">
        <f t="shared" si="2"/>
        <v>72000000</v>
      </c>
      <c r="G3" s="82">
        <f t="shared" si="2"/>
        <v>86400000</v>
      </c>
      <c r="H3" s="82">
        <f t="shared" si="2"/>
        <v>103680000</v>
      </c>
      <c r="I3" s="82">
        <f t="shared" si="2"/>
        <v>124416000</v>
      </c>
      <c r="J3" s="82">
        <f t="shared" si="2"/>
        <v>149299200</v>
      </c>
      <c r="K3" s="82">
        <f t="shared" si="2"/>
        <v>179159040</v>
      </c>
      <c r="L3" s="82">
        <f t="shared" si="2"/>
        <v>214990848</v>
      </c>
      <c r="M3" s="82">
        <f t="shared" si="2"/>
        <v>257989017.6</v>
      </c>
    </row>
    <row r="4">
      <c r="A4" s="80" t="s">
        <v>110</v>
      </c>
      <c r="B4" s="75"/>
      <c r="C4" s="81"/>
      <c r="D4" s="82">
        <f t="shared" ref="D4:M4" si="3">D7*$C$9</f>
        <v>18000000</v>
      </c>
      <c r="E4" s="82">
        <f t="shared" si="3"/>
        <v>21600000</v>
      </c>
      <c r="F4" s="82">
        <f t="shared" si="3"/>
        <v>25920000</v>
      </c>
      <c r="G4" s="82">
        <f t="shared" si="3"/>
        <v>31104000</v>
      </c>
      <c r="H4" s="82">
        <f t="shared" si="3"/>
        <v>37324800</v>
      </c>
      <c r="I4" s="82">
        <f t="shared" si="3"/>
        <v>44789760</v>
      </c>
      <c r="J4" s="82">
        <f t="shared" si="3"/>
        <v>53747712</v>
      </c>
      <c r="K4" s="82">
        <f t="shared" si="3"/>
        <v>64497254.4</v>
      </c>
      <c r="L4" s="82">
        <f t="shared" si="3"/>
        <v>77396705.28</v>
      </c>
      <c r="M4" s="82">
        <f t="shared" si="3"/>
        <v>92876046.34</v>
      </c>
    </row>
    <row r="5">
      <c r="A5" s="80" t="s">
        <v>111</v>
      </c>
      <c r="B5" s="75"/>
      <c r="C5" s="83">
        <v>0.2</v>
      </c>
      <c r="D5" s="82"/>
      <c r="E5" s="82"/>
      <c r="F5" s="82"/>
      <c r="G5" s="82"/>
      <c r="H5" s="82"/>
      <c r="I5" s="82"/>
      <c r="J5" s="82"/>
      <c r="K5" s="82"/>
      <c r="L5" s="82"/>
      <c r="M5" s="82"/>
    </row>
    <row r="6">
      <c r="A6" s="80" t="s">
        <v>112</v>
      </c>
      <c r="B6" s="75"/>
      <c r="C6" s="75"/>
      <c r="D6" s="84">
        <v>500.0</v>
      </c>
      <c r="E6" s="82">
        <f t="shared" ref="E6:M6" si="4">D6+D6*$C$5</f>
        <v>600</v>
      </c>
      <c r="F6" s="82">
        <f t="shared" si="4"/>
        <v>720</v>
      </c>
      <c r="G6" s="82">
        <f t="shared" si="4"/>
        <v>864</v>
      </c>
      <c r="H6" s="82">
        <f t="shared" si="4"/>
        <v>1036.8</v>
      </c>
      <c r="I6" s="82">
        <f t="shared" si="4"/>
        <v>1244.16</v>
      </c>
      <c r="J6" s="82">
        <f t="shared" si="4"/>
        <v>1492.992</v>
      </c>
      <c r="K6" s="82">
        <f t="shared" si="4"/>
        <v>1791.5904</v>
      </c>
      <c r="L6" s="82">
        <f t="shared" si="4"/>
        <v>2149.90848</v>
      </c>
      <c r="M6" s="82">
        <f t="shared" si="4"/>
        <v>2579.890176</v>
      </c>
    </row>
    <row r="7">
      <c r="A7" s="80" t="s">
        <v>113</v>
      </c>
      <c r="B7" s="75"/>
      <c r="C7" s="75"/>
      <c r="D7" s="84">
        <v>900.0</v>
      </c>
      <c r="E7" s="82">
        <f t="shared" ref="E7:M7" si="5">D7+D7*$C$5</f>
        <v>1080</v>
      </c>
      <c r="F7" s="82">
        <f t="shared" si="5"/>
        <v>1296</v>
      </c>
      <c r="G7" s="82">
        <f t="shared" si="5"/>
        <v>1555.2</v>
      </c>
      <c r="H7" s="82">
        <f t="shared" si="5"/>
        <v>1866.24</v>
      </c>
      <c r="I7" s="82">
        <f t="shared" si="5"/>
        <v>2239.488</v>
      </c>
      <c r="J7" s="82">
        <f t="shared" si="5"/>
        <v>2687.3856</v>
      </c>
      <c r="K7" s="82">
        <f t="shared" si="5"/>
        <v>3224.86272</v>
      </c>
      <c r="L7" s="82">
        <f t="shared" si="5"/>
        <v>3869.835264</v>
      </c>
      <c r="M7" s="82">
        <f t="shared" si="5"/>
        <v>4643.802317</v>
      </c>
    </row>
    <row r="8">
      <c r="A8" s="80" t="s">
        <v>114</v>
      </c>
      <c r="B8" s="75"/>
      <c r="C8" s="85">
        <v>100000.0</v>
      </c>
      <c r="D8" s="82"/>
      <c r="E8" s="82"/>
      <c r="F8" s="82"/>
      <c r="G8" s="82"/>
      <c r="H8" s="82"/>
      <c r="I8" s="82"/>
      <c r="J8" s="82"/>
      <c r="K8" s="82"/>
      <c r="L8" s="82"/>
      <c r="M8" s="82"/>
    </row>
    <row r="9">
      <c r="A9" s="80" t="s">
        <v>115</v>
      </c>
      <c r="B9" s="75"/>
      <c r="C9" s="85">
        <v>20000.0</v>
      </c>
      <c r="D9" s="82"/>
      <c r="E9" s="82"/>
      <c r="F9" s="82"/>
      <c r="G9" s="82"/>
      <c r="H9" s="82"/>
      <c r="I9" s="82"/>
      <c r="J9" s="82"/>
      <c r="K9" s="82"/>
      <c r="L9" s="82"/>
      <c r="M9" s="82"/>
    </row>
    <row r="10">
      <c r="A10" s="80"/>
      <c r="B10" s="75"/>
      <c r="C10" s="75"/>
      <c r="D10" s="82"/>
      <c r="E10" s="82"/>
      <c r="F10" s="82"/>
      <c r="G10" s="82"/>
      <c r="H10" s="82"/>
      <c r="I10" s="82"/>
      <c r="J10" s="82"/>
      <c r="K10" s="82"/>
      <c r="L10" s="82"/>
      <c r="M10" s="82"/>
    </row>
    <row r="11" ht="25.5" customHeight="1">
      <c r="A11" s="86" t="s">
        <v>32</v>
      </c>
      <c r="B11" s="87"/>
      <c r="C11" s="87"/>
      <c r="D11" s="88">
        <f t="shared" ref="D11:M11" si="6">SUM(D12:D17)</f>
        <v>-31960000</v>
      </c>
      <c r="E11" s="88">
        <f t="shared" si="6"/>
        <v>-38352000</v>
      </c>
      <c r="F11" s="88">
        <f t="shared" si="6"/>
        <v>-46022400</v>
      </c>
      <c r="G11" s="88">
        <f t="shared" si="6"/>
        <v>-55226880</v>
      </c>
      <c r="H11" s="88">
        <f t="shared" si="6"/>
        <v>-66272256</v>
      </c>
      <c r="I11" s="88">
        <f t="shared" si="6"/>
        <v>-79526707.2</v>
      </c>
      <c r="J11" s="88">
        <f t="shared" si="6"/>
        <v>-95432048.64</v>
      </c>
      <c r="K11" s="88">
        <f t="shared" si="6"/>
        <v>-114518458.4</v>
      </c>
      <c r="L11" s="88">
        <f t="shared" si="6"/>
        <v>-137422150</v>
      </c>
      <c r="M11" s="88">
        <f t="shared" si="6"/>
        <v>-164906580</v>
      </c>
    </row>
    <row r="12">
      <c r="A12" s="80" t="s">
        <v>116</v>
      </c>
      <c r="B12" s="75" t="s">
        <v>117</v>
      </c>
      <c r="C12" s="83">
        <v>0.3</v>
      </c>
      <c r="D12" s="82">
        <f t="shared" ref="D12:M12" si="7">-D2*$C$12</f>
        <v>-20400000</v>
      </c>
      <c r="E12" s="82">
        <f t="shared" si="7"/>
        <v>-24480000</v>
      </c>
      <c r="F12" s="82">
        <f t="shared" si="7"/>
        <v>-29376000</v>
      </c>
      <c r="G12" s="82">
        <f t="shared" si="7"/>
        <v>-35251200</v>
      </c>
      <c r="H12" s="82">
        <f t="shared" si="7"/>
        <v>-42301440</v>
      </c>
      <c r="I12" s="82">
        <f t="shared" si="7"/>
        <v>-50761728</v>
      </c>
      <c r="J12" s="82">
        <f t="shared" si="7"/>
        <v>-60914073.6</v>
      </c>
      <c r="K12" s="82">
        <f t="shared" si="7"/>
        <v>-73096888.32</v>
      </c>
      <c r="L12" s="82">
        <f t="shared" si="7"/>
        <v>-87716265.98</v>
      </c>
      <c r="M12" s="82">
        <f t="shared" si="7"/>
        <v>-105259519.2</v>
      </c>
    </row>
    <row r="13">
      <c r="A13" s="80" t="s">
        <v>118</v>
      </c>
      <c r="B13" s="75" t="s">
        <v>119</v>
      </c>
      <c r="C13" s="83">
        <v>0.1</v>
      </c>
      <c r="D13" s="82">
        <f t="shared" ref="D13:M13" si="8">-D2*$C$13</f>
        <v>-6800000</v>
      </c>
      <c r="E13" s="82">
        <f t="shared" si="8"/>
        <v>-8160000</v>
      </c>
      <c r="F13" s="82">
        <f t="shared" si="8"/>
        <v>-9792000</v>
      </c>
      <c r="G13" s="82">
        <f t="shared" si="8"/>
        <v>-11750400</v>
      </c>
      <c r="H13" s="82">
        <f t="shared" si="8"/>
        <v>-14100480</v>
      </c>
      <c r="I13" s="82">
        <f t="shared" si="8"/>
        <v>-16920576</v>
      </c>
      <c r="J13" s="82">
        <f t="shared" si="8"/>
        <v>-20304691.2</v>
      </c>
      <c r="K13" s="82">
        <f t="shared" si="8"/>
        <v>-24365629.44</v>
      </c>
      <c r="L13" s="82">
        <f t="shared" si="8"/>
        <v>-29238755.33</v>
      </c>
      <c r="M13" s="82">
        <f t="shared" si="8"/>
        <v>-35086506.39</v>
      </c>
    </row>
    <row r="14">
      <c r="A14" s="80" t="s">
        <v>120</v>
      </c>
      <c r="B14" s="75" t="s">
        <v>119</v>
      </c>
      <c r="C14" s="83">
        <v>0.07</v>
      </c>
      <c r="D14" s="82">
        <f t="shared" ref="D14:M14" si="9">-D2*$C$14</f>
        <v>-4760000</v>
      </c>
      <c r="E14" s="82">
        <f t="shared" si="9"/>
        <v>-5712000</v>
      </c>
      <c r="F14" s="82">
        <f t="shared" si="9"/>
        <v>-6854400</v>
      </c>
      <c r="G14" s="82">
        <f t="shared" si="9"/>
        <v>-8225280</v>
      </c>
      <c r="H14" s="82">
        <f t="shared" si="9"/>
        <v>-9870336</v>
      </c>
      <c r="I14" s="82">
        <f t="shared" si="9"/>
        <v>-11844403.2</v>
      </c>
      <c r="J14" s="82">
        <f t="shared" si="9"/>
        <v>-14213283.84</v>
      </c>
      <c r="K14" s="82">
        <f t="shared" si="9"/>
        <v>-17055940.61</v>
      </c>
      <c r="L14" s="82">
        <f t="shared" si="9"/>
        <v>-20467128.73</v>
      </c>
      <c r="M14" s="82">
        <f t="shared" si="9"/>
        <v>-24560554.48</v>
      </c>
    </row>
    <row r="15">
      <c r="A15" s="80"/>
      <c r="B15" s="75"/>
      <c r="C15" s="75"/>
      <c r="D15" s="82"/>
      <c r="E15" s="82"/>
      <c r="F15" s="82"/>
      <c r="G15" s="82"/>
      <c r="H15" s="82"/>
      <c r="I15" s="82"/>
      <c r="J15" s="82"/>
      <c r="K15" s="82"/>
      <c r="L15" s="82"/>
      <c r="M15" s="82"/>
    </row>
    <row r="16">
      <c r="A16" s="80"/>
      <c r="B16" s="75"/>
      <c r="C16" s="75"/>
      <c r="D16" s="82"/>
      <c r="E16" s="82"/>
      <c r="F16" s="82"/>
      <c r="G16" s="82"/>
      <c r="H16" s="82"/>
      <c r="I16" s="82"/>
      <c r="J16" s="82"/>
      <c r="K16" s="82"/>
      <c r="L16" s="82"/>
      <c r="M16" s="82"/>
    </row>
    <row r="17">
      <c r="A17" s="80"/>
      <c r="B17" s="75"/>
      <c r="C17" s="75"/>
      <c r="D17" s="82"/>
      <c r="E17" s="82"/>
      <c r="F17" s="82"/>
      <c r="G17" s="82"/>
      <c r="H17" s="82"/>
      <c r="I17" s="82"/>
      <c r="J17" s="82"/>
      <c r="K17" s="82"/>
      <c r="L17" s="82"/>
      <c r="M17" s="82"/>
    </row>
    <row r="18" ht="24.75" customHeight="1">
      <c r="A18" s="89" t="s">
        <v>36</v>
      </c>
      <c r="B18" s="78"/>
      <c r="C18" s="78"/>
      <c r="D18" s="79">
        <f t="shared" ref="D18:M18" si="10">D2+D11</f>
        <v>36040000</v>
      </c>
      <c r="E18" s="79">
        <f t="shared" si="10"/>
        <v>43248000</v>
      </c>
      <c r="F18" s="79">
        <f t="shared" si="10"/>
        <v>51897600</v>
      </c>
      <c r="G18" s="79">
        <f t="shared" si="10"/>
        <v>62277120</v>
      </c>
      <c r="H18" s="79">
        <f t="shared" si="10"/>
        <v>74732544</v>
      </c>
      <c r="I18" s="79">
        <f t="shared" si="10"/>
        <v>89679052.8</v>
      </c>
      <c r="J18" s="79">
        <f t="shared" si="10"/>
        <v>107614863.4</v>
      </c>
      <c r="K18" s="79">
        <f t="shared" si="10"/>
        <v>129137836</v>
      </c>
      <c r="L18" s="79">
        <f t="shared" si="10"/>
        <v>154965403.2</v>
      </c>
      <c r="M18" s="79">
        <f t="shared" si="10"/>
        <v>185958483.9</v>
      </c>
    </row>
    <row r="19">
      <c r="A19" s="90" t="s">
        <v>121</v>
      </c>
      <c r="B19" s="91"/>
      <c r="C19" s="91"/>
      <c r="D19" s="92">
        <f t="shared" ref="D19:M19" si="11">D18/D2</f>
        <v>0.53</v>
      </c>
      <c r="E19" s="92">
        <f t="shared" si="11"/>
        <v>0.53</v>
      </c>
      <c r="F19" s="92">
        <f t="shared" si="11"/>
        <v>0.53</v>
      </c>
      <c r="G19" s="92">
        <f t="shared" si="11"/>
        <v>0.53</v>
      </c>
      <c r="H19" s="92">
        <f t="shared" si="11"/>
        <v>0.53</v>
      </c>
      <c r="I19" s="92">
        <f t="shared" si="11"/>
        <v>0.53</v>
      </c>
      <c r="J19" s="92">
        <f t="shared" si="11"/>
        <v>0.53</v>
      </c>
      <c r="K19" s="92">
        <f t="shared" si="11"/>
        <v>0.53</v>
      </c>
      <c r="L19" s="92">
        <f t="shared" si="11"/>
        <v>0.53</v>
      </c>
      <c r="M19" s="92">
        <f t="shared" si="11"/>
        <v>0.53</v>
      </c>
    </row>
    <row r="20">
      <c r="A20" s="80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</row>
    <row r="21" ht="25.5" customHeight="1">
      <c r="A21" s="86" t="s">
        <v>38</v>
      </c>
      <c r="B21" s="87"/>
      <c r="C21" s="88"/>
      <c r="D21" s="88">
        <f t="shared" ref="D21:M21" si="12">SUM(D41:D50,D26,D25,D24,D23,D22)</f>
        <v>-23930400</v>
      </c>
      <c r="E21" s="88">
        <f t="shared" si="12"/>
        <v>-26246400</v>
      </c>
      <c r="F21" s="88">
        <f t="shared" si="12"/>
        <v>-27470400</v>
      </c>
      <c r="G21" s="88">
        <f t="shared" si="12"/>
        <v>-31596000</v>
      </c>
      <c r="H21" s="88">
        <f t="shared" si="12"/>
        <v>-33358560</v>
      </c>
      <c r="I21" s="88">
        <f t="shared" si="12"/>
        <v>-35473632</v>
      </c>
      <c r="J21" s="88">
        <f t="shared" si="12"/>
        <v>-38659718.4</v>
      </c>
      <c r="K21" s="88">
        <f t="shared" si="12"/>
        <v>-42807022.08</v>
      </c>
      <c r="L21" s="88">
        <f t="shared" si="12"/>
        <v>-46461866.5</v>
      </c>
      <c r="M21" s="88">
        <f t="shared" si="12"/>
        <v>-51495679.8</v>
      </c>
    </row>
    <row r="22">
      <c r="A22" s="80"/>
      <c r="B22" s="75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</row>
    <row r="23">
      <c r="A23" s="80"/>
      <c r="B23" s="75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</row>
    <row r="24">
      <c r="A24" s="80" t="s">
        <v>77</v>
      </c>
      <c r="B24" s="75">
        <v>12.0</v>
      </c>
      <c r="C24" s="93">
        <f>-500000*$B$24</f>
        <v>-6000000</v>
      </c>
      <c r="D24" s="82">
        <f t="shared" ref="D24:M24" si="13">$C$24</f>
        <v>-6000000</v>
      </c>
      <c r="E24" s="82">
        <f t="shared" si="13"/>
        <v>-6000000</v>
      </c>
      <c r="F24" s="82">
        <f t="shared" si="13"/>
        <v>-6000000</v>
      </c>
      <c r="G24" s="82">
        <f t="shared" si="13"/>
        <v>-6000000</v>
      </c>
      <c r="H24" s="82">
        <f t="shared" si="13"/>
        <v>-6000000</v>
      </c>
      <c r="I24" s="82">
        <f t="shared" si="13"/>
        <v>-6000000</v>
      </c>
      <c r="J24" s="82">
        <f t="shared" si="13"/>
        <v>-6000000</v>
      </c>
      <c r="K24" s="82">
        <f t="shared" si="13"/>
        <v>-6000000</v>
      </c>
      <c r="L24" s="82">
        <f t="shared" si="13"/>
        <v>-6000000</v>
      </c>
      <c r="M24" s="82">
        <f t="shared" si="13"/>
        <v>-6000000</v>
      </c>
    </row>
    <row r="25">
      <c r="A25" s="80"/>
      <c r="B25" s="75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</row>
    <row r="26">
      <c r="A26" s="80" t="s">
        <v>122</v>
      </c>
      <c r="B26" s="75">
        <v>12.0</v>
      </c>
      <c r="C26" s="82">
        <f t="shared" ref="C26:M26" si="14">(C27*C34+C28*C35+C29*C36+C30*C37+C31*C38+C32*C39+C33*C40)*$B$26</f>
        <v>-11880000</v>
      </c>
      <c r="D26" s="82">
        <f t="shared" si="14"/>
        <v>-11880000</v>
      </c>
      <c r="E26" s="82">
        <f t="shared" si="14"/>
        <v>-13080000</v>
      </c>
      <c r="F26" s="82">
        <f t="shared" si="14"/>
        <v>-13080000</v>
      </c>
      <c r="G26" s="82">
        <f t="shared" si="14"/>
        <v>-15540000</v>
      </c>
      <c r="H26" s="82">
        <f t="shared" si="14"/>
        <v>-15540000</v>
      </c>
      <c r="I26" s="82">
        <f t="shared" si="14"/>
        <v>-15540000</v>
      </c>
      <c r="J26" s="82">
        <f t="shared" si="14"/>
        <v>-16140000</v>
      </c>
      <c r="K26" s="82">
        <f t="shared" si="14"/>
        <v>-17160000</v>
      </c>
      <c r="L26" s="82">
        <f t="shared" si="14"/>
        <v>-17160000</v>
      </c>
      <c r="M26" s="82">
        <f t="shared" si="14"/>
        <v>-17760000</v>
      </c>
    </row>
    <row r="27">
      <c r="A27" s="80" t="s">
        <v>123</v>
      </c>
      <c r="B27" s="75"/>
      <c r="C27" s="82">
        <v>-100000.0</v>
      </c>
      <c r="D27" s="82">
        <f t="shared" ref="D27:M27" si="15">$C$27</f>
        <v>-100000</v>
      </c>
      <c r="E27" s="82">
        <f t="shared" si="15"/>
        <v>-100000</v>
      </c>
      <c r="F27" s="82">
        <f t="shared" si="15"/>
        <v>-100000</v>
      </c>
      <c r="G27" s="82">
        <f t="shared" si="15"/>
        <v>-100000</v>
      </c>
      <c r="H27" s="82">
        <f t="shared" si="15"/>
        <v>-100000</v>
      </c>
      <c r="I27" s="82">
        <f t="shared" si="15"/>
        <v>-100000</v>
      </c>
      <c r="J27" s="82">
        <f t="shared" si="15"/>
        <v>-100000</v>
      </c>
      <c r="K27" s="82">
        <f t="shared" si="15"/>
        <v>-100000</v>
      </c>
      <c r="L27" s="82">
        <f t="shared" si="15"/>
        <v>-100000</v>
      </c>
      <c r="M27" s="82">
        <f t="shared" si="15"/>
        <v>-100000</v>
      </c>
    </row>
    <row r="28">
      <c r="A28" s="80" t="s">
        <v>124</v>
      </c>
      <c r="B28" s="75"/>
      <c r="C28" s="82">
        <v>-150000.0</v>
      </c>
      <c r="D28" s="82">
        <f t="shared" ref="D28:M28" si="16">$C$28</f>
        <v>-150000</v>
      </c>
      <c r="E28" s="82">
        <f t="shared" si="16"/>
        <v>-150000</v>
      </c>
      <c r="F28" s="82">
        <f t="shared" si="16"/>
        <v>-150000</v>
      </c>
      <c r="G28" s="82">
        <f t="shared" si="16"/>
        <v>-150000</v>
      </c>
      <c r="H28" s="82">
        <f t="shared" si="16"/>
        <v>-150000</v>
      </c>
      <c r="I28" s="82">
        <f t="shared" si="16"/>
        <v>-150000</v>
      </c>
      <c r="J28" s="82">
        <f t="shared" si="16"/>
        <v>-150000</v>
      </c>
      <c r="K28" s="82">
        <f t="shared" si="16"/>
        <v>-150000</v>
      </c>
      <c r="L28" s="82">
        <f t="shared" si="16"/>
        <v>-150000</v>
      </c>
      <c r="M28" s="82">
        <f t="shared" si="16"/>
        <v>-150000</v>
      </c>
    </row>
    <row r="29">
      <c r="A29" s="80" t="s">
        <v>125</v>
      </c>
      <c r="B29" s="75"/>
      <c r="C29" s="82">
        <v>-70000.0</v>
      </c>
      <c r="D29" s="82">
        <f t="shared" ref="D29:M29" si="17">$C$29</f>
        <v>-70000</v>
      </c>
      <c r="E29" s="82">
        <f t="shared" si="17"/>
        <v>-70000</v>
      </c>
      <c r="F29" s="82">
        <f t="shared" si="17"/>
        <v>-70000</v>
      </c>
      <c r="G29" s="82">
        <f t="shared" si="17"/>
        <v>-70000</v>
      </c>
      <c r="H29" s="82">
        <f t="shared" si="17"/>
        <v>-70000</v>
      </c>
      <c r="I29" s="82">
        <f t="shared" si="17"/>
        <v>-70000</v>
      </c>
      <c r="J29" s="82">
        <f t="shared" si="17"/>
        <v>-70000</v>
      </c>
      <c r="K29" s="82">
        <f t="shared" si="17"/>
        <v>-70000</v>
      </c>
      <c r="L29" s="82">
        <f t="shared" si="17"/>
        <v>-70000</v>
      </c>
      <c r="M29" s="82">
        <f t="shared" si="17"/>
        <v>-70000</v>
      </c>
    </row>
    <row r="30">
      <c r="A30" s="80" t="s">
        <v>126</v>
      </c>
      <c r="B30" s="75"/>
      <c r="C30" s="82">
        <v>-55000.0</v>
      </c>
      <c r="D30" s="82">
        <f t="shared" ref="D30:M30" si="18">$C$30</f>
        <v>-55000</v>
      </c>
      <c r="E30" s="82">
        <f t="shared" si="18"/>
        <v>-55000</v>
      </c>
      <c r="F30" s="82">
        <f t="shared" si="18"/>
        <v>-55000</v>
      </c>
      <c r="G30" s="82">
        <f t="shared" si="18"/>
        <v>-55000</v>
      </c>
      <c r="H30" s="82">
        <f t="shared" si="18"/>
        <v>-55000</v>
      </c>
      <c r="I30" s="82">
        <f t="shared" si="18"/>
        <v>-55000</v>
      </c>
      <c r="J30" s="82">
        <f t="shared" si="18"/>
        <v>-55000</v>
      </c>
      <c r="K30" s="82">
        <f t="shared" si="18"/>
        <v>-55000</v>
      </c>
      <c r="L30" s="82">
        <f t="shared" si="18"/>
        <v>-55000</v>
      </c>
      <c r="M30" s="82">
        <f t="shared" si="18"/>
        <v>-55000</v>
      </c>
    </row>
    <row r="31">
      <c r="A31" s="80" t="s">
        <v>127</v>
      </c>
      <c r="B31" s="75"/>
      <c r="C31" s="82">
        <v>-50000.0</v>
      </c>
      <c r="D31" s="82">
        <f t="shared" ref="D31:M31" si="19">$C$31</f>
        <v>-50000</v>
      </c>
      <c r="E31" s="82">
        <f t="shared" si="19"/>
        <v>-50000</v>
      </c>
      <c r="F31" s="82">
        <f t="shared" si="19"/>
        <v>-50000</v>
      </c>
      <c r="G31" s="82">
        <f t="shared" si="19"/>
        <v>-50000</v>
      </c>
      <c r="H31" s="82">
        <f t="shared" si="19"/>
        <v>-50000</v>
      </c>
      <c r="I31" s="82">
        <f t="shared" si="19"/>
        <v>-50000</v>
      </c>
      <c r="J31" s="82">
        <f t="shared" si="19"/>
        <v>-50000</v>
      </c>
      <c r="K31" s="82">
        <f t="shared" si="19"/>
        <v>-50000</v>
      </c>
      <c r="L31" s="82">
        <f t="shared" si="19"/>
        <v>-50000</v>
      </c>
      <c r="M31" s="82">
        <f t="shared" si="19"/>
        <v>-50000</v>
      </c>
    </row>
    <row r="32">
      <c r="A32" s="80" t="s">
        <v>128</v>
      </c>
      <c r="B32" s="75"/>
      <c r="C32" s="82">
        <v>-30000.0</v>
      </c>
      <c r="D32" s="82">
        <f t="shared" ref="D32:M32" si="20">$C$32</f>
        <v>-30000</v>
      </c>
      <c r="E32" s="82">
        <f t="shared" si="20"/>
        <v>-30000</v>
      </c>
      <c r="F32" s="82">
        <f t="shared" si="20"/>
        <v>-30000</v>
      </c>
      <c r="G32" s="82">
        <f t="shared" si="20"/>
        <v>-30000</v>
      </c>
      <c r="H32" s="82">
        <f t="shared" si="20"/>
        <v>-30000</v>
      </c>
      <c r="I32" s="82">
        <f t="shared" si="20"/>
        <v>-30000</v>
      </c>
      <c r="J32" s="82">
        <f t="shared" si="20"/>
        <v>-30000</v>
      </c>
      <c r="K32" s="82">
        <f t="shared" si="20"/>
        <v>-30000</v>
      </c>
      <c r="L32" s="82">
        <f t="shared" si="20"/>
        <v>-30000</v>
      </c>
      <c r="M32" s="82">
        <f t="shared" si="20"/>
        <v>-30000</v>
      </c>
    </row>
    <row r="33">
      <c r="A33" s="80" t="s">
        <v>129</v>
      </c>
      <c r="B33" s="75"/>
      <c r="C33" s="82">
        <v>-50000.0</v>
      </c>
      <c r="D33" s="82">
        <f t="shared" ref="D33:M33" si="21">$C$33</f>
        <v>-50000</v>
      </c>
      <c r="E33" s="82">
        <f t="shared" si="21"/>
        <v>-50000</v>
      </c>
      <c r="F33" s="82">
        <f t="shared" si="21"/>
        <v>-50000</v>
      </c>
      <c r="G33" s="82">
        <f t="shared" si="21"/>
        <v>-50000</v>
      </c>
      <c r="H33" s="82">
        <f t="shared" si="21"/>
        <v>-50000</v>
      </c>
      <c r="I33" s="82">
        <f t="shared" si="21"/>
        <v>-50000</v>
      </c>
      <c r="J33" s="82">
        <f t="shared" si="21"/>
        <v>-50000</v>
      </c>
      <c r="K33" s="82">
        <f t="shared" si="21"/>
        <v>-50000</v>
      </c>
      <c r="L33" s="82">
        <f t="shared" si="21"/>
        <v>-50000</v>
      </c>
      <c r="M33" s="82">
        <f t="shared" si="21"/>
        <v>-50000</v>
      </c>
    </row>
    <row r="34">
      <c r="A34" s="80" t="s">
        <v>130</v>
      </c>
      <c r="B34" s="75"/>
      <c r="C34" s="84">
        <v>1.0</v>
      </c>
      <c r="D34" s="82">
        <f t="shared" ref="D34:M34" si="22">$C$34</f>
        <v>1</v>
      </c>
      <c r="E34" s="82">
        <f t="shared" si="22"/>
        <v>1</v>
      </c>
      <c r="F34" s="82">
        <f t="shared" si="22"/>
        <v>1</v>
      </c>
      <c r="G34" s="82">
        <f t="shared" si="22"/>
        <v>1</v>
      </c>
      <c r="H34" s="82">
        <f t="shared" si="22"/>
        <v>1</v>
      </c>
      <c r="I34" s="82">
        <f t="shared" si="22"/>
        <v>1</v>
      </c>
      <c r="J34" s="82">
        <f t="shared" si="22"/>
        <v>1</v>
      </c>
      <c r="K34" s="82">
        <f t="shared" si="22"/>
        <v>1</v>
      </c>
      <c r="L34" s="82">
        <f t="shared" si="22"/>
        <v>1</v>
      </c>
      <c r="M34" s="82">
        <f t="shared" si="22"/>
        <v>1</v>
      </c>
    </row>
    <row r="35">
      <c r="A35" s="80" t="s">
        <v>131</v>
      </c>
      <c r="B35" s="75"/>
      <c r="C35" s="84">
        <v>2.0</v>
      </c>
      <c r="D35" s="82">
        <f t="shared" ref="D35:M35" si="23">$C$35</f>
        <v>2</v>
      </c>
      <c r="E35" s="82">
        <f t="shared" si="23"/>
        <v>2</v>
      </c>
      <c r="F35" s="82">
        <f t="shared" si="23"/>
        <v>2</v>
      </c>
      <c r="G35" s="82">
        <f t="shared" si="23"/>
        <v>2</v>
      </c>
      <c r="H35" s="82">
        <f t="shared" si="23"/>
        <v>2</v>
      </c>
      <c r="I35" s="82">
        <f t="shared" si="23"/>
        <v>2</v>
      </c>
      <c r="J35" s="82">
        <f t="shared" si="23"/>
        <v>2</v>
      </c>
      <c r="K35" s="82">
        <f t="shared" si="23"/>
        <v>2</v>
      </c>
      <c r="L35" s="82">
        <f t="shared" si="23"/>
        <v>2</v>
      </c>
      <c r="M35" s="82">
        <f t="shared" si="23"/>
        <v>2</v>
      </c>
    </row>
    <row r="36">
      <c r="A36" s="80" t="s">
        <v>132</v>
      </c>
      <c r="B36" s="75"/>
      <c r="C36" s="84">
        <v>1.0</v>
      </c>
      <c r="D36" s="82">
        <f t="shared" ref="D36:M36" si="24">$C$36</f>
        <v>1</v>
      </c>
      <c r="E36" s="82">
        <f t="shared" si="24"/>
        <v>1</v>
      </c>
      <c r="F36" s="82">
        <f t="shared" si="24"/>
        <v>1</v>
      </c>
      <c r="G36" s="82">
        <f t="shared" si="24"/>
        <v>1</v>
      </c>
      <c r="H36" s="82">
        <f t="shared" si="24"/>
        <v>1</v>
      </c>
      <c r="I36" s="82">
        <f t="shared" si="24"/>
        <v>1</v>
      </c>
      <c r="J36" s="82">
        <f t="shared" si="24"/>
        <v>1</v>
      </c>
      <c r="K36" s="82">
        <f t="shared" si="24"/>
        <v>1</v>
      </c>
      <c r="L36" s="82">
        <f t="shared" si="24"/>
        <v>1</v>
      </c>
      <c r="M36" s="82">
        <f t="shared" si="24"/>
        <v>1</v>
      </c>
    </row>
    <row r="37">
      <c r="A37" s="80" t="s">
        <v>133</v>
      </c>
      <c r="B37" s="75"/>
      <c r="C37" s="84">
        <v>2.0</v>
      </c>
      <c r="D37" s="82">
        <f t="shared" ref="D37:F37" si="25">$C$37</f>
        <v>2</v>
      </c>
      <c r="E37" s="82">
        <f t="shared" si="25"/>
        <v>2</v>
      </c>
      <c r="F37" s="82">
        <f t="shared" si="25"/>
        <v>2</v>
      </c>
      <c r="G37" s="93">
        <v>3.0</v>
      </c>
      <c r="H37" s="93">
        <v>3.0</v>
      </c>
      <c r="I37" s="93">
        <v>3.0</v>
      </c>
      <c r="J37" s="93">
        <v>3.0</v>
      </c>
      <c r="K37" s="93">
        <v>4.0</v>
      </c>
      <c r="L37" s="93">
        <v>4.0</v>
      </c>
      <c r="M37" s="93">
        <v>4.0</v>
      </c>
    </row>
    <row r="38">
      <c r="A38" s="80" t="s">
        <v>134</v>
      </c>
      <c r="B38" s="75"/>
      <c r="C38" s="84">
        <v>5.0</v>
      </c>
      <c r="D38" s="82">
        <f>$C$38</f>
        <v>5</v>
      </c>
      <c r="E38" s="82">
        <v>5.0</v>
      </c>
      <c r="F38" s="82">
        <v>5.0</v>
      </c>
      <c r="G38" s="93">
        <v>6.0</v>
      </c>
      <c r="H38" s="93">
        <v>6.0</v>
      </c>
      <c r="I38" s="93">
        <v>6.0</v>
      </c>
      <c r="J38" s="93">
        <v>7.0</v>
      </c>
      <c r="K38" s="93">
        <v>7.0</v>
      </c>
      <c r="L38" s="93">
        <v>7.0</v>
      </c>
      <c r="M38" s="93">
        <v>8.0</v>
      </c>
    </row>
    <row r="39">
      <c r="A39" s="80" t="s">
        <v>135</v>
      </c>
      <c r="B39" s="75"/>
      <c r="C39" s="84">
        <v>2.0</v>
      </c>
      <c r="D39" s="82">
        <f t="shared" ref="D39:I39" si="26">$C$39</f>
        <v>2</v>
      </c>
      <c r="E39" s="82">
        <f t="shared" si="26"/>
        <v>2</v>
      </c>
      <c r="F39" s="82">
        <f t="shared" si="26"/>
        <v>2</v>
      </c>
      <c r="G39" s="93">
        <f t="shared" si="26"/>
        <v>2</v>
      </c>
      <c r="H39" s="93">
        <f t="shared" si="26"/>
        <v>2</v>
      </c>
      <c r="I39" s="93">
        <f t="shared" si="26"/>
        <v>2</v>
      </c>
      <c r="J39" s="93">
        <v>2.0</v>
      </c>
      <c r="K39" s="93">
        <v>3.0</v>
      </c>
      <c r="L39" s="93">
        <v>3.0</v>
      </c>
      <c r="M39" s="93">
        <v>3.0</v>
      </c>
    </row>
    <row r="40">
      <c r="A40" s="80" t="s">
        <v>129</v>
      </c>
      <c r="B40" s="75"/>
      <c r="C40" s="84">
        <v>2.0</v>
      </c>
      <c r="D40" s="82">
        <f>$C$40</f>
        <v>2</v>
      </c>
      <c r="E40" s="82">
        <v>4.0</v>
      </c>
      <c r="F40" s="82">
        <v>4.0</v>
      </c>
      <c r="G40" s="93">
        <v>6.0</v>
      </c>
      <c r="H40" s="93">
        <v>6.0</v>
      </c>
      <c r="I40" s="93">
        <v>6.0</v>
      </c>
      <c r="J40" s="93">
        <v>6.0</v>
      </c>
      <c r="K40" s="93">
        <v>6.0</v>
      </c>
      <c r="L40" s="93">
        <v>6.0</v>
      </c>
      <c r="M40" s="93">
        <v>6.0</v>
      </c>
    </row>
    <row r="41">
      <c r="A41" s="80" t="s">
        <v>136</v>
      </c>
      <c r="B41" s="83">
        <v>0.08</v>
      </c>
      <c r="C41" s="82">
        <f t="shared" ref="C41:M41" si="27">C26*$B$41</f>
        <v>-950400</v>
      </c>
      <c r="D41" s="82">
        <f t="shared" si="27"/>
        <v>-950400</v>
      </c>
      <c r="E41" s="82">
        <f t="shared" si="27"/>
        <v>-1046400</v>
      </c>
      <c r="F41" s="82">
        <f t="shared" si="27"/>
        <v>-1046400</v>
      </c>
      <c r="G41" s="82">
        <f t="shared" si="27"/>
        <v>-1243200</v>
      </c>
      <c r="H41" s="82">
        <f t="shared" si="27"/>
        <v>-1243200</v>
      </c>
      <c r="I41" s="82">
        <f t="shared" si="27"/>
        <v>-1243200</v>
      </c>
      <c r="J41" s="82">
        <f t="shared" si="27"/>
        <v>-1291200</v>
      </c>
      <c r="K41" s="82">
        <f t="shared" si="27"/>
        <v>-1372800</v>
      </c>
      <c r="L41" s="82">
        <f t="shared" si="27"/>
        <v>-1372800</v>
      </c>
      <c r="M41" s="82">
        <f t="shared" si="27"/>
        <v>-1420800</v>
      </c>
    </row>
    <row r="42">
      <c r="A42" s="80" t="s">
        <v>137</v>
      </c>
      <c r="B42" s="83">
        <v>0.035</v>
      </c>
      <c r="C42" s="82"/>
      <c r="D42" s="82">
        <f t="shared" ref="D42:M42" si="28">-D2*$B$42</f>
        <v>-2380000</v>
      </c>
      <c r="E42" s="82">
        <f t="shared" si="28"/>
        <v>-2856000</v>
      </c>
      <c r="F42" s="82">
        <f t="shared" si="28"/>
        <v>-3427200</v>
      </c>
      <c r="G42" s="82">
        <f t="shared" si="28"/>
        <v>-4112640</v>
      </c>
      <c r="H42" s="82">
        <f t="shared" si="28"/>
        <v>-4935168</v>
      </c>
      <c r="I42" s="82">
        <f t="shared" si="28"/>
        <v>-5922201.6</v>
      </c>
      <c r="J42" s="82">
        <f t="shared" si="28"/>
        <v>-7106641.92</v>
      </c>
      <c r="K42" s="82">
        <f t="shared" si="28"/>
        <v>-8527970.304</v>
      </c>
      <c r="L42" s="82">
        <f t="shared" si="28"/>
        <v>-10233564.36</v>
      </c>
      <c r="M42" s="82">
        <f t="shared" si="28"/>
        <v>-12280277.24</v>
      </c>
    </row>
    <row r="43">
      <c r="A43" s="80" t="s">
        <v>138</v>
      </c>
      <c r="B43" s="83">
        <v>0.02</v>
      </c>
      <c r="C43" s="82"/>
      <c r="D43" s="82">
        <f t="shared" ref="D43:M43" si="29">-D2*$B$43</f>
        <v>-1360000</v>
      </c>
      <c r="E43" s="82">
        <f t="shared" si="29"/>
        <v>-1632000</v>
      </c>
      <c r="F43" s="82">
        <f t="shared" si="29"/>
        <v>-1958400</v>
      </c>
      <c r="G43" s="82">
        <f t="shared" si="29"/>
        <v>-2350080</v>
      </c>
      <c r="H43" s="82">
        <f t="shared" si="29"/>
        <v>-2820096</v>
      </c>
      <c r="I43" s="82">
        <f t="shared" si="29"/>
        <v>-3384115.2</v>
      </c>
      <c r="J43" s="82">
        <f t="shared" si="29"/>
        <v>-4060938.24</v>
      </c>
      <c r="K43" s="82">
        <f t="shared" si="29"/>
        <v>-4873125.888</v>
      </c>
      <c r="L43" s="82">
        <f t="shared" si="29"/>
        <v>-5847751.066</v>
      </c>
      <c r="M43" s="82">
        <f t="shared" si="29"/>
        <v>-7017301.279</v>
      </c>
    </row>
    <row r="44">
      <c r="A44" s="80" t="s">
        <v>139</v>
      </c>
      <c r="B44" s="94">
        <v>0.015</v>
      </c>
      <c r="C44" s="82"/>
      <c r="D44" s="82">
        <f t="shared" ref="D44:M44" si="30">-D2*$B$44</f>
        <v>-1020000</v>
      </c>
      <c r="E44" s="82">
        <f t="shared" si="30"/>
        <v>-1224000</v>
      </c>
      <c r="F44" s="82">
        <f t="shared" si="30"/>
        <v>-1468800</v>
      </c>
      <c r="G44" s="82">
        <f t="shared" si="30"/>
        <v>-1762560</v>
      </c>
      <c r="H44" s="82">
        <f t="shared" si="30"/>
        <v>-2115072</v>
      </c>
      <c r="I44" s="82">
        <f t="shared" si="30"/>
        <v>-2538086.4</v>
      </c>
      <c r="J44" s="82">
        <f t="shared" si="30"/>
        <v>-3045703.68</v>
      </c>
      <c r="K44" s="82">
        <f t="shared" si="30"/>
        <v>-3654844.416</v>
      </c>
      <c r="L44" s="82">
        <f t="shared" si="30"/>
        <v>-4385813.299</v>
      </c>
      <c r="M44" s="82">
        <f t="shared" si="30"/>
        <v>-5262975.959</v>
      </c>
    </row>
    <row r="45">
      <c r="A45" s="80" t="s">
        <v>140</v>
      </c>
      <c r="B45" s="95">
        <v>0.005</v>
      </c>
      <c r="C45" s="82"/>
      <c r="D45" s="82">
        <f t="shared" ref="D45:M45" si="31">-D2*$B$45</f>
        <v>-340000</v>
      </c>
      <c r="E45" s="82">
        <f t="shared" si="31"/>
        <v>-408000</v>
      </c>
      <c r="F45" s="82">
        <f t="shared" si="31"/>
        <v>-489600</v>
      </c>
      <c r="G45" s="82">
        <f t="shared" si="31"/>
        <v>-587520</v>
      </c>
      <c r="H45" s="82">
        <f t="shared" si="31"/>
        <v>-705024</v>
      </c>
      <c r="I45" s="82">
        <f t="shared" si="31"/>
        <v>-846028.8</v>
      </c>
      <c r="J45" s="82">
        <f t="shared" si="31"/>
        <v>-1015234.56</v>
      </c>
      <c r="K45" s="82">
        <f t="shared" si="31"/>
        <v>-1218281.472</v>
      </c>
      <c r="L45" s="82">
        <f t="shared" si="31"/>
        <v>-1461937.766</v>
      </c>
      <c r="M45" s="82">
        <f t="shared" si="31"/>
        <v>-1754325.32</v>
      </c>
    </row>
    <row r="46">
      <c r="A46" s="80"/>
      <c r="B46" s="75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</row>
    <row r="47">
      <c r="A47" s="80"/>
      <c r="B47" s="75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</row>
    <row r="48">
      <c r="A48" s="80"/>
      <c r="B48" s="75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</row>
    <row r="49">
      <c r="A49" s="80"/>
      <c r="B49" s="75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</row>
    <row r="50">
      <c r="A50" s="80"/>
      <c r="B50" s="75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</row>
    <row r="51" ht="25.5" customHeight="1">
      <c r="A51" s="96" t="s">
        <v>141</v>
      </c>
      <c r="B51" s="87"/>
      <c r="C51" s="88"/>
      <c r="D51" s="88">
        <f t="shared" ref="D51:M51" si="32">D18+D21</f>
        <v>12109600</v>
      </c>
      <c r="E51" s="88">
        <f t="shared" si="32"/>
        <v>17001600</v>
      </c>
      <c r="F51" s="88">
        <f t="shared" si="32"/>
        <v>24427200</v>
      </c>
      <c r="G51" s="88">
        <f t="shared" si="32"/>
        <v>30681120</v>
      </c>
      <c r="H51" s="88">
        <f t="shared" si="32"/>
        <v>41373984</v>
      </c>
      <c r="I51" s="88">
        <f t="shared" si="32"/>
        <v>54205420.8</v>
      </c>
      <c r="J51" s="88">
        <f t="shared" si="32"/>
        <v>68955144.96</v>
      </c>
      <c r="K51" s="88">
        <f t="shared" si="32"/>
        <v>86330813.95</v>
      </c>
      <c r="L51" s="88">
        <f t="shared" si="32"/>
        <v>108503536.7</v>
      </c>
      <c r="M51" s="88">
        <f t="shared" si="32"/>
        <v>134462804.1</v>
      </c>
    </row>
    <row r="52">
      <c r="A52" s="97" t="s">
        <v>142</v>
      </c>
      <c r="B52" s="98"/>
      <c r="C52" s="98"/>
      <c r="D52" s="99">
        <f t="shared" ref="D52:M52" si="33">D51/D2</f>
        <v>0.1780823529</v>
      </c>
      <c r="E52" s="99">
        <f t="shared" si="33"/>
        <v>0.2083529412</v>
      </c>
      <c r="F52" s="99">
        <f t="shared" si="33"/>
        <v>0.2494607843</v>
      </c>
      <c r="G52" s="99">
        <f t="shared" si="33"/>
        <v>0.2611070261</v>
      </c>
      <c r="H52" s="99">
        <f t="shared" si="33"/>
        <v>0.2934225218</v>
      </c>
      <c r="I52" s="99">
        <f t="shared" si="33"/>
        <v>0.3203521015</v>
      </c>
      <c r="J52" s="99">
        <f t="shared" si="33"/>
        <v>0.3396020372</v>
      </c>
      <c r="K52" s="99">
        <f t="shared" si="33"/>
        <v>0.3543139083</v>
      </c>
      <c r="L52" s="99">
        <f t="shared" si="33"/>
        <v>0.3710949236</v>
      </c>
      <c r="M52" s="99">
        <f t="shared" si="33"/>
        <v>0.3832322391</v>
      </c>
    </row>
    <row r="53">
      <c r="A53" s="100" t="s">
        <v>43</v>
      </c>
      <c r="B53" s="75"/>
      <c r="C53" s="82"/>
      <c r="D53" s="82">
        <f t="shared" ref="D53:M53" si="34">D67</f>
        <v>-3066666.667</v>
      </c>
      <c r="E53" s="82">
        <f t="shared" si="34"/>
        <v>-3066666.667</v>
      </c>
      <c r="F53" s="82">
        <f t="shared" si="34"/>
        <v>-3066666.667</v>
      </c>
      <c r="G53" s="82">
        <f t="shared" si="34"/>
        <v>-3066666.667</v>
      </c>
      <c r="H53" s="82">
        <f t="shared" si="34"/>
        <v>-3066666.667</v>
      </c>
      <c r="I53" s="82">
        <f t="shared" si="34"/>
        <v>-3066666.667</v>
      </c>
      <c r="J53" s="82">
        <f t="shared" si="34"/>
        <v>-3066666.667</v>
      </c>
      <c r="K53" s="82">
        <f t="shared" si="34"/>
        <v>-3066666.667</v>
      </c>
      <c r="L53" s="82">
        <f t="shared" si="34"/>
        <v>-3066666.667</v>
      </c>
      <c r="M53" s="82">
        <f t="shared" si="34"/>
        <v>-3066666.667</v>
      </c>
    </row>
    <row r="54">
      <c r="A54" s="100" t="s">
        <v>143</v>
      </c>
      <c r="B54" s="75"/>
      <c r="C54" s="82"/>
      <c r="D54" s="82">
        <f t="shared" ref="D54:M54" si="35">D88</f>
        <v>0</v>
      </c>
      <c r="E54" s="82">
        <f t="shared" si="35"/>
        <v>0</v>
      </c>
      <c r="F54" s="82">
        <f t="shared" si="35"/>
        <v>0</v>
      </c>
      <c r="G54" s="82">
        <f t="shared" si="35"/>
        <v>0</v>
      </c>
      <c r="H54" s="82">
        <f t="shared" si="35"/>
        <v>0</v>
      </c>
      <c r="I54" s="82">
        <f t="shared" si="35"/>
        <v>0</v>
      </c>
      <c r="J54" s="82">
        <f t="shared" si="35"/>
        <v>0</v>
      </c>
      <c r="K54" s="82">
        <f t="shared" si="35"/>
        <v>0</v>
      </c>
      <c r="L54" s="82">
        <f t="shared" si="35"/>
        <v>0</v>
      </c>
      <c r="M54" s="82">
        <f t="shared" si="35"/>
        <v>0</v>
      </c>
    </row>
    <row r="55">
      <c r="A55" s="100" t="s">
        <v>144</v>
      </c>
      <c r="B55" s="75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</row>
    <row r="56">
      <c r="A56" s="100" t="s">
        <v>145</v>
      </c>
      <c r="B56" s="83">
        <v>0.06</v>
      </c>
      <c r="C56" s="82"/>
      <c r="D56" s="82">
        <f t="shared" ref="D56:M56" si="36">-D2*$B$56</f>
        <v>-4080000</v>
      </c>
      <c r="E56" s="82">
        <f t="shared" si="36"/>
        <v>-4896000</v>
      </c>
      <c r="F56" s="82">
        <f t="shared" si="36"/>
        <v>-5875200</v>
      </c>
      <c r="G56" s="82">
        <f t="shared" si="36"/>
        <v>-7050240</v>
      </c>
      <c r="H56" s="82">
        <f t="shared" si="36"/>
        <v>-8460288</v>
      </c>
      <c r="I56" s="82">
        <f t="shared" si="36"/>
        <v>-10152345.6</v>
      </c>
      <c r="J56" s="82">
        <f t="shared" si="36"/>
        <v>-12182814.72</v>
      </c>
      <c r="K56" s="82">
        <f t="shared" si="36"/>
        <v>-14619377.66</v>
      </c>
      <c r="L56" s="82">
        <f t="shared" si="36"/>
        <v>-17543253.2</v>
      </c>
      <c r="M56" s="82">
        <f t="shared" si="36"/>
        <v>-21051903.84</v>
      </c>
    </row>
    <row r="57" ht="24.75" customHeight="1">
      <c r="A57" s="89" t="s">
        <v>46</v>
      </c>
      <c r="B57" s="78"/>
      <c r="C57" s="79"/>
      <c r="D57" s="79">
        <f t="shared" ref="D57:M57" si="37">D51+D53+D54+D56</f>
        <v>4962933.333</v>
      </c>
      <c r="E57" s="79">
        <f t="shared" si="37"/>
        <v>9038933.333</v>
      </c>
      <c r="F57" s="79">
        <f t="shared" si="37"/>
        <v>15485333.33</v>
      </c>
      <c r="G57" s="79">
        <f t="shared" si="37"/>
        <v>20564213.33</v>
      </c>
      <c r="H57" s="79">
        <f t="shared" si="37"/>
        <v>29847029.33</v>
      </c>
      <c r="I57" s="79">
        <f t="shared" si="37"/>
        <v>40986408.53</v>
      </c>
      <c r="J57" s="79">
        <f t="shared" si="37"/>
        <v>53705663.57</v>
      </c>
      <c r="K57" s="79">
        <f t="shared" si="37"/>
        <v>68644769.62</v>
      </c>
      <c r="L57" s="79">
        <f t="shared" si="37"/>
        <v>87893616.88</v>
      </c>
      <c r="M57" s="79">
        <f t="shared" si="37"/>
        <v>110344233.6</v>
      </c>
    </row>
    <row r="58">
      <c r="A58" s="101" t="s">
        <v>146</v>
      </c>
      <c r="B58" s="75"/>
      <c r="C58" s="82"/>
      <c r="D58" s="82">
        <f t="shared" ref="D58:M58" si="38">D57/D2</f>
        <v>0.07298431373</v>
      </c>
      <c r="E58" s="82">
        <f t="shared" si="38"/>
        <v>0.1107712418</v>
      </c>
      <c r="F58" s="82">
        <f t="shared" si="38"/>
        <v>0.1581427015</v>
      </c>
      <c r="G58" s="82">
        <f t="shared" si="38"/>
        <v>0.1750086238</v>
      </c>
      <c r="H58" s="82">
        <f t="shared" si="38"/>
        <v>0.2116738532</v>
      </c>
      <c r="I58" s="82">
        <f t="shared" si="38"/>
        <v>0.242228211</v>
      </c>
      <c r="J58" s="82">
        <f t="shared" si="38"/>
        <v>0.2644987951</v>
      </c>
      <c r="K58" s="82">
        <f t="shared" si="38"/>
        <v>0.2817278732</v>
      </c>
      <c r="L58" s="82">
        <f t="shared" si="38"/>
        <v>0.300606561</v>
      </c>
      <c r="M58" s="82">
        <f t="shared" si="38"/>
        <v>0.314491937</v>
      </c>
    </row>
    <row r="59" ht="25.5" customHeight="1">
      <c r="A59" s="86" t="s">
        <v>46</v>
      </c>
      <c r="B59" s="87"/>
      <c r="C59" s="88"/>
      <c r="D59" s="88">
        <f t="shared" ref="D59:M59" si="39">C59+D57</f>
        <v>4962933.333</v>
      </c>
      <c r="E59" s="88">
        <f t="shared" si="39"/>
        <v>14001866.67</v>
      </c>
      <c r="F59" s="88">
        <f t="shared" si="39"/>
        <v>29487200</v>
      </c>
      <c r="G59" s="88">
        <f t="shared" si="39"/>
        <v>50051413.33</v>
      </c>
      <c r="H59" s="88">
        <f t="shared" si="39"/>
        <v>79898442.67</v>
      </c>
      <c r="I59" s="88">
        <f t="shared" si="39"/>
        <v>120884851.2</v>
      </c>
      <c r="J59" s="88">
        <f t="shared" si="39"/>
        <v>174590514.8</v>
      </c>
      <c r="K59" s="88">
        <f t="shared" si="39"/>
        <v>243235284.4</v>
      </c>
      <c r="L59" s="88">
        <f t="shared" si="39"/>
        <v>331128901.3</v>
      </c>
      <c r="M59" s="88">
        <f t="shared" si="39"/>
        <v>441473134.9</v>
      </c>
    </row>
    <row r="60" ht="18.75" customHeight="1">
      <c r="A60" s="80"/>
      <c r="B60" s="75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</row>
    <row r="61" ht="25.5" customHeight="1">
      <c r="A61" s="86" t="s">
        <v>147</v>
      </c>
      <c r="B61" s="87"/>
      <c r="C61" s="88">
        <f t="shared" ref="C61:M61" si="40">SUM(C62:C66)</f>
        <v>-56500000</v>
      </c>
      <c r="D61" s="88">
        <f t="shared" si="40"/>
        <v>0</v>
      </c>
      <c r="E61" s="88">
        <f t="shared" si="40"/>
        <v>0</v>
      </c>
      <c r="F61" s="88">
        <f t="shared" si="40"/>
        <v>0</v>
      </c>
      <c r="G61" s="88">
        <f t="shared" si="40"/>
        <v>0</v>
      </c>
      <c r="H61" s="88">
        <f t="shared" si="40"/>
        <v>0</v>
      </c>
      <c r="I61" s="88">
        <f t="shared" si="40"/>
        <v>0</v>
      </c>
      <c r="J61" s="88">
        <f t="shared" si="40"/>
        <v>0</v>
      </c>
      <c r="K61" s="88">
        <f t="shared" si="40"/>
        <v>0</v>
      </c>
      <c r="L61" s="88">
        <f t="shared" si="40"/>
        <v>0</v>
      </c>
      <c r="M61" s="88">
        <f t="shared" si="40"/>
        <v>0</v>
      </c>
    </row>
    <row r="62">
      <c r="A62" s="100" t="s">
        <v>148</v>
      </c>
      <c r="B62" s="75"/>
      <c r="C62" s="82">
        <v>-3.0E7</v>
      </c>
      <c r="D62" s="82"/>
      <c r="E62" s="82"/>
      <c r="F62" s="82"/>
      <c r="G62" s="82"/>
      <c r="H62" s="82"/>
      <c r="I62" s="82"/>
      <c r="J62" s="82"/>
      <c r="K62" s="82"/>
      <c r="L62" s="82"/>
      <c r="M62" s="82"/>
    </row>
    <row r="63">
      <c r="A63" s="80" t="s">
        <v>149</v>
      </c>
      <c r="B63" s="75"/>
      <c r="C63" s="82">
        <v>-1.5E7</v>
      </c>
      <c r="D63" s="82"/>
      <c r="E63" s="82"/>
      <c r="F63" s="82"/>
      <c r="G63" s="82"/>
      <c r="H63" s="82"/>
      <c r="I63" s="82"/>
      <c r="J63" s="82"/>
      <c r="K63" s="82"/>
      <c r="L63" s="82"/>
      <c r="M63" s="82"/>
    </row>
    <row r="64">
      <c r="A64" s="80" t="s">
        <v>150</v>
      </c>
      <c r="B64" s="75"/>
      <c r="C64" s="82">
        <v>-1000000.0</v>
      </c>
      <c r="D64" s="82"/>
      <c r="E64" s="82"/>
      <c r="F64" s="82"/>
      <c r="G64" s="82"/>
      <c r="H64" s="82"/>
      <c r="I64" s="82"/>
      <c r="J64" s="82"/>
      <c r="K64" s="82"/>
      <c r="L64" s="82"/>
      <c r="M64" s="82"/>
    </row>
    <row r="65">
      <c r="A65" s="80" t="s">
        <v>151</v>
      </c>
      <c r="B65" s="75"/>
      <c r="C65" s="82">
        <v>-1.0E7</v>
      </c>
      <c r="D65" s="82"/>
      <c r="E65" s="82"/>
      <c r="F65" s="82"/>
      <c r="G65" s="82"/>
      <c r="H65" s="82"/>
      <c r="I65" s="82"/>
      <c r="J65" s="82"/>
      <c r="K65" s="82"/>
      <c r="L65" s="82"/>
      <c r="M65" s="82"/>
    </row>
    <row r="66">
      <c r="A66" s="80" t="s">
        <v>152</v>
      </c>
      <c r="B66" s="75"/>
      <c r="C66" s="82">
        <v>-500000.0</v>
      </c>
      <c r="D66" s="82"/>
      <c r="E66" s="82"/>
      <c r="F66" s="82"/>
      <c r="G66" s="82"/>
      <c r="H66" s="82"/>
      <c r="I66" s="82"/>
      <c r="J66" s="82"/>
      <c r="K66" s="82"/>
      <c r="L66" s="82"/>
      <c r="M66" s="82"/>
    </row>
    <row r="67">
      <c r="A67" s="102" t="s">
        <v>43</v>
      </c>
      <c r="B67" s="75"/>
      <c r="C67" s="103"/>
      <c r="D67" s="82">
        <f t="shared" ref="D67:M67" si="41">SUM($C$62:$C$64)/D68</f>
        <v>-3066666.667</v>
      </c>
      <c r="E67" s="82">
        <f t="shared" si="41"/>
        <v>-3066666.667</v>
      </c>
      <c r="F67" s="82">
        <f t="shared" si="41"/>
        <v>-3066666.667</v>
      </c>
      <c r="G67" s="82">
        <f t="shared" si="41"/>
        <v>-3066666.667</v>
      </c>
      <c r="H67" s="82">
        <f t="shared" si="41"/>
        <v>-3066666.667</v>
      </c>
      <c r="I67" s="82">
        <f t="shared" si="41"/>
        <v>-3066666.667</v>
      </c>
      <c r="J67" s="82">
        <f t="shared" si="41"/>
        <v>-3066666.667</v>
      </c>
      <c r="K67" s="82">
        <f t="shared" si="41"/>
        <v>-3066666.667</v>
      </c>
      <c r="L67" s="82">
        <f t="shared" si="41"/>
        <v>-3066666.667</v>
      </c>
      <c r="M67" s="82">
        <f t="shared" si="41"/>
        <v>-3066666.667</v>
      </c>
    </row>
    <row r="68">
      <c r="A68" s="102" t="s">
        <v>153</v>
      </c>
      <c r="B68" s="104">
        <v>15.0</v>
      </c>
      <c r="C68" s="82"/>
      <c r="D68" s="82">
        <f t="shared" ref="D68:M68" si="42">$B68</f>
        <v>15</v>
      </c>
      <c r="E68" s="82">
        <f t="shared" si="42"/>
        <v>15</v>
      </c>
      <c r="F68" s="82">
        <f t="shared" si="42"/>
        <v>15</v>
      </c>
      <c r="G68" s="82">
        <f t="shared" si="42"/>
        <v>15</v>
      </c>
      <c r="H68" s="82">
        <f t="shared" si="42"/>
        <v>15</v>
      </c>
      <c r="I68" s="82">
        <f t="shared" si="42"/>
        <v>15</v>
      </c>
      <c r="J68" s="82">
        <f t="shared" si="42"/>
        <v>15</v>
      </c>
      <c r="K68" s="82">
        <f t="shared" si="42"/>
        <v>15</v>
      </c>
      <c r="L68" s="82">
        <f t="shared" si="42"/>
        <v>15</v>
      </c>
      <c r="M68" s="82">
        <f t="shared" si="42"/>
        <v>15</v>
      </c>
    </row>
    <row r="69">
      <c r="A69" s="80"/>
      <c r="B69" s="75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</row>
    <row r="70">
      <c r="A70" s="80"/>
      <c r="B70" s="75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</row>
    <row r="71" ht="24.75" customHeight="1">
      <c r="A71" s="89" t="s">
        <v>154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</row>
    <row r="72">
      <c r="A72" s="105" t="s">
        <v>155</v>
      </c>
      <c r="B72" s="76"/>
      <c r="C72" s="106">
        <f t="shared" ref="C72:M72" si="43">B76</f>
        <v>0</v>
      </c>
      <c r="D72" s="106">
        <f t="shared" si="43"/>
        <v>-50500000</v>
      </c>
      <c r="E72" s="106">
        <f t="shared" si="43"/>
        <v>-42470400</v>
      </c>
      <c r="F72" s="106">
        <f t="shared" si="43"/>
        <v>-30364800</v>
      </c>
      <c r="G72" s="106">
        <f t="shared" si="43"/>
        <v>-11812800</v>
      </c>
      <c r="H72" s="106">
        <f t="shared" si="43"/>
        <v>11818080</v>
      </c>
      <c r="I72" s="106">
        <f t="shared" si="43"/>
        <v>44731776</v>
      </c>
      <c r="J72" s="106">
        <f t="shared" si="43"/>
        <v>88784851.2</v>
      </c>
      <c r="K72" s="106">
        <f t="shared" si="43"/>
        <v>145557181.4</v>
      </c>
      <c r="L72" s="106">
        <f t="shared" si="43"/>
        <v>217268617.7</v>
      </c>
      <c r="M72" s="106">
        <f t="shared" si="43"/>
        <v>308228901.3</v>
      </c>
    </row>
    <row r="73">
      <c r="A73" s="102" t="s">
        <v>156</v>
      </c>
      <c r="B73" s="75"/>
      <c r="C73" s="82"/>
      <c r="D73" s="82">
        <f t="shared" ref="D73:M73" si="44">D51+D56</f>
        <v>8029600</v>
      </c>
      <c r="E73" s="82">
        <f t="shared" si="44"/>
        <v>12105600</v>
      </c>
      <c r="F73" s="82">
        <f t="shared" si="44"/>
        <v>18552000</v>
      </c>
      <c r="G73" s="82">
        <f t="shared" si="44"/>
        <v>23630880</v>
      </c>
      <c r="H73" s="82">
        <f t="shared" si="44"/>
        <v>32913696</v>
      </c>
      <c r="I73" s="82">
        <f t="shared" si="44"/>
        <v>44053075.2</v>
      </c>
      <c r="J73" s="82">
        <f t="shared" si="44"/>
        <v>56772330.24</v>
      </c>
      <c r="K73" s="82">
        <f t="shared" si="44"/>
        <v>71711436.29</v>
      </c>
      <c r="L73" s="82">
        <f t="shared" si="44"/>
        <v>90960283.55</v>
      </c>
      <c r="M73" s="82">
        <f t="shared" si="44"/>
        <v>113410900.3</v>
      </c>
    </row>
    <row r="74">
      <c r="A74" s="102" t="s">
        <v>157</v>
      </c>
      <c r="B74" s="75"/>
      <c r="C74" s="82">
        <f t="shared" ref="C74:M74" si="45">C61</f>
        <v>-56500000</v>
      </c>
      <c r="D74" s="82">
        <f t="shared" si="45"/>
        <v>0</v>
      </c>
      <c r="E74" s="82">
        <f t="shared" si="45"/>
        <v>0</v>
      </c>
      <c r="F74" s="82">
        <f t="shared" si="45"/>
        <v>0</v>
      </c>
      <c r="G74" s="82">
        <f t="shared" si="45"/>
        <v>0</v>
      </c>
      <c r="H74" s="82">
        <f t="shared" si="45"/>
        <v>0</v>
      </c>
      <c r="I74" s="82">
        <f t="shared" si="45"/>
        <v>0</v>
      </c>
      <c r="J74" s="82">
        <f t="shared" si="45"/>
        <v>0</v>
      </c>
      <c r="K74" s="82">
        <f t="shared" si="45"/>
        <v>0</v>
      </c>
      <c r="L74" s="82">
        <f t="shared" si="45"/>
        <v>0</v>
      </c>
      <c r="M74" s="82">
        <f t="shared" si="45"/>
        <v>0</v>
      </c>
    </row>
    <row r="75">
      <c r="A75" s="102" t="s">
        <v>158</v>
      </c>
      <c r="B75" s="75"/>
      <c r="C75" s="82">
        <f t="shared" ref="C75:M75" si="46">C81+C82+C85+C86+C88</f>
        <v>6000000</v>
      </c>
      <c r="D75" s="82">
        <f t="shared" si="46"/>
        <v>0</v>
      </c>
      <c r="E75" s="82">
        <f t="shared" si="46"/>
        <v>0</v>
      </c>
      <c r="F75" s="82">
        <f t="shared" si="46"/>
        <v>0</v>
      </c>
      <c r="G75" s="82">
        <f t="shared" si="46"/>
        <v>0</v>
      </c>
      <c r="H75" s="82">
        <f t="shared" si="46"/>
        <v>0</v>
      </c>
      <c r="I75" s="82">
        <f t="shared" si="46"/>
        <v>0</v>
      </c>
      <c r="J75" s="82">
        <f t="shared" si="46"/>
        <v>0</v>
      </c>
      <c r="K75" s="82">
        <f t="shared" si="46"/>
        <v>0</v>
      </c>
      <c r="L75" s="82">
        <f t="shared" si="46"/>
        <v>0</v>
      </c>
      <c r="M75" s="82">
        <f t="shared" si="46"/>
        <v>0</v>
      </c>
    </row>
    <row r="76">
      <c r="A76" s="107" t="s">
        <v>159</v>
      </c>
      <c r="B76" s="76">
        <v>0.0</v>
      </c>
      <c r="C76" s="106">
        <f t="shared" ref="C76:M76" si="47">SUM(C72:C75)</f>
        <v>-50500000</v>
      </c>
      <c r="D76" s="106">
        <f t="shared" si="47"/>
        <v>-42470400</v>
      </c>
      <c r="E76" s="106">
        <f t="shared" si="47"/>
        <v>-30364800</v>
      </c>
      <c r="F76" s="106">
        <f t="shared" si="47"/>
        <v>-11812800</v>
      </c>
      <c r="G76" s="106">
        <f t="shared" si="47"/>
        <v>11818080</v>
      </c>
      <c r="H76" s="106">
        <f t="shared" si="47"/>
        <v>44731776</v>
      </c>
      <c r="I76" s="106">
        <f t="shared" si="47"/>
        <v>88784851.2</v>
      </c>
      <c r="J76" s="106">
        <f t="shared" si="47"/>
        <v>145557181.4</v>
      </c>
      <c r="K76" s="106">
        <f t="shared" si="47"/>
        <v>217268617.7</v>
      </c>
      <c r="L76" s="106">
        <f t="shared" si="47"/>
        <v>308228901.3</v>
      </c>
      <c r="M76" s="106">
        <f t="shared" si="47"/>
        <v>421639801.5</v>
      </c>
    </row>
    <row r="77">
      <c r="A77" s="102" t="s">
        <v>160</v>
      </c>
      <c r="B77" s="75"/>
      <c r="C77" s="82">
        <f>SUM(D77:M77)</f>
        <v>3</v>
      </c>
      <c r="D77" s="108">
        <f t="shared" ref="D77:M77" si="48">IF(D76&lt;0,1,0)</f>
        <v>1</v>
      </c>
      <c r="E77" s="108">
        <f t="shared" si="48"/>
        <v>1</v>
      </c>
      <c r="F77" s="108">
        <f t="shared" si="48"/>
        <v>1</v>
      </c>
      <c r="G77" s="108">
        <f t="shared" si="48"/>
        <v>0</v>
      </c>
      <c r="H77" s="108">
        <f t="shared" si="48"/>
        <v>0</v>
      </c>
      <c r="I77" s="108">
        <f t="shared" si="48"/>
        <v>0</v>
      </c>
      <c r="J77" s="108">
        <f t="shared" si="48"/>
        <v>0</v>
      </c>
      <c r="K77" s="108">
        <f t="shared" si="48"/>
        <v>0</v>
      </c>
      <c r="L77" s="108">
        <f t="shared" si="48"/>
        <v>0</v>
      </c>
      <c r="M77" s="108">
        <f t="shared" si="48"/>
        <v>0</v>
      </c>
    </row>
    <row r="78">
      <c r="A78" s="80"/>
      <c r="B78" s="75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</row>
    <row r="79">
      <c r="A79" s="80"/>
      <c r="B79" s="75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</row>
    <row r="80" ht="24.75" customHeight="1">
      <c r="A80" s="89" t="s">
        <v>161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</row>
    <row r="81">
      <c r="A81" s="102" t="s">
        <v>162</v>
      </c>
      <c r="B81" s="109"/>
      <c r="C81" s="110">
        <v>6000000.0</v>
      </c>
      <c r="D81" s="110"/>
      <c r="E81" s="110"/>
      <c r="F81" s="110"/>
      <c r="G81" s="110"/>
      <c r="H81" s="110"/>
      <c r="I81" s="110"/>
      <c r="J81" s="110"/>
      <c r="K81" s="110"/>
      <c r="L81" s="110"/>
      <c r="M81" s="110"/>
    </row>
    <row r="82">
      <c r="A82" s="102" t="s">
        <v>163</v>
      </c>
      <c r="B82" s="109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</row>
    <row r="83">
      <c r="A83" s="102" t="s">
        <v>164</v>
      </c>
      <c r="B83" s="75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</row>
    <row r="84">
      <c r="A84" s="111" t="s">
        <v>165</v>
      </c>
      <c r="B84" s="76"/>
      <c r="C84" s="106">
        <f t="shared" ref="C84:M84" si="49">B87</f>
        <v>0</v>
      </c>
      <c r="D84" s="106">
        <f t="shared" si="49"/>
        <v>0</v>
      </c>
      <c r="E84" s="106">
        <f t="shared" si="49"/>
        <v>0</v>
      </c>
      <c r="F84" s="106">
        <f t="shared" si="49"/>
        <v>0</v>
      </c>
      <c r="G84" s="106">
        <f t="shared" si="49"/>
        <v>0</v>
      </c>
      <c r="H84" s="106">
        <f t="shared" si="49"/>
        <v>0</v>
      </c>
      <c r="I84" s="106">
        <f t="shared" si="49"/>
        <v>0</v>
      </c>
      <c r="J84" s="106">
        <f t="shared" si="49"/>
        <v>0</v>
      </c>
      <c r="K84" s="106">
        <f t="shared" si="49"/>
        <v>0</v>
      </c>
      <c r="L84" s="106">
        <f t="shared" si="49"/>
        <v>0</v>
      </c>
      <c r="M84" s="106">
        <f t="shared" si="49"/>
        <v>0</v>
      </c>
    </row>
    <row r="85">
      <c r="A85" s="102" t="s">
        <v>166</v>
      </c>
      <c r="B85" s="75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</row>
    <row r="86">
      <c r="A86" s="102" t="s">
        <v>167</v>
      </c>
      <c r="B86" s="109">
        <v>5.0</v>
      </c>
      <c r="C86" s="82"/>
      <c r="D86" s="82">
        <f t="shared" ref="D86:H86" si="50">-$C85/$B86</f>
        <v>0</v>
      </c>
      <c r="E86" s="82">
        <f t="shared" si="50"/>
        <v>0</v>
      </c>
      <c r="F86" s="82">
        <f t="shared" si="50"/>
        <v>0</v>
      </c>
      <c r="G86" s="82">
        <f t="shared" si="50"/>
        <v>0</v>
      </c>
      <c r="H86" s="82">
        <f t="shared" si="50"/>
        <v>0</v>
      </c>
      <c r="I86" s="82"/>
      <c r="J86" s="82"/>
      <c r="K86" s="82"/>
      <c r="L86" s="82"/>
      <c r="M86" s="82"/>
    </row>
    <row r="87">
      <c r="A87" s="111" t="s">
        <v>168</v>
      </c>
      <c r="B87" s="76">
        <v>0.0</v>
      </c>
      <c r="C87" s="106">
        <f t="shared" ref="C87:M87" si="51">SUM(C84:C86)</f>
        <v>0</v>
      </c>
      <c r="D87" s="106">
        <f t="shared" si="51"/>
        <v>0</v>
      </c>
      <c r="E87" s="106">
        <f t="shared" si="51"/>
        <v>0</v>
      </c>
      <c r="F87" s="106">
        <f t="shared" si="51"/>
        <v>0</v>
      </c>
      <c r="G87" s="106">
        <f t="shared" si="51"/>
        <v>0</v>
      </c>
      <c r="H87" s="106">
        <f t="shared" si="51"/>
        <v>0</v>
      </c>
      <c r="I87" s="106">
        <f t="shared" si="51"/>
        <v>0</v>
      </c>
      <c r="J87" s="106">
        <f t="shared" si="51"/>
        <v>0</v>
      </c>
      <c r="K87" s="106">
        <f t="shared" si="51"/>
        <v>0</v>
      </c>
      <c r="L87" s="106">
        <f t="shared" si="51"/>
        <v>0</v>
      </c>
      <c r="M87" s="106">
        <f t="shared" si="51"/>
        <v>0</v>
      </c>
    </row>
    <row r="88">
      <c r="A88" s="102" t="s">
        <v>169</v>
      </c>
      <c r="B88" s="112">
        <v>0.1</v>
      </c>
      <c r="C88" s="82"/>
      <c r="D88" s="113">
        <f t="shared" ref="D88:M88" si="52">-D84*$B$88</f>
        <v>0</v>
      </c>
      <c r="E88" s="113">
        <f t="shared" si="52"/>
        <v>0</v>
      </c>
      <c r="F88" s="113">
        <f t="shared" si="52"/>
        <v>0</v>
      </c>
      <c r="G88" s="113">
        <f t="shared" si="52"/>
        <v>0</v>
      </c>
      <c r="H88" s="113">
        <f t="shared" si="52"/>
        <v>0</v>
      </c>
      <c r="I88" s="113">
        <f t="shared" si="52"/>
        <v>0</v>
      </c>
      <c r="J88" s="113">
        <f t="shared" si="52"/>
        <v>0</v>
      </c>
      <c r="K88" s="113">
        <f t="shared" si="52"/>
        <v>0</v>
      </c>
      <c r="L88" s="113">
        <f t="shared" si="52"/>
        <v>0</v>
      </c>
      <c r="M88" s="113">
        <f t="shared" si="52"/>
        <v>0</v>
      </c>
    </row>
    <row r="89">
      <c r="A89" s="80"/>
      <c r="B89" s="75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</row>
    <row r="90">
      <c r="A90" s="80"/>
      <c r="B90" s="75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</row>
    <row r="91">
      <c r="A91" s="102" t="s">
        <v>170</v>
      </c>
      <c r="B91" s="75"/>
      <c r="C91" s="82">
        <f t="shared" ref="C91:M91" si="53">C73+C74</f>
        <v>-56500000</v>
      </c>
      <c r="D91" s="82">
        <f t="shared" si="53"/>
        <v>8029600</v>
      </c>
      <c r="E91" s="82">
        <f t="shared" si="53"/>
        <v>12105600</v>
      </c>
      <c r="F91" s="82">
        <f t="shared" si="53"/>
        <v>18552000</v>
      </c>
      <c r="G91" s="82">
        <f t="shared" si="53"/>
        <v>23630880</v>
      </c>
      <c r="H91" s="82">
        <f t="shared" si="53"/>
        <v>32913696</v>
      </c>
      <c r="I91" s="82">
        <f t="shared" si="53"/>
        <v>44053075.2</v>
      </c>
      <c r="J91" s="82">
        <f t="shared" si="53"/>
        <v>56772330.24</v>
      </c>
      <c r="K91" s="82">
        <f t="shared" si="53"/>
        <v>71711436.29</v>
      </c>
      <c r="L91" s="82">
        <f t="shared" si="53"/>
        <v>90960283.55</v>
      </c>
      <c r="M91" s="82">
        <f t="shared" si="53"/>
        <v>113410900.3</v>
      </c>
    </row>
    <row r="92">
      <c r="A92" s="102" t="s">
        <v>171</v>
      </c>
      <c r="B92" s="75"/>
      <c r="C92" s="82">
        <f t="shared" ref="C92:M92" si="54">B92+C91</f>
        <v>-56500000</v>
      </c>
      <c r="D92" s="82">
        <f t="shared" si="54"/>
        <v>-48470400</v>
      </c>
      <c r="E92" s="82">
        <f t="shared" si="54"/>
        <v>-36364800</v>
      </c>
      <c r="F92" s="82">
        <f t="shared" si="54"/>
        <v>-17812800</v>
      </c>
      <c r="G92" s="82">
        <f t="shared" si="54"/>
        <v>5818080</v>
      </c>
      <c r="H92" s="82">
        <f t="shared" si="54"/>
        <v>38731776</v>
      </c>
      <c r="I92" s="82">
        <f t="shared" si="54"/>
        <v>82784851.2</v>
      </c>
      <c r="J92" s="82">
        <f t="shared" si="54"/>
        <v>139557181.4</v>
      </c>
      <c r="K92" s="82">
        <f t="shared" si="54"/>
        <v>211268617.7</v>
      </c>
      <c r="L92" s="82">
        <f t="shared" si="54"/>
        <v>302228901.3</v>
      </c>
      <c r="M92" s="82">
        <f t="shared" si="54"/>
        <v>415639801.5</v>
      </c>
    </row>
    <row r="93">
      <c r="A93" s="80"/>
      <c r="B93" s="75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</row>
    <row r="94">
      <c r="A94" s="80"/>
      <c r="B94" s="75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</row>
    <row r="95" ht="24.75" customHeight="1">
      <c r="A95" s="114" t="s">
        <v>172</v>
      </c>
      <c r="B95" s="115"/>
      <c r="C95" s="79">
        <f>C91/(1+$B$101)^C1</f>
        <v>-56500000</v>
      </c>
      <c r="D95" s="79">
        <f t="shared" ref="D95:M95" si="55">D91-D91*$B$101</f>
        <v>7226640</v>
      </c>
      <c r="E95" s="79">
        <f t="shared" si="55"/>
        <v>10895040</v>
      </c>
      <c r="F95" s="79">
        <f t="shared" si="55"/>
        <v>16696800</v>
      </c>
      <c r="G95" s="79">
        <f t="shared" si="55"/>
        <v>21267792</v>
      </c>
      <c r="H95" s="79">
        <f t="shared" si="55"/>
        <v>29622326.4</v>
      </c>
      <c r="I95" s="79">
        <f t="shared" si="55"/>
        <v>39647767.68</v>
      </c>
      <c r="J95" s="79">
        <f t="shared" si="55"/>
        <v>51095097.22</v>
      </c>
      <c r="K95" s="79">
        <f t="shared" si="55"/>
        <v>64540292.66</v>
      </c>
      <c r="L95" s="79">
        <f t="shared" si="55"/>
        <v>81864255.19</v>
      </c>
      <c r="M95" s="79">
        <f t="shared" si="55"/>
        <v>102069810.2</v>
      </c>
    </row>
    <row r="96">
      <c r="A96" s="80" t="s">
        <v>173</v>
      </c>
      <c r="B96" s="75"/>
      <c r="C96" s="82">
        <f t="shared" ref="C96:M96" si="56">B96+C95</f>
        <v>-56500000</v>
      </c>
      <c r="D96" s="82">
        <f t="shared" si="56"/>
        <v>-49273360</v>
      </c>
      <c r="E96" s="82">
        <f t="shared" si="56"/>
        <v>-38378320</v>
      </c>
      <c r="F96" s="82">
        <f t="shared" si="56"/>
        <v>-21681520</v>
      </c>
      <c r="G96" s="82">
        <f t="shared" si="56"/>
        <v>-413728</v>
      </c>
      <c r="H96" s="82">
        <f t="shared" si="56"/>
        <v>29208598.4</v>
      </c>
      <c r="I96" s="82">
        <f t="shared" si="56"/>
        <v>68856366.08</v>
      </c>
      <c r="J96" s="82">
        <f t="shared" si="56"/>
        <v>119951463.3</v>
      </c>
      <c r="K96" s="82">
        <f t="shared" si="56"/>
        <v>184491756</v>
      </c>
      <c r="L96" s="82">
        <f t="shared" si="56"/>
        <v>266356011.1</v>
      </c>
      <c r="M96" s="82">
        <f t="shared" si="56"/>
        <v>368425821.4</v>
      </c>
    </row>
    <row r="97">
      <c r="A97" s="80"/>
      <c r="B97" s="75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</row>
    <row r="98">
      <c r="A98" s="116" t="s">
        <v>174</v>
      </c>
      <c r="B98" s="117" t="str">
        <f>Y96</f>
        <v/>
      </c>
      <c r="C98" s="82">
        <f>M96</f>
        <v>368425821.4</v>
      </c>
      <c r="D98" s="82"/>
      <c r="E98" s="82"/>
      <c r="F98" s="82"/>
      <c r="G98" s="82"/>
      <c r="H98" s="82"/>
      <c r="I98" s="82"/>
      <c r="J98" s="82"/>
      <c r="K98" s="82"/>
      <c r="L98" s="82"/>
      <c r="M98" s="82"/>
    </row>
    <row r="99">
      <c r="A99" s="116" t="s">
        <v>175</v>
      </c>
      <c r="B99" s="75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</row>
    <row r="100">
      <c r="A100" s="80"/>
      <c r="B100" s="75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</row>
    <row r="101">
      <c r="A101" s="80" t="s">
        <v>176</v>
      </c>
      <c r="B101" s="112">
        <v>0.1</v>
      </c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</row>
    <row r="102">
      <c r="A102" s="80" t="s">
        <v>177</v>
      </c>
      <c r="B102" s="118">
        <f>(1+B101)^(1/12)-1</f>
        <v>0.007974140429</v>
      </c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</row>
    <row r="103">
      <c r="A103" s="80"/>
      <c r="B103" s="75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</row>
    <row r="104">
      <c r="A104" s="80"/>
      <c r="B104" s="75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</row>
    <row r="105" ht="24.75" customHeight="1">
      <c r="A105" s="114" t="s">
        <v>178</v>
      </c>
      <c r="B105" s="115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</row>
    <row r="106">
      <c r="A106" s="111" t="s">
        <v>179</v>
      </c>
      <c r="B106" s="119">
        <f t="shared" ref="B106:M106" si="57">SUM(B107:B110)</f>
        <v>0</v>
      </c>
      <c r="C106" s="106">
        <f t="shared" si="57"/>
        <v>-20500000</v>
      </c>
      <c r="D106" s="106">
        <f t="shared" si="57"/>
        <v>-15537066.67</v>
      </c>
      <c r="E106" s="106">
        <f t="shared" si="57"/>
        <v>-6498133.333</v>
      </c>
      <c r="F106" s="106">
        <f t="shared" si="57"/>
        <v>8987200</v>
      </c>
      <c r="G106" s="106">
        <f t="shared" si="57"/>
        <v>29551413.33</v>
      </c>
      <c r="H106" s="106">
        <f t="shared" si="57"/>
        <v>59398442.67</v>
      </c>
      <c r="I106" s="106">
        <f t="shared" si="57"/>
        <v>100384851.2</v>
      </c>
      <c r="J106" s="106">
        <f t="shared" si="57"/>
        <v>154090514.8</v>
      </c>
      <c r="K106" s="106">
        <f t="shared" si="57"/>
        <v>222735284.4</v>
      </c>
      <c r="L106" s="106">
        <f t="shared" si="57"/>
        <v>310628901.3</v>
      </c>
      <c r="M106" s="106">
        <f t="shared" si="57"/>
        <v>420973134.9</v>
      </c>
    </row>
    <row r="107">
      <c r="A107" s="102" t="s">
        <v>180</v>
      </c>
      <c r="B107" s="120">
        <v>0.0</v>
      </c>
      <c r="C107" s="82">
        <f t="shared" ref="C107:M107" si="58">B107+C73+C74+C75</f>
        <v>-50500000</v>
      </c>
      <c r="D107" s="82">
        <f t="shared" si="58"/>
        <v>-42470400</v>
      </c>
      <c r="E107" s="82">
        <f t="shared" si="58"/>
        <v>-30364800</v>
      </c>
      <c r="F107" s="82">
        <f t="shared" si="58"/>
        <v>-11812800</v>
      </c>
      <c r="G107" s="82">
        <f t="shared" si="58"/>
        <v>11818080</v>
      </c>
      <c r="H107" s="82">
        <f t="shared" si="58"/>
        <v>44731776</v>
      </c>
      <c r="I107" s="82">
        <f t="shared" si="58"/>
        <v>88784851.2</v>
      </c>
      <c r="J107" s="82">
        <f t="shared" si="58"/>
        <v>145557181.4</v>
      </c>
      <c r="K107" s="82">
        <f t="shared" si="58"/>
        <v>217268617.7</v>
      </c>
      <c r="L107" s="82">
        <f t="shared" si="58"/>
        <v>308228901.3</v>
      </c>
      <c r="M107" s="82">
        <f t="shared" si="58"/>
        <v>421639801.5</v>
      </c>
    </row>
    <row r="108">
      <c r="A108" s="102" t="s">
        <v>102</v>
      </c>
      <c r="B108" s="120">
        <v>0.0</v>
      </c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</row>
    <row r="109">
      <c r="A109" s="102" t="s">
        <v>49</v>
      </c>
      <c r="B109" s="120">
        <v>0.0</v>
      </c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</row>
    <row r="110">
      <c r="A110" s="102" t="s">
        <v>181</v>
      </c>
      <c r="B110" s="120">
        <v>0.0</v>
      </c>
      <c r="C110" s="82">
        <f t="shared" ref="C110:M110" si="59">B110-C62+C67</f>
        <v>30000000</v>
      </c>
      <c r="D110" s="82">
        <f t="shared" si="59"/>
        <v>26933333.33</v>
      </c>
      <c r="E110" s="82">
        <f t="shared" si="59"/>
        <v>23866666.67</v>
      </c>
      <c r="F110" s="82">
        <f t="shared" si="59"/>
        <v>20800000</v>
      </c>
      <c r="G110" s="82">
        <f t="shared" si="59"/>
        <v>17733333.33</v>
      </c>
      <c r="H110" s="82">
        <f t="shared" si="59"/>
        <v>14666666.67</v>
      </c>
      <c r="I110" s="82">
        <f t="shared" si="59"/>
        <v>11600000</v>
      </c>
      <c r="J110" s="82">
        <f t="shared" si="59"/>
        <v>8533333.333</v>
      </c>
      <c r="K110" s="82">
        <f t="shared" si="59"/>
        <v>5466666.667</v>
      </c>
      <c r="L110" s="82">
        <f t="shared" si="59"/>
        <v>2400000</v>
      </c>
      <c r="M110" s="82">
        <f t="shared" si="59"/>
        <v>-666666.6667</v>
      </c>
    </row>
    <row r="111">
      <c r="A111" s="111" t="s">
        <v>182</v>
      </c>
      <c r="B111" s="119">
        <f t="shared" ref="B111:M111" si="60">SUM(B112:B115)</f>
        <v>0</v>
      </c>
      <c r="C111" s="106">
        <f t="shared" si="60"/>
        <v>0</v>
      </c>
      <c r="D111" s="106">
        <f t="shared" si="60"/>
        <v>4962933.333</v>
      </c>
      <c r="E111" s="106">
        <f t="shared" si="60"/>
        <v>14001866.67</v>
      </c>
      <c r="F111" s="106">
        <f t="shared" si="60"/>
        <v>29487200</v>
      </c>
      <c r="G111" s="106">
        <f t="shared" si="60"/>
        <v>50051413.33</v>
      </c>
      <c r="H111" s="106">
        <f t="shared" si="60"/>
        <v>79898442.67</v>
      </c>
      <c r="I111" s="106">
        <f t="shared" si="60"/>
        <v>120884851.2</v>
      </c>
      <c r="J111" s="106">
        <f t="shared" si="60"/>
        <v>174590514.8</v>
      </c>
      <c r="K111" s="106">
        <f t="shared" si="60"/>
        <v>243235284.4</v>
      </c>
      <c r="L111" s="106">
        <f t="shared" si="60"/>
        <v>331128901.3</v>
      </c>
      <c r="M111" s="106">
        <f t="shared" si="60"/>
        <v>441473134.9</v>
      </c>
    </row>
    <row r="112">
      <c r="A112" s="121" t="s">
        <v>183</v>
      </c>
      <c r="B112" s="120">
        <v>0.0</v>
      </c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</row>
    <row r="113">
      <c r="A113" s="102" t="s">
        <v>184</v>
      </c>
      <c r="B113" s="120">
        <v>0.0</v>
      </c>
      <c r="C113" s="82">
        <f>B113+C51+C82</f>
        <v>0</v>
      </c>
      <c r="D113" s="82">
        <f t="shared" ref="D113:M113" si="61">C113+D57+D82</f>
        <v>4962933.333</v>
      </c>
      <c r="E113" s="82">
        <f t="shared" si="61"/>
        <v>14001866.67</v>
      </c>
      <c r="F113" s="82">
        <f t="shared" si="61"/>
        <v>29487200</v>
      </c>
      <c r="G113" s="82">
        <f t="shared" si="61"/>
        <v>50051413.33</v>
      </c>
      <c r="H113" s="82">
        <f t="shared" si="61"/>
        <v>79898442.67</v>
      </c>
      <c r="I113" s="82">
        <f t="shared" si="61"/>
        <v>120884851.2</v>
      </c>
      <c r="J113" s="82">
        <f t="shared" si="61"/>
        <v>174590514.8</v>
      </c>
      <c r="K113" s="82">
        <f t="shared" si="61"/>
        <v>243235284.4</v>
      </c>
      <c r="L113" s="82">
        <f t="shared" si="61"/>
        <v>331128901.3</v>
      </c>
      <c r="M113" s="82">
        <f t="shared" si="61"/>
        <v>441473134.9</v>
      </c>
    </row>
    <row r="114">
      <c r="A114" s="102" t="s">
        <v>185</v>
      </c>
      <c r="B114" s="120">
        <v>0.0</v>
      </c>
      <c r="C114" s="82">
        <f t="shared" ref="C114:M114" si="62">B114+C85+C86</f>
        <v>0</v>
      </c>
      <c r="D114" s="82">
        <f t="shared" si="62"/>
        <v>0</v>
      </c>
      <c r="E114" s="82">
        <f t="shared" si="62"/>
        <v>0</v>
      </c>
      <c r="F114" s="82">
        <f t="shared" si="62"/>
        <v>0</v>
      </c>
      <c r="G114" s="82">
        <f t="shared" si="62"/>
        <v>0</v>
      </c>
      <c r="H114" s="82">
        <f t="shared" si="62"/>
        <v>0</v>
      </c>
      <c r="I114" s="82">
        <f t="shared" si="62"/>
        <v>0</v>
      </c>
      <c r="J114" s="82">
        <f t="shared" si="62"/>
        <v>0</v>
      </c>
      <c r="K114" s="82">
        <f t="shared" si="62"/>
        <v>0</v>
      </c>
      <c r="L114" s="82">
        <f t="shared" si="62"/>
        <v>0</v>
      </c>
      <c r="M114" s="82">
        <f t="shared" si="62"/>
        <v>0</v>
      </c>
    </row>
    <row r="115">
      <c r="A115" s="102" t="s">
        <v>54</v>
      </c>
      <c r="B115" s="120">
        <v>0.0</v>
      </c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</row>
    <row r="116">
      <c r="A116" s="80"/>
      <c r="B116" s="75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</row>
    <row r="117">
      <c r="A117" s="80"/>
      <c r="B117" s="75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</row>
    <row r="118">
      <c r="A118" s="80"/>
      <c r="B118" s="75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</row>
    <row r="119">
      <c r="A119" s="80"/>
      <c r="B119" s="75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</row>
    <row r="120">
      <c r="A120" s="80"/>
      <c r="B120" s="75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</row>
    <row r="121">
      <c r="A121" s="80"/>
      <c r="B121" s="75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</row>
    <row r="122">
      <c r="A122" s="80"/>
      <c r="B122" s="75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</row>
    <row r="123">
      <c r="A123" s="80"/>
      <c r="B123" s="75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</row>
    <row r="124">
      <c r="A124" s="80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</row>
    <row r="125">
      <c r="A125" s="80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</row>
    <row r="126">
      <c r="A126" s="80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</row>
    <row r="127">
      <c r="A127" s="80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</row>
    <row r="128">
      <c r="A128" s="80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</row>
    <row r="129">
      <c r="A129" s="80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</row>
    <row r="130">
      <c r="A130" s="80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</row>
    <row r="131">
      <c r="A131" s="80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</row>
    <row r="132">
      <c r="A132" s="80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</row>
    <row r="133">
      <c r="A133" s="80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</row>
    <row r="134">
      <c r="A134" s="80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</row>
    <row r="135">
      <c r="A135" s="80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</row>
    <row r="136">
      <c r="A136" s="80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</row>
    <row r="137">
      <c r="A137" s="80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</row>
    <row r="138">
      <c r="A138" s="80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</row>
    <row r="139">
      <c r="A139" s="80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</row>
    <row r="140">
      <c r="A140" s="80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</row>
    <row r="141">
      <c r="A141" s="80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</row>
    <row r="142">
      <c r="A142" s="80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</row>
    <row r="143">
      <c r="A143" s="80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</row>
    <row r="144">
      <c r="A144" s="80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</row>
    <row r="145">
      <c r="A145" s="80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</row>
    <row r="146">
      <c r="A146" s="80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</row>
    <row r="147">
      <c r="A147" s="80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</row>
    <row r="148">
      <c r="A148" s="80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</row>
    <row r="149">
      <c r="A149" s="80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</row>
    <row r="150">
      <c r="A150" s="80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</row>
    <row r="151">
      <c r="A151" s="80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</row>
    <row r="152">
      <c r="A152" s="80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</row>
    <row r="153">
      <c r="A153" s="80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</row>
    <row r="154">
      <c r="A154" s="80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</row>
    <row r="155">
      <c r="A155" s="80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</row>
    <row r="156">
      <c r="A156" s="80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</row>
    <row r="157">
      <c r="A157" s="80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</row>
    <row r="158">
      <c r="A158" s="80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</row>
    <row r="159">
      <c r="A159" s="80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</row>
    <row r="160">
      <c r="A160" s="80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</row>
    <row r="161">
      <c r="A161" s="80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</row>
    <row r="162">
      <c r="A162" s="80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</row>
    <row r="163">
      <c r="A163" s="80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</row>
    <row r="164">
      <c r="A164" s="80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</row>
    <row r="165">
      <c r="A165" s="80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</row>
    <row r="166">
      <c r="A166" s="80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</row>
    <row r="167">
      <c r="A167" s="80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</row>
    <row r="168">
      <c r="A168" s="80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</row>
    <row r="169">
      <c r="A169" s="80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</row>
    <row r="170">
      <c r="A170" s="80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</row>
    <row r="171">
      <c r="A171" s="80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</row>
    <row r="172">
      <c r="A172" s="80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</row>
    <row r="173">
      <c r="A173" s="80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</row>
    <row r="174">
      <c r="A174" s="80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</row>
    <row r="175">
      <c r="A175" s="80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</row>
    <row r="176">
      <c r="A176" s="80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</row>
    <row r="177">
      <c r="A177" s="80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</row>
    <row r="178">
      <c r="A178" s="80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</row>
    <row r="179">
      <c r="A179" s="80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</row>
    <row r="180">
      <c r="A180" s="80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</row>
    <row r="181">
      <c r="A181" s="80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</row>
    <row r="182">
      <c r="A182" s="80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</row>
    <row r="183">
      <c r="A183" s="80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</row>
    <row r="184">
      <c r="A184" s="80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</row>
    <row r="185">
      <c r="A185" s="80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</row>
    <row r="186">
      <c r="A186" s="80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</row>
    <row r="187">
      <c r="A187" s="80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</row>
    <row r="188">
      <c r="A188" s="80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</row>
    <row r="189">
      <c r="A189" s="80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</row>
    <row r="190">
      <c r="A190" s="80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</row>
    <row r="191">
      <c r="A191" s="80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</row>
    <row r="192">
      <c r="A192" s="80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</row>
    <row r="193">
      <c r="A193" s="80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</row>
    <row r="194">
      <c r="A194" s="80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</row>
    <row r="195">
      <c r="A195" s="80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</row>
    <row r="196">
      <c r="A196" s="80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</row>
    <row r="197">
      <c r="A197" s="80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</row>
    <row r="198">
      <c r="A198" s="80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</row>
    <row r="199">
      <c r="A199" s="80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</row>
    <row r="200">
      <c r="A200" s="80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</row>
    <row r="201">
      <c r="A201" s="80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</row>
    <row r="202">
      <c r="A202" s="80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</row>
    <row r="203">
      <c r="A203" s="80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</row>
    <row r="204">
      <c r="A204" s="80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</row>
    <row r="205">
      <c r="A205" s="80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</row>
    <row r="206">
      <c r="A206" s="80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</row>
    <row r="207">
      <c r="A207" s="80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</row>
    <row r="208">
      <c r="A208" s="80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</row>
    <row r="209">
      <c r="A209" s="80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</row>
    <row r="210">
      <c r="A210" s="80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</row>
    <row r="211">
      <c r="A211" s="80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</row>
    <row r="212">
      <c r="A212" s="80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</row>
    <row r="213">
      <c r="A213" s="80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</row>
    <row r="214">
      <c r="A214" s="80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</row>
    <row r="215">
      <c r="A215" s="80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</row>
    <row r="216">
      <c r="A216" s="80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</row>
    <row r="217">
      <c r="A217" s="80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</row>
    <row r="218">
      <c r="A218" s="80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</row>
    <row r="219">
      <c r="A219" s="80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</row>
    <row r="220">
      <c r="A220" s="80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</row>
    <row r="221">
      <c r="A221" s="80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</row>
    <row r="222">
      <c r="A222" s="80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</row>
    <row r="223">
      <c r="A223" s="80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</row>
    <row r="224">
      <c r="A224" s="80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</row>
    <row r="225">
      <c r="A225" s="80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</row>
    <row r="226">
      <c r="A226" s="80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</row>
    <row r="227">
      <c r="A227" s="80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</row>
    <row r="228">
      <c r="A228" s="80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</row>
    <row r="229">
      <c r="A229" s="80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</row>
    <row r="230">
      <c r="A230" s="80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</row>
    <row r="231">
      <c r="A231" s="80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</row>
    <row r="232">
      <c r="A232" s="80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</row>
    <row r="233">
      <c r="A233" s="80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</row>
    <row r="234">
      <c r="A234" s="80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</row>
    <row r="235">
      <c r="A235" s="80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</row>
    <row r="236">
      <c r="A236" s="80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</row>
    <row r="237">
      <c r="A237" s="80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</row>
    <row r="238">
      <c r="A238" s="80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</row>
    <row r="239">
      <c r="A239" s="80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</row>
    <row r="240">
      <c r="A240" s="80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</row>
    <row r="241">
      <c r="A241" s="80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</row>
    <row r="242">
      <c r="A242" s="80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</row>
    <row r="243">
      <c r="A243" s="80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</row>
    <row r="244">
      <c r="A244" s="80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</row>
    <row r="245">
      <c r="A245" s="80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</row>
    <row r="246">
      <c r="A246" s="80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</row>
    <row r="247">
      <c r="A247" s="80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</row>
    <row r="248">
      <c r="A248" s="80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</row>
    <row r="249">
      <c r="A249" s="80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</row>
    <row r="250">
      <c r="A250" s="80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</row>
    <row r="251">
      <c r="A251" s="80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</row>
    <row r="252">
      <c r="A252" s="80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</row>
    <row r="253">
      <c r="A253" s="80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</row>
    <row r="254">
      <c r="A254" s="80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</row>
    <row r="255">
      <c r="A255" s="80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</row>
    <row r="256">
      <c r="A256" s="80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</row>
    <row r="257">
      <c r="A257" s="80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</row>
    <row r="258">
      <c r="A258" s="80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</row>
    <row r="259">
      <c r="A259" s="80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</row>
    <row r="260">
      <c r="A260" s="80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</row>
    <row r="261">
      <c r="A261" s="80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</row>
    <row r="262">
      <c r="A262" s="80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</row>
    <row r="263">
      <c r="A263" s="80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</row>
    <row r="264">
      <c r="A264" s="80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</row>
    <row r="265">
      <c r="A265" s="80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</row>
    <row r="266">
      <c r="A266" s="80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</row>
    <row r="267">
      <c r="A267" s="80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</row>
    <row r="268">
      <c r="A268" s="80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</row>
    <row r="269">
      <c r="A269" s="80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</row>
    <row r="270">
      <c r="A270" s="80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</row>
    <row r="271">
      <c r="A271" s="80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</row>
    <row r="272">
      <c r="A272" s="80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</row>
    <row r="273">
      <c r="A273" s="80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</row>
    <row r="274">
      <c r="A274" s="80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</row>
    <row r="275">
      <c r="A275" s="80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</row>
    <row r="276">
      <c r="A276" s="80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</row>
    <row r="277">
      <c r="A277" s="80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</row>
    <row r="278">
      <c r="A278" s="80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</row>
    <row r="279">
      <c r="A279" s="80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</row>
    <row r="280">
      <c r="A280" s="80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</row>
    <row r="281">
      <c r="A281" s="80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</row>
    <row r="282">
      <c r="A282" s="80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</row>
    <row r="283">
      <c r="A283" s="80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</row>
    <row r="284">
      <c r="A284" s="80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</row>
    <row r="285">
      <c r="A285" s="80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</row>
    <row r="286">
      <c r="A286" s="80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</row>
    <row r="287">
      <c r="A287" s="80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</row>
    <row r="288">
      <c r="A288" s="80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</row>
    <row r="289">
      <c r="A289" s="80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</row>
    <row r="290">
      <c r="A290" s="80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</row>
    <row r="291">
      <c r="A291" s="80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</row>
    <row r="292">
      <c r="A292" s="80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</row>
    <row r="293">
      <c r="A293" s="80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</row>
    <row r="294">
      <c r="A294" s="80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</row>
    <row r="295">
      <c r="A295" s="80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</row>
    <row r="296">
      <c r="A296" s="80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</row>
    <row r="297">
      <c r="A297" s="80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</row>
    <row r="298">
      <c r="A298" s="80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</row>
    <row r="299">
      <c r="A299" s="80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</row>
    <row r="300">
      <c r="A300" s="80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</row>
    <row r="301">
      <c r="A301" s="80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</row>
    <row r="302">
      <c r="A302" s="80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</row>
    <row r="303">
      <c r="A303" s="80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</row>
    <row r="304">
      <c r="A304" s="80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</row>
    <row r="305">
      <c r="A305" s="80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</row>
    <row r="306">
      <c r="A306" s="80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</row>
    <row r="307">
      <c r="A307" s="80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</row>
    <row r="308">
      <c r="A308" s="80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</row>
    <row r="309">
      <c r="A309" s="80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</row>
    <row r="310">
      <c r="A310" s="80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</row>
    <row r="311">
      <c r="A311" s="80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</row>
    <row r="312">
      <c r="A312" s="80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</row>
    <row r="313">
      <c r="A313" s="80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</row>
    <row r="314">
      <c r="A314" s="80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</row>
    <row r="315">
      <c r="A315" s="80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</row>
    <row r="316">
      <c r="A316" s="80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</row>
    <row r="317">
      <c r="A317" s="80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</row>
    <row r="318">
      <c r="A318" s="80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</row>
    <row r="319">
      <c r="A319" s="80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</row>
    <row r="320">
      <c r="A320" s="80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</row>
    <row r="321">
      <c r="A321" s="80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</row>
    <row r="322">
      <c r="A322" s="80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</row>
    <row r="323">
      <c r="A323" s="80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</row>
    <row r="324">
      <c r="A324" s="80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</row>
    <row r="325">
      <c r="A325" s="80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</row>
    <row r="326">
      <c r="A326" s="80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</row>
    <row r="327">
      <c r="A327" s="80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</row>
    <row r="328">
      <c r="A328" s="80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</row>
    <row r="329">
      <c r="A329" s="80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</row>
    <row r="330">
      <c r="A330" s="80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</row>
    <row r="331">
      <c r="A331" s="80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</row>
    <row r="332">
      <c r="A332" s="80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</row>
    <row r="333">
      <c r="A333" s="80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</row>
    <row r="334">
      <c r="A334" s="80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</row>
    <row r="335">
      <c r="A335" s="80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</row>
    <row r="336">
      <c r="A336" s="80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</row>
    <row r="337">
      <c r="A337" s="80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</row>
    <row r="338">
      <c r="A338" s="80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</row>
    <row r="339">
      <c r="A339" s="80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</row>
    <row r="340">
      <c r="A340" s="80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</row>
    <row r="341">
      <c r="A341" s="80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</row>
    <row r="342">
      <c r="A342" s="80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</row>
    <row r="343">
      <c r="A343" s="80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</row>
    <row r="344">
      <c r="A344" s="80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</row>
    <row r="345">
      <c r="A345" s="80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</row>
    <row r="346">
      <c r="A346" s="80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</row>
    <row r="347">
      <c r="A347" s="80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</row>
    <row r="348">
      <c r="A348" s="80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</row>
    <row r="349">
      <c r="A349" s="80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</row>
    <row r="350">
      <c r="A350" s="80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</row>
    <row r="351">
      <c r="A351" s="80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</row>
    <row r="352">
      <c r="A352" s="80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</row>
    <row r="353">
      <c r="A353" s="80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</row>
    <row r="354">
      <c r="A354" s="80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</row>
    <row r="355">
      <c r="A355" s="80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</row>
    <row r="356">
      <c r="A356" s="80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</row>
    <row r="357">
      <c r="A357" s="80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</row>
    <row r="358">
      <c r="A358" s="80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</row>
    <row r="359">
      <c r="A359" s="80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</row>
    <row r="360">
      <c r="A360" s="80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</row>
    <row r="361">
      <c r="A361" s="80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</row>
    <row r="362">
      <c r="A362" s="80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</row>
    <row r="363">
      <c r="A363" s="80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</row>
    <row r="364">
      <c r="A364" s="80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</row>
    <row r="365">
      <c r="A365" s="80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</row>
    <row r="366">
      <c r="A366" s="80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</row>
    <row r="367">
      <c r="A367" s="80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</row>
    <row r="368">
      <c r="A368" s="80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</row>
    <row r="369">
      <c r="A369" s="80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</row>
    <row r="370">
      <c r="A370" s="80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</row>
    <row r="371">
      <c r="A371" s="80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</row>
    <row r="372">
      <c r="A372" s="80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</row>
    <row r="373">
      <c r="A373" s="80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</row>
    <row r="374">
      <c r="A374" s="80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</row>
    <row r="375">
      <c r="A375" s="80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</row>
    <row r="376">
      <c r="A376" s="80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</row>
    <row r="377">
      <c r="A377" s="80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</row>
    <row r="378">
      <c r="A378" s="80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</row>
    <row r="379">
      <c r="A379" s="80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</row>
    <row r="380">
      <c r="A380" s="80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</row>
    <row r="381">
      <c r="A381" s="80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</row>
    <row r="382">
      <c r="A382" s="80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</row>
    <row r="383">
      <c r="A383" s="80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</row>
    <row r="384">
      <c r="A384" s="80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</row>
    <row r="385">
      <c r="A385" s="80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</row>
    <row r="386">
      <c r="A386" s="80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</row>
    <row r="387">
      <c r="A387" s="80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</row>
    <row r="388">
      <c r="A388" s="80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</row>
    <row r="389">
      <c r="A389" s="80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</row>
    <row r="390">
      <c r="A390" s="80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</row>
    <row r="391">
      <c r="A391" s="80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</row>
    <row r="392">
      <c r="A392" s="80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</row>
    <row r="393">
      <c r="A393" s="80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</row>
    <row r="394">
      <c r="A394" s="80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</row>
    <row r="395">
      <c r="A395" s="80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</row>
    <row r="396">
      <c r="A396" s="80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</row>
    <row r="397">
      <c r="A397" s="80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</row>
    <row r="398">
      <c r="A398" s="80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</row>
    <row r="399">
      <c r="A399" s="80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</row>
    <row r="400">
      <c r="A400" s="80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</row>
    <row r="401">
      <c r="A401" s="80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</row>
    <row r="402">
      <c r="A402" s="80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</row>
    <row r="403">
      <c r="A403" s="80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</row>
    <row r="404">
      <c r="A404" s="80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</row>
    <row r="405">
      <c r="A405" s="80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</row>
    <row r="406">
      <c r="A406" s="80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</row>
    <row r="407">
      <c r="A407" s="80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</row>
    <row r="408">
      <c r="A408" s="80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</row>
    <row r="409">
      <c r="A409" s="80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</row>
    <row r="410">
      <c r="A410" s="80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</row>
    <row r="411">
      <c r="A411" s="80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</row>
    <row r="412">
      <c r="A412" s="80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</row>
    <row r="413">
      <c r="A413" s="80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</row>
    <row r="414">
      <c r="A414" s="80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</row>
    <row r="415">
      <c r="A415" s="80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</row>
    <row r="416">
      <c r="A416" s="80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</row>
    <row r="417">
      <c r="A417" s="80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</row>
    <row r="418">
      <c r="A418" s="80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</row>
    <row r="419">
      <c r="A419" s="80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</row>
    <row r="420">
      <c r="A420" s="80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</row>
    <row r="421">
      <c r="A421" s="80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</row>
    <row r="422">
      <c r="A422" s="80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</row>
    <row r="423">
      <c r="A423" s="80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</row>
    <row r="424">
      <c r="A424" s="80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</row>
    <row r="425">
      <c r="A425" s="80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</row>
    <row r="426">
      <c r="A426" s="80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</row>
    <row r="427">
      <c r="A427" s="80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</row>
    <row r="428">
      <c r="A428" s="80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</row>
    <row r="429">
      <c r="A429" s="80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</row>
    <row r="430">
      <c r="A430" s="80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</row>
    <row r="431">
      <c r="A431" s="80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</row>
    <row r="432">
      <c r="A432" s="80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</row>
    <row r="433">
      <c r="A433" s="80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</row>
    <row r="434">
      <c r="A434" s="80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</row>
    <row r="435">
      <c r="A435" s="80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</row>
    <row r="436">
      <c r="A436" s="80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</row>
    <row r="437">
      <c r="A437" s="80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</row>
    <row r="438">
      <c r="A438" s="80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</row>
    <row r="439">
      <c r="A439" s="80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</row>
    <row r="440">
      <c r="A440" s="80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</row>
    <row r="441">
      <c r="A441" s="80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</row>
    <row r="442">
      <c r="A442" s="80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</row>
    <row r="443">
      <c r="A443" s="80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</row>
    <row r="444">
      <c r="A444" s="80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</row>
    <row r="445">
      <c r="A445" s="80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</row>
    <row r="446">
      <c r="A446" s="80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</row>
    <row r="447">
      <c r="A447" s="80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</row>
    <row r="448">
      <c r="A448" s="80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</row>
    <row r="449">
      <c r="A449" s="80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</row>
    <row r="450">
      <c r="A450" s="80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</row>
    <row r="451">
      <c r="A451" s="80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</row>
    <row r="452">
      <c r="A452" s="80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</row>
    <row r="453">
      <c r="A453" s="80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</row>
    <row r="454">
      <c r="A454" s="80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</row>
    <row r="455">
      <c r="A455" s="80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</row>
    <row r="456">
      <c r="A456" s="80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</row>
    <row r="457">
      <c r="A457" s="80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</row>
    <row r="458">
      <c r="A458" s="80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</row>
    <row r="459">
      <c r="A459" s="80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</row>
    <row r="460">
      <c r="A460" s="80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</row>
    <row r="461">
      <c r="A461" s="80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</row>
    <row r="462">
      <c r="A462" s="80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</row>
    <row r="463">
      <c r="A463" s="80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</row>
    <row r="464">
      <c r="A464" s="80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</row>
    <row r="465">
      <c r="A465" s="80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</row>
    <row r="466">
      <c r="A466" s="80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</row>
    <row r="467">
      <c r="A467" s="80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</row>
    <row r="468">
      <c r="A468" s="80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</row>
    <row r="469">
      <c r="A469" s="80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</row>
    <row r="470">
      <c r="A470" s="80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</row>
    <row r="471">
      <c r="A471" s="80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</row>
    <row r="472">
      <c r="A472" s="80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</row>
    <row r="473">
      <c r="A473" s="80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</row>
    <row r="474">
      <c r="A474" s="80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</row>
    <row r="475">
      <c r="A475" s="80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</row>
    <row r="476">
      <c r="A476" s="80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</row>
    <row r="477">
      <c r="A477" s="80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</row>
    <row r="478">
      <c r="A478" s="80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</row>
    <row r="479">
      <c r="A479" s="80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</row>
    <row r="480">
      <c r="A480" s="80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</row>
    <row r="481">
      <c r="A481" s="80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</row>
    <row r="482">
      <c r="A482" s="80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</row>
    <row r="483">
      <c r="A483" s="80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</row>
    <row r="484">
      <c r="A484" s="80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</row>
    <row r="485">
      <c r="A485" s="80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</row>
    <row r="486">
      <c r="A486" s="80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</row>
    <row r="487">
      <c r="A487" s="80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</row>
    <row r="488">
      <c r="A488" s="80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</row>
    <row r="489">
      <c r="A489" s="80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</row>
    <row r="490">
      <c r="A490" s="80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</row>
    <row r="491">
      <c r="A491" s="80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</row>
    <row r="492">
      <c r="A492" s="80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</row>
    <row r="493">
      <c r="A493" s="80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</row>
    <row r="494">
      <c r="A494" s="80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</row>
    <row r="495">
      <c r="A495" s="80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</row>
    <row r="496">
      <c r="A496" s="80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</row>
    <row r="497">
      <c r="A497" s="80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</row>
    <row r="498">
      <c r="A498" s="80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</row>
    <row r="499">
      <c r="A499" s="80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</row>
    <row r="500">
      <c r="A500" s="80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</row>
    <row r="501">
      <c r="A501" s="80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</row>
    <row r="502">
      <c r="A502" s="80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</row>
    <row r="503">
      <c r="A503" s="80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</row>
    <row r="504">
      <c r="A504" s="80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</row>
    <row r="505">
      <c r="A505" s="80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</row>
    <row r="506">
      <c r="A506" s="80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</row>
    <row r="507">
      <c r="A507" s="80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</row>
    <row r="508">
      <c r="A508" s="80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</row>
    <row r="509">
      <c r="A509" s="80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</row>
    <row r="510">
      <c r="A510" s="80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</row>
    <row r="511">
      <c r="A511" s="80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</row>
    <row r="512">
      <c r="A512" s="80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</row>
    <row r="513">
      <c r="A513" s="80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</row>
    <row r="514">
      <c r="A514" s="80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</row>
    <row r="515">
      <c r="A515" s="80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</row>
    <row r="516">
      <c r="A516" s="80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</row>
    <row r="517">
      <c r="A517" s="80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</row>
    <row r="518">
      <c r="A518" s="80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</row>
    <row r="519">
      <c r="A519" s="80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</row>
    <row r="520">
      <c r="A520" s="80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</row>
    <row r="521">
      <c r="A521" s="80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</row>
    <row r="522">
      <c r="A522" s="80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</row>
    <row r="523">
      <c r="A523" s="80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</row>
    <row r="524">
      <c r="A524" s="80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</row>
    <row r="525">
      <c r="A525" s="80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</row>
    <row r="526">
      <c r="A526" s="80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</row>
    <row r="527">
      <c r="A527" s="80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</row>
    <row r="528">
      <c r="A528" s="80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</row>
    <row r="529">
      <c r="A529" s="80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</row>
    <row r="530">
      <c r="A530" s="80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</row>
    <row r="531">
      <c r="A531" s="80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</row>
    <row r="532">
      <c r="A532" s="80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</row>
    <row r="533">
      <c r="A533" s="80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</row>
    <row r="534">
      <c r="A534" s="80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</row>
    <row r="535">
      <c r="A535" s="80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</row>
    <row r="536">
      <c r="A536" s="80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</row>
    <row r="537">
      <c r="A537" s="80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</row>
    <row r="538">
      <c r="A538" s="80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</row>
    <row r="539">
      <c r="A539" s="80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</row>
    <row r="540">
      <c r="A540" s="80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</row>
    <row r="541">
      <c r="A541" s="80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</row>
    <row r="542">
      <c r="A542" s="80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</row>
    <row r="543">
      <c r="A543" s="80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</row>
    <row r="544">
      <c r="A544" s="80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</row>
    <row r="545">
      <c r="A545" s="80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</row>
    <row r="546">
      <c r="A546" s="80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</row>
    <row r="547">
      <c r="A547" s="80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</row>
    <row r="548">
      <c r="A548" s="80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</row>
    <row r="549">
      <c r="A549" s="80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</row>
    <row r="550">
      <c r="A550" s="80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</row>
    <row r="551">
      <c r="A551" s="80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</row>
    <row r="552">
      <c r="A552" s="80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</row>
    <row r="553">
      <c r="A553" s="80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</row>
    <row r="554">
      <c r="A554" s="80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</row>
    <row r="555">
      <c r="A555" s="80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</row>
    <row r="556">
      <c r="A556" s="80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</row>
    <row r="557">
      <c r="A557" s="80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</row>
    <row r="558">
      <c r="A558" s="80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</row>
    <row r="559">
      <c r="A559" s="80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</row>
    <row r="560">
      <c r="A560" s="80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</row>
    <row r="561">
      <c r="A561" s="80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</row>
    <row r="562">
      <c r="A562" s="80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</row>
    <row r="563">
      <c r="A563" s="80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</row>
    <row r="564">
      <c r="A564" s="80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</row>
    <row r="565">
      <c r="A565" s="80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</row>
    <row r="566">
      <c r="A566" s="80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</row>
    <row r="567">
      <c r="A567" s="80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</row>
    <row r="568">
      <c r="A568" s="80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</row>
    <row r="569">
      <c r="A569" s="80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</row>
    <row r="570">
      <c r="A570" s="80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</row>
    <row r="571">
      <c r="A571" s="80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</row>
    <row r="572">
      <c r="A572" s="80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</row>
    <row r="573">
      <c r="A573" s="80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</row>
    <row r="574">
      <c r="A574" s="80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</row>
    <row r="575">
      <c r="A575" s="80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</row>
    <row r="576">
      <c r="A576" s="80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</row>
    <row r="577">
      <c r="A577" s="80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</row>
    <row r="578">
      <c r="A578" s="80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</row>
    <row r="579">
      <c r="A579" s="80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</row>
    <row r="580">
      <c r="A580" s="80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</row>
    <row r="581">
      <c r="A581" s="80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</row>
    <row r="582">
      <c r="A582" s="80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</row>
    <row r="583">
      <c r="A583" s="80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</row>
    <row r="584">
      <c r="A584" s="80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</row>
    <row r="585">
      <c r="A585" s="80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</row>
    <row r="586">
      <c r="A586" s="80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</row>
    <row r="587">
      <c r="A587" s="80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</row>
    <row r="588">
      <c r="A588" s="80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</row>
    <row r="589">
      <c r="A589" s="80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</row>
    <row r="590">
      <c r="A590" s="80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</row>
    <row r="591">
      <c r="A591" s="80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</row>
    <row r="592">
      <c r="A592" s="80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</row>
    <row r="593">
      <c r="A593" s="80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</row>
    <row r="594">
      <c r="A594" s="80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</row>
    <row r="595">
      <c r="A595" s="80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</row>
    <row r="596">
      <c r="A596" s="80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</row>
    <row r="597">
      <c r="A597" s="80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</row>
    <row r="598">
      <c r="A598" s="80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</row>
    <row r="599">
      <c r="A599" s="80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</row>
    <row r="600">
      <c r="A600" s="80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</row>
    <row r="601">
      <c r="A601" s="80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</row>
    <row r="602">
      <c r="A602" s="80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</row>
    <row r="603">
      <c r="A603" s="80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</row>
    <row r="604">
      <c r="A604" s="80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</row>
    <row r="605">
      <c r="A605" s="80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</row>
    <row r="606">
      <c r="A606" s="80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</row>
    <row r="607">
      <c r="A607" s="80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</row>
    <row r="608">
      <c r="A608" s="80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</row>
    <row r="609">
      <c r="A609" s="80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</row>
    <row r="610">
      <c r="A610" s="80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</row>
    <row r="611">
      <c r="A611" s="80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</row>
    <row r="612">
      <c r="A612" s="80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</row>
    <row r="613">
      <c r="A613" s="80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</row>
    <row r="614">
      <c r="A614" s="80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</row>
    <row r="615">
      <c r="A615" s="80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</row>
    <row r="616">
      <c r="A616" s="80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</row>
    <row r="617">
      <c r="A617" s="80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</row>
    <row r="618">
      <c r="A618" s="80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</row>
    <row r="619">
      <c r="A619" s="80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</row>
    <row r="620">
      <c r="A620" s="80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</row>
    <row r="621">
      <c r="A621" s="80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</row>
    <row r="622">
      <c r="A622" s="80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</row>
    <row r="623">
      <c r="A623" s="80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</row>
    <row r="624">
      <c r="A624" s="80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</row>
    <row r="625">
      <c r="A625" s="80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</row>
    <row r="626">
      <c r="A626" s="80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</row>
    <row r="627">
      <c r="A627" s="80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</row>
    <row r="628">
      <c r="A628" s="80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</row>
    <row r="629">
      <c r="A629" s="80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</row>
    <row r="630">
      <c r="A630" s="80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</row>
    <row r="631">
      <c r="A631" s="80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</row>
    <row r="632">
      <c r="A632" s="80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</row>
    <row r="633">
      <c r="A633" s="80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</row>
    <row r="634">
      <c r="A634" s="80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</row>
    <row r="635">
      <c r="A635" s="80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</row>
    <row r="636">
      <c r="A636" s="80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</row>
    <row r="637">
      <c r="A637" s="80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</row>
    <row r="638">
      <c r="A638" s="80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</row>
    <row r="639">
      <c r="A639" s="80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</row>
    <row r="640">
      <c r="A640" s="80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</row>
    <row r="641">
      <c r="A641" s="80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</row>
    <row r="642">
      <c r="A642" s="80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</row>
    <row r="643">
      <c r="A643" s="80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</row>
    <row r="644">
      <c r="A644" s="80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</row>
    <row r="645">
      <c r="A645" s="80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</row>
    <row r="646">
      <c r="A646" s="80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</row>
    <row r="647">
      <c r="A647" s="80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</row>
    <row r="648">
      <c r="A648" s="80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</row>
    <row r="649">
      <c r="A649" s="80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</row>
    <row r="650">
      <c r="A650" s="80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</row>
    <row r="651">
      <c r="A651" s="80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</row>
    <row r="652">
      <c r="A652" s="80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</row>
    <row r="653">
      <c r="A653" s="80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</row>
    <row r="654">
      <c r="A654" s="80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</row>
    <row r="655">
      <c r="A655" s="80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</row>
    <row r="656">
      <c r="A656" s="80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</row>
    <row r="657">
      <c r="A657" s="80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</row>
    <row r="658">
      <c r="A658" s="80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</row>
    <row r="659">
      <c r="A659" s="80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</row>
    <row r="660">
      <c r="A660" s="80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</row>
    <row r="661">
      <c r="A661" s="80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</row>
    <row r="662">
      <c r="A662" s="80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</row>
    <row r="663">
      <c r="A663" s="80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</row>
    <row r="664">
      <c r="A664" s="80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</row>
    <row r="665">
      <c r="A665" s="80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</row>
    <row r="666">
      <c r="A666" s="80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</row>
    <row r="667">
      <c r="A667" s="80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</row>
    <row r="668">
      <c r="A668" s="80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</row>
    <row r="669">
      <c r="A669" s="80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</row>
    <row r="670">
      <c r="A670" s="80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</row>
    <row r="671">
      <c r="A671" s="80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</row>
    <row r="672">
      <c r="A672" s="80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</row>
    <row r="673">
      <c r="A673" s="80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</row>
    <row r="674">
      <c r="A674" s="80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</row>
    <row r="675">
      <c r="A675" s="80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</row>
    <row r="676">
      <c r="A676" s="80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</row>
    <row r="677">
      <c r="A677" s="80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</row>
    <row r="678">
      <c r="A678" s="80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</row>
    <row r="679">
      <c r="A679" s="80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</row>
    <row r="680">
      <c r="A680" s="80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</row>
    <row r="681">
      <c r="A681" s="80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</row>
    <row r="682">
      <c r="A682" s="80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</row>
    <row r="683">
      <c r="A683" s="80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</row>
    <row r="684">
      <c r="A684" s="80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</row>
    <row r="685">
      <c r="A685" s="80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</row>
    <row r="686">
      <c r="A686" s="80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</row>
    <row r="687">
      <c r="A687" s="80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</row>
    <row r="688">
      <c r="A688" s="80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</row>
    <row r="689">
      <c r="A689" s="80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</row>
    <row r="690">
      <c r="A690" s="80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</row>
    <row r="691">
      <c r="A691" s="80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</row>
    <row r="692">
      <c r="A692" s="80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</row>
    <row r="693">
      <c r="A693" s="80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</row>
    <row r="694">
      <c r="A694" s="80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</row>
    <row r="695">
      <c r="A695" s="80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</row>
    <row r="696">
      <c r="A696" s="80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</row>
    <row r="697">
      <c r="A697" s="80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</row>
    <row r="698">
      <c r="A698" s="80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</row>
    <row r="699">
      <c r="A699" s="80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</row>
    <row r="700">
      <c r="A700" s="80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</row>
    <row r="701">
      <c r="A701" s="80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</row>
    <row r="702">
      <c r="A702" s="80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</row>
    <row r="703">
      <c r="A703" s="80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</row>
    <row r="704">
      <c r="A704" s="80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</row>
    <row r="705">
      <c r="A705" s="80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</row>
    <row r="706">
      <c r="A706" s="80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</row>
    <row r="707">
      <c r="A707" s="80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</row>
    <row r="708">
      <c r="A708" s="80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</row>
    <row r="709">
      <c r="A709" s="80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</row>
    <row r="710">
      <c r="A710" s="80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</row>
    <row r="711">
      <c r="A711" s="80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</row>
    <row r="712">
      <c r="A712" s="80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</row>
    <row r="713">
      <c r="A713" s="80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</row>
    <row r="714">
      <c r="A714" s="80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</row>
    <row r="715">
      <c r="A715" s="80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</row>
    <row r="716">
      <c r="A716" s="80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</row>
    <row r="717">
      <c r="A717" s="80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</row>
    <row r="718">
      <c r="A718" s="80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</row>
    <row r="719">
      <c r="A719" s="80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</row>
    <row r="720">
      <c r="A720" s="80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</row>
    <row r="721">
      <c r="A721" s="80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</row>
    <row r="722">
      <c r="A722" s="80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</row>
    <row r="723">
      <c r="A723" s="80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</row>
    <row r="724">
      <c r="A724" s="80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</row>
    <row r="725">
      <c r="A725" s="80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</row>
    <row r="726">
      <c r="A726" s="80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</row>
    <row r="727">
      <c r="A727" s="80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</row>
    <row r="728">
      <c r="A728" s="80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</row>
    <row r="729">
      <c r="A729" s="80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</row>
    <row r="730">
      <c r="A730" s="80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</row>
    <row r="731">
      <c r="A731" s="80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</row>
    <row r="732">
      <c r="A732" s="80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</row>
    <row r="733">
      <c r="A733" s="80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</row>
    <row r="734">
      <c r="A734" s="80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</row>
    <row r="735">
      <c r="A735" s="80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</row>
    <row r="736">
      <c r="A736" s="80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</row>
    <row r="737">
      <c r="A737" s="80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</row>
    <row r="738">
      <c r="A738" s="80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</row>
    <row r="739">
      <c r="A739" s="80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</row>
    <row r="740">
      <c r="A740" s="80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</row>
    <row r="741">
      <c r="A741" s="80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</row>
    <row r="742">
      <c r="A742" s="80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</row>
    <row r="743">
      <c r="A743" s="80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</row>
    <row r="744">
      <c r="A744" s="80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</row>
    <row r="745">
      <c r="A745" s="80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</row>
    <row r="746">
      <c r="A746" s="80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</row>
    <row r="747">
      <c r="A747" s="80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</row>
    <row r="748">
      <c r="A748" s="80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</row>
    <row r="749">
      <c r="A749" s="80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</row>
    <row r="750">
      <c r="A750" s="80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</row>
    <row r="751">
      <c r="A751" s="80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</row>
    <row r="752">
      <c r="A752" s="80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</row>
    <row r="753">
      <c r="A753" s="80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</row>
    <row r="754">
      <c r="A754" s="80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</row>
    <row r="755">
      <c r="A755" s="80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</row>
    <row r="756">
      <c r="A756" s="80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</row>
    <row r="757">
      <c r="A757" s="80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</row>
    <row r="758">
      <c r="A758" s="80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</row>
    <row r="759">
      <c r="A759" s="80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</row>
    <row r="760">
      <c r="A760" s="80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</row>
    <row r="761">
      <c r="A761" s="80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</row>
    <row r="762">
      <c r="A762" s="80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</row>
    <row r="763">
      <c r="A763" s="80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</row>
    <row r="764">
      <c r="A764" s="80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</row>
    <row r="765">
      <c r="A765" s="80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</row>
    <row r="766">
      <c r="A766" s="80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</row>
    <row r="767">
      <c r="A767" s="80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</row>
    <row r="768">
      <c r="A768" s="80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</row>
    <row r="769">
      <c r="A769" s="80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</row>
    <row r="770">
      <c r="A770" s="80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</row>
    <row r="771">
      <c r="A771" s="80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</row>
    <row r="772">
      <c r="A772" s="80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</row>
    <row r="773">
      <c r="A773" s="80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</row>
    <row r="774">
      <c r="A774" s="80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</row>
    <row r="775">
      <c r="A775" s="80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</row>
    <row r="776">
      <c r="A776" s="80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</row>
    <row r="777">
      <c r="A777" s="80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</row>
    <row r="778">
      <c r="A778" s="80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</row>
    <row r="779">
      <c r="A779" s="80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</row>
    <row r="780">
      <c r="A780" s="80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</row>
    <row r="781">
      <c r="A781" s="80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</row>
    <row r="782">
      <c r="A782" s="80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</row>
    <row r="783">
      <c r="A783" s="80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</row>
    <row r="784">
      <c r="A784" s="80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</row>
    <row r="785">
      <c r="A785" s="80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</row>
    <row r="786">
      <c r="A786" s="80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</row>
    <row r="787">
      <c r="A787" s="80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</row>
    <row r="788">
      <c r="A788" s="80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</row>
    <row r="789">
      <c r="A789" s="80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</row>
    <row r="790">
      <c r="A790" s="80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</row>
    <row r="791">
      <c r="A791" s="80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</row>
    <row r="792">
      <c r="A792" s="80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</row>
    <row r="793">
      <c r="A793" s="80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</row>
    <row r="794">
      <c r="A794" s="80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</row>
    <row r="795">
      <c r="A795" s="80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</row>
    <row r="796">
      <c r="A796" s="80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</row>
    <row r="797">
      <c r="A797" s="80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</row>
    <row r="798">
      <c r="A798" s="80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</row>
    <row r="799">
      <c r="A799" s="80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</row>
    <row r="800">
      <c r="A800" s="80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</row>
    <row r="801">
      <c r="A801" s="80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</row>
    <row r="802">
      <c r="A802" s="80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</row>
    <row r="803">
      <c r="A803" s="80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</row>
    <row r="804">
      <c r="A804" s="80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</row>
    <row r="805">
      <c r="A805" s="80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</row>
    <row r="806">
      <c r="A806" s="80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</row>
    <row r="807">
      <c r="A807" s="80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</row>
    <row r="808">
      <c r="A808" s="80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</row>
    <row r="809">
      <c r="A809" s="80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</row>
    <row r="810">
      <c r="A810" s="80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</row>
    <row r="811">
      <c r="A811" s="80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</row>
    <row r="812">
      <c r="A812" s="80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</row>
    <row r="813">
      <c r="A813" s="80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</row>
    <row r="814">
      <c r="A814" s="80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</row>
    <row r="815">
      <c r="A815" s="80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</row>
    <row r="816">
      <c r="A816" s="80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</row>
    <row r="817">
      <c r="A817" s="80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</row>
    <row r="818">
      <c r="A818" s="80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</row>
    <row r="819">
      <c r="A819" s="80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</row>
    <row r="820">
      <c r="A820" s="80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</row>
    <row r="821">
      <c r="A821" s="80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</row>
    <row r="822">
      <c r="A822" s="80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</row>
    <row r="823">
      <c r="A823" s="80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</row>
    <row r="824">
      <c r="A824" s="80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</row>
    <row r="825">
      <c r="A825" s="80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</row>
    <row r="826">
      <c r="A826" s="80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</row>
    <row r="827">
      <c r="A827" s="80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</row>
    <row r="828">
      <c r="A828" s="80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</row>
    <row r="829">
      <c r="A829" s="80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</row>
    <row r="830">
      <c r="A830" s="80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</row>
    <row r="831">
      <c r="A831" s="80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</row>
    <row r="832">
      <c r="A832" s="80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</row>
    <row r="833">
      <c r="A833" s="80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</row>
    <row r="834">
      <c r="A834" s="80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</row>
    <row r="835">
      <c r="A835" s="80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</row>
    <row r="836">
      <c r="A836" s="80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</row>
    <row r="837">
      <c r="A837" s="80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</row>
    <row r="838">
      <c r="A838" s="80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</row>
    <row r="839">
      <c r="A839" s="80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</row>
    <row r="840">
      <c r="A840" s="80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</row>
    <row r="841">
      <c r="A841" s="80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</row>
    <row r="842">
      <c r="A842" s="80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</row>
    <row r="843">
      <c r="A843" s="80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</row>
    <row r="844">
      <c r="A844" s="80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</row>
    <row r="845">
      <c r="A845" s="80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</row>
    <row r="846">
      <c r="A846" s="80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</row>
    <row r="847">
      <c r="A847" s="80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</row>
    <row r="848">
      <c r="A848" s="80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</row>
    <row r="849">
      <c r="A849" s="80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</row>
    <row r="850">
      <c r="A850" s="80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</row>
    <row r="851">
      <c r="A851" s="80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</row>
    <row r="852">
      <c r="A852" s="80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</row>
    <row r="853">
      <c r="A853" s="80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</row>
    <row r="854">
      <c r="A854" s="80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</row>
    <row r="855">
      <c r="A855" s="80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</row>
    <row r="856">
      <c r="A856" s="80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</row>
    <row r="857">
      <c r="A857" s="80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</row>
    <row r="858">
      <c r="A858" s="80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</row>
    <row r="859">
      <c r="A859" s="80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</row>
    <row r="860">
      <c r="A860" s="80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</row>
    <row r="861">
      <c r="A861" s="80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</row>
    <row r="862">
      <c r="A862" s="80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</row>
    <row r="863">
      <c r="A863" s="80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</row>
    <row r="864">
      <c r="A864" s="80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</row>
    <row r="865">
      <c r="A865" s="80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</row>
    <row r="866">
      <c r="A866" s="80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</row>
    <row r="867">
      <c r="A867" s="80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</row>
    <row r="868">
      <c r="A868" s="80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</row>
    <row r="869">
      <c r="A869" s="80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</row>
    <row r="870">
      <c r="A870" s="80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</row>
    <row r="871">
      <c r="A871" s="80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</row>
    <row r="872">
      <c r="A872" s="80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</row>
    <row r="873">
      <c r="A873" s="80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</row>
    <row r="874">
      <c r="A874" s="80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</row>
    <row r="875">
      <c r="A875" s="80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</row>
    <row r="876">
      <c r="A876" s="80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</row>
    <row r="877">
      <c r="A877" s="80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</row>
    <row r="878">
      <c r="A878" s="80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</row>
    <row r="879">
      <c r="A879" s="80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</row>
    <row r="880">
      <c r="A880" s="80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</row>
    <row r="881">
      <c r="A881" s="80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</row>
    <row r="882">
      <c r="A882" s="80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</row>
    <row r="883">
      <c r="A883" s="80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</row>
    <row r="884">
      <c r="A884" s="80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</row>
    <row r="885">
      <c r="A885" s="80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</row>
    <row r="886">
      <c r="A886" s="80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</row>
    <row r="887">
      <c r="A887" s="80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</row>
    <row r="888">
      <c r="A888" s="80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</row>
    <row r="889">
      <c r="A889" s="80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</row>
    <row r="890">
      <c r="A890" s="80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</row>
    <row r="891">
      <c r="A891" s="80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</row>
    <row r="892">
      <c r="A892" s="80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</row>
    <row r="893">
      <c r="A893" s="80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</row>
    <row r="894">
      <c r="A894" s="80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</row>
    <row r="895">
      <c r="A895" s="80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</row>
    <row r="896">
      <c r="A896" s="80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</row>
    <row r="897">
      <c r="A897" s="80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</row>
    <row r="898">
      <c r="A898" s="80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</row>
    <row r="899">
      <c r="A899" s="80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</row>
    <row r="900">
      <c r="A900" s="80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</row>
    <row r="901">
      <c r="A901" s="80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</row>
    <row r="902">
      <c r="A902" s="80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</row>
    <row r="903">
      <c r="A903" s="80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</row>
    <row r="904">
      <c r="A904" s="80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</row>
    <row r="905">
      <c r="A905" s="80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</row>
    <row r="906">
      <c r="A906" s="80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</row>
    <row r="907">
      <c r="A907" s="80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</row>
    <row r="908">
      <c r="A908" s="80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</row>
    <row r="909">
      <c r="A909" s="80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</row>
    <row r="910">
      <c r="A910" s="80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</row>
    <row r="911">
      <c r="A911" s="80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</row>
    <row r="912">
      <c r="A912" s="80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</row>
    <row r="913">
      <c r="A913" s="80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</row>
    <row r="914">
      <c r="A914" s="80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</row>
    <row r="915">
      <c r="A915" s="80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</row>
    <row r="916">
      <c r="A916" s="80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</row>
    <row r="917">
      <c r="A917" s="80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</row>
    <row r="918">
      <c r="A918" s="80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</row>
    <row r="919">
      <c r="A919" s="80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</row>
    <row r="920">
      <c r="A920" s="80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</row>
    <row r="921">
      <c r="A921" s="80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</row>
    <row r="922">
      <c r="A922" s="80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</row>
    <row r="923">
      <c r="A923" s="80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</row>
    <row r="924">
      <c r="A924" s="80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</row>
    <row r="925">
      <c r="A925" s="80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</row>
    <row r="926">
      <c r="A926" s="80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</row>
    <row r="927">
      <c r="A927" s="80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</row>
    <row r="928">
      <c r="A928" s="80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</row>
    <row r="929">
      <c r="A929" s="80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</row>
    <row r="930">
      <c r="A930" s="80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</row>
    <row r="931">
      <c r="A931" s="80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</row>
    <row r="932">
      <c r="A932" s="80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</row>
    <row r="933">
      <c r="A933" s="80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</row>
    <row r="934">
      <c r="A934" s="80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</row>
    <row r="935">
      <c r="A935" s="80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</row>
    <row r="936">
      <c r="A936" s="80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</row>
    <row r="937">
      <c r="A937" s="80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</row>
    <row r="938">
      <c r="A938" s="80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</row>
    <row r="939">
      <c r="A939" s="80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</row>
    <row r="940">
      <c r="A940" s="80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</row>
    <row r="941">
      <c r="A941" s="80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</row>
    <row r="942">
      <c r="A942" s="80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</row>
    <row r="943">
      <c r="A943" s="80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</row>
    <row r="944">
      <c r="A944" s="80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</row>
    <row r="945">
      <c r="A945" s="80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</row>
    <row r="946">
      <c r="A946" s="80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</row>
    <row r="947">
      <c r="A947" s="80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</row>
    <row r="948">
      <c r="A948" s="80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</row>
    <row r="949">
      <c r="A949" s="80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</row>
    <row r="950">
      <c r="A950" s="80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</row>
    <row r="951">
      <c r="A951" s="80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</row>
    <row r="952">
      <c r="A952" s="80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</row>
    <row r="953">
      <c r="A953" s="80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</row>
    <row r="954">
      <c r="A954" s="80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</row>
    <row r="955">
      <c r="A955" s="80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</row>
    <row r="956">
      <c r="A956" s="80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</row>
    <row r="957">
      <c r="A957" s="80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</row>
    <row r="958">
      <c r="A958" s="80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</row>
    <row r="959">
      <c r="A959" s="80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</row>
    <row r="960">
      <c r="A960" s="80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</row>
    <row r="961">
      <c r="A961" s="80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</row>
    <row r="962">
      <c r="A962" s="80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</row>
    <row r="963">
      <c r="A963" s="80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</row>
    <row r="964">
      <c r="A964" s="80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</row>
    <row r="965">
      <c r="A965" s="80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</row>
    <row r="966">
      <c r="A966" s="80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</row>
    <row r="967">
      <c r="A967" s="80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</row>
    <row r="968">
      <c r="A968" s="80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</row>
    <row r="969">
      <c r="A969" s="80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</row>
    <row r="970">
      <c r="A970" s="80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</row>
    <row r="971">
      <c r="A971" s="80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</row>
    <row r="972">
      <c r="A972" s="80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</row>
    <row r="973">
      <c r="A973" s="80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</row>
    <row r="974">
      <c r="A974" s="80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</row>
    <row r="975">
      <c r="A975" s="80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</row>
    <row r="976">
      <c r="A976" s="80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</row>
    <row r="977">
      <c r="A977" s="80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</row>
    <row r="978">
      <c r="A978" s="80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</row>
    <row r="979">
      <c r="A979" s="80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</row>
    <row r="980">
      <c r="A980" s="80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</row>
    <row r="981">
      <c r="A981" s="80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</row>
    <row r="982">
      <c r="A982" s="80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</row>
    <row r="983">
      <c r="A983" s="80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</row>
    <row r="984">
      <c r="A984" s="80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</row>
    <row r="985">
      <c r="A985" s="80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</row>
    <row r="986">
      <c r="A986" s="80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</row>
    <row r="987">
      <c r="A987" s="80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</row>
    <row r="988">
      <c r="A988" s="80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</row>
    <row r="989">
      <c r="A989" s="80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</row>
    <row r="990">
      <c r="A990" s="80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</row>
    <row r="991">
      <c r="A991" s="80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</row>
    <row r="992">
      <c r="A992" s="80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</row>
    <row r="993">
      <c r="A993" s="80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</row>
    <row r="994">
      <c r="A994" s="80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</row>
    <row r="995">
      <c r="A995" s="80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</row>
    <row r="996">
      <c r="A996" s="80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</row>
    <row r="997">
      <c r="A997" s="80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</row>
    <row r="998">
      <c r="A998" s="80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</row>
  </sheetData>
  <conditionalFormatting sqref="C76:M76">
    <cfRule type="cellIs" dxfId="2" priority="1" operator="lessThan">
      <formula>0</formula>
    </cfRule>
  </conditionalFormatting>
  <conditionalFormatting sqref="C77:M77">
    <cfRule type="cellIs" dxfId="2" priority="2" operator="greaterThanOrEqual">
      <formula>1</formula>
    </cfRule>
  </conditionalFormatting>
  <conditionalFormatting sqref="A91:M92">
    <cfRule type="cellIs" dxfId="2" priority="3" operator="lessThanOrEqual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5.5"/>
  </cols>
  <sheetData>
    <row r="1">
      <c r="A1" s="122"/>
      <c r="B1" s="123" t="s">
        <v>186</v>
      </c>
      <c r="C1" s="122"/>
      <c r="D1" s="122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5"/>
      <c r="R1" s="125"/>
      <c r="S1" s="125"/>
      <c r="T1" s="125"/>
      <c r="U1" s="125"/>
    </row>
    <row r="2">
      <c r="A2" s="122"/>
      <c r="B2" s="124"/>
      <c r="C2" s="122"/>
      <c r="D2" s="122"/>
      <c r="E2" s="126" t="s">
        <v>187</v>
      </c>
      <c r="F2" s="126" t="s">
        <v>188</v>
      </c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5"/>
      <c r="R2" s="125"/>
      <c r="S2" s="125"/>
      <c r="T2" s="125"/>
      <c r="U2" s="125"/>
    </row>
    <row r="3">
      <c r="A3" s="122"/>
      <c r="B3" s="126" t="s">
        <v>189</v>
      </c>
      <c r="C3" s="127">
        <f>SUM(D12:O12)</f>
        <v>111404740</v>
      </c>
      <c r="D3" s="124">
        <v>4.903991212981207E7</v>
      </c>
      <c r="E3" s="124">
        <f t="shared" ref="E3:E5" si="1">C3-D3</f>
        <v>62364827.84</v>
      </c>
      <c r="F3" s="128">
        <f>IFERROR(E3/D3,0)</f>
        <v>1.271715734</v>
      </c>
      <c r="G3" s="124"/>
      <c r="H3" s="128"/>
      <c r="I3" s="129"/>
      <c r="J3" s="124"/>
      <c r="K3" s="124"/>
      <c r="L3" s="124"/>
      <c r="M3" s="124"/>
      <c r="N3" s="124"/>
      <c r="O3" s="124"/>
      <c r="P3" s="124"/>
      <c r="Q3" s="125"/>
      <c r="R3" s="125"/>
      <c r="S3" s="125"/>
      <c r="T3" s="125"/>
      <c r="U3" s="125"/>
    </row>
    <row r="4">
      <c r="A4" s="122"/>
      <c r="B4" s="126" t="s">
        <v>190</v>
      </c>
      <c r="C4" s="127">
        <f>O115</f>
        <v>28263019.62</v>
      </c>
      <c r="D4" s="124">
        <v>2877865.7654917045</v>
      </c>
      <c r="E4" s="124">
        <f t="shared" si="1"/>
        <v>25385153.86</v>
      </c>
      <c r="F4" s="128">
        <f t="shared" ref="F4:F5" si="2">E4/D4</f>
        <v>8.82082624</v>
      </c>
      <c r="G4" s="124"/>
      <c r="H4" s="124"/>
      <c r="I4" s="124"/>
      <c r="J4" s="124"/>
      <c r="K4" s="129"/>
      <c r="L4" s="124"/>
      <c r="M4" s="124"/>
      <c r="N4" s="124"/>
      <c r="O4" s="124"/>
      <c r="P4" s="124"/>
      <c r="Q4" s="125"/>
      <c r="R4" s="125"/>
      <c r="S4" s="125"/>
      <c r="T4" s="125"/>
      <c r="U4" s="125"/>
    </row>
    <row r="5">
      <c r="A5" s="122"/>
      <c r="B5" s="126" t="s">
        <v>191</v>
      </c>
      <c r="C5" s="127">
        <f>O166</f>
        <v>25774200.46</v>
      </c>
      <c r="D5" s="124">
        <v>2483323.6161134606</v>
      </c>
      <c r="E5" s="124">
        <f t="shared" si="1"/>
        <v>23290876.85</v>
      </c>
      <c r="F5" s="128">
        <f t="shared" si="2"/>
        <v>9.378913282</v>
      </c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5"/>
      <c r="R5" s="125"/>
      <c r="S5" s="125"/>
      <c r="T5" s="125"/>
      <c r="U5" s="125"/>
    </row>
    <row r="6">
      <c r="A6" s="122"/>
      <c r="B6" s="122"/>
      <c r="C6" s="122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5"/>
      <c r="R6" s="125"/>
      <c r="S6" s="125"/>
      <c r="T6" s="125"/>
      <c r="U6" s="125"/>
    </row>
    <row r="7">
      <c r="A7" s="122"/>
      <c r="B7" s="130" t="s">
        <v>192</v>
      </c>
      <c r="C7" s="122"/>
      <c r="D7" s="131">
        <f t="shared" ref="D7:O7" si="3">D12</f>
        <v>10614122</v>
      </c>
      <c r="E7" s="131">
        <f t="shared" si="3"/>
        <v>10614122</v>
      </c>
      <c r="F7" s="131">
        <f t="shared" si="3"/>
        <v>10614122</v>
      </c>
      <c r="G7" s="131">
        <f t="shared" si="3"/>
        <v>9017649.597</v>
      </c>
      <c r="H7" s="131">
        <f t="shared" si="3"/>
        <v>9017649.597</v>
      </c>
      <c r="I7" s="131">
        <f t="shared" si="3"/>
        <v>5824704.799</v>
      </c>
      <c r="J7" s="131">
        <f t="shared" si="3"/>
        <v>5824704.799</v>
      </c>
      <c r="K7" s="131">
        <f t="shared" si="3"/>
        <v>7421177.198</v>
      </c>
      <c r="L7" s="131">
        <f t="shared" si="3"/>
        <v>10614122</v>
      </c>
      <c r="M7" s="131">
        <f t="shared" si="3"/>
        <v>10614122</v>
      </c>
      <c r="N7" s="131">
        <f t="shared" si="3"/>
        <v>10614122</v>
      </c>
      <c r="O7" s="131">
        <f t="shared" si="3"/>
        <v>10614122</v>
      </c>
      <c r="P7" s="124"/>
      <c r="Q7" s="125"/>
      <c r="R7" s="125"/>
      <c r="S7" s="125"/>
      <c r="T7" s="125"/>
      <c r="U7" s="125"/>
    </row>
    <row r="8">
      <c r="A8" s="122"/>
      <c r="B8" s="130" t="s">
        <v>193</v>
      </c>
      <c r="C8" s="122"/>
      <c r="D8" s="131">
        <f t="shared" ref="D8:O8" si="4">IFERROR(-(D80+D66)/D58,0)</f>
        <v>2438598.768</v>
      </c>
      <c r="E8" s="131">
        <f t="shared" si="4"/>
        <v>2438598.768</v>
      </c>
      <c r="F8" s="131">
        <f t="shared" si="4"/>
        <v>2438598.768</v>
      </c>
      <c r="G8" s="131">
        <f t="shared" si="4"/>
        <v>2427407.355</v>
      </c>
      <c r="H8" s="131">
        <f t="shared" si="4"/>
        <v>2427407.355</v>
      </c>
      <c r="I8" s="131">
        <f t="shared" si="4"/>
        <v>2404261.606</v>
      </c>
      <c r="J8" s="131">
        <f t="shared" si="4"/>
        <v>2404261.606</v>
      </c>
      <c r="K8" s="131">
        <f t="shared" si="4"/>
        <v>2416016.256</v>
      </c>
      <c r="L8" s="131">
        <f t="shared" si="4"/>
        <v>2438598.768</v>
      </c>
      <c r="M8" s="131">
        <f t="shared" si="4"/>
        <v>2438598.768</v>
      </c>
      <c r="N8" s="131">
        <f t="shared" si="4"/>
        <v>2438598.768</v>
      </c>
      <c r="O8" s="131">
        <f t="shared" si="4"/>
        <v>2438598.768</v>
      </c>
      <c r="P8" s="124"/>
      <c r="Q8" s="125"/>
      <c r="R8" s="125"/>
      <c r="S8" s="125"/>
      <c r="T8" s="125"/>
      <c r="U8" s="125"/>
    </row>
    <row r="9">
      <c r="A9" s="122"/>
      <c r="B9" s="130" t="s">
        <v>194</v>
      </c>
      <c r="C9" s="122"/>
      <c r="D9" s="131">
        <f t="shared" ref="D9:O9" si="5">D113</f>
        <v>2803456.979</v>
      </c>
      <c r="E9" s="131">
        <f t="shared" si="5"/>
        <v>2805100.428</v>
      </c>
      <c r="F9" s="131">
        <f t="shared" si="5"/>
        <v>2806760.312</v>
      </c>
      <c r="G9" s="131">
        <f t="shared" si="5"/>
        <v>2259373.792</v>
      </c>
      <c r="H9" s="131">
        <f t="shared" si="5"/>
        <v>2261067.04</v>
      </c>
      <c r="I9" s="131">
        <f t="shared" si="5"/>
        <v>1164651.216</v>
      </c>
      <c r="J9" s="131">
        <f t="shared" si="5"/>
        <v>1166378.497</v>
      </c>
      <c r="K9" s="131">
        <f t="shared" si="5"/>
        <v>1717186.053</v>
      </c>
      <c r="L9" s="131">
        <f t="shared" si="5"/>
        <v>2817074.056</v>
      </c>
      <c r="M9" s="131">
        <f t="shared" si="5"/>
        <v>2818853.676</v>
      </c>
      <c r="N9" s="131">
        <f t="shared" si="5"/>
        <v>2820651.092</v>
      </c>
      <c r="O9" s="131">
        <f t="shared" si="5"/>
        <v>2822466.482</v>
      </c>
      <c r="P9" s="124"/>
      <c r="Q9" s="125"/>
      <c r="R9" s="125"/>
      <c r="S9" s="125"/>
      <c r="T9" s="125"/>
      <c r="U9" s="125"/>
    </row>
    <row r="10">
      <c r="A10" s="122"/>
      <c r="B10" s="130" t="s">
        <v>195</v>
      </c>
      <c r="C10" s="122"/>
      <c r="D10" s="131">
        <f t="shared" ref="D10:O10" si="6">D166</f>
        <v>1372463.961</v>
      </c>
      <c r="E10" s="131">
        <f t="shared" si="6"/>
        <v>4400424.683</v>
      </c>
      <c r="F10" s="131">
        <f t="shared" si="6"/>
        <v>7314787.852</v>
      </c>
      <c r="G10" s="131">
        <f t="shared" si="6"/>
        <v>10753807.8</v>
      </c>
      <c r="H10" s="131">
        <f t="shared" si="6"/>
        <v>13000325.85</v>
      </c>
      <c r="I10" s="131">
        <f t="shared" si="6"/>
        <v>16419720.66</v>
      </c>
      <c r="J10" s="131">
        <f t="shared" si="6"/>
        <v>17557128.57</v>
      </c>
      <c r="K10" s="131">
        <f t="shared" si="6"/>
        <v>18029338.2</v>
      </c>
      <c r="L10" s="131">
        <f t="shared" si="6"/>
        <v>18338093.89</v>
      </c>
      <c r="M10" s="131">
        <f t="shared" si="6"/>
        <v>20841983.23</v>
      </c>
      <c r="N10" s="131">
        <f t="shared" si="6"/>
        <v>23319222.19</v>
      </c>
      <c r="O10" s="131">
        <f t="shared" si="6"/>
        <v>25774200.46</v>
      </c>
      <c r="P10" s="124"/>
      <c r="Q10" s="125"/>
      <c r="R10" s="125"/>
      <c r="S10" s="125"/>
      <c r="T10" s="125"/>
      <c r="U10" s="125"/>
    </row>
    <row r="11">
      <c r="A11" s="122"/>
      <c r="B11" s="122"/>
      <c r="C11" s="122" t="s">
        <v>1</v>
      </c>
      <c r="D11" s="124" t="s">
        <v>2</v>
      </c>
      <c r="E11" s="124" t="s">
        <v>3</v>
      </c>
      <c r="F11" s="124" t="s">
        <v>4</v>
      </c>
      <c r="G11" s="124" t="s">
        <v>5</v>
      </c>
      <c r="H11" s="124" t="s">
        <v>6</v>
      </c>
      <c r="I11" s="124" t="s">
        <v>7</v>
      </c>
      <c r="J11" s="124" t="s">
        <v>8</v>
      </c>
      <c r="K11" s="124" t="s">
        <v>9</v>
      </c>
      <c r="L11" s="124" t="s">
        <v>10</v>
      </c>
      <c r="M11" s="124" t="s">
        <v>11</v>
      </c>
      <c r="N11" s="124" t="s">
        <v>12</v>
      </c>
      <c r="O11" s="124" t="s">
        <v>13</v>
      </c>
      <c r="P11" s="124" t="s">
        <v>196</v>
      </c>
      <c r="Q11" s="125"/>
      <c r="R11" s="125"/>
      <c r="S11" s="125"/>
      <c r="T11" s="125"/>
      <c r="U11" s="125"/>
    </row>
    <row r="12">
      <c r="A12" s="127" t="s">
        <v>197</v>
      </c>
      <c r="B12" s="132" t="s">
        <v>198</v>
      </c>
      <c r="C12" s="133"/>
      <c r="D12" s="132">
        <f t="shared" ref="D12:O12" si="7">D14+D33</f>
        <v>10614122</v>
      </c>
      <c r="E12" s="132">
        <f t="shared" si="7"/>
        <v>10614122</v>
      </c>
      <c r="F12" s="132">
        <f t="shared" si="7"/>
        <v>10614122</v>
      </c>
      <c r="G12" s="132">
        <f t="shared" si="7"/>
        <v>9017649.597</v>
      </c>
      <c r="H12" s="132">
        <f t="shared" si="7"/>
        <v>9017649.597</v>
      </c>
      <c r="I12" s="132">
        <f t="shared" si="7"/>
        <v>5824704.799</v>
      </c>
      <c r="J12" s="132">
        <f t="shared" si="7"/>
        <v>5824704.799</v>
      </c>
      <c r="K12" s="132">
        <f t="shared" si="7"/>
        <v>7421177.198</v>
      </c>
      <c r="L12" s="132">
        <f t="shared" si="7"/>
        <v>10614122</v>
      </c>
      <c r="M12" s="132">
        <f t="shared" si="7"/>
        <v>10614122</v>
      </c>
      <c r="N12" s="132">
        <f t="shared" si="7"/>
        <v>10614122</v>
      </c>
      <c r="O12" s="132">
        <f t="shared" si="7"/>
        <v>10614122</v>
      </c>
      <c r="P12" s="132">
        <f>SUM(D12:O12)</f>
        <v>111404740</v>
      </c>
      <c r="Q12" s="125"/>
      <c r="R12" s="125"/>
      <c r="S12" s="125"/>
      <c r="T12" s="125"/>
      <c r="U12" s="125"/>
    </row>
    <row r="13">
      <c r="A13" s="134"/>
      <c r="B13" s="13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5"/>
      <c r="R13" s="125"/>
      <c r="S13" s="125"/>
      <c r="T13" s="125"/>
      <c r="U13" s="125"/>
    </row>
    <row r="14">
      <c r="A14" s="135"/>
      <c r="B14" s="136" t="s">
        <v>199</v>
      </c>
      <c r="C14" s="137"/>
      <c r="D14" s="138">
        <f t="shared" ref="D14:O14" si="8">D16+D29</f>
        <v>9955600.858</v>
      </c>
      <c r="E14" s="138">
        <f t="shared" si="8"/>
        <v>9955600.858</v>
      </c>
      <c r="F14" s="138">
        <f t="shared" si="8"/>
        <v>9955600.858</v>
      </c>
      <c r="G14" s="138">
        <f t="shared" si="8"/>
        <v>8490832.686</v>
      </c>
      <c r="H14" s="138">
        <f t="shared" si="8"/>
        <v>8490832.686</v>
      </c>
      <c r="I14" s="138">
        <f t="shared" si="8"/>
        <v>5561296.343</v>
      </c>
      <c r="J14" s="138">
        <f t="shared" si="8"/>
        <v>5561296.343</v>
      </c>
      <c r="K14" s="138">
        <f t="shared" si="8"/>
        <v>7026064.515</v>
      </c>
      <c r="L14" s="138">
        <f t="shared" si="8"/>
        <v>9955600.858</v>
      </c>
      <c r="M14" s="138">
        <f t="shared" si="8"/>
        <v>9955600.858</v>
      </c>
      <c r="N14" s="138">
        <f t="shared" si="8"/>
        <v>9955600.858</v>
      </c>
      <c r="O14" s="138">
        <f t="shared" si="8"/>
        <v>9955600.858</v>
      </c>
      <c r="P14" s="138">
        <f>SUM(D14:O14)</f>
        <v>104819528.6</v>
      </c>
      <c r="Q14" s="125"/>
      <c r="R14" s="125"/>
      <c r="S14" s="125"/>
      <c r="T14" s="125"/>
      <c r="U14" s="125"/>
    </row>
    <row r="15">
      <c r="A15" s="134"/>
      <c r="B15" s="13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5"/>
      <c r="R15" s="125"/>
      <c r="S15" s="125"/>
      <c r="T15" s="125"/>
      <c r="U15" s="125"/>
    </row>
    <row r="16">
      <c r="A16" s="139"/>
      <c r="B16" s="140" t="s">
        <v>200</v>
      </c>
      <c r="C16" s="141"/>
      <c r="D16" s="142">
        <f t="shared" ref="D16:O16" si="9">D26*$C$27*D28</f>
        <v>7323840.858</v>
      </c>
      <c r="E16" s="142">
        <f t="shared" si="9"/>
        <v>7323840.858</v>
      </c>
      <c r="F16" s="142">
        <f t="shared" si="9"/>
        <v>7323840.858</v>
      </c>
      <c r="G16" s="142">
        <f t="shared" si="9"/>
        <v>5859072.686</v>
      </c>
      <c r="H16" s="142">
        <f t="shared" si="9"/>
        <v>5859072.686</v>
      </c>
      <c r="I16" s="142">
        <f t="shared" si="9"/>
        <v>2929536.343</v>
      </c>
      <c r="J16" s="142">
        <f t="shared" si="9"/>
        <v>2929536.343</v>
      </c>
      <c r="K16" s="142">
        <f t="shared" si="9"/>
        <v>4394304.515</v>
      </c>
      <c r="L16" s="142">
        <f t="shared" si="9"/>
        <v>7323840.858</v>
      </c>
      <c r="M16" s="142">
        <f t="shared" si="9"/>
        <v>7323840.858</v>
      </c>
      <c r="N16" s="142">
        <f t="shared" si="9"/>
        <v>7323840.858</v>
      </c>
      <c r="O16" s="142">
        <f t="shared" si="9"/>
        <v>7323840.858</v>
      </c>
      <c r="P16" s="142">
        <f>SUM(D16:O16)</f>
        <v>73238408.58</v>
      </c>
      <c r="Q16" s="125"/>
      <c r="R16" s="125"/>
      <c r="S16" s="125"/>
      <c r="T16" s="125"/>
      <c r="U16" s="125"/>
    </row>
    <row r="17">
      <c r="A17" s="134"/>
      <c r="B17" s="134" t="s">
        <v>201</v>
      </c>
      <c r="C17" s="143">
        <f>(2860707-203132)/12</f>
        <v>221464.5833</v>
      </c>
      <c r="D17" s="124">
        <f t="shared" ref="D17:O17" si="10">$C$17+(C17*$C$18)</f>
        <v>225893.875</v>
      </c>
      <c r="E17" s="124">
        <f t="shared" si="10"/>
        <v>225982.4608</v>
      </c>
      <c r="F17" s="124">
        <f t="shared" si="10"/>
        <v>225984.2326</v>
      </c>
      <c r="G17" s="124">
        <f t="shared" si="10"/>
        <v>225984.268</v>
      </c>
      <c r="H17" s="124">
        <f t="shared" si="10"/>
        <v>225984.2687</v>
      </c>
      <c r="I17" s="124">
        <f t="shared" si="10"/>
        <v>225984.2687</v>
      </c>
      <c r="J17" s="124">
        <f t="shared" si="10"/>
        <v>225984.2687</v>
      </c>
      <c r="K17" s="124">
        <f t="shared" si="10"/>
        <v>225984.2687</v>
      </c>
      <c r="L17" s="124">
        <f t="shared" si="10"/>
        <v>225984.2687</v>
      </c>
      <c r="M17" s="124">
        <f t="shared" si="10"/>
        <v>225984.2687</v>
      </c>
      <c r="N17" s="124">
        <f t="shared" si="10"/>
        <v>225984.2687</v>
      </c>
      <c r="O17" s="124">
        <f t="shared" si="10"/>
        <v>225984.2687</v>
      </c>
      <c r="P17" s="124"/>
      <c r="Q17" s="125"/>
      <c r="R17" s="125"/>
      <c r="S17" s="125"/>
      <c r="T17" s="125"/>
      <c r="U17" s="125"/>
    </row>
    <row r="18">
      <c r="A18" s="134"/>
      <c r="B18" s="134" t="s">
        <v>202</v>
      </c>
      <c r="C18" s="144">
        <v>0.02</v>
      </c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5"/>
      <c r="R18" s="125"/>
      <c r="S18" s="125"/>
      <c r="T18" s="125"/>
      <c r="U18" s="125"/>
    </row>
    <row r="19">
      <c r="A19" s="122"/>
      <c r="B19" s="122" t="s">
        <v>203</v>
      </c>
      <c r="C19" s="145">
        <v>0.079</v>
      </c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5"/>
      <c r="R19" s="125"/>
      <c r="S19" s="125"/>
      <c r="T19" s="125"/>
      <c r="U19" s="125"/>
    </row>
    <row r="20">
      <c r="A20" s="134"/>
      <c r="B20" s="122" t="s">
        <v>204</v>
      </c>
      <c r="C20" s="146"/>
      <c r="D20" s="124">
        <f t="shared" ref="D20:O20" si="11">D17*$C$19</f>
        <v>17845.61613</v>
      </c>
      <c r="E20" s="124">
        <f t="shared" si="11"/>
        <v>17852.61441</v>
      </c>
      <c r="F20" s="124">
        <f t="shared" si="11"/>
        <v>17852.75437</v>
      </c>
      <c r="G20" s="124">
        <f t="shared" si="11"/>
        <v>17852.75717</v>
      </c>
      <c r="H20" s="124">
        <f t="shared" si="11"/>
        <v>17852.75723</v>
      </c>
      <c r="I20" s="124">
        <f t="shared" si="11"/>
        <v>17852.75723</v>
      </c>
      <c r="J20" s="124">
        <f t="shared" si="11"/>
        <v>17852.75723</v>
      </c>
      <c r="K20" s="124">
        <f t="shared" si="11"/>
        <v>17852.75723</v>
      </c>
      <c r="L20" s="124">
        <f t="shared" si="11"/>
        <v>17852.75723</v>
      </c>
      <c r="M20" s="124">
        <f t="shared" si="11"/>
        <v>17852.75723</v>
      </c>
      <c r="N20" s="124">
        <f t="shared" si="11"/>
        <v>17852.75723</v>
      </c>
      <c r="O20" s="124">
        <f t="shared" si="11"/>
        <v>17852.75723</v>
      </c>
      <c r="P20" s="124"/>
      <c r="Q20" s="125"/>
      <c r="R20" s="125"/>
      <c r="S20" s="125"/>
      <c r="T20" s="125"/>
      <c r="U20" s="125"/>
    </row>
    <row r="21">
      <c r="A21" s="122"/>
      <c r="B21" s="122" t="s">
        <v>205</v>
      </c>
      <c r="C21" s="145">
        <v>0.2</v>
      </c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5"/>
      <c r="R21" s="125"/>
      <c r="S21" s="125"/>
      <c r="T21" s="125"/>
      <c r="U21" s="125"/>
    </row>
    <row r="22">
      <c r="A22" s="122"/>
      <c r="B22" s="122" t="s">
        <v>206</v>
      </c>
      <c r="C22" s="143"/>
      <c r="D22" s="124">
        <f t="shared" ref="D22:O22" si="12">$D$20*$C$21</f>
        <v>3569.123225</v>
      </c>
      <c r="E22" s="124">
        <f t="shared" si="12"/>
        <v>3569.123225</v>
      </c>
      <c r="F22" s="124">
        <f t="shared" si="12"/>
        <v>3569.123225</v>
      </c>
      <c r="G22" s="124">
        <f t="shared" si="12"/>
        <v>3569.123225</v>
      </c>
      <c r="H22" s="124">
        <f t="shared" si="12"/>
        <v>3569.123225</v>
      </c>
      <c r="I22" s="124">
        <f t="shared" si="12"/>
        <v>3569.123225</v>
      </c>
      <c r="J22" s="124">
        <f t="shared" si="12"/>
        <v>3569.123225</v>
      </c>
      <c r="K22" s="124">
        <f t="shared" si="12"/>
        <v>3569.123225</v>
      </c>
      <c r="L22" s="124">
        <f t="shared" si="12"/>
        <v>3569.123225</v>
      </c>
      <c r="M22" s="124">
        <f t="shared" si="12"/>
        <v>3569.123225</v>
      </c>
      <c r="N22" s="124">
        <f t="shared" si="12"/>
        <v>3569.123225</v>
      </c>
      <c r="O22" s="124">
        <f t="shared" si="12"/>
        <v>3569.123225</v>
      </c>
      <c r="P22" s="124"/>
      <c r="Q22" s="125"/>
      <c r="R22" s="125"/>
      <c r="S22" s="125"/>
      <c r="T22" s="125"/>
      <c r="U22" s="125"/>
    </row>
    <row r="23">
      <c r="A23" s="122"/>
      <c r="B23" s="122" t="s">
        <v>207</v>
      </c>
      <c r="C23" s="145">
        <v>0.5</v>
      </c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5"/>
      <c r="R23" s="125"/>
      <c r="S23" s="125"/>
      <c r="T23" s="125"/>
      <c r="U23" s="125"/>
    </row>
    <row r="24">
      <c r="A24" s="122"/>
      <c r="B24" s="122" t="s">
        <v>208</v>
      </c>
      <c r="C24" s="143"/>
      <c r="D24" s="124">
        <f t="shared" ref="D24:O24" si="13">D22*$C$23</f>
        <v>1784.561613</v>
      </c>
      <c r="E24" s="124">
        <f t="shared" si="13"/>
        <v>1784.561613</v>
      </c>
      <c r="F24" s="124">
        <f t="shared" si="13"/>
        <v>1784.561613</v>
      </c>
      <c r="G24" s="124">
        <f t="shared" si="13"/>
        <v>1784.561613</v>
      </c>
      <c r="H24" s="124">
        <f t="shared" si="13"/>
        <v>1784.561613</v>
      </c>
      <c r="I24" s="124">
        <f t="shared" si="13"/>
        <v>1784.561613</v>
      </c>
      <c r="J24" s="124">
        <f t="shared" si="13"/>
        <v>1784.561613</v>
      </c>
      <c r="K24" s="124">
        <f t="shared" si="13"/>
        <v>1784.561613</v>
      </c>
      <c r="L24" s="124">
        <f t="shared" si="13"/>
        <v>1784.561613</v>
      </c>
      <c r="M24" s="124">
        <f t="shared" si="13"/>
        <v>1784.561613</v>
      </c>
      <c r="N24" s="124">
        <f t="shared" si="13"/>
        <v>1784.561613</v>
      </c>
      <c r="O24" s="124">
        <f t="shared" si="13"/>
        <v>1784.561613</v>
      </c>
      <c r="P24" s="124"/>
      <c r="Q24" s="125"/>
      <c r="R24" s="125"/>
      <c r="S24" s="125"/>
      <c r="T24" s="125"/>
      <c r="U24" s="125"/>
    </row>
    <row r="25">
      <c r="A25" s="122"/>
      <c r="B25" s="122" t="s">
        <v>209</v>
      </c>
      <c r="C25" s="145">
        <v>0.088</v>
      </c>
      <c r="D25" s="124">
        <f>D24*$C$25</f>
        <v>157.0414219</v>
      </c>
      <c r="E25" s="124">
        <f t="shared" ref="E25:O25" si="14">D25</f>
        <v>157.0414219</v>
      </c>
      <c r="F25" s="124">
        <f t="shared" si="14"/>
        <v>157.0414219</v>
      </c>
      <c r="G25" s="124">
        <f t="shared" si="14"/>
        <v>157.0414219</v>
      </c>
      <c r="H25" s="124">
        <f t="shared" si="14"/>
        <v>157.0414219</v>
      </c>
      <c r="I25" s="124">
        <f t="shared" si="14"/>
        <v>157.0414219</v>
      </c>
      <c r="J25" s="124">
        <f t="shared" si="14"/>
        <v>157.0414219</v>
      </c>
      <c r="K25" s="124">
        <f t="shared" si="14"/>
        <v>157.0414219</v>
      </c>
      <c r="L25" s="124">
        <f t="shared" si="14"/>
        <v>157.0414219</v>
      </c>
      <c r="M25" s="124">
        <f t="shared" si="14"/>
        <v>157.0414219</v>
      </c>
      <c r="N25" s="124">
        <f t="shared" si="14"/>
        <v>157.0414219</v>
      </c>
      <c r="O25" s="124">
        <f t="shared" si="14"/>
        <v>157.0414219</v>
      </c>
      <c r="P25" s="124"/>
      <c r="Q25" s="125"/>
      <c r="R25" s="125"/>
      <c r="S25" s="125"/>
      <c r="T25" s="125"/>
      <c r="U25" s="125"/>
    </row>
    <row r="26">
      <c r="A26" s="122"/>
      <c r="B26" s="122" t="s">
        <v>210</v>
      </c>
      <c r="C26" s="147"/>
      <c r="D26" s="124">
        <f t="shared" ref="D26:O26" si="15">D24-D25</f>
        <v>1627.520191</v>
      </c>
      <c r="E26" s="124">
        <f t="shared" si="15"/>
        <v>1627.520191</v>
      </c>
      <c r="F26" s="124">
        <f t="shared" si="15"/>
        <v>1627.520191</v>
      </c>
      <c r="G26" s="124">
        <f t="shared" si="15"/>
        <v>1627.520191</v>
      </c>
      <c r="H26" s="124">
        <f t="shared" si="15"/>
        <v>1627.520191</v>
      </c>
      <c r="I26" s="124">
        <f t="shared" si="15"/>
        <v>1627.520191</v>
      </c>
      <c r="J26" s="124">
        <f t="shared" si="15"/>
        <v>1627.520191</v>
      </c>
      <c r="K26" s="124">
        <f t="shared" si="15"/>
        <v>1627.520191</v>
      </c>
      <c r="L26" s="124">
        <f t="shared" si="15"/>
        <v>1627.520191</v>
      </c>
      <c r="M26" s="124">
        <f t="shared" si="15"/>
        <v>1627.520191</v>
      </c>
      <c r="N26" s="124">
        <f t="shared" si="15"/>
        <v>1627.520191</v>
      </c>
      <c r="O26" s="124">
        <f t="shared" si="15"/>
        <v>1627.520191</v>
      </c>
      <c r="P26" s="124"/>
      <c r="Q26" s="125"/>
      <c r="R26" s="125"/>
      <c r="S26" s="125"/>
      <c r="T26" s="125"/>
      <c r="U26" s="125"/>
    </row>
    <row r="27">
      <c r="A27" s="122"/>
      <c r="B27" s="122" t="s">
        <v>66</v>
      </c>
      <c r="C27" s="143">
        <v>4500.0</v>
      </c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5"/>
      <c r="R27" s="125"/>
      <c r="S27" s="125"/>
      <c r="T27" s="125"/>
      <c r="U27" s="125"/>
    </row>
    <row r="28">
      <c r="A28" s="122"/>
      <c r="B28" s="148" t="s">
        <v>211</v>
      </c>
      <c r="C28" s="148"/>
      <c r="D28" s="143">
        <v>1.0</v>
      </c>
      <c r="E28" s="143">
        <v>1.0</v>
      </c>
      <c r="F28" s="143">
        <v>1.0</v>
      </c>
      <c r="G28" s="149">
        <v>0.8</v>
      </c>
      <c r="H28" s="149">
        <v>0.8</v>
      </c>
      <c r="I28" s="149">
        <v>0.4</v>
      </c>
      <c r="J28" s="149">
        <v>0.4</v>
      </c>
      <c r="K28" s="149">
        <v>0.6</v>
      </c>
      <c r="L28" s="143">
        <v>1.0</v>
      </c>
      <c r="M28" s="143">
        <v>1.0</v>
      </c>
      <c r="N28" s="143">
        <v>1.0</v>
      </c>
      <c r="O28" s="143">
        <v>1.0</v>
      </c>
      <c r="P28" s="124"/>
      <c r="Q28" s="125"/>
      <c r="R28" s="125"/>
      <c r="S28" s="125"/>
      <c r="T28" s="125"/>
      <c r="U28" s="125"/>
    </row>
    <row r="29">
      <c r="A29" s="150"/>
      <c r="B29" s="151" t="s">
        <v>212</v>
      </c>
      <c r="C29" s="150"/>
      <c r="D29" s="152">
        <f t="shared" ref="D29:O29" si="16">$C$31*D30</f>
        <v>2631760</v>
      </c>
      <c r="E29" s="152">
        <f t="shared" si="16"/>
        <v>2631760</v>
      </c>
      <c r="F29" s="152">
        <f t="shared" si="16"/>
        <v>2631760</v>
      </c>
      <c r="G29" s="152">
        <f t="shared" si="16"/>
        <v>2631760</v>
      </c>
      <c r="H29" s="152">
        <f t="shared" si="16"/>
        <v>2631760</v>
      </c>
      <c r="I29" s="152">
        <f t="shared" si="16"/>
        <v>2631760</v>
      </c>
      <c r="J29" s="152">
        <f t="shared" si="16"/>
        <v>2631760</v>
      </c>
      <c r="K29" s="152">
        <f t="shared" si="16"/>
        <v>2631760</v>
      </c>
      <c r="L29" s="152">
        <f t="shared" si="16"/>
        <v>2631760</v>
      </c>
      <c r="M29" s="152">
        <f t="shared" si="16"/>
        <v>2631760</v>
      </c>
      <c r="N29" s="152">
        <f t="shared" si="16"/>
        <v>2631760</v>
      </c>
      <c r="O29" s="152">
        <f t="shared" si="16"/>
        <v>2631760</v>
      </c>
      <c r="P29" s="142">
        <f>SUM(D29:O29)</f>
        <v>31581120</v>
      </c>
      <c r="Q29" s="125"/>
      <c r="R29" s="125"/>
      <c r="S29" s="125"/>
      <c r="T29" s="125"/>
      <c r="U29" s="125"/>
    </row>
    <row r="30">
      <c r="A30" s="122"/>
      <c r="B30" s="122" t="s">
        <v>210</v>
      </c>
      <c r="C30" s="143">
        <v>536.0</v>
      </c>
      <c r="D30" s="124">
        <f t="shared" ref="D30:O30" si="17">C30</f>
        <v>536</v>
      </c>
      <c r="E30" s="124">
        <f t="shared" si="17"/>
        <v>536</v>
      </c>
      <c r="F30" s="124">
        <f t="shared" si="17"/>
        <v>536</v>
      </c>
      <c r="G30" s="124">
        <f t="shared" si="17"/>
        <v>536</v>
      </c>
      <c r="H30" s="124">
        <f t="shared" si="17"/>
        <v>536</v>
      </c>
      <c r="I30" s="124">
        <f t="shared" si="17"/>
        <v>536</v>
      </c>
      <c r="J30" s="124">
        <f t="shared" si="17"/>
        <v>536</v>
      </c>
      <c r="K30" s="124">
        <f t="shared" si="17"/>
        <v>536</v>
      </c>
      <c r="L30" s="124">
        <f t="shared" si="17"/>
        <v>536</v>
      </c>
      <c r="M30" s="124">
        <f t="shared" si="17"/>
        <v>536</v>
      </c>
      <c r="N30" s="124">
        <f t="shared" si="17"/>
        <v>536</v>
      </c>
      <c r="O30" s="124">
        <f t="shared" si="17"/>
        <v>536</v>
      </c>
      <c r="P30" s="124"/>
      <c r="Q30" s="125"/>
      <c r="R30" s="125"/>
      <c r="S30" s="125"/>
      <c r="T30" s="125"/>
      <c r="U30" s="125"/>
    </row>
    <row r="31">
      <c r="A31" s="122"/>
      <c r="B31" s="122" t="s">
        <v>66</v>
      </c>
      <c r="C31" s="143">
        <v>4910.0</v>
      </c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5"/>
      <c r="R31" s="125"/>
      <c r="S31" s="125"/>
      <c r="T31" s="125"/>
      <c r="U31" s="125"/>
    </row>
    <row r="32">
      <c r="A32" s="122"/>
      <c r="B32" s="122"/>
      <c r="C32" s="122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5"/>
      <c r="R32" s="125"/>
      <c r="S32" s="125"/>
      <c r="T32" s="125"/>
      <c r="U32" s="125"/>
    </row>
    <row r="33">
      <c r="A33" s="135"/>
      <c r="B33" s="136" t="s">
        <v>213</v>
      </c>
      <c r="C33" s="137"/>
      <c r="D33" s="138">
        <f t="shared" ref="D33:O33" si="18">D35</f>
        <v>658521.1391</v>
      </c>
      <c r="E33" s="138">
        <f t="shared" si="18"/>
        <v>658521.1391</v>
      </c>
      <c r="F33" s="138">
        <f t="shared" si="18"/>
        <v>658521.1391</v>
      </c>
      <c r="G33" s="138">
        <f t="shared" si="18"/>
        <v>526816.9113</v>
      </c>
      <c r="H33" s="138">
        <f t="shared" si="18"/>
        <v>526816.9113</v>
      </c>
      <c r="I33" s="138">
        <f t="shared" si="18"/>
        <v>263408.4556</v>
      </c>
      <c r="J33" s="138">
        <f t="shared" si="18"/>
        <v>263408.4556</v>
      </c>
      <c r="K33" s="138">
        <f t="shared" si="18"/>
        <v>395112.6834</v>
      </c>
      <c r="L33" s="138">
        <f t="shared" si="18"/>
        <v>658521.1391</v>
      </c>
      <c r="M33" s="138">
        <f t="shared" si="18"/>
        <v>658521.1391</v>
      </c>
      <c r="N33" s="138">
        <f t="shared" si="18"/>
        <v>658521.1391</v>
      </c>
      <c r="O33" s="138">
        <f t="shared" si="18"/>
        <v>658521.1391</v>
      </c>
      <c r="P33" s="138">
        <f>SUM(D33:O33)</f>
        <v>6585211.391</v>
      </c>
      <c r="Q33" s="125"/>
      <c r="R33" s="125"/>
      <c r="S33" s="125"/>
      <c r="T33" s="125"/>
      <c r="U33" s="125"/>
    </row>
    <row r="34">
      <c r="A34" s="122"/>
      <c r="B34" s="122"/>
      <c r="C34" s="143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5"/>
      <c r="R34" s="125"/>
      <c r="S34" s="125"/>
      <c r="T34" s="125"/>
      <c r="U34" s="125"/>
    </row>
    <row r="35">
      <c r="A35" s="139"/>
      <c r="B35" s="140" t="s">
        <v>200</v>
      </c>
      <c r="C35" s="141"/>
      <c r="D35" s="142">
        <f t="shared" ref="D35:O35" si="19">D42*$C$43*D44</f>
        <v>658521.1391</v>
      </c>
      <c r="E35" s="142">
        <f t="shared" si="19"/>
        <v>658521.1391</v>
      </c>
      <c r="F35" s="142">
        <f t="shared" si="19"/>
        <v>658521.1391</v>
      </c>
      <c r="G35" s="142">
        <f t="shared" si="19"/>
        <v>526816.9113</v>
      </c>
      <c r="H35" s="142">
        <f t="shared" si="19"/>
        <v>526816.9113</v>
      </c>
      <c r="I35" s="142">
        <f t="shared" si="19"/>
        <v>263408.4556</v>
      </c>
      <c r="J35" s="142">
        <f t="shared" si="19"/>
        <v>263408.4556</v>
      </c>
      <c r="K35" s="142">
        <f t="shared" si="19"/>
        <v>395112.6834</v>
      </c>
      <c r="L35" s="142">
        <f t="shared" si="19"/>
        <v>658521.1391</v>
      </c>
      <c r="M35" s="142">
        <f t="shared" si="19"/>
        <v>658521.1391</v>
      </c>
      <c r="N35" s="142">
        <f t="shared" si="19"/>
        <v>658521.1391</v>
      </c>
      <c r="O35" s="142">
        <f t="shared" si="19"/>
        <v>658521.1391</v>
      </c>
      <c r="P35" s="142">
        <f>SUM(D35:O35)</f>
        <v>6585211.391</v>
      </c>
      <c r="Q35" s="125"/>
      <c r="R35" s="125"/>
      <c r="S35" s="125"/>
      <c r="T35" s="125"/>
      <c r="U35" s="125"/>
    </row>
    <row r="36">
      <c r="A36" s="134"/>
      <c r="B36" s="134" t="s">
        <v>201</v>
      </c>
      <c r="C36" s="143">
        <f>203132/2.3</f>
        <v>88318.26087</v>
      </c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5"/>
      <c r="R36" s="125"/>
      <c r="S36" s="125"/>
      <c r="T36" s="125"/>
      <c r="U36" s="125"/>
    </row>
    <row r="37">
      <c r="A37" s="122"/>
      <c r="B37" s="122" t="s">
        <v>203</v>
      </c>
      <c r="C37" s="145">
        <v>0.04</v>
      </c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5"/>
      <c r="R37" s="125"/>
      <c r="S37" s="125"/>
      <c r="T37" s="125"/>
      <c r="U37" s="125"/>
    </row>
    <row r="38">
      <c r="A38" s="134"/>
      <c r="B38" s="122" t="s">
        <v>204</v>
      </c>
      <c r="C38" s="146"/>
      <c r="D38" s="124">
        <f t="shared" ref="D38:P38" si="20">$C$37*$C$36</f>
        <v>3532.730435</v>
      </c>
      <c r="E38" s="124">
        <f t="shared" si="20"/>
        <v>3532.730435</v>
      </c>
      <c r="F38" s="124">
        <f t="shared" si="20"/>
        <v>3532.730435</v>
      </c>
      <c r="G38" s="124">
        <f t="shared" si="20"/>
        <v>3532.730435</v>
      </c>
      <c r="H38" s="124">
        <f t="shared" si="20"/>
        <v>3532.730435</v>
      </c>
      <c r="I38" s="124">
        <f t="shared" si="20"/>
        <v>3532.730435</v>
      </c>
      <c r="J38" s="124">
        <f t="shared" si="20"/>
        <v>3532.730435</v>
      </c>
      <c r="K38" s="124">
        <f t="shared" si="20"/>
        <v>3532.730435</v>
      </c>
      <c r="L38" s="124">
        <f t="shared" si="20"/>
        <v>3532.730435</v>
      </c>
      <c r="M38" s="124">
        <f t="shared" si="20"/>
        <v>3532.730435</v>
      </c>
      <c r="N38" s="124">
        <f t="shared" si="20"/>
        <v>3532.730435</v>
      </c>
      <c r="O38" s="124">
        <f t="shared" si="20"/>
        <v>3532.730435</v>
      </c>
      <c r="P38" s="124">
        <f t="shared" si="20"/>
        <v>3532.730435</v>
      </c>
      <c r="Q38" s="125"/>
      <c r="R38" s="125"/>
      <c r="S38" s="125"/>
      <c r="T38" s="125"/>
      <c r="U38" s="125"/>
    </row>
    <row r="39">
      <c r="A39" s="122"/>
      <c r="B39" s="122" t="s">
        <v>205</v>
      </c>
      <c r="C39" s="145">
        <v>0.237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5"/>
      <c r="R39" s="125"/>
      <c r="S39" s="125"/>
      <c r="T39" s="125"/>
      <c r="U39" s="125"/>
    </row>
    <row r="40">
      <c r="A40" s="122"/>
      <c r="B40" s="122" t="s">
        <v>206</v>
      </c>
      <c r="C40" s="143"/>
      <c r="D40" s="124">
        <f t="shared" ref="D40:P40" si="21">D38*$C$39</f>
        <v>837.257113</v>
      </c>
      <c r="E40" s="124">
        <f t="shared" si="21"/>
        <v>837.257113</v>
      </c>
      <c r="F40" s="124">
        <f t="shared" si="21"/>
        <v>837.257113</v>
      </c>
      <c r="G40" s="124">
        <f t="shared" si="21"/>
        <v>837.257113</v>
      </c>
      <c r="H40" s="124">
        <f t="shared" si="21"/>
        <v>837.257113</v>
      </c>
      <c r="I40" s="124">
        <f t="shared" si="21"/>
        <v>837.257113</v>
      </c>
      <c r="J40" s="124">
        <f t="shared" si="21"/>
        <v>837.257113</v>
      </c>
      <c r="K40" s="124">
        <f t="shared" si="21"/>
        <v>837.257113</v>
      </c>
      <c r="L40" s="124">
        <f t="shared" si="21"/>
        <v>837.257113</v>
      </c>
      <c r="M40" s="124">
        <f t="shared" si="21"/>
        <v>837.257113</v>
      </c>
      <c r="N40" s="124">
        <f t="shared" si="21"/>
        <v>837.257113</v>
      </c>
      <c r="O40" s="124">
        <f t="shared" si="21"/>
        <v>837.257113</v>
      </c>
      <c r="P40" s="124">
        <f t="shared" si="21"/>
        <v>837.257113</v>
      </c>
      <c r="Q40" s="125"/>
      <c r="R40" s="125"/>
      <c r="S40" s="125"/>
      <c r="T40" s="125"/>
      <c r="U40" s="125"/>
    </row>
    <row r="41">
      <c r="A41" s="122"/>
      <c r="B41" s="122" t="s">
        <v>207</v>
      </c>
      <c r="C41" s="145">
        <v>0.102</v>
      </c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5"/>
      <c r="R41" s="125"/>
      <c r="S41" s="125"/>
      <c r="T41" s="125"/>
      <c r="U41" s="125"/>
    </row>
    <row r="42">
      <c r="A42" s="122"/>
      <c r="B42" s="122" t="s">
        <v>208</v>
      </c>
      <c r="C42" s="143"/>
      <c r="D42" s="124">
        <f t="shared" ref="D42:P42" si="22">D40*$C$41</f>
        <v>85.40022553</v>
      </c>
      <c r="E42" s="124">
        <f t="shared" si="22"/>
        <v>85.40022553</v>
      </c>
      <c r="F42" s="124">
        <f t="shared" si="22"/>
        <v>85.40022553</v>
      </c>
      <c r="G42" s="124">
        <f t="shared" si="22"/>
        <v>85.40022553</v>
      </c>
      <c r="H42" s="124">
        <f t="shared" si="22"/>
        <v>85.40022553</v>
      </c>
      <c r="I42" s="124">
        <f t="shared" si="22"/>
        <v>85.40022553</v>
      </c>
      <c r="J42" s="124">
        <f t="shared" si="22"/>
        <v>85.40022553</v>
      </c>
      <c r="K42" s="124">
        <f t="shared" si="22"/>
        <v>85.40022553</v>
      </c>
      <c r="L42" s="124">
        <f t="shared" si="22"/>
        <v>85.40022553</v>
      </c>
      <c r="M42" s="124">
        <f t="shared" si="22"/>
        <v>85.40022553</v>
      </c>
      <c r="N42" s="124">
        <f t="shared" si="22"/>
        <v>85.40022553</v>
      </c>
      <c r="O42" s="124">
        <f t="shared" si="22"/>
        <v>85.40022553</v>
      </c>
      <c r="P42" s="124">
        <f t="shared" si="22"/>
        <v>85.40022553</v>
      </c>
      <c r="Q42" s="125"/>
      <c r="R42" s="125"/>
      <c r="S42" s="125"/>
      <c r="T42" s="125"/>
      <c r="U42" s="125"/>
    </row>
    <row r="43">
      <c r="A43" s="122"/>
      <c r="B43" s="122" t="s">
        <v>66</v>
      </c>
      <c r="C43" s="143">
        <v>7711.0</v>
      </c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5"/>
      <c r="R43" s="125"/>
      <c r="S43" s="125"/>
      <c r="T43" s="125"/>
      <c r="U43" s="125"/>
    </row>
    <row r="44">
      <c r="A44" s="122"/>
      <c r="B44" s="148" t="s">
        <v>211</v>
      </c>
      <c r="C44" s="148"/>
      <c r="D44" s="143">
        <v>1.0</v>
      </c>
      <c r="E44" s="143">
        <v>1.0</v>
      </c>
      <c r="F44" s="143">
        <v>1.0</v>
      </c>
      <c r="G44" s="149">
        <v>0.8</v>
      </c>
      <c r="H44" s="149">
        <v>0.8</v>
      </c>
      <c r="I44" s="149">
        <v>0.4</v>
      </c>
      <c r="J44" s="149">
        <v>0.4</v>
      </c>
      <c r="K44" s="149">
        <v>0.6</v>
      </c>
      <c r="L44" s="143">
        <v>1.0</v>
      </c>
      <c r="M44" s="143">
        <v>1.0</v>
      </c>
      <c r="N44" s="143">
        <v>1.0</v>
      </c>
      <c r="O44" s="143">
        <v>1.0</v>
      </c>
      <c r="P44" s="124"/>
      <c r="Q44" s="125"/>
      <c r="R44" s="125"/>
      <c r="S44" s="125"/>
      <c r="T44" s="125"/>
      <c r="U44" s="125"/>
    </row>
    <row r="45">
      <c r="A45" s="153"/>
      <c r="B45" s="154" t="s">
        <v>214</v>
      </c>
      <c r="C45" s="153"/>
      <c r="D45" s="154">
        <f t="shared" ref="D45:O45" si="23">SUM(D47+D52)</f>
        <v>-6700067.281</v>
      </c>
      <c r="E45" s="154">
        <f t="shared" si="23"/>
        <v>-6700067.281</v>
      </c>
      <c r="F45" s="154">
        <f t="shared" si="23"/>
        <v>-6700067.281</v>
      </c>
      <c r="G45" s="154">
        <f t="shared" si="23"/>
        <v>-5691655.585</v>
      </c>
      <c r="H45" s="154">
        <f t="shared" si="23"/>
        <v>-5691655.585</v>
      </c>
      <c r="I45" s="154">
        <f t="shared" si="23"/>
        <v>-3674832.192</v>
      </c>
      <c r="J45" s="154">
        <f t="shared" si="23"/>
        <v>-3674832.192</v>
      </c>
      <c r="K45" s="154">
        <f t="shared" si="23"/>
        <v>-4683243.888</v>
      </c>
      <c r="L45" s="154">
        <f t="shared" si="23"/>
        <v>-6700067.281</v>
      </c>
      <c r="M45" s="154">
        <f t="shared" si="23"/>
        <v>-6700067.281</v>
      </c>
      <c r="N45" s="154">
        <f t="shared" si="23"/>
        <v>-6700067.281</v>
      </c>
      <c r="O45" s="154">
        <f t="shared" si="23"/>
        <v>-6700067.281</v>
      </c>
      <c r="P45" s="154">
        <f>SUM(D45:O45)</f>
        <v>-70316690.41</v>
      </c>
      <c r="Q45" s="125"/>
      <c r="R45" s="125"/>
      <c r="S45" s="125"/>
      <c r="T45" s="125"/>
      <c r="U45" s="125"/>
    </row>
    <row r="46">
      <c r="A46" s="122"/>
      <c r="B46" s="122"/>
      <c r="C46" s="14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5"/>
      <c r="R46" s="125"/>
      <c r="S46" s="125"/>
      <c r="T46" s="125"/>
      <c r="U46" s="125"/>
    </row>
    <row r="47">
      <c r="A47" s="135"/>
      <c r="B47" s="136" t="s">
        <v>215</v>
      </c>
      <c r="C47" s="137"/>
      <c r="D47" s="138">
        <f t="shared" ref="D47:O47" si="24">D48+D49+D50</f>
        <v>-6272028.54</v>
      </c>
      <c r="E47" s="138">
        <f t="shared" si="24"/>
        <v>-6272028.54</v>
      </c>
      <c r="F47" s="138">
        <f t="shared" si="24"/>
        <v>-6272028.54</v>
      </c>
      <c r="G47" s="138">
        <f t="shared" si="24"/>
        <v>-5349224.592</v>
      </c>
      <c r="H47" s="138">
        <f t="shared" si="24"/>
        <v>-5349224.592</v>
      </c>
      <c r="I47" s="138">
        <f t="shared" si="24"/>
        <v>-3503616.696</v>
      </c>
      <c r="J47" s="138">
        <f t="shared" si="24"/>
        <v>-3503616.696</v>
      </c>
      <c r="K47" s="138">
        <f t="shared" si="24"/>
        <v>-4426420.644</v>
      </c>
      <c r="L47" s="138">
        <f t="shared" si="24"/>
        <v>-6272028.54</v>
      </c>
      <c r="M47" s="138">
        <f t="shared" si="24"/>
        <v>-6272028.54</v>
      </c>
      <c r="N47" s="138">
        <f t="shared" si="24"/>
        <v>-6272028.54</v>
      </c>
      <c r="O47" s="138">
        <f t="shared" si="24"/>
        <v>-6272028.54</v>
      </c>
      <c r="P47" s="138">
        <f>SUM(D47:O47)</f>
        <v>-66036303</v>
      </c>
      <c r="Q47" s="125"/>
      <c r="R47" s="125"/>
      <c r="S47" s="125"/>
      <c r="T47" s="125"/>
      <c r="U47" s="125"/>
    </row>
    <row r="48">
      <c r="A48" s="124"/>
      <c r="B48" s="122" t="s">
        <v>216</v>
      </c>
      <c r="C48" s="144">
        <v>0.46</v>
      </c>
      <c r="D48" s="124">
        <f t="shared" ref="D48:O48" si="25">-D$14*$C48</f>
        <v>-4579576.395</v>
      </c>
      <c r="E48" s="124">
        <f t="shared" si="25"/>
        <v>-4579576.395</v>
      </c>
      <c r="F48" s="124">
        <f t="shared" si="25"/>
        <v>-4579576.395</v>
      </c>
      <c r="G48" s="124">
        <f t="shared" si="25"/>
        <v>-3905783.036</v>
      </c>
      <c r="H48" s="124">
        <f t="shared" si="25"/>
        <v>-3905783.036</v>
      </c>
      <c r="I48" s="124">
        <f t="shared" si="25"/>
        <v>-2558196.318</v>
      </c>
      <c r="J48" s="124">
        <f t="shared" si="25"/>
        <v>-2558196.318</v>
      </c>
      <c r="K48" s="124">
        <f t="shared" si="25"/>
        <v>-3231989.677</v>
      </c>
      <c r="L48" s="124">
        <f t="shared" si="25"/>
        <v>-4579576.395</v>
      </c>
      <c r="M48" s="124">
        <f t="shared" si="25"/>
        <v>-4579576.395</v>
      </c>
      <c r="N48" s="124">
        <f t="shared" si="25"/>
        <v>-4579576.395</v>
      </c>
      <c r="O48" s="124">
        <f t="shared" si="25"/>
        <v>-4579576.395</v>
      </c>
      <c r="P48" s="124"/>
      <c r="Q48" s="125"/>
      <c r="R48" s="125"/>
      <c r="S48" s="125"/>
      <c r="T48" s="125"/>
      <c r="U48" s="125"/>
    </row>
    <row r="49">
      <c r="A49" s="122"/>
      <c r="B49" s="122" t="s">
        <v>217</v>
      </c>
      <c r="C49" s="144">
        <v>0.07</v>
      </c>
      <c r="D49" s="124">
        <f t="shared" ref="D49:O49" si="26">-D$14*$C49</f>
        <v>-696892.06</v>
      </c>
      <c r="E49" s="124">
        <f t="shared" si="26"/>
        <v>-696892.06</v>
      </c>
      <c r="F49" s="124">
        <f t="shared" si="26"/>
        <v>-696892.06</v>
      </c>
      <c r="G49" s="124">
        <f t="shared" si="26"/>
        <v>-594358.288</v>
      </c>
      <c r="H49" s="124">
        <f t="shared" si="26"/>
        <v>-594358.288</v>
      </c>
      <c r="I49" s="124">
        <f t="shared" si="26"/>
        <v>-389290.744</v>
      </c>
      <c r="J49" s="124">
        <f t="shared" si="26"/>
        <v>-389290.744</v>
      </c>
      <c r="K49" s="124">
        <f t="shared" si="26"/>
        <v>-491824.516</v>
      </c>
      <c r="L49" s="124">
        <f t="shared" si="26"/>
        <v>-696892.06</v>
      </c>
      <c r="M49" s="124">
        <f t="shared" si="26"/>
        <v>-696892.06</v>
      </c>
      <c r="N49" s="124">
        <f t="shared" si="26"/>
        <v>-696892.06</v>
      </c>
      <c r="O49" s="124">
        <f t="shared" si="26"/>
        <v>-696892.06</v>
      </c>
      <c r="P49" s="124"/>
      <c r="Q49" s="125"/>
      <c r="R49" s="125"/>
      <c r="S49" s="125"/>
      <c r="T49" s="125"/>
      <c r="U49" s="125"/>
    </row>
    <row r="50">
      <c r="A50" s="122"/>
      <c r="B50" s="122" t="s">
        <v>218</v>
      </c>
      <c r="C50" s="144">
        <v>0.1</v>
      </c>
      <c r="D50" s="124">
        <f t="shared" ref="D50:O50" si="27">-D$14*$C50</f>
        <v>-995560.0858</v>
      </c>
      <c r="E50" s="124">
        <f t="shared" si="27"/>
        <v>-995560.0858</v>
      </c>
      <c r="F50" s="124">
        <f t="shared" si="27"/>
        <v>-995560.0858</v>
      </c>
      <c r="G50" s="124">
        <f t="shared" si="27"/>
        <v>-849083.2686</v>
      </c>
      <c r="H50" s="124">
        <f t="shared" si="27"/>
        <v>-849083.2686</v>
      </c>
      <c r="I50" s="124">
        <f t="shared" si="27"/>
        <v>-556129.6343</v>
      </c>
      <c r="J50" s="124">
        <f t="shared" si="27"/>
        <v>-556129.6343</v>
      </c>
      <c r="K50" s="124">
        <f t="shared" si="27"/>
        <v>-702606.4515</v>
      </c>
      <c r="L50" s="124">
        <f t="shared" si="27"/>
        <v>-995560.0858</v>
      </c>
      <c r="M50" s="124">
        <f t="shared" si="27"/>
        <v>-995560.0858</v>
      </c>
      <c r="N50" s="124">
        <f t="shared" si="27"/>
        <v>-995560.0858</v>
      </c>
      <c r="O50" s="124">
        <f t="shared" si="27"/>
        <v>-995560.0858</v>
      </c>
      <c r="P50" s="124"/>
      <c r="Q50" s="125"/>
      <c r="R50" s="125"/>
      <c r="S50" s="125"/>
      <c r="T50" s="125"/>
      <c r="U50" s="125"/>
    </row>
    <row r="51">
      <c r="A51" s="122"/>
      <c r="B51" s="122"/>
      <c r="C51" s="14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5"/>
      <c r="R51" s="125"/>
      <c r="S51" s="125"/>
      <c r="T51" s="125"/>
      <c r="U51" s="125"/>
    </row>
    <row r="52">
      <c r="A52" s="135"/>
      <c r="B52" s="136" t="s">
        <v>213</v>
      </c>
      <c r="C52" s="137"/>
      <c r="D52" s="138">
        <f t="shared" ref="D52:O52" si="28">D54+D53+D55</f>
        <v>-428038.7404</v>
      </c>
      <c r="E52" s="138">
        <f t="shared" si="28"/>
        <v>-428038.7404</v>
      </c>
      <c r="F52" s="138">
        <f t="shared" si="28"/>
        <v>-428038.7404</v>
      </c>
      <c r="G52" s="138">
        <f t="shared" si="28"/>
        <v>-342430.9923</v>
      </c>
      <c r="H52" s="138">
        <f t="shared" si="28"/>
        <v>-342430.9923</v>
      </c>
      <c r="I52" s="138">
        <f t="shared" si="28"/>
        <v>-171215.4962</v>
      </c>
      <c r="J52" s="138">
        <f t="shared" si="28"/>
        <v>-171215.4962</v>
      </c>
      <c r="K52" s="138">
        <f t="shared" si="28"/>
        <v>-256823.2442</v>
      </c>
      <c r="L52" s="138">
        <f t="shared" si="28"/>
        <v>-428038.7404</v>
      </c>
      <c r="M52" s="138">
        <f t="shared" si="28"/>
        <v>-428038.7404</v>
      </c>
      <c r="N52" s="138">
        <f t="shared" si="28"/>
        <v>-428038.7404</v>
      </c>
      <c r="O52" s="138">
        <f t="shared" si="28"/>
        <v>-428038.7404</v>
      </c>
      <c r="P52" s="138">
        <f>SUM(D52:O52)</f>
        <v>-4280387.404</v>
      </c>
      <c r="Q52" s="125"/>
      <c r="R52" s="125"/>
      <c r="S52" s="125"/>
      <c r="T52" s="125"/>
      <c r="U52" s="125"/>
    </row>
    <row r="53">
      <c r="A53" s="122"/>
      <c r="B53" s="122" t="s">
        <v>216</v>
      </c>
      <c r="C53" s="144">
        <v>0.48</v>
      </c>
      <c r="D53" s="124">
        <f t="shared" ref="D53:O53" si="29">-D$33*$C53</f>
        <v>-316090.1468</v>
      </c>
      <c r="E53" s="124">
        <f t="shared" si="29"/>
        <v>-316090.1468</v>
      </c>
      <c r="F53" s="124">
        <f t="shared" si="29"/>
        <v>-316090.1468</v>
      </c>
      <c r="G53" s="124">
        <f t="shared" si="29"/>
        <v>-252872.1174</v>
      </c>
      <c r="H53" s="124">
        <f t="shared" si="29"/>
        <v>-252872.1174</v>
      </c>
      <c r="I53" s="124">
        <f t="shared" si="29"/>
        <v>-126436.0587</v>
      </c>
      <c r="J53" s="124">
        <f t="shared" si="29"/>
        <v>-126436.0587</v>
      </c>
      <c r="K53" s="124">
        <f t="shared" si="29"/>
        <v>-189654.0881</v>
      </c>
      <c r="L53" s="124">
        <f t="shared" si="29"/>
        <v>-316090.1468</v>
      </c>
      <c r="M53" s="124">
        <f t="shared" si="29"/>
        <v>-316090.1468</v>
      </c>
      <c r="N53" s="124">
        <f t="shared" si="29"/>
        <v>-316090.1468</v>
      </c>
      <c r="O53" s="124">
        <f t="shared" si="29"/>
        <v>-316090.1468</v>
      </c>
      <c r="P53" s="124"/>
      <c r="Q53" s="125"/>
      <c r="R53" s="125"/>
      <c r="S53" s="125"/>
      <c r="T53" s="125"/>
      <c r="U53" s="125"/>
    </row>
    <row r="54">
      <c r="A54" s="122"/>
      <c r="B54" s="122" t="s">
        <v>217</v>
      </c>
      <c r="C54" s="144">
        <v>0.07</v>
      </c>
      <c r="D54" s="124">
        <f t="shared" ref="D54:O54" si="30">-D$33*$C54</f>
        <v>-46096.47973</v>
      </c>
      <c r="E54" s="124">
        <f t="shared" si="30"/>
        <v>-46096.47973</v>
      </c>
      <c r="F54" s="124">
        <f t="shared" si="30"/>
        <v>-46096.47973</v>
      </c>
      <c r="G54" s="124">
        <f t="shared" si="30"/>
        <v>-36877.18379</v>
      </c>
      <c r="H54" s="124">
        <f t="shared" si="30"/>
        <v>-36877.18379</v>
      </c>
      <c r="I54" s="124">
        <f t="shared" si="30"/>
        <v>-18438.59189</v>
      </c>
      <c r="J54" s="124">
        <f t="shared" si="30"/>
        <v>-18438.59189</v>
      </c>
      <c r="K54" s="124">
        <f t="shared" si="30"/>
        <v>-27657.88784</v>
      </c>
      <c r="L54" s="124">
        <f t="shared" si="30"/>
        <v>-46096.47973</v>
      </c>
      <c r="M54" s="124">
        <f t="shared" si="30"/>
        <v>-46096.47973</v>
      </c>
      <c r="N54" s="124">
        <f t="shared" si="30"/>
        <v>-46096.47973</v>
      </c>
      <c r="O54" s="124">
        <f t="shared" si="30"/>
        <v>-46096.47973</v>
      </c>
      <c r="P54" s="124"/>
      <c r="Q54" s="125"/>
      <c r="R54" s="125"/>
      <c r="S54" s="125"/>
      <c r="T54" s="125"/>
      <c r="U54" s="125"/>
    </row>
    <row r="55">
      <c r="A55" s="122"/>
      <c r="B55" s="122" t="s">
        <v>218</v>
      </c>
      <c r="C55" s="144">
        <v>0.1</v>
      </c>
      <c r="D55" s="124">
        <f t="shared" ref="D55:O55" si="31">-D$33*$C55</f>
        <v>-65852.11391</v>
      </c>
      <c r="E55" s="124">
        <f t="shared" si="31"/>
        <v>-65852.11391</v>
      </c>
      <c r="F55" s="124">
        <f t="shared" si="31"/>
        <v>-65852.11391</v>
      </c>
      <c r="G55" s="124">
        <f t="shared" si="31"/>
        <v>-52681.69113</v>
      </c>
      <c r="H55" s="124">
        <f t="shared" si="31"/>
        <v>-52681.69113</v>
      </c>
      <c r="I55" s="124">
        <f t="shared" si="31"/>
        <v>-26340.84556</v>
      </c>
      <c r="J55" s="124">
        <f t="shared" si="31"/>
        <v>-26340.84556</v>
      </c>
      <c r="K55" s="124">
        <f t="shared" si="31"/>
        <v>-39511.26834</v>
      </c>
      <c r="L55" s="124">
        <f t="shared" si="31"/>
        <v>-65852.11391</v>
      </c>
      <c r="M55" s="124">
        <f t="shared" si="31"/>
        <v>-65852.11391</v>
      </c>
      <c r="N55" s="124">
        <f t="shared" si="31"/>
        <v>-65852.11391</v>
      </c>
      <c r="O55" s="124">
        <f t="shared" si="31"/>
        <v>-65852.11391</v>
      </c>
      <c r="P55" s="124"/>
      <c r="Q55" s="125"/>
      <c r="R55" s="125"/>
      <c r="S55" s="125"/>
      <c r="T55" s="125"/>
      <c r="U55" s="125"/>
    </row>
    <row r="56">
      <c r="A56" s="122"/>
      <c r="B56" s="122"/>
      <c r="C56" s="14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5"/>
      <c r="R56" s="125"/>
      <c r="S56" s="125"/>
      <c r="T56" s="125"/>
      <c r="U56" s="125"/>
    </row>
    <row r="57">
      <c r="A57" s="133"/>
      <c r="B57" s="132" t="s">
        <v>219</v>
      </c>
      <c r="C57" s="133"/>
      <c r="D57" s="132">
        <f t="shared" ref="D57:O57" si="32">D12+D45</f>
        <v>3914054.716</v>
      </c>
      <c r="E57" s="132">
        <f t="shared" si="32"/>
        <v>3914054.716</v>
      </c>
      <c r="F57" s="132">
        <f t="shared" si="32"/>
        <v>3914054.716</v>
      </c>
      <c r="G57" s="132">
        <f t="shared" si="32"/>
        <v>3325994.013</v>
      </c>
      <c r="H57" s="132">
        <f t="shared" si="32"/>
        <v>3325994.013</v>
      </c>
      <c r="I57" s="132">
        <f t="shared" si="32"/>
        <v>2149872.606</v>
      </c>
      <c r="J57" s="132">
        <f t="shared" si="32"/>
        <v>2149872.606</v>
      </c>
      <c r="K57" s="132">
        <f t="shared" si="32"/>
        <v>2737933.31</v>
      </c>
      <c r="L57" s="132">
        <f t="shared" si="32"/>
        <v>3914054.716</v>
      </c>
      <c r="M57" s="132">
        <f t="shared" si="32"/>
        <v>3914054.716</v>
      </c>
      <c r="N57" s="132">
        <f t="shared" si="32"/>
        <v>3914054.716</v>
      </c>
      <c r="O57" s="132">
        <f t="shared" si="32"/>
        <v>3914054.716</v>
      </c>
      <c r="P57" s="132">
        <f>SUM(D57:O57)</f>
        <v>41088049.56</v>
      </c>
      <c r="Q57" s="125"/>
      <c r="R57" s="125"/>
      <c r="S57" s="125"/>
      <c r="T57" s="125"/>
      <c r="U57" s="125"/>
    </row>
    <row r="58">
      <c r="A58" s="124"/>
      <c r="B58" s="155" t="s">
        <v>220</v>
      </c>
      <c r="C58" s="124"/>
      <c r="D58" s="156">
        <f t="shared" ref="D58:O58" si="33">IFERROR(D57/D$12,0)</f>
        <v>0.3687591604</v>
      </c>
      <c r="E58" s="156">
        <f t="shared" si="33"/>
        <v>0.3687591604</v>
      </c>
      <c r="F58" s="156">
        <f t="shared" si="33"/>
        <v>0.3687591604</v>
      </c>
      <c r="G58" s="156">
        <f t="shared" si="33"/>
        <v>0.3688315871</v>
      </c>
      <c r="H58" s="156">
        <f t="shared" si="33"/>
        <v>0.3688315871</v>
      </c>
      <c r="I58" s="156">
        <f t="shared" si="33"/>
        <v>0.3690955474</v>
      </c>
      <c r="J58" s="156">
        <f t="shared" si="33"/>
        <v>0.3690955474</v>
      </c>
      <c r="K58" s="156">
        <f t="shared" si="33"/>
        <v>0.3689351752</v>
      </c>
      <c r="L58" s="156">
        <f t="shared" si="33"/>
        <v>0.3687591604</v>
      </c>
      <c r="M58" s="156">
        <f t="shared" si="33"/>
        <v>0.3687591604</v>
      </c>
      <c r="N58" s="156">
        <f t="shared" si="33"/>
        <v>0.3687591604</v>
      </c>
      <c r="O58" s="156">
        <f t="shared" si="33"/>
        <v>0.3687591604</v>
      </c>
      <c r="P58" s="128"/>
      <c r="Q58" s="125"/>
      <c r="R58" s="125"/>
      <c r="S58" s="125"/>
      <c r="T58" s="125"/>
      <c r="U58" s="125"/>
    </row>
    <row r="59">
      <c r="A59" s="122"/>
      <c r="B59" s="122"/>
      <c r="C59" s="122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5"/>
      <c r="R59" s="125"/>
      <c r="S59" s="125"/>
      <c r="T59" s="125"/>
      <c r="U59" s="125"/>
    </row>
    <row r="60">
      <c r="A60" s="135"/>
      <c r="B60" s="136" t="s">
        <v>221</v>
      </c>
      <c r="C60" s="137"/>
      <c r="D60" s="138">
        <f t="shared" ref="D60:O60" si="34">D14+D47</f>
        <v>3683572.317</v>
      </c>
      <c r="E60" s="138">
        <f t="shared" si="34"/>
        <v>3683572.317</v>
      </c>
      <c r="F60" s="138">
        <f t="shared" si="34"/>
        <v>3683572.317</v>
      </c>
      <c r="G60" s="138">
        <f t="shared" si="34"/>
        <v>3141608.094</v>
      </c>
      <c r="H60" s="138">
        <f t="shared" si="34"/>
        <v>3141608.094</v>
      </c>
      <c r="I60" s="138">
        <f t="shared" si="34"/>
        <v>2057679.647</v>
      </c>
      <c r="J60" s="138">
        <f t="shared" si="34"/>
        <v>2057679.647</v>
      </c>
      <c r="K60" s="138">
        <f t="shared" si="34"/>
        <v>2599643.87</v>
      </c>
      <c r="L60" s="138">
        <f t="shared" si="34"/>
        <v>3683572.317</v>
      </c>
      <c r="M60" s="138">
        <f t="shared" si="34"/>
        <v>3683572.317</v>
      </c>
      <c r="N60" s="138">
        <f t="shared" si="34"/>
        <v>3683572.317</v>
      </c>
      <c r="O60" s="138">
        <f t="shared" si="34"/>
        <v>3683572.317</v>
      </c>
      <c r="P60" s="138">
        <f>SUM(D60:O60)</f>
        <v>38783225.57</v>
      </c>
      <c r="Q60" s="125"/>
      <c r="R60" s="125"/>
      <c r="S60" s="125"/>
      <c r="T60" s="125"/>
      <c r="U60" s="125"/>
    </row>
    <row r="61">
      <c r="A61" s="122"/>
      <c r="B61" s="157" t="s">
        <v>222</v>
      </c>
      <c r="C61" s="122"/>
      <c r="D61" s="156">
        <f t="shared" ref="D61:O61" si="35">IFERROR(D60/D$14,0)</f>
        <v>0.37</v>
      </c>
      <c r="E61" s="156">
        <f t="shared" si="35"/>
        <v>0.37</v>
      </c>
      <c r="F61" s="156">
        <f t="shared" si="35"/>
        <v>0.37</v>
      </c>
      <c r="G61" s="156">
        <f t="shared" si="35"/>
        <v>0.37</v>
      </c>
      <c r="H61" s="156">
        <f t="shared" si="35"/>
        <v>0.37</v>
      </c>
      <c r="I61" s="156">
        <f t="shared" si="35"/>
        <v>0.37</v>
      </c>
      <c r="J61" s="156">
        <f t="shared" si="35"/>
        <v>0.37</v>
      </c>
      <c r="K61" s="156">
        <f t="shared" si="35"/>
        <v>0.37</v>
      </c>
      <c r="L61" s="156">
        <f t="shared" si="35"/>
        <v>0.37</v>
      </c>
      <c r="M61" s="156">
        <f t="shared" si="35"/>
        <v>0.37</v>
      </c>
      <c r="N61" s="156">
        <f t="shared" si="35"/>
        <v>0.37</v>
      </c>
      <c r="O61" s="156">
        <f t="shared" si="35"/>
        <v>0.37</v>
      </c>
      <c r="P61" s="128"/>
      <c r="Q61" s="125"/>
      <c r="R61" s="125"/>
      <c r="S61" s="125"/>
      <c r="T61" s="125"/>
      <c r="U61" s="125"/>
    </row>
    <row r="62">
      <c r="A62" s="122"/>
      <c r="B62" s="122"/>
      <c r="C62" s="122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5"/>
      <c r="R62" s="125"/>
      <c r="S62" s="125"/>
      <c r="T62" s="125"/>
      <c r="U62" s="125"/>
    </row>
    <row r="63">
      <c r="A63" s="135"/>
      <c r="B63" s="136" t="s">
        <v>223</v>
      </c>
      <c r="C63" s="137"/>
      <c r="D63" s="138">
        <f t="shared" ref="D63:O63" si="36">D33+D52</f>
        <v>230482.3987</v>
      </c>
      <c r="E63" s="138">
        <f t="shared" si="36"/>
        <v>230482.3987</v>
      </c>
      <c r="F63" s="138">
        <f t="shared" si="36"/>
        <v>230482.3987</v>
      </c>
      <c r="G63" s="138">
        <f t="shared" si="36"/>
        <v>184385.9189</v>
      </c>
      <c r="H63" s="138">
        <f t="shared" si="36"/>
        <v>184385.9189</v>
      </c>
      <c r="I63" s="138">
        <f t="shared" si="36"/>
        <v>92192.95947</v>
      </c>
      <c r="J63" s="138">
        <f t="shared" si="36"/>
        <v>92192.95947</v>
      </c>
      <c r="K63" s="138">
        <f t="shared" si="36"/>
        <v>138289.4392</v>
      </c>
      <c r="L63" s="138">
        <f t="shared" si="36"/>
        <v>230482.3987</v>
      </c>
      <c r="M63" s="138">
        <f t="shared" si="36"/>
        <v>230482.3987</v>
      </c>
      <c r="N63" s="138">
        <f t="shared" si="36"/>
        <v>230482.3987</v>
      </c>
      <c r="O63" s="138">
        <f t="shared" si="36"/>
        <v>230482.3987</v>
      </c>
      <c r="P63" s="138">
        <f>SUM(D63:O63)</f>
        <v>2304823.987</v>
      </c>
      <c r="Q63" s="125"/>
      <c r="R63" s="125"/>
      <c r="S63" s="125"/>
      <c r="T63" s="125"/>
      <c r="U63" s="125"/>
    </row>
    <row r="64">
      <c r="A64" s="122"/>
      <c r="B64" s="157" t="s">
        <v>224</v>
      </c>
      <c r="C64" s="122"/>
      <c r="D64" s="156">
        <f t="shared" ref="D64:O64" si="37">IFERROR(D63/D$33,0)</f>
        <v>0.35</v>
      </c>
      <c r="E64" s="156">
        <f t="shared" si="37"/>
        <v>0.35</v>
      </c>
      <c r="F64" s="156">
        <f t="shared" si="37"/>
        <v>0.35</v>
      </c>
      <c r="G64" s="156">
        <f t="shared" si="37"/>
        <v>0.35</v>
      </c>
      <c r="H64" s="156">
        <f t="shared" si="37"/>
        <v>0.35</v>
      </c>
      <c r="I64" s="156">
        <f t="shared" si="37"/>
        <v>0.35</v>
      </c>
      <c r="J64" s="156">
        <f t="shared" si="37"/>
        <v>0.35</v>
      </c>
      <c r="K64" s="156">
        <f t="shared" si="37"/>
        <v>0.35</v>
      </c>
      <c r="L64" s="156">
        <f t="shared" si="37"/>
        <v>0.35</v>
      </c>
      <c r="M64" s="156">
        <f t="shared" si="37"/>
        <v>0.35</v>
      </c>
      <c r="N64" s="156">
        <f t="shared" si="37"/>
        <v>0.35</v>
      </c>
      <c r="O64" s="156">
        <f t="shared" si="37"/>
        <v>0.35</v>
      </c>
      <c r="P64" s="128"/>
      <c r="Q64" s="125"/>
      <c r="R64" s="125"/>
      <c r="S64" s="125"/>
      <c r="T64" s="125"/>
      <c r="U64" s="125"/>
    </row>
    <row r="65">
      <c r="A65" s="122"/>
      <c r="B65" s="122"/>
      <c r="C65" s="122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5"/>
      <c r="R65" s="125"/>
      <c r="S65" s="125"/>
      <c r="T65" s="125"/>
      <c r="U65" s="125"/>
    </row>
    <row r="66">
      <c r="A66" s="153"/>
      <c r="B66" s="154" t="s">
        <v>225</v>
      </c>
      <c r="C66" s="153"/>
      <c r="D66" s="154">
        <f t="shared" ref="D66:O66" si="38">SUM(D68:D75)</f>
        <v>-242200</v>
      </c>
      <c r="E66" s="154">
        <f t="shared" si="38"/>
        <v>-242200</v>
      </c>
      <c r="F66" s="154">
        <f t="shared" si="38"/>
        <v>-242200</v>
      </c>
      <c r="G66" s="154">
        <f t="shared" si="38"/>
        <v>-242200</v>
      </c>
      <c r="H66" s="154">
        <f t="shared" si="38"/>
        <v>-242200</v>
      </c>
      <c r="I66" s="154">
        <f t="shared" si="38"/>
        <v>-242200</v>
      </c>
      <c r="J66" s="154">
        <f t="shared" si="38"/>
        <v>-242200</v>
      </c>
      <c r="K66" s="154">
        <f t="shared" si="38"/>
        <v>-242200</v>
      </c>
      <c r="L66" s="154">
        <f t="shared" si="38"/>
        <v>-242200</v>
      </c>
      <c r="M66" s="154">
        <f t="shared" si="38"/>
        <v>-242200</v>
      </c>
      <c r="N66" s="154">
        <f t="shared" si="38"/>
        <v>-242200</v>
      </c>
      <c r="O66" s="154">
        <f t="shared" si="38"/>
        <v>-242200</v>
      </c>
      <c r="P66" s="154">
        <f>SUM(D66:O66)</f>
        <v>-2906400</v>
      </c>
      <c r="Q66" s="125"/>
      <c r="R66" s="125"/>
      <c r="S66" s="125"/>
      <c r="T66" s="125"/>
      <c r="U66" s="125"/>
    </row>
    <row r="67">
      <c r="A67" s="122"/>
      <c r="B67" s="122"/>
      <c r="C67" s="143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5"/>
      <c r="R67" s="125"/>
      <c r="S67" s="125"/>
      <c r="T67" s="125"/>
      <c r="U67" s="125"/>
    </row>
    <row r="68">
      <c r="A68" s="122"/>
      <c r="B68" s="122" t="s">
        <v>226</v>
      </c>
      <c r="C68" s="143">
        <v>7300.0</v>
      </c>
      <c r="D68" s="124">
        <f t="shared" ref="D68:O68" si="39">-$C68</f>
        <v>-7300</v>
      </c>
      <c r="E68" s="124">
        <f t="shared" si="39"/>
        <v>-7300</v>
      </c>
      <c r="F68" s="124">
        <f t="shared" si="39"/>
        <v>-7300</v>
      </c>
      <c r="G68" s="124">
        <f t="shared" si="39"/>
        <v>-7300</v>
      </c>
      <c r="H68" s="124">
        <f t="shared" si="39"/>
        <v>-7300</v>
      </c>
      <c r="I68" s="124">
        <f t="shared" si="39"/>
        <v>-7300</v>
      </c>
      <c r="J68" s="124">
        <f t="shared" si="39"/>
        <v>-7300</v>
      </c>
      <c r="K68" s="124">
        <f t="shared" si="39"/>
        <v>-7300</v>
      </c>
      <c r="L68" s="124">
        <f t="shared" si="39"/>
        <v>-7300</v>
      </c>
      <c r="M68" s="124">
        <f t="shared" si="39"/>
        <v>-7300</v>
      </c>
      <c r="N68" s="124">
        <f t="shared" si="39"/>
        <v>-7300</v>
      </c>
      <c r="O68" s="124">
        <f t="shared" si="39"/>
        <v>-7300</v>
      </c>
      <c r="P68" s="124">
        <f t="shared" ref="P68:P75" si="41">SUM(D68:O68)</f>
        <v>-87600</v>
      </c>
      <c r="Q68" s="125"/>
      <c r="R68" s="125"/>
      <c r="S68" s="125"/>
      <c r="T68" s="125"/>
      <c r="U68" s="125"/>
    </row>
    <row r="69">
      <c r="A69" s="122"/>
      <c r="B69" s="122" t="s">
        <v>227</v>
      </c>
      <c r="C69" s="143">
        <v>48000.0</v>
      </c>
      <c r="D69" s="124">
        <f t="shared" ref="D69:O69" si="40">-$C69</f>
        <v>-48000</v>
      </c>
      <c r="E69" s="124">
        <f t="shared" si="40"/>
        <v>-48000</v>
      </c>
      <c r="F69" s="124">
        <f t="shared" si="40"/>
        <v>-48000</v>
      </c>
      <c r="G69" s="124">
        <f t="shared" si="40"/>
        <v>-48000</v>
      </c>
      <c r="H69" s="124">
        <f t="shared" si="40"/>
        <v>-48000</v>
      </c>
      <c r="I69" s="124">
        <f t="shared" si="40"/>
        <v>-48000</v>
      </c>
      <c r="J69" s="124">
        <f t="shared" si="40"/>
        <v>-48000</v>
      </c>
      <c r="K69" s="124">
        <f t="shared" si="40"/>
        <v>-48000</v>
      </c>
      <c r="L69" s="124">
        <f t="shared" si="40"/>
        <v>-48000</v>
      </c>
      <c r="M69" s="124">
        <f t="shared" si="40"/>
        <v>-48000</v>
      </c>
      <c r="N69" s="124">
        <f t="shared" si="40"/>
        <v>-48000</v>
      </c>
      <c r="O69" s="124">
        <f t="shared" si="40"/>
        <v>-48000</v>
      </c>
      <c r="P69" s="124">
        <f t="shared" si="41"/>
        <v>-576000</v>
      </c>
      <c r="Q69" s="125"/>
      <c r="R69" s="125"/>
      <c r="S69" s="125"/>
      <c r="T69" s="125"/>
      <c r="U69" s="125"/>
    </row>
    <row r="70">
      <c r="A70" s="122"/>
      <c r="B70" s="122" t="s">
        <v>228</v>
      </c>
      <c r="C70" s="143">
        <v>45000.0</v>
      </c>
      <c r="D70" s="124">
        <f t="shared" ref="D70:O70" si="42">-$C70</f>
        <v>-45000</v>
      </c>
      <c r="E70" s="124">
        <f t="shared" si="42"/>
        <v>-45000</v>
      </c>
      <c r="F70" s="124">
        <f t="shared" si="42"/>
        <v>-45000</v>
      </c>
      <c r="G70" s="124">
        <f t="shared" si="42"/>
        <v>-45000</v>
      </c>
      <c r="H70" s="124">
        <f t="shared" si="42"/>
        <v>-45000</v>
      </c>
      <c r="I70" s="124">
        <f t="shared" si="42"/>
        <v>-45000</v>
      </c>
      <c r="J70" s="124">
        <f t="shared" si="42"/>
        <v>-45000</v>
      </c>
      <c r="K70" s="124">
        <f t="shared" si="42"/>
        <v>-45000</v>
      </c>
      <c r="L70" s="124">
        <f t="shared" si="42"/>
        <v>-45000</v>
      </c>
      <c r="M70" s="124">
        <f t="shared" si="42"/>
        <v>-45000</v>
      </c>
      <c r="N70" s="124">
        <f t="shared" si="42"/>
        <v>-45000</v>
      </c>
      <c r="O70" s="124">
        <f t="shared" si="42"/>
        <v>-45000</v>
      </c>
      <c r="P70" s="124">
        <f t="shared" si="41"/>
        <v>-540000</v>
      </c>
      <c r="Q70" s="125"/>
      <c r="R70" s="125"/>
      <c r="S70" s="125"/>
      <c r="T70" s="125"/>
      <c r="U70" s="125"/>
    </row>
    <row r="71">
      <c r="A71" s="122"/>
      <c r="B71" s="122" t="s">
        <v>229</v>
      </c>
      <c r="C71" s="143">
        <v>14000.0</v>
      </c>
      <c r="D71" s="124">
        <f t="shared" ref="D71:O71" si="43">-$C71</f>
        <v>-14000</v>
      </c>
      <c r="E71" s="124">
        <f t="shared" si="43"/>
        <v>-14000</v>
      </c>
      <c r="F71" s="124">
        <f t="shared" si="43"/>
        <v>-14000</v>
      </c>
      <c r="G71" s="124">
        <f t="shared" si="43"/>
        <v>-14000</v>
      </c>
      <c r="H71" s="124">
        <f t="shared" si="43"/>
        <v>-14000</v>
      </c>
      <c r="I71" s="124">
        <f t="shared" si="43"/>
        <v>-14000</v>
      </c>
      <c r="J71" s="124">
        <f t="shared" si="43"/>
        <v>-14000</v>
      </c>
      <c r="K71" s="124">
        <f t="shared" si="43"/>
        <v>-14000</v>
      </c>
      <c r="L71" s="124">
        <f t="shared" si="43"/>
        <v>-14000</v>
      </c>
      <c r="M71" s="124">
        <f t="shared" si="43"/>
        <v>-14000</v>
      </c>
      <c r="N71" s="124">
        <f t="shared" si="43"/>
        <v>-14000</v>
      </c>
      <c r="O71" s="124">
        <f t="shared" si="43"/>
        <v>-14000</v>
      </c>
      <c r="P71" s="124">
        <f t="shared" si="41"/>
        <v>-168000</v>
      </c>
      <c r="Q71" s="125"/>
      <c r="R71" s="125"/>
      <c r="S71" s="125"/>
      <c r="T71" s="125"/>
      <c r="U71" s="125"/>
    </row>
    <row r="72">
      <c r="A72" s="122"/>
      <c r="B72" s="122" t="s">
        <v>230</v>
      </c>
      <c r="C72" s="143">
        <v>10000.0</v>
      </c>
      <c r="D72" s="124">
        <f t="shared" ref="D72:O72" si="44">-$C72</f>
        <v>-10000</v>
      </c>
      <c r="E72" s="124">
        <f t="shared" si="44"/>
        <v>-10000</v>
      </c>
      <c r="F72" s="124">
        <f t="shared" si="44"/>
        <v>-10000</v>
      </c>
      <c r="G72" s="124">
        <f t="shared" si="44"/>
        <v>-10000</v>
      </c>
      <c r="H72" s="124">
        <f t="shared" si="44"/>
        <v>-10000</v>
      </c>
      <c r="I72" s="124">
        <f t="shared" si="44"/>
        <v>-10000</v>
      </c>
      <c r="J72" s="124">
        <f t="shared" si="44"/>
        <v>-10000</v>
      </c>
      <c r="K72" s="124">
        <f t="shared" si="44"/>
        <v>-10000</v>
      </c>
      <c r="L72" s="124">
        <f t="shared" si="44"/>
        <v>-10000</v>
      </c>
      <c r="M72" s="124">
        <f t="shared" si="44"/>
        <v>-10000</v>
      </c>
      <c r="N72" s="124">
        <f t="shared" si="44"/>
        <v>-10000</v>
      </c>
      <c r="O72" s="124">
        <f t="shared" si="44"/>
        <v>-10000</v>
      </c>
      <c r="P72" s="124">
        <f t="shared" si="41"/>
        <v>-120000</v>
      </c>
      <c r="Q72" s="125"/>
      <c r="R72" s="125"/>
      <c r="S72" s="125"/>
      <c r="T72" s="125"/>
      <c r="U72" s="125"/>
    </row>
    <row r="73">
      <c r="A73" s="122"/>
      <c r="B73" s="122" t="s">
        <v>231</v>
      </c>
      <c r="C73" s="143">
        <v>48000.0</v>
      </c>
      <c r="D73" s="124">
        <f t="shared" ref="D73:O73" si="45">-$C73</f>
        <v>-48000</v>
      </c>
      <c r="E73" s="124">
        <f t="shared" si="45"/>
        <v>-48000</v>
      </c>
      <c r="F73" s="124">
        <f t="shared" si="45"/>
        <v>-48000</v>
      </c>
      <c r="G73" s="124">
        <f t="shared" si="45"/>
        <v>-48000</v>
      </c>
      <c r="H73" s="124">
        <f t="shared" si="45"/>
        <v>-48000</v>
      </c>
      <c r="I73" s="124">
        <f t="shared" si="45"/>
        <v>-48000</v>
      </c>
      <c r="J73" s="124">
        <f t="shared" si="45"/>
        <v>-48000</v>
      </c>
      <c r="K73" s="124">
        <f t="shared" si="45"/>
        <v>-48000</v>
      </c>
      <c r="L73" s="124">
        <f t="shared" si="45"/>
        <v>-48000</v>
      </c>
      <c r="M73" s="124">
        <f t="shared" si="45"/>
        <v>-48000</v>
      </c>
      <c r="N73" s="124">
        <f t="shared" si="45"/>
        <v>-48000</v>
      </c>
      <c r="O73" s="124">
        <f t="shared" si="45"/>
        <v>-48000</v>
      </c>
      <c r="P73" s="124">
        <f t="shared" si="41"/>
        <v>-576000</v>
      </c>
      <c r="Q73" s="125"/>
      <c r="R73" s="125"/>
      <c r="S73" s="125"/>
      <c r="T73" s="125"/>
      <c r="U73" s="125"/>
    </row>
    <row r="74">
      <c r="A74" s="122"/>
      <c r="B74" s="122" t="s">
        <v>232</v>
      </c>
      <c r="C74" s="143">
        <v>68400.0</v>
      </c>
      <c r="D74" s="124">
        <f t="shared" ref="D74:O74" si="46">-$C74</f>
        <v>-68400</v>
      </c>
      <c r="E74" s="124">
        <f t="shared" si="46"/>
        <v>-68400</v>
      </c>
      <c r="F74" s="124">
        <f t="shared" si="46"/>
        <v>-68400</v>
      </c>
      <c r="G74" s="124">
        <f t="shared" si="46"/>
        <v>-68400</v>
      </c>
      <c r="H74" s="124">
        <f t="shared" si="46"/>
        <v>-68400</v>
      </c>
      <c r="I74" s="124">
        <f t="shared" si="46"/>
        <v>-68400</v>
      </c>
      <c r="J74" s="124">
        <f t="shared" si="46"/>
        <v>-68400</v>
      </c>
      <c r="K74" s="124">
        <f t="shared" si="46"/>
        <v>-68400</v>
      </c>
      <c r="L74" s="124">
        <f t="shared" si="46"/>
        <v>-68400</v>
      </c>
      <c r="M74" s="124">
        <f t="shared" si="46"/>
        <v>-68400</v>
      </c>
      <c r="N74" s="124">
        <f t="shared" si="46"/>
        <v>-68400</v>
      </c>
      <c r="O74" s="124">
        <f t="shared" si="46"/>
        <v>-68400</v>
      </c>
      <c r="P74" s="124">
        <f t="shared" si="41"/>
        <v>-820800</v>
      </c>
      <c r="Q74" s="125"/>
      <c r="R74" s="125"/>
      <c r="S74" s="125"/>
      <c r="T74" s="125"/>
      <c r="U74" s="125"/>
    </row>
    <row r="75">
      <c r="A75" s="122"/>
      <c r="B75" s="122" t="s">
        <v>233</v>
      </c>
      <c r="C75" s="143">
        <v>1500.0</v>
      </c>
      <c r="D75" s="124">
        <f t="shared" ref="D75:O75" si="47">-$C75</f>
        <v>-1500</v>
      </c>
      <c r="E75" s="124">
        <f t="shared" si="47"/>
        <v>-1500</v>
      </c>
      <c r="F75" s="124">
        <f t="shared" si="47"/>
        <v>-1500</v>
      </c>
      <c r="G75" s="124">
        <f t="shared" si="47"/>
        <v>-1500</v>
      </c>
      <c r="H75" s="124">
        <f t="shared" si="47"/>
        <v>-1500</v>
      </c>
      <c r="I75" s="124">
        <f t="shared" si="47"/>
        <v>-1500</v>
      </c>
      <c r="J75" s="124">
        <f t="shared" si="47"/>
        <v>-1500</v>
      </c>
      <c r="K75" s="124">
        <f t="shared" si="47"/>
        <v>-1500</v>
      </c>
      <c r="L75" s="124">
        <f t="shared" si="47"/>
        <v>-1500</v>
      </c>
      <c r="M75" s="124">
        <f t="shared" si="47"/>
        <v>-1500</v>
      </c>
      <c r="N75" s="124">
        <f t="shared" si="47"/>
        <v>-1500</v>
      </c>
      <c r="O75" s="124">
        <f t="shared" si="47"/>
        <v>-1500</v>
      </c>
      <c r="P75" s="124">
        <f t="shared" si="41"/>
        <v>-18000</v>
      </c>
      <c r="Q75" s="125"/>
      <c r="R75" s="125"/>
      <c r="S75" s="125"/>
      <c r="T75" s="125"/>
      <c r="U75" s="125"/>
    </row>
    <row r="76">
      <c r="A76" s="122"/>
      <c r="B76" s="122"/>
      <c r="C76" s="158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5"/>
      <c r="R76" s="125"/>
      <c r="S76" s="125"/>
      <c r="T76" s="125"/>
      <c r="U76" s="125"/>
    </row>
    <row r="77">
      <c r="A77" s="133"/>
      <c r="B77" s="132" t="s">
        <v>36</v>
      </c>
      <c r="C77" s="133"/>
      <c r="D77" s="132">
        <f t="shared" ref="D77:O77" si="48">D57+D66</f>
        <v>3671854.716</v>
      </c>
      <c r="E77" s="132">
        <f t="shared" si="48"/>
        <v>3671854.716</v>
      </c>
      <c r="F77" s="132">
        <f t="shared" si="48"/>
        <v>3671854.716</v>
      </c>
      <c r="G77" s="132">
        <f t="shared" si="48"/>
        <v>3083794.013</v>
      </c>
      <c r="H77" s="132">
        <f t="shared" si="48"/>
        <v>3083794.013</v>
      </c>
      <c r="I77" s="132">
        <f t="shared" si="48"/>
        <v>1907672.606</v>
      </c>
      <c r="J77" s="132">
        <f t="shared" si="48"/>
        <v>1907672.606</v>
      </c>
      <c r="K77" s="132">
        <f t="shared" si="48"/>
        <v>2495733.31</v>
      </c>
      <c r="L77" s="132">
        <f t="shared" si="48"/>
        <v>3671854.716</v>
      </c>
      <c r="M77" s="132">
        <f t="shared" si="48"/>
        <v>3671854.716</v>
      </c>
      <c r="N77" s="132">
        <f t="shared" si="48"/>
        <v>3671854.716</v>
      </c>
      <c r="O77" s="132">
        <f t="shared" si="48"/>
        <v>3671854.716</v>
      </c>
      <c r="P77" s="132">
        <f>SUM(D77:O77)</f>
        <v>38181649.56</v>
      </c>
      <c r="Q77" s="125"/>
      <c r="R77" s="125"/>
      <c r="S77" s="125"/>
      <c r="T77" s="125"/>
      <c r="U77" s="125"/>
    </row>
    <row r="78">
      <c r="A78" s="124"/>
      <c r="B78" s="155" t="s">
        <v>37</v>
      </c>
      <c r="C78" s="124"/>
      <c r="D78" s="156">
        <f t="shared" ref="D78:O78" si="49">IFERROR(D77/D$12,0)</f>
        <v>0.3459405043</v>
      </c>
      <c r="E78" s="156">
        <f t="shared" si="49"/>
        <v>0.3459405043</v>
      </c>
      <c r="F78" s="156">
        <f t="shared" si="49"/>
        <v>0.3459405043</v>
      </c>
      <c r="G78" s="156">
        <f t="shared" si="49"/>
        <v>0.3419731472</v>
      </c>
      <c r="H78" s="156">
        <f t="shared" si="49"/>
        <v>0.3419731472</v>
      </c>
      <c r="I78" s="156">
        <f t="shared" si="49"/>
        <v>0.327514041</v>
      </c>
      <c r="J78" s="156">
        <f t="shared" si="49"/>
        <v>0.327514041</v>
      </c>
      <c r="K78" s="156">
        <f t="shared" si="49"/>
        <v>0.3362988436</v>
      </c>
      <c r="L78" s="156">
        <f t="shared" si="49"/>
        <v>0.3459405043</v>
      </c>
      <c r="M78" s="156">
        <f t="shared" si="49"/>
        <v>0.3459405043</v>
      </c>
      <c r="N78" s="156">
        <f t="shared" si="49"/>
        <v>0.3459405043</v>
      </c>
      <c r="O78" s="156">
        <f t="shared" si="49"/>
        <v>0.3459405043</v>
      </c>
      <c r="P78" s="128"/>
      <c r="Q78" s="125"/>
      <c r="R78" s="125"/>
      <c r="S78" s="125"/>
      <c r="T78" s="125"/>
      <c r="U78" s="125"/>
    </row>
    <row r="79">
      <c r="A79" s="122"/>
      <c r="B79" s="122"/>
      <c r="C79" s="122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5"/>
      <c r="R79" s="125"/>
      <c r="S79" s="125"/>
      <c r="T79" s="125"/>
      <c r="U79" s="125"/>
    </row>
    <row r="80">
      <c r="A80" s="153"/>
      <c r="B80" s="154" t="s">
        <v>38</v>
      </c>
      <c r="C80" s="153"/>
      <c r="D80" s="154">
        <f t="shared" ref="D80:O80" si="50">D82+D93</f>
        <v>-657055.6342</v>
      </c>
      <c r="E80" s="154">
        <f t="shared" si="50"/>
        <v>-657055.6342</v>
      </c>
      <c r="F80" s="154">
        <f t="shared" si="50"/>
        <v>-657055.6342</v>
      </c>
      <c r="G80" s="154">
        <f t="shared" si="50"/>
        <v>-653104.5073</v>
      </c>
      <c r="H80" s="154">
        <f t="shared" si="50"/>
        <v>-653104.5073</v>
      </c>
      <c r="I80" s="154">
        <f t="shared" si="50"/>
        <v>-645202.2537</v>
      </c>
      <c r="J80" s="154">
        <f t="shared" si="50"/>
        <v>-645202.2537</v>
      </c>
      <c r="K80" s="154">
        <f t="shared" si="50"/>
        <v>-649153.3805</v>
      </c>
      <c r="L80" s="154">
        <f t="shared" si="50"/>
        <v>-657055.6342</v>
      </c>
      <c r="M80" s="154">
        <f t="shared" si="50"/>
        <v>-657055.6342</v>
      </c>
      <c r="N80" s="154">
        <f t="shared" si="50"/>
        <v>-657055.6342</v>
      </c>
      <c r="O80" s="154">
        <f t="shared" si="50"/>
        <v>-657055.6342</v>
      </c>
      <c r="P80" s="154">
        <f>SUM(D80:O80)</f>
        <v>-7845156.342</v>
      </c>
      <c r="Q80" s="125"/>
      <c r="R80" s="125"/>
      <c r="S80" s="125"/>
      <c r="T80" s="125"/>
      <c r="U80" s="125"/>
    </row>
    <row r="8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5"/>
      <c r="R81" s="125"/>
      <c r="S81" s="125"/>
      <c r="T81" s="125"/>
      <c r="U81" s="125"/>
    </row>
    <row r="82">
      <c r="A82" s="135"/>
      <c r="B82" s="136" t="s">
        <v>234</v>
      </c>
      <c r="C82" s="137"/>
      <c r="D82" s="138">
        <f t="shared" ref="D82:O82" si="51">SUM(D84:D91)</f>
        <v>-174200</v>
      </c>
      <c r="E82" s="138">
        <f t="shared" si="51"/>
        <v>-174200</v>
      </c>
      <c r="F82" s="138">
        <f t="shared" si="51"/>
        <v>-174200</v>
      </c>
      <c r="G82" s="138">
        <f t="shared" si="51"/>
        <v>-174200</v>
      </c>
      <c r="H82" s="138">
        <f t="shared" si="51"/>
        <v>-174200</v>
      </c>
      <c r="I82" s="138">
        <f t="shared" si="51"/>
        <v>-174200</v>
      </c>
      <c r="J82" s="138">
        <f t="shared" si="51"/>
        <v>-174200</v>
      </c>
      <c r="K82" s="138">
        <f t="shared" si="51"/>
        <v>-174200</v>
      </c>
      <c r="L82" s="138">
        <f t="shared" si="51"/>
        <v>-174200</v>
      </c>
      <c r="M82" s="138">
        <f t="shared" si="51"/>
        <v>-174200</v>
      </c>
      <c r="N82" s="138">
        <f t="shared" si="51"/>
        <v>-174200</v>
      </c>
      <c r="O82" s="138">
        <f t="shared" si="51"/>
        <v>-174200</v>
      </c>
      <c r="P82" s="138">
        <f>SUM(D82:O82)</f>
        <v>-2090400</v>
      </c>
      <c r="Q82" s="125"/>
      <c r="R82" s="125"/>
      <c r="S82" s="125"/>
      <c r="T82" s="125"/>
      <c r="U82" s="125"/>
    </row>
    <row r="83">
      <c r="A83" s="122"/>
      <c r="B83" s="122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5"/>
      <c r="R83" s="125"/>
      <c r="S83" s="125"/>
      <c r="T83" s="125"/>
      <c r="U83" s="125"/>
    </row>
    <row r="84">
      <c r="A84" s="122"/>
      <c r="B84" s="122" t="s">
        <v>95</v>
      </c>
      <c r="C84" s="143">
        <v>116000.0</v>
      </c>
      <c r="D84" s="124">
        <f t="shared" ref="D84:O84" si="52">-$C84</f>
        <v>-116000</v>
      </c>
      <c r="E84" s="124">
        <f t="shared" si="52"/>
        <v>-116000</v>
      </c>
      <c r="F84" s="124">
        <f t="shared" si="52"/>
        <v>-116000</v>
      </c>
      <c r="G84" s="124">
        <f t="shared" si="52"/>
        <v>-116000</v>
      </c>
      <c r="H84" s="124">
        <f t="shared" si="52"/>
        <v>-116000</v>
      </c>
      <c r="I84" s="124">
        <f t="shared" si="52"/>
        <v>-116000</v>
      </c>
      <c r="J84" s="124">
        <f t="shared" si="52"/>
        <v>-116000</v>
      </c>
      <c r="K84" s="124">
        <f t="shared" si="52"/>
        <v>-116000</v>
      </c>
      <c r="L84" s="124">
        <f t="shared" si="52"/>
        <v>-116000</v>
      </c>
      <c r="M84" s="124">
        <f t="shared" si="52"/>
        <v>-116000</v>
      </c>
      <c r="N84" s="124">
        <f t="shared" si="52"/>
        <v>-116000</v>
      </c>
      <c r="O84" s="124">
        <f t="shared" si="52"/>
        <v>-116000</v>
      </c>
      <c r="P84" s="124">
        <f t="shared" ref="P84:P91" si="54">SUM(D84:O84)</f>
        <v>-1392000</v>
      </c>
      <c r="Q84" s="125"/>
      <c r="R84" s="125"/>
      <c r="S84" s="125"/>
      <c r="T84" s="125"/>
      <c r="U84" s="125"/>
    </row>
    <row r="85">
      <c r="A85" s="122"/>
      <c r="B85" s="122" t="s">
        <v>77</v>
      </c>
      <c r="C85" s="143">
        <v>25000.0</v>
      </c>
      <c r="D85" s="124">
        <f t="shared" ref="D85:O85" si="53">-$C85</f>
        <v>-25000</v>
      </c>
      <c r="E85" s="124">
        <f t="shared" si="53"/>
        <v>-25000</v>
      </c>
      <c r="F85" s="124">
        <f t="shared" si="53"/>
        <v>-25000</v>
      </c>
      <c r="G85" s="124">
        <f t="shared" si="53"/>
        <v>-25000</v>
      </c>
      <c r="H85" s="124">
        <f t="shared" si="53"/>
        <v>-25000</v>
      </c>
      <c r="I85" s="124">
        <f t="shared" si="53"/>
        <v>-25000</v>
      </c>
      <c r="J85" s="124">
        <f t="shared" si="53"/>
        <v>-25000</v>
      </c>
      <c r="K85" s="124">
        <f t="shared" si="53"/>
        <v>-25000</v>
      </c>
      <c r="L85" s="124">
        <f t="shared" si="53"/>
        <v>-25000</v>
      </c>
      <c r="M85" s="124">
        <f t="shared" si="53"/>
        <v>-25000</v>
      </c>
      <c r="N85" s="124">
        <f t="shared" si="53"/>
        <v>-25000</v>
      </c>
      <c r="O85" s="124">
        <f t="shared" si="53"/>
        <v>-25000</v>
      </c>
      <c r="P85" s="124">
        <f t="shared" si="54"/>
        <v>-300000</v>
      </c>
      <c r="Q85" s="125"/>
      <c r="R85" s="125"/>
      <c r="S85" s="125"/>
      <c r="T85" s="125"/>
      <c r="U85" s="125"/>
    </row>
    <row r="86">
      <c r="A86" s="122"/>
      <c r="B86" s="122" t="s">
        <v>235</v>
      </c>
      <c r="C86" s="143">
        <v>3000.0</v>
      </c>
      <c r="D86" s="124">
        <f t="shared" ref="D86:O86" si="55">-$C86</f>
        <v>-3000</v>
      </c>
      <c r="E86" s="124">
        <f t="shared" si="55"/>
        <v>-3000</v>
      </c>
      <c r="F86" s="124">
        <f t="shared" si="55"/>
        <v>-3000</v>
      </c>
      <c r="G86" s="124">
        <f t="shared" si="55"/>
        <v>-3000</v>
      </c>
      <c r="H86" s="124">
        <f t="shared" si="55"/>
        <v>-3000</v>
      </c>
      <c r="I86" s="124">
        <f t="shared" si="55"/>
        <v>-3000</v>
      </c>
      <c r="J86" s="124">
        <f t="shared" si="55"/>
        <v>-3000</v>
      </c>
      <c r="K86" s="124">
        <f t="shared" si="55"/>
        <v>-3000</v>
      </c>
      <c r="L86" s="124">
        <f t="shared" si="55"/>
        <v>-3000</v>
      </c>
      <c r="M86" s="124">
        <f t="shared" si="55"/>
        <v>-3000</v>
      </c>
      <c r="N86" s="124">
        <f t="shared" si="55"/>
        <v>-3000</v>
      </c>
      <c r="O86" s="124">
        <f t="shared" si="55"/>
        <v>-3000</v>
      </c>
      <c r="P86" s="124">
        <f t="shared" si="54"/>
        <v>-36000</v>
      </c>
      <c r="Q86" s="125"/>
      <c r="R86" s="125"/>
      <c r="S86" s="125"/>
      <c r="T86" s="125"/>
      <c r="U86" s="125"/>
    </row>
    <row r="87">
      <c r="A87" s="122"/>
      <c r="B87" s="122" t="s">
        <v>236</v>
      </c>
      <c r="C87" s="143">
        <v>3000.0</v>
      </c>
      <c r="D87" s="124">
        <f t="shared" ref="D87:O87" si="56">-$C87</f>
        <v>-3000</v>
      </c>
      <c r="E87" s="124">
        <f t="shared" si="56"/>
        <v>-3000</v>
      </c>
      <c r="F87" s="124">
        <f t="shared" si="56"/>
        <v>-3000</v>
      </c>
      <c r="G87" s="124">
        <f t="shared" si="56"/>
        <v>-3000</v>
      </c>
      <c r="H87" s="124">
        <f t="shared" si="56"/>
        <v>-3000</v>
      </c>
      <c r="I87" s="124">
        <f t="shared" si="56"/>
        <v>-3000</v>
      </c>
      <c r="J87" s="124">
        <f t="shared" si="56"/>
        <v>-3000</v>
      </c>
      <c r="K87" s="124">
        <f t="shared" si="56"/>
        <v>-3000</v>
      </c>
      <c r="L87" s="124">
        <f t="shared" si="56"/>
        <v>-3000</v>
      </c>
      <c r="M87" s="124">
        <f t="shared" si="56"/>
        <v>-3000</v>
      </c>
      <c r="N87" s="124">
        <f t="shared" si="56"/>
        <v>-3000</v>
      </c>
      <c r="O87" s="124">
        <f t="shared" si="56"/>
        <v>-3000</v>
      </c>
      <c r="P87" s="124">
        <f t="shared" si="54"/>
        <v>-36000</v>
      </c>
      <c r="Q87" s="125"/>
      <c r="R87" s="125"/>
      <c r="S87" s="125"/>
      <c r="T87" s="125"/>
      <c r="U87" s="125"/>
    </row>
    <row r="88">
      <c r="A88" s="122"/>
      <c r="B88" s="122" t="s">
        <v>237</v>
      </c>
      <c r="C88" s="143">
        <v>800.0</v>
      </c>
      <c r="D88" s="124">
        <f t="shared" ref="D88:O88" si="57">-$C88</f>
        <v>-800</v>
      </c>
      <c r="E88" s="124">
        <f t="shared" si="57"/>
        <v>-800</v>
      </c>
      <c r="F88" s="124">
        <f t="shared" si="57"/>
        <v>-800</v>
      </c>
      <c r="G88" s="124">
        <f t="shared" si="57"/>
        <v>-800</v>
      </c>
      <c r="H88" s="124">
        <f t="shared" si="57"/>
        <v>-800</v>
      </c>
      <c r="I88" s="124">
        <f t="shared" si="57"/>
        <v>-800</v>
      </c>
      <c r="J88" s="124">
        <f t="shared" si="57"/>
        <v>-800</v>
      </c>
      <c r="K88" s="124">
        <f t="shared" si="57"/>
        <v>-800</v>
      </c>
      <c r="L88" s="124">
        <f t="shared" si="57"/>
        <v>-800</v>
      </c>
      <c r="M88" s="124">
        <f t="shared" si="57"/>
        <v>-800</v>
      </c>
      <c r="N88" s="124">
        <f t="shared" si="57"/>
        <v>-800</v>
      </c>
      <c r="O88" s="124">
        <f t="shared" si="57"/>
        <v>-800</v>
      </c>
      <c r="P88" s="124">
        <f t="shared" si="54"/>
        <v>-9600</v>
      </c>
      <c r="Q88" s="125"/>
      <c r="R88" s="125"/>
      <c r="S88" s="125"/>
      <c r="T88" s="125"/>
      <c r="U88" s="125"/>
    </row>
    <row r="89">
      <c r="A89" s="122"/>
      <c r="B89" s="122" t="s">
        <v>238</v>
      </c>
      <c r="C89" s="143">
        <v>1000.0</v>
      </c>
      <c r="D89" s="124">
        <f t="shared" ref="D89:O89" si="58">-$C89</f>
        <v>-1000</v>
      </c>
      <c r="E89" s="124">
        <f t="shared" si="58"/>
        <v>-1000</v>
      </c>
      <c r="F89" s="124">
        <f t="shared" si="58"/>
        <v>-1000</v>
      </c>
      <c r="G89" s="124">
        <f t="shared" si="58"/>
        <v>-1000</v>
      </c>
      <c r="H89" s="124">
        <f t="shared" si="58"/>
        <v>-1000</v>
      </c>
      <c r="I89" s="124">
        <f t="shared" si="58"/>
        <v>-1000</v>
      </c>
      <c r="J89" s="124">
        <f t="shared" si="58"/>
        <v>-1000</v>
      </c>
      <c r="K89" s="124">
        <f t="shared" si="58"/>
        <v>-1000</v>
      </c>
      <c r="L89" s="124">
        <f t="shared" si="58"/>
        <v>-1000</v>
      </c>
      <c r="M89" s="124">
        <f t="shared" si="58"/>
        <v>-1000</v>
      </c>
      <c r="N89" s="124">
        <f t="shared" si="58"/>
        <v>-1000</v>
      </c>
      <c r="O89" s="124">
        <f t="shared" si="58"/>
        <v>-1000</v>
      </c>
      <c r="P89" s="124">
        <f t="shared" si="54"/>
        <v>-12000</v>
      </c>
      <c r="Q89" s="125"/>
      <c r="R89" s="125"/>
      <c r="S89" s="125"/>
      <c r="T89" s="125"/>
      <c r="U89" s="125"/>
    </row>
    <row r="90">
      <c r="A90" s="122"/>
      <c r="B90" s="122" t="s">
        <v>96</v>
      </c>
      <c r="C90" s="143">
        <v>400.0</v>
      </c>
      <c r="D90" s="124">
        <f t="shared" ref="D90:O90" si="59">-$C90</f>
        <v>-400</v>
      </c>
      <c r="E90" s="124">
        <f t="shared" si="59"/>
        <v>-400</v>
      </c>
      <c r="F90" s="124">
        <f t="shared" si="59"/>
        <v>-400</v>
      </c>
      <c r="G90" s="124">
        <f t="shared" si="59"/>
        <v>-400</v>
      </c>
      <c r="H90" s="124">
        <f t="shared" si="59"/>
        <v>-400</v>
      </c>
      <c r="I90" s="124">
        <f t="shared" si="59"/>
        <v>-400</v>
      </c>
      <c r="J90" s="124">
        <f t="shared" si="59"/>
        <v>-400</v>
      </c>
      <c r="K90" s="124">
        <f t="shared" si="59"/>
        <v>-400</v>
      </c>
      <c r="L90" s="124">
        <f t="shared" si="59"/>
        <v>-400</v>
      </c>
      <c r="M90" s="124">
        <f t="shared" si="59"/>
        <v>-400</v>
      </c>
      <c r="N90" s="124">
        <f t="shared" si="59"/>
        <v>-400</v>
      </c>
      <c r="O90" s="124">
        <f t="shared" si="59"/>
        <v>-400</v>
      </c>
      <c r="P90" s="124">
        <f t="shared" si="54"/>
        <v>-4800</v>
      </c>
      <c r="Q90" s="125"/>
      <c r="R90" s="125"/>
      <c r="S90" s="125"/>
      <c r="T90" s="125"/>
      <c r="U90" s="125"/>
    </row>
    <row r="91">
      <c r="A91" s="122"/>
      <c r="B91" s="122" t="s">
        <v>239</v>
      </c>
      <c r="C91" s="143">
        <v>25000.0</v>
      </c>
      <c r="D91" s="124">
        <f t="shared" ref="D91:O91" si="60">-$C91</f>
        <v>-25000</v>
      </c>
      <c r="E91" s="124">
        <f t="shared" si="60"/>
        <v>-25000</v>
      </c>
      <c r="F91" s="124">
        <f t="shared" si="60"/>
        <v>-25000</v>
      </c>
      <c r="G91" s="124">
        <f t="shared" si="60"/>
        <v>-25000</v>
      </c>
      <c r="H91" s="124">
        <f t="shared" si="60"/>
        <v>-25000</v>
      </c>
      <c r="I91" s="124">
        <f t="shared" si="60"/>
        <v>-25000</v>
      </c>
      <c r="J91" s="124">
        <f t="shared" si="60"/>
        <v>-25000</v>
      </c>
      <c r="K91" s="124">
        <f t="shared" si="60"/>
        <v>-25000</v>
      </c>
      <c r="L91" s="124">
        <f t="shared" si="60"/>
        <v>-25000</v>
      </c>
      <c r="M91" s="124">
        <f t="shared" si="60"/>
        <v>-25000</v>
      </c>
      <c r="N91" s="124">
        <f t="shared" si="60"/>
        <v>-25000</v>
      </c>
      <c r="O91" s="124">
        <f t="shared" si="60"/>
        <v>-25000</v>
      </c>
      <c r="P91" s="124">
        <f t="shared" si="54"/>
        <v>-300000</v>
      </c>
      <c r="Q91" s="125"/>
      <c r="R91" s="125"/>
      <c r="S91" s="125"/>
      <c r="T91" s="125"/>
      <c r="U91" s="125"/>
    </row>
    <row r="92">
      <c r="A92" s="122"/>
      <c r="B92" s="122"/>
      <c r="C92" s="129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5"/>
      <c r="R92" s="125"/>
      <c r="S92" s="125"/>
      <c r="T92" s="125"/>
      <c r="U92" s="125"/>
    </row>
    <row r="93">
      <c r="A93" s="135"/>
      <c r="B93" s="136" t="s">
        <v>240</v>
      </c>
      <c r="C93" s="137"/>
      <c r="D93" s="138">
        <f t="shared" ref="D93:O93" si="61">SUM(D95:D100)</f>
        <v>-482855.6342</v>
      </c>
      <c r="E93" s="138">
        <f t="shared" si="61"/>
        <v>-482855.6342</v>
      </c>
      <c r="F93" s="138">
        <f t="shared" si="61"/>
        <v>-482855.6342</v>
      </c>
      <c r="G93" s="138">
        <f t="shared" si="61"/>
        <v>-478904.5073</v>
      </c>
      <c r="H93" s="138">
        <f t="shared" si="61"/>
        <v>-478904.5073</v>
      </c>
      <c r="I93" s="138">
        <f t="shared" si="61"/>
        <v>-471002.2537</v>
      </c>
      <c r="J93" s="138">
        <f t="shared" si="61"/>
        <v>-471002.2537</v>
      </c>
      <c r="K93" s="138">
        <f t="shared" si="61"/>
        <v>-474953.3805</v>
      </c>
      <c r="L93" s="138">
        <f t="shared" si="61"/>
        <v>-482855.6342</v>
      </c>
      <c r="M93" s="138">
        <f t="shared" si="61"/>
        <v>-482855.6342</v>
      </c>
      <c r="N93" s="138">
        <f t="shared" si="61"/>
        <v>-482855.6342</v>
      </c>
      <c r="O93" s="138">
        <f t="shared" si="61"/>
        <v>-482855.6342</v>
      </c>
      <c r="P93" s="138">
        <f>SUM(D93:O93)</f>
        <v>-5754756.342</v>
      </c>
      <c r="Q93" s="125"/>
      <c r="R93" s="125"/>
      <c r="S93" s="125"/>
      <c r="T93" s="125"/>
      <c r="U93" s="125"/>
    </row>
    <row r="94">
      <c r="A94" s="122"/>
      <c r="B94" s="122"/>
      <c r="C94" s="129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5"/>
      <c r="R94" s="125"/>
      <c r="S94" s="125"/>
      <c r="T94" s="125"/>
      <c r="U94" s="125"/>
    </row>
    <row r="95">
      <c r="A95" s="124"/>
      <c r="B95" s="124" t="s">
        <v>241</v>
      </c>
      <c r="C95" s="143">
        <v>76300.0</v>
      </c>
      <c r="D95" s="124">
        <f t="shared" ref="D95:O95" si="62">-$C95</f>
        <v>-76300</v>
      </c>
      <c r="E95" s="124">
        <f t="shared" si="62"/>
        <v>-76300</v>
      </c>
      <c r="F95" s="124">
        <f t="shared" si="62"/>
        <v>-76300</v>
      </c>
      <c r="G95" s="124">
        <f t="shared" si="62"/>
        <v>-76300</v>
      </c>
      <c r="H95" s="124">
        <f t="shared" si="62"/>
        <v>-76300</v>
      </c>
      <c r="I95" s="124">
        <f t="shared" si="62"/>
        <v>-76300</v>
      </c>
      <c r="J95" s="124">
        <f t="shared" si="62"/>
        <v>-76300</v>
      </c>
      <c r="K95" s="124">
        <f t="shared" si="62"/>
        <v>-76300</v>
      </c>
      <c r="L95" s="124">
        <f t="shared" si="62"/>
        <v>-76300</v>
      </c>
      <c r="M95" s="124">
        <f t="shared" si="62"/>
        <v>-76300</v>
      </c>
      <c r="N95" s="124">
        <f t="shared" si="62"/>
        <v>-76300</v>
      </c>
      <c r="O95" s="124">
        <f t="shared" si="62"/>
        <v>-76300</v>
      </c>
      <c r="P95" s="124">
        <f t="shared" ref="P95:P100" si="64">SUM(D95:O95)</f>
        <v>-915600</v>
      </c>
      <c r="Q95" s="125"/>
      <c r="R95" s="125"/>
      <c r="S95" s="125"/>
      <c r="T95" s="125"/>
      <c r="U95" s="125"/>
    </row>
    <row r="96">
      <c r="A96" s="124"/>
      <c r="B96" s="124" t="s">
        <v>242</v>
      </c>
      <c r="C96" s="143">
        <v>67700.0</v>
      </c>
      <c r="D96" s="124">
        <f t="shared" ref="D96:O96" si="63">-$C96</f>
        <v>-67700</v>
      </c>
      <c r="E96" s="124">
        <f t="shared" si="63"/>
        <v>-67700</v>
      </c>
      <c r="F96" s="124">
        <f t="shared" si="63"/>
        <v>-67700</v>
      </c>
      <c r="G96" s="124">
        <f t="shared" si="63"/>
        <v>-67700</v>
      </c>
      <c r="H96" s="124">
        <f t="shared" si="63"/>
        <v>-67700</v>
      </c>
      <c r="I96" s="124">
        <f t="shared" si="63"/>
        <v>-67700</v>
      </c>
      <c r="J96" s="124">
        <f t="shared" si="63"/>
        <v>-67700</v>
      </c>
      <c r="K96" s="124">
        <f t="shared" si="63"/>
        <v>-67700</v>
      </c>
      <c r="L96" s="124">
        <f t="shared" si="63"/>
        <v>-67700</v>
      </c>
      <c r="M96" s="124">
        <f t="shared" si="63"/>
        <v>-67700</v>
      </c>
      <c r="N96" s="124">
        <f t="shared" si="63"/>
        <v>-67700</v>
      </c>
      <c r="O96" s="124">
        <f t="shared" si="63"/>
        <v>-67700</v>
      </c>
      <c r="P96" s="124">
        <f t="shared" si="64"/>
        <v>-812400</v>
      </c>
      <c r="Q96" s="125"/>
      <c r="R96" s="125"/>
      <c r="S96" s="125"/>
      <c r="T96" s="125"/>
      <c r="U96" s="125"/>
    </row>
    <row r="97">
      <c r="A97" s="124"/>
      <c r="B97" s="124" t="s">
        <v>243</v>
      </c>
      <c r="C97" s="143">
        <v>12500.0</v>
      </c>
      <c r="D97" s="124">
        <f t="shared" ref="D97:O97" si="65">-$C97</f>
        <v>-12500</v>
      </c>
      <c r="E97" s="124">
        <f t="shared" si="65"/>
        <v>-12500</v>
      </c>
      <c r="F97" s="124">
        <f t="shared" si="65"/>
        <v>-12500</v>
      </c>
      <c r="G97" s="124">
        <f t="shared" si="65"/>
        <v>-12500</v>
      </c>
      <c r="H97" s="124">
        <f t="shared" si="65"/>
        <v>-12500</v>
      </c>
      <c r="I97" s="124">
        <f t="shared" si="65"/>
        <v>-12500</v>
      </c>
      <c r="J97" s="124">
        <f t="shared" si="65"/>
        <v>-12500</v>
      </c>
      <c r="K97" s="124">
        <f t="shared" si="65"/>
        <v>-12500</v>
      </c>
      <c r="L97" s="124">
        <f t="shared" si="65"/>
        <v>-12500</v>
      </c>
      <c r="M97" s="124">
        <f t="shared" si="65"/>
        <v>-12500</v>
      </c>
      <c r="N97" s="124">
        <f t="shared" si="65"/>
        <v>-12500</v>
      </c>
      <c r="O97" s="124">
        <f t="shared" si="65"/>
        <v>-12500</v>
      </c>
      <c r="P97" s="124">
        <f t="shared" si="64"/>
        <v>-150000</v>
      </c>
      <c r="Q97" s="125"/>
      <c r="R97" s="125"/>
      <c r="S97" s="125"/>
      <c r="T97" s="125"/>
      <c r="U97" s="125"/>
    </row>
    <row r="98">
      <c r="A98" s="124"/>
      <c r="B98" s="124" t="s">
        <v>244</v>
      </c>
      <c r="C98" s="145">
        <v>0.03</v>
      </c>
      <c r="D98" s="124">
        <f t="shared" ref="D98:O98" si="66">-$C$98*(D33)</f>
        <v>-19755.63417</v>
      </c>
      <c r="E98" s="124">
        <f t="shared" si="66"/>
        <v>-19755.63417</v>
      </c>
      <c r="F98" s="124">
        <f t="shared" si="66"/>
        <v>-19755.63417</v>
      </c>
      <c r="G98" s="124">
        <f t="shared" si="66"/>
        <v>-15804.50734</v>
      </c>
      <c r="H98" s="124">
        <f t="shared" si="66"/>
        <v>-15804.50734</v>
      </c>
      <c r="I98" s="124">
        <f t="shared" si="66"/>
        <v>-7902.253669</v>
      </c>
      <c r="J98" s="124">
        <f t="shared" si="66"/>
        <v>-7902.253669</v>
      </c>
      <c r="K98" s="124">
        <f t="shared" si="66"/>
        <v>-11853.3805</v>
      </c>
      <c r="L98" s="124">
        <f t="shared" si="66"/>
        <v>-19755.63417</v>
      </c>
      <c r="M98" s="124">
        <f t="shared" si="66"/>
        <v>-19755.63417</v>
      </c>
      <c r="N98" s="124">
        <f t="shared" si="66"/>
        <v>-19755.63417</v>
      </c>
      <c r="O98" s="124">
        <f t="shared" si="66"/>
        <v>-19755.63417</v>
      </c>
      <c r="P98" s="124">
        <f t="shared" si="64"/>
        <v>-197556.3417</v>
      </c>
      <c r="Q98" s="125"/>
      <c r="R98" s="125"/>
      <c r="S98" s="125"/>
      <c r="T98" s="125"/>
      <c r="U98" s="125"/>
    </row>
    <row r="99">
      <c r="A99" s="122"/>
      <c r="B99" s="122" t="s">
        <v>245</v>
      </c>
      <c r="C99" s="143">
        <v>6600.0</v>
      </c>
      <c r="D99" s="124">
        <f t="shared" ref="D99:O99" si="67">-$C99</f>
        <v>-6600</v>
      </c>
      <c r="E99" s="124">
        <f t="shared" si="67"/>
        <v>-6600</v>
      </c>
      <c r="F99" s="124">
        <f t="shared" si="67"/>
        <v>-6600</v>
      </c>
      <c r="G99" s="124">
        <f t="shared" si="67"/>
        <v>-6600</v>
      </c>
      <c r="H99" s="124">
        <f t="shared" si="67"/>
        <v>-6600</v>
      </c>
      <c r="I99" s="124">
        <f t="shared" si="67"/>
        <v>-6600</v>
      </c>
      <c r="J99" s="124">
        <f t="shared" si="67"/>
        <v>-6600</v>
      </c>
      <c r="K99" s="124">
        <f t="shared" si="67"/>
        <v>-6600</v>
      </c>
      <c r="L99" s="124">
        <f t="shared" si="67"/>
        <v>-6600</v>
      </c>
      <c r="M99" s="124">
        <f t="shared" si="67"/>
        <v>-6600</v>
      </c>
      <c r="N99" s="124">
        <f t="shared" si="67"/>
        <v>-6600</v>
      </c>
      <c r="O99" s="124">
        <f t="shared" si="67"/>
        <v>-6600</v>
      </c>
      <c r="P99" s="124">
        <f t="shared" si="64"/>
        <v>-79200</v>
      </c>
      <c r="Q99" s="125"/>
      <c r="R99" s="125"/>
      <c r="S99" s="125"/>
      <c r="T99" s="125"/>
      <c r="U99" s="125"/>
    </row>
    <row r="100">
      <c r="A100" s="122"/>
      <c r="B100" s="122" t="s">
        <v>246</v>
      </c>
      <c r="C100" s="143">
        <v>300000.0</v>
      </c>
      <c r="D100" s="124">
        <f t="shared" ref="D100:O100" si="68">-$C$100</f>
        <v>-300000</v>
      </c>
      <c r="E100" s="124">
        <f t="shared" si="68"/>
        <v>-300000</v>
      </c>
      <c r="F100" s="124">
        <f t="shared" si="68"/>
        <v>-300000</v>
      </c>
      <c r="G100" s="124">
        <f t="shared" si="68"/>
        <v>-300000</v>
      </c>
      <c r="H100" s="124">
        <f t="shared" si="68"/>
        <v>-300000</v>
      </c>
      <c r="I100" s="124">
        <f t="shared" si="68"/>
        <v>-300000</v>
      </c>
      <c r="J100" s="124">
        <f t="shared" si="68"/>
        <v>-300000</v>
      </c>
      <c r="K100" s="124">
        <f t="shared" si="68"/>
        <v>-300000</v>
      </c>
      <c r="L100" s="124">
        <f t="shared" si="68"/>
        <v>-300000</v>
      </c>
      <c r="M100" s="124">
        <f t="shared" si="68"/>
        <v>-300000</v>
      </c>
      <c r="N100" s="124">
        <f t="shared" si="68"/>
        <v>-300000</v>
      </c>
      <c r="O100" s="124">
        <f t="shared" si="68"/>
        <v>-300000</v>
      </c>
      <c r="P100" s="124">
        <f t="shared" si="64"/>
        <v>-3600000</v>
      </c>
      <c r="Q100" s="125"/>
      <c r="R100" s="125"/>
      <c r="S100" s="125"/>
      <c r="T100" s="125"/>
      <c r="U100" s="125"/>
    </row>
    <row r="101">
      <c r="A101" s="122"/>
      <c r="B101" s="122"/>
      <c r="C101" s="129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5"/>
      <c r="R101" s="125"/>
      <c r="S101" s="125"/>
      <c r="T101" s="125"/>
      <c r="U101" s="125"/>
    </row>
    <row r="102">
      <c r="A102" s="133"/>
      <c r="B102" s="132" t="s">
        <v>39</v>
      </c>
      <c r="C102" s="133"/>
      <c r="D102" s="132">
        <f t="shared" ref="D102:O102" si="69">D77+D80</f>
        <v>3014799.082</v>
      </c>
      <c r="E102" s="132">
        <f t="shared" si="69"/>
        <v>3014799.082</v>
      </c>
      <c r="F102" s="132">
        <f t="shared" si="69"/>
        <v>3014799.082</v>
      </c>
      <c r="G102" s="132">
        <f t="shared" si="69"/>
        <v>2430689.505</v>
      </c>
      <c r="H102" s="132">
        <f t="shared" si="69"/>
        <v>2430689.505</v>
      </c>
      <c r="I102" s="132">
        <f t="shared" si="69"/>
        <v>1262470.353</v>
      </c>
      <c r="J102" s="132">
        <f t="shared" si="69"/>
        <v>1262470.353</v>
      </c>
      <c r="K102" s="132">
        <f t="shared" si="69"/>
        <v>1846579.929</v>
      </c>
      <c r="L102" s="132">
        <f t="shared" si="69"/>
        <v>3014799.082</v>
      </c>
      <c r="M102" s="132">
        <f t="shared" si="69"/>
        <v>3014799.082</v>
      </c>
      <c r="N102" s="132">
        <f t="shared" si="69"/>
        <v>3014799.082</v>
      </c>
      <c r="O102" s="132">
        <f t="shared" si="69"/>
        <v>3014799.082</v>
      </c>
      <c r="P102" s="132">
        <f>SUM(D102:O102)</f>
        <v>30336493.22</v>
      </c>
      <c r="Q102" s="125"/>
      <c r="R102" s="125"/>
      <c r="S102" s="125"/>
      <c r="T102" s="125"/>
      <c r="U102" s="125"/>
    </row>
    <row r="103">
      <c r="A103" s="124"/>
      <c r="B103" s="155" t="s">
        <v>40</v>
      </c>
      <c r="D103" s="156">
        <f t="shared" ref="D103:O103" si="70">IFERROR(D102/D$12,0)</f>
        <v>0.284036596</v>
      </c>
      <c r="E103" s="156">
        <f t="shared" si="70"/>
        <v>0.284036596</v>
      </c>
      <c r="F103" s="156">
        <f t="shared" si="70"/>
        <v>0.284036596</v>
      </c>
      <c r="G103" s="156">
        <f t="shared" si="70"/>
        <v>0.2695480102</v>
      </c>
      <c r="H103" s="156">
        <f t="shared" si="70"/>
        <v>0.2695480102</v>
      </c>
      <c r="I103" s="156">
        <f t="shared" si="70"/>
        <v>0.216744092</v>
      </c>
      <c r="J103" s="156">
        <f t="shared" si="70"/>
        <v>0.216744092</v>
      </c>
      <c r="K103" s="156">
        <f t="shared" si="70"/>
        <v>0.2488257428</v>
      </c>
      <c r="L103" s="156">
        <f t="shared" si="70"/>
        <v>0.284036596</v>
      </c>
      <c r="M103" s="156">
        <f t="shared" si="70"/>
        <v>0.284036596</v>
      </c>
      <c r="N103" s="156">
        <f t="shared" si="70"/>
        <v>0.284036596</v>
      </c>
      <c r="O103" s="156">
        <f t="shared" si="70"/>
        <v>0.284036596</v>
      </c>
      <c r="P103" s="128"/>
      <c r="Q103" s="125"/>
      <c r="R103" s="125"/>
      <c r="S103" s="125"/>
      <c r="T103" s="125"/>
      <c r="U103" s="125"/>
    </row>
    <row r="104">
      <c r="A104" s="122"/>
      <c r="B104" s="122"/>
      <c r="C104" s="128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5"/>
      <c r="R104" s="125"/>
      <c r="S104" s="125"/>
      <c r="T104" s="125"/>
      <c r="U104" s="125"/>
    </row>
    <row r="105">
      <c r="A105" s="122"/>
      <c r="B105" s="122" t="s">
        <v>42</v>
      </c>
      <c r="C105" s="158"/>
      <c r="D105" s="124">
        <f t="shared" ref="D105:O105" si="71">D123</f>
        <v>-32398.04</v>
      </c>
      <c r="E105" s="124">
        <f t="shared" si="71"/>
        <v>-30649.69</v>
      </c>
      <c r="F105" s="124">
        <f t="shared" si="71"/>
        <v>-28883.8565</v>
      </c>
      <c r="G105" s="124">
        <f t="shared" si="71"/>
        <v>-27100.36467</v>
      </c>
      <c r="H105" s="124">
        <f t="shared" si="71"/>
        <v>-25299.03791</v>
      </c>
      <c r="I105" s="124">
        <f t="shared" si="71"/>
        <v>-23479.69789</v>
      </c>
      <c r="J105" s="124">
        <f t="shared" si="71"/>
        <v>-21642.16447</v>
      </c>
      <c r="K105" s="124">
        <f t="shared" si="71"/>
        <v>-19786.25571</v>
      </c>
      <c r="L105" s="124">
        <f t="shared" si="71"/>
        <v>-17911.78787</v>
      </c>
      <c r="M105" s="124">
        <f t="shared" si="71"/>
        <v>-16018.57535</v>
      </c>
      <c r="N105" s="124">
        <f t="shared" si="71"/>
        <v>-14106.4307</v>
      </c>
      <c r="O105" s="124">
        <f t="shared" si="71"/>
        <v>-12175.16461</v>
      </c>
      <c r="P105" s="124"/>
      <c r="Q105" s="125"/>
      <c r="R105" s="125"/>
      <c r="S105" s="125"/>
      <c r="T105" s="125"/>
      <c r="U105" s="125"/>
    </row>
    <row r="106">
      <c r="A106" s="122"/>
      <c r="B106" s="122" t="s">
        <v>247</v>
      </c>
      <c r="C106" s="143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5"/>
      <c r="R106" s="125"/>
      <c r="S106" s="125"/>
      <c r="T106" s="125"/>
      <c r="U106" s="125"/>
    </row>
    <row r="107">
      <c r="A107" s="122"/>
      <c r="B107" s="122" t="s">
        <v>43</v>
      </c>
      <c r="C107" s="125"/>
      <c r="D107" s="124">
        <f>-C107</f>
        <v>0</v>
      </c>
      <c r="E107" s="124">
        <f t="shared" ref="E107:O107" si="72">D107</f>
        <v>0</v>
      </c>
      <c r="F107" s="124">
        <f t="shared" si="72"/>
        <v>0</v>
      </c>
      <c r="G107" s="124">
        <f t="shared" si="72"/>
        <v>0</v>
      </c>
      <c r="H107" s="124">
        <f t="shared" si="72"/>
        <v>0</v>
      </c>
      <c r="I107" s="124">
        <f t="shared" si="72"/>
        <v>0</v>
      </c>
      <c r="J107" s="124">
        <f t="shared" si="72"/>
        <v>0</v>
      </c>
      <c r="K107" s="124">
        <f t="shared" si="72"/>
        <v>0</v>
      </c>
      <c r="L107" s="124">
        <f t="shared" si="72"/>
        <v>0</v>
      </c>
      <c r="M107" s="124">
        <f t="shared" si="72"/>
        <v>0</v>
      </c>
      <c r="N107" s="124">
        <f t="shared" si="72"/>
        <v>0</v>
      </c>
      <c r="O107" s="124">
        <f t="shared" si="72"/>
        <v>0</v>
      </c>
      <c r="P107" s="124"/>
      <c r="Q107" s="125"/>
      <c r="R107" s="125"/>
      <c r="S107" s="125"/>
      <c r="T107" s="125"/>
      <c r="U107" s="125"/>
    </row>
    <row r="108">
      <c r="A108" s="122"/>
      <c r="B108" s="122"/>
      <c r="C108" s="122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5"/>
      <c r="R108" s="125"/>
      <c r="S108" s="125"/>
      <c r="T108" s="125"/>
      <c r="U108" s="125"/>
    </row>
    <row r="109">
      <c r="A109" s="133"/>
      <c r="B109" s="132" t="s">
        <v>248</v>
      </c>
      <c r="C109" s="133"/>
      <c r="D109" s="132">
        <f t="shared" ref="D109:O109" si="73">D102+D105+D107</f>
        <v>2982401.042</v>
      </c>
      <c r="E109" s="132">
        <f t="shared" si="73"/>
        <v>2984149.392</v>
      </c>
      <c r="F109" s="132">
        <f t="shared" si="73"/>
        <v>2985915.225</v>
      </c>
      <c r="G109" s="132">
        <f t="shared" si="73"/>
        <v>2403589.141</v>
      </c>
      <c r="H109" s="132">
        <f t="shared" si="73"/>
        <v>2405390.468</v>
      </c>
      <c r="I109" s="132">
        <f t="shared" si="73"/>
        <v>1238990.655</v>
      </c>
      <c r="J109" s="132">
        <f t="shared" si="73"/>
        <v>1240828.188</v>
      </c>
      <c r="K109" s="132">
        <f t="shared" si="73"/>
        <v>1826793.673</v>
      </c>
      <c r="L109" s="132">
        <f t="shared" si="73"/>
        <v>2996887.294</v>
      </c>
      <c r="M109" s="132">
        <f t="shared" si="73"/>
        <v>2998780.506</v>
      </c>
      <c r="N109" s="132">
        <f t="shared" si="73"/>
        <v>3000692.651</v>
      </c>
      <c r="O109" s="132">
        <f t="shared" si="73"/>
        <v>3002623.917</v>
      </c>
      <c r="P109" s="132">
        <f>SUM(D109:O109)</f>
        <v>30067042.15</v>
      </c>
      <c r="Q109" s="125"/>
      <c r="R109" s="125"/>
      <c r="S109" s="125"/>
      <c r="T109" s="125"/>
      <c r="U109" s="125"/>
    </row>
    <row r="110">
      <c r="A110" s="122"/>
      <c r="B110" s="122"/>
      <c r="C110" s="122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5"/>
      <c r="R110" s="125"/>
      <c r="S110" s="125"/>
      <c r="T110" s="125"/>
      <c r="U110" s="125"/>
    </row>
    <row r="111">
      <c r="A111" s="122"/>
      <c r="B111" s="122" t="s">
        <v>41</v>
      </c>
      <c r="C111" s="147">
        <v>0.06</v>
      </c>
      <c r="D111" s="124">
        <f t="shared" ref="D111:O111" si="74">-D109*$C$111</f>
        <v>-178944.0625</v>
      </c>
      <c r="E111" s="124">
        <f t="shared" si="74"/>
        <v>-179048.9635</v>
      </c>
      <c r="F111" s="124">
        <f t="shared" si="74"/>
        <v>-179154.9135</v>
      </c>
      <c r="G111" s="124">
        <f t="shared" si="74"/>
        <v>-144215.3484</v>
      </c>
      <c r="H111" s="124">
        <f t="shared" si="74"/>
        <v>-144323.4281</v>
      </c>
      <c r="I111" s="124">
        <f t="shared" si="74"/>
        <v>-74339.43929</v>
      </c>
      <c r="J111" s="124">
        <f t="shared" si="74"/>
        <v>-74449.6913</v>
      </c>
      <c r="K111" s="124">
        <f t="shared" si="74"/>
        <v>-109607.6204</v>
      </c>
      <c r="L111" s="124">
        <f t="shared" si="74"/>
        <v>-179813.2376</v>
      </c>
      <c r="M111" s="124">
        <f t="shared" si="74"/>
        <v>-179926.8304</v>
      </c>
      <c r="N111" s="124">
        <f t="shared" si="74"/>
        <v>-180041.5591</v>
      </c>
      <c r="O111" s="124">
        <f t="shared" si="74"/>
        <v>-180157.435</v>
      </c>
      <c r="P111" s="124"/>
      <c r="Q111" s="125"/>
      <c r="R111" s="125"/>
      <c r="S111" s="125"/>
      <c r="T111" s="125"/>
      <c r="U111" s="125"/>
    </row>
    <row r="112">
      <c r="A112" s="122"/>
      <c r="B112" s="122"/>
      <c r="D112" s="124"/>
      <c r="P112" s="124"/>
      <c r="Q112" s="125"/>
      <c r="R112" s="125"/>
      <c r="S112" s="125"/>
      <c r="T112" s="125"/>
      <c r="U112" s="125"/>
    </row>
    <row r="113">
      <c r="A113" s="133"/>
      <c r="B113" s="132" t="s">
        <v>44</v>
      </c>
      <c r="C113" s="133"/>
      <c r="D113" s="132">
        <f t="shared" ref="D113:O113" si="75">D109+D111</f>
        <v>2803456.979</v>
      </c>
      <c r="E113" s="132">
        <f t="shared" si="75"/>
        <v>2805100.428</v>
      </c>
      <c r="F113" s="132">
        <f t="shared" si="75"/>
        <v>2806760.312</v>
      </c>
      <c r="G113" s="132">
        <f t="shared" si="75"/>
        <v>2259373.792</v>
      </c>
      <c r="H113" s="132">
        <f t="shared" si="75"/>
        <v>2261067.04</v>
      </c>
      <c r="I113" s="132">
        <f t="shared" si="75"/>
        <v>1164651.216</v>
      </c>
      <c r="J113" s="132">
        <f t="shared" si="75"/>
        <v>1166378.497</v>
      </c>
      <c r="K113" s="132">
        <f t="shared" si="75"/>
        <v>1717186.053</v>
      </c>
      <c r="L113" s="132">
        <f t="shared" si="75"/>
        <v>2817074.056</v>
      </c>
      <c r="M113" s="132">
        <f t="shared" si="75"/>
        <v>2818853.676</v>
      </c>
      <c r="N113" s="132">
        <f t="shared" si="75"/>
        <v>2820651.092</v>
      </c>
      <c r="O113" s="132">
        <f t="shared" si="75"/>
        <v>2822466.482</v>
      </c>
      <c r="P113" s="132">
        <f>SUM(D113:O113)</f>
        <v>28263019.62</v>
      </c>
      <c r="Q113" s="125"/>
      <c r="R113" s="125"/>
      <c r="S113" s="125"/>
      <c r="T113" s="125"/>
      <c r="U113" s="125"/>
    </row>
    <row r="114">
      <c r="A114" s="124"/>
      <c r="B114" s="155" t="s">
        <v>45</v>
      </c>
      <c r="D114" s="156">
        <f t="shared" ref="D114:O114" si="76">IFERROR(D113/D$12,0)</f>
        <v>0.2641251891</v>
      </c>
      <c r="E114" s="156">
        <f t="shared" si="76"/>
        <v>0.2642800252</v>
      </c>
      <c r="F114" s="156">
        <f t="shared" si="76"/>
        <v>0.2644364096</v>
      </c>
      <c r="G114" s="156">
        <f t="shared" si="76"/>
        <v>0.2505501869</v>
      </c>
      <c r="H114" s="156">
        <f t="shared" si="76"/>
        <v>0.2507379573</v>
      </c>
      <c r="I114" s="156">
        <f t="shared" si="76"/>
        <v>0.199950256</v>
      </c>
      <c r="J114" s="156">
        <f t="shared" si="76"/>
        <v>0.2002468</v>
      </c>
      <c r="K114" s="156">
        <f t="shared" si="76"/>
        <v>0.2313899813</v>
      </c>
      <c r="L114" s="156">
        <f t="shared" si="76"/>
        <v>0.2654081098</v>
      </c>
      <c r="M114" s="156">
        <f t="shared" si="76"/>
        <v>0.2655757751</v>
      </c>
      <c r="N114" s="156">
        <f t="shared" si="76"/>
        <v>0.265745117</v>
      </c>
      <c r="O114" s="156">
        <f t="shared" si="76"/>
        <v>0.2659161524</v>
      </c>
      <c r="P114" s="128"/>
      <c r="Q114" s="125"/>
      <c r="R114" s="125"/>
      <c r="S114" s="125"/>
      <c r="T114" s="125"/>
      <c r="U114" s="125"/>
    </row>
    <row r="115">
      <c r="A115" s="124"/>
      <c r="B115" s="159" t="s">
        <v>249</v>
      </c>
      <c r="D115" s="159">
        <f t="shared" ref="D115:O115" si="77">C115+D113</f>
        <v>2803456.979</v>
      </c>
      <c r="E115" s="159">
        <f t="shared" si="77"/>
        <v>5608557.408</v>
      </c>
      <c r="F115" s="159">
        <f t="shared" si="77"/>
        <v>8415317.72</v>
      </c>
      <c r="G115" s="159">
        <f t="shared" si="77"/>
        <v>10674691.51</v>
      </c>
      <c r="H115" s="159">
        <f t="shared" si="77"/>
        <v>12935758.55</v>
      </c>
      <c r="I115" s="159">
        <f t="shared" si="77"/>
        <v>14100409.77</v>
      </c>
      <c r="J115" s="159">
        <f t="shared" si="77"/>
        <v>15266788.26</v>
      </c>
      <c r="K115" s="159">
        <f t="shared" si="77"/>
        <v>16983974.32</v>
      </c>
      <c r="L115" s="159">
        <f t="shared" si="77"/>
        <v>19801048.37</v>
      </c>
      <c r="M115" s="159">
        <f t="shared" si="77"/>
        <v>22619902.05</v>
      </c>
      <c r="N115" s="159">
        <f t="shared" si="77"/>
        <v>25440553.14</v>
      </c>
      <c r="O115" s="159">
        <f t="shared" si="77"/>
        <v>28263019.62</v>
      </c>
      <c r="P115" s="124"/>
      <c r="Q115" s="125"/>
      <c r="R115" s="125"/>
      <c r="S115" s="125"/>
      <c r="T115" s="125"/>
      <c r="U115" s="125"/>
    </row>
    <row r="116">
      <c r="A116" s="122"/>
      <c r="B116" s="122"/>
      <c r="C116" s="122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5"/>
      <c r="R116" s="125"/>
      <c r="S116" s="125"/>
      <c r="T116" s="125"/>
      <c r="U116" s="125"/>
    </row>
    <row r="117">
      <c r="A117" s="133"/>
      <c r="B117" s="132" t="s">
        <v>250</v>
      </c>
      <c r="C117" s="133"/>
      <c r="D117" s="132">
        <f t="shared" ref="D117:O117" si="78">D124+D126</f>
        <v>-455180.6979</v>
      </c>
      <c r="E117" s="132">
        <f t="shared" si="78"/>
        <v>-457093.3928</v>
      </c>
      <c r="F117" s="132">
        <f t="shared" si="78"/>
        <v>-459025.2147</v>
      </c>
      <c r="G117" s="132">
        <f t="shared" si="78"/>
        <v>-406070.0546</v>
      </c>
      <c r="H117" s="132">
        <f t="shared" si="78"/>
        <v>-408040.706</v>
      </c>
      <c r="I117" s="132">
        <f t="shared" si="78"/>
        <v>-300218.4637</v>
      </c>
      <c r="J117" s="132">
        <f t="shared" si="78"/>
        <v>-302228.7252</v>
      </c>
      <c r="K117" s="132">
        <f t="shared" si="78"/>
        <v>-359165.3896</v>
      </c>
      <c r="L117" s="132">
        <f t="shared" si="78"/>
        <v>-471028.6578</v>
      </c>
      <c r="M117" s="132">
        <f t="shared" si="78"/>
        <v>-473099.8323</v>
      </c>
      <c r="N117" s="132">
        <f t="shared" si="78"/>
        <v>-475191.7185</v>
      </c>
      <c r="O117" s="132">
        <f t="shared" si="78"/>
        <v>-477304.5236</v>
      </c>
      <c r="P117" s="132">
        <f>SUM(D117:O117)</f>
        <v>-5043647.377</v>
      </c>
      <c r="Q117" s="125"/>
      <c r="R117" s="125"/>
      <c r="S117" s="125"/>
      <c r="T117" s="125"/>
      <c r="U117" s="125"/>
    </row>
    <row r="118">
      <c r="A118" s="122"/>
      <c r="B118" s="122"/>
      <c r="C118" s="122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5"/>
      <c r="R118" s="125"/>
      <c r="S118" s="125"/>
      <c r="T118" s="125"/>
      <c r="U118" s="125"/>
    </row>
    <row r="119">
      <c r="A119" s="122"/>
      <c r="B119" s="122" t="s">
        <v>251</v>
      </c>
      <c r="C119" s="125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5"/>
      <c r="R119" s="125"/>
      <c r="S119" s="125"/>
      <c r="T119" s="125"/>
      <c r="U119" s="125"/>
    </row>
    <row r="120">
      <c r="A120" s="122"/>
      <c r="B120" s="122" t="s">
        <v>252</v>
      </c>
      <c r="C120" s="143">
        <v>3239804.0</v>
      </c>
      <c r="D120" s="124">
        <f t="shared" ref="D120:O120" si="79">C120+D124</f>
        <v>3064969</v>
      </c>
      <c r="E120" s="124">
        <f t="shared" si="79"/>
        <v>2888385.65</v>
      </c>
      <c r="F120" s="124">
        <f t="shared" si="79"/>
        <v>2710036.467</v>
      </c>
      <c r="G120" s="124">
        <f t="shared" si="79"/>
        <v>2529903.791</v>
      </c>
      <c r="H120" s="124">
        <f t="shared" si="79"/>
        <v>2347969.789</v>
      </c>
      <c r="I120" s="124">
        <f t="shared" si="79"/>
        <v>2164216.447</v>
      </c>
      <c r="J120" s="124">
        <f t="shared" si="79"/>
        <v>1978625.571</v>
      </c>
      <c r="K120" s="124">
        <f t="shared" si="79"/>
        <v>1791178.787</v>
      </c>
      <c r="L120" s="124">
        <f t="shared" si="79"/>
        <v>1601857.535</v>
      </c>
      <c r="M120" s="124">
        <f t="shared" si="79"/>
        <v>1410643.07</v>
      </c>
      <c r="N120" s="124">
        <f t="shared" si="79"/>
        <v>1217516.461</v>
      </c>
      <c r="O120" s="124">
        <f t="shared" si="79"/>
        <v>1022458.586</v>
      </c>
      <c r="P120" s="124"/>
      <c r="Q120" s="125"/>
      <c r="R120" s="125"/>
      <c r="S120" s="125"/>
      <c r="T120" s="125"/>
      <c r="U120" s="125"/>
    </row>
    <row r="121">
      <c r="A121" s="122"/>
      <c r="B121" s="122" t="s">
        <v>253</v>
      </c>
      <c r="C121" s="144">
        <v>0.12</v>
      </c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5"/>
      <c r="R121" s="125"/>
      <c r="S121" s="125"/>
      <c r="T121" s="125"/>
      <c r="U121" s="125"/>
    </row>
    <row r="122">
      <c r="A122" s="122"/>
      <c r="B122" s="122" t="s">
        <v>254</v>
      </c>
      <c r="C122" s="122"/>
      <c r="D122" s="124">
        <f>D123+D124</f>
        <v>-207233.04</v>
      </c>
      <c r="E122" s="124">
        <f t="shared" ref="E122:O122" si="80">D122</f>
        <v>-207233.04</v>
      </c>
      <c r="F122" s="124">
        <f t="shared" si="80"/>
        <v>-207233.04</v>
      </c>
      <c r="G122" s="124">
        <f t="shared" si="80"/>
        <v>-207233.04</v>
      </c>
      <c r="H122" s="124">
        <f t="shared" si="80"/>
        <v>-207233.04</v>
      </c>
      <c r="I122" s="124">
        <f t="shared" si="80"/>
        <v>-207233.04</v>
      </c>
      <c r="J122" s="124">
        <f t="shared" si="80"/>
        <v>-207233.04</v>
      </c>
      <c r="K122" s="124">
        <f t="shared" si="80"/>
        <v>-207233.04</v>
      </c>
      <c r="L122" s="124">
        <f t="shared" si="80"/>
        <v>-207233.04</v>
      </c>
      <c r="M122" s="124">
        <f t="shared" si="80"/>
        <v>-207233.04</v>
      </c>
      <c r="N122" s="124">
        <f t="shared" si="80"/>
        <v>-207233.04</v>
      </c>
      <c r="O122" s="124">
        <f t="shared" si="80"/>
        <v>-207233.04</v>
      </c>
      <c r="P122" s="124"/>
      <c r="Q122" s="125"/>
      <c r="R122" s="125"/>
      <c r="S122" s="125"/>
      <c r="T122" s="125"/>
      <c r="U122" s="125"/>
    </row>
    <row r="123">
      <c r="A123" s="122"/>
      <c r="B123" s="122" t="s">
        <v>255</v>
      </c>
      <c r="C123" s="122"/>
      <c r="D123" s="124">
        <f t="shared" ref="D123:O123" si="81">-C120*$C$121/12</f>
        <v>-32398.04</v>
      </c>
      <c r="E123" s="124">
        <f t="shared" si="81"/>
        <v>-30649.69</v>
      </c>
      <c r="F123" s="124">
        <f t="shared" si="81"/>
        <v>-28883.8565</v>
      </c>
      <c r="G123" s="124">
        <f t="shared" si="81"/>
        <v>-27100.36467</v>
      </c>
      <c r="H123" s="124">
        <f t="shared" si="81"/>
        <v>-25299.03791</v>
      </c>
      <c r="I123" s="124">
        <f t="shared" si="81"/>
        <v>-23479.69789</v>
      </c>
      <c r="J123" s="124">
        <f t="shared" si="81"/>
        <v>-21642.16447</v>
      </c>
      <c r="K123" s="124">
        <f t="shared" si="81"/>
        <v>-19786.25571</v>
      </c>
      <c r="L123" s="124">
        <f t="shared" si="81"/>
        <v>-17911.78787</v>
      </c>
      <c r="M123" s="124">
        <f t="shared" si="81"/>
        <v>-16018.57535</v>
      </c>
      <c r="N123" s="124">
        <f t="shared" si="81"/>
        <v>-14106.4307</v>
      </c>
      <c r="O123" s="124">
        <f t="shared" si="81"/>
        <v>-12175.16461</v>
      </c>
      <c r="P123" s="124"/>
      <c r="Q123" s="125"/>
      <c r="R123" s="125"/>
      <c r="S123" s="125"/>
      <c r="T123" s="125"/>
      <c r="U123" s="125"/>
    </row>
    <row r="124">
      <c r="A124" s="122"/>
      <c r="B124" s="122" t="s">
        <v>256</v>
      </c>
      <c r="C124" s="158">
        <v>174835.0</v>
      </c>
      <c r="D124" s="124">
        <f>-$C$124</f>
        <v>-174835</v>
      </c>
      <c r="E124" s="124">
        <f t="shared" ref="E124:O124" si="82">E122-E123</f>
        <v>-176583.35</v>
      </c>
      <c r="F124" s="124">
        <f t="shared" si="82"/>
        <v>-178349.1835</v>
      </c>
      <c r="G124" s="124">
        <f t="shared" si="82"/>
        <v>-180132.6753</v>
      </c>
      <c r="H124" s="124">
        <f t="shared" si="82"/>
        <v>-181934.0021</v>
      </c>
      <c r="I124" s="124">
        <f t="shared" si="82"/>
        <v>-183753.3421</v>
      </c>
      <c r="J124" s="124">
        <f t="shared" si="82"/>
        <v>-185590.8755</v>
      </c>
      <c r="K124" s="124">
        <f t="shared" si="82"/>
        <v>-187446.7843</v>
      </c>
      <c r="L124" s="124">
        <f t="shared" si="82"/>
        <v>-189321.2521</v>
      </c>
      <c r="M124" s="124">
        <f t="shared" si="82"/>
        <v>-191214.4646</v>
      </c>
      <c r="N124" s="124">
        <f t="shared" si="82"/>
        <v>-193126.6093</v>
      </c>
      <c r="O124" s="124">
        <f t="shared" si="82"/>
        <v>-195057.8754</v>
      </c>
      <c r="P124" s="124"/>
      <c r="Q124" s="125"/>
      <c r="R124" s="125"/>
      <c r="S124" s="125"/>
      <c r="T124" s="125"/>
      <c r="U124" s="125"/>
    </row>
    <row r="125">
      <c r="A125" s="122"/>
      <c r="B125" s="122"/>
      <c r="C125" s="14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5"/>
      <c r="R125" s="125"/>
      <c r="S125" s="125"/>
      <c r="T125" s="125"/>
      <c r="U125" s="125"/>
    </row>
    <row r="126">
      <c r="A126" s="122"/>
      <c r="B126" s="122" t="s">
        <v>257</v>
      </c>
      <c r="C126" s="144">
        <v>0.1</v>
      </c>
      <c r="D126" s="124">
        <f t="shared" ref="D126:O126" si="83">-IF(D$113&lt;0,0,$C126*D$113)</f>
        <v>-280345.6979</v>
      </c>
      <c r="E126" s="124">
        <f t="shared" si="83"/>
        <v>-280510.0428</v>
      </c>
      <c r="F126" s="124">
        <f t="shared" si="83"/>
        <v>-280676.0312</v>
      </c>
      <c r="G126" s="124">
        <f t="shared" si="83"/>
        <v>-225937.3792</v>
      </c>
      <c r="H126" s="124">
        <f t="shared" si="83"/>
        <v>-226106.704</v>
      </c>
      <c r="I126" s="124">
        <f t="shared" si="83"/>
        <v>-116465.1216</v>
      </c>
      <c r="J126" s="124">
        <f t="shared" si="83"/>
        <v>-116637.8497</v>
      </c>
      <c r="K126" s="124">
        <f t="shared" si="83"/>
        <v>-171718.6053</v>
      </c>
      <c r="L126" s="124">
        <f t="shared" si="83"/>
        <v>-281707.4056</v>
      </c>
      <c r="M126" s="124">
        <f t="shared" si="83"/>
        <v>-281885.3676</v>
      </c>
      <c r="N126" s="124">
        <f t="shared" si="83"/>
        <v>-282065.1092</v>
      </c>
      <c r="O126" s="124">
        <f t="shared" si="83"/>
        <v>-282246.6482</v>
      </c>
      <c r="P126" s="124"/>
      <c r="Q126" s="125"/>
      <c r="R126" s="125"/>
      <c r="S126" s="125"/>
      <c r="T126" s="125"/>
      <c r="U126" s="125"/>
    </row>
    <row r="127">
      <c r="A127" s="122"/>
      <c r="B127" s="122"/>
      <c r="C127" s="122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5"/>
      <c r="R127" s="125"/>
      <c r="S127" s="125"/>
      <c r="T127" s="125"/>
      <c r="U127" s="125"/>
    </row>
    <row r="128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5"/>
      <c r="R128" s="125"/>
      <c r="S128" s="125"/>
      <c r="T128" s="125"/>
      <c r="U128" s="125"/>
    </row>
    <row r="129">
      <c r="A129" s="133"/>
      <c r="B129" s="132" t="s">
        <v>258</v>
      </c>
      <c r="C129" s="133"/>
      <c r="D129" s="132">
        <f t="shared" ref="D129:O129" si="84">SUM(D130:D131)</f>
        <v>0</v>
      </c>
      <c r="E129" s="132">
        <f t="shared" si="84"/>
        <v>0</v>
      </c>
      <c r="F129" s="132">
        <f t="shared" si="84"/>
        <v>0</v>
      </c>
      <c r="G129" s="132">
        <f t="shared" si="84"/>
        <v>0</v>
      </c>
      <c r="H129" s="132">
        <f t="shared" si="84"/>
        <v>0</v>
      </c>
      <c r="I129" s="132">
        <f t="shared" si="84"/>
        <v>0</v>
      </c>
      <c r="J129" s="132">
        <f t="shared" si="84"/>
        <v>0</v>
      </c>
      <c r="K129" s="132">
        <f t="shared" si="84"/>
        <v>0</v>
      </c>
      <c r="L129" s="132">
        <f t="shared" si="84"/>
        <v>0</v>
      </c>
      <c r="M129" s="132">
        <f t="shared" si="84"/>
        <v>0</v>
      </c>
      <c r="N129" s="132">
        <f t="shared" si="84"/>
        <v>0</v>
      </c>
      <c r="O129" s="132">
        <f t="shared" si="84"/>
        <v>0</v>
      </c>
      <c r="P129" s="133"/>
      <c r="Q129" s="125"/>
      <c r="R129" s="125"/>
      <c r="S129" s="125"/>
      <c r="T129" s="125"/>
      <c r="U129" s="125"/>
    </row>
    <row r="130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5"/>
      <c r="R130" s="125"/>
      <c r="S130" s="125"/>
      <c r="T130" s="125"/>
      <c r="U130" s="125"/>
    </row>
    <row r="131">
      <c r="A131" s="122"/>
      <c r="B131" s="122" t="s">
        <v>259</v>
      </c>
      <c r="C131" s="122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5"/>
      <c r="R131" s="125"/>
      <c r="S131" s="125"/>
      <c r="T131" s="125"/>
      <c r="U131" s="125"/>
    </row>
    <row r="132">
      <c r="A132" s="133"/>
      <c r="B132" s="160" t="s">
        <v>260</v>
      </c>
      <c r="C132" s="133"/>
      <c r="D132" s="132">
        <f t="shared" ref="D132:O132" si="85">D138+D144</f>
        <v>12296756.74</v>
      </c>
      <c r="E132" s="132">
        <f t="shared" si="85"/>
        <v>12296756.74</v>
      </c>
      <c r="F132" s="132">
        <f t="shared" si="85"/>
        <v>12296756.74</v>
      </c>
      <c r="G132" s="132">
        <f t="shared" si="85"/>
        <v>10446219.21</v>
      </c>
      <c r="H132" s="132">
        <f t="shared" si="85"/>
        <v>10446219.21</v>
      </c>
      <c r="I132" s="132">
        <f t="shared" si="85"/>
        <v>6745144.138</v>
      </c>
      <c r="J132" s="132">
        <f t="shared" si="85"/>
        <v>6745144.138</v>
      </c>
      <c r="K132" s="132">
        <f t="shared" si="85"/>
        <v>8595681.673</v>
      </c>
      <c r="L132" s="132">
        <f t="shared" si="85"/>
        <v>12296756.74</v>
      </c>
      <c r="M132" s="132">
        <f t="shared" si="85"/>
        <v>12296756.74</v>
      </c>
      <c r="N132" s="132">
        <f t="shared" si="85"/>
        <v>12296756.74</v>
      </c>
      <c r="O132" s="132">
        <f t="shared" si="85"/>
        <v>12296756.74</v>
      </c>
      <c r="P132" s="133"/>
      <c r="Q132" s="125"/>
      <c r="R132" s="125"/>
      <c r="S132" s="125"/>
      <c r="T132" s="125"/>
      <c r="U132" s="125"/>
    </row>
    <row r="133">
      <c r="A133" s="124"/>
      <c r="B133" s="124" t="s">
        <v>84</v>
      </c>
      <c r="D133" s="124">
        <f t="shared" ref="D133:O133" si="86">D139+D145+D151-D157</f>
        <v>3775812.32</v>
      </c>
      <c r="E133" s="124">
        <f t="shared" si="86"/>
        <v>-679953.6863</v>
      </c>
      <c r="F133" s="124">
        <f t="shared" si="86"/>
        <v>-566628.0719</v>
      </c>
      <c r="G133" s="124">
        <f t="shared" si="86"/>
        <v>-1585716.207</v>
      </c>
      <c r="H133" s="124">
        <f t="shared" si="86"/>
        <v>-393491.7166</v>
      </c>
      <c r="I133" s="124">
        <f t="shared" si="86"/>
        <v>-2554962.058</v>
      </c>
      <c r="J133" s="124">
        <f t="shared" si="86"/>
        <v>-273258.1365</v>
      </c>
      <c r="K133" s="124">
        <f t="shared" si="86"/>
        <v>885811.0334</v>
      </c>
      <c r="L133" s="124">
        <f t="shared" si="86"/>
        <v>2037289.7</v>
      </c>
      <c r="M133" s="124">
        <f t="shared" si="86"/>
        <v>-158135.4957</v>
      </c>
      <c r="N133" s="124">
        <f t="shared" si="86"/>
        <v>-131779.5797</v>
      </c>
      <c r="O133" s="124">
        <f t="shared" si="86"/>
        <v>-109816.3164</v>
      </c>
      <c r="P133" s="124"/>
      <c r="Q133" s="125"/>
      <c r="R133" s="125"/>
      <c r="S133" s="125"/>
      <c r="T133" s="125"/>
      <c r="U133" s="125"/>
    </row>
    <row r="134">
      <c r="A134" s="122"/>
      <c r="B134" s="122"/>
      <c r="D134" s="124"/>
      <c r="P134" s="124"/>
      <c r="Q134" s="125"/>
      <c r="R134" s="125"/>
      <c r="S134" s="125"/>
      <c r="T134" s="125"/>
      <c r="U134" s="125"/>
    </row>
    <row r="135">
      <c r="A135" s="124"/>
      <c r="B135" s="126" t="s">
        <v>49</v>
      </c>
      <c r="D135" s="124"/>
      <c r="P135" s="124"/>
      <c r="Q135" s="125"/>
      <c r="R135" s="125"/>
      <c r="S135" s="125"/>
      <c r="T135" s="125"/>
      <c r="U135" s="125"/>
    </row>
    <row r="136">
      <c r="A136" s="122"/>
      <c r="B136" s="122" t="s">
        <v>50</v>
      </c>
      <c r="C136" s="148">
        <v>45.0</v>
      </c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5"/>
      <c r="R136" s="125"/>
      <c r="S136" s="125"/>
      <c r="T136" s="125"/>
      <c r="U136" s="125"/>
    </row>
    <row r="137">
      <c r="A137" s="124"/>
      <c r="B137" s="124" t="s">
        <v>51</v>
      </c>
      <c r="C137" s="124"/>
      <c r="D137" s="124">
        <f t="shared" ref="D137:O137" si="87">C138</f>
        <v>4500000</v>
      </c>
      <c r="E137" s="124">
        <f t="shared" si="87"/>
        <v>7343499.812</v>
      </c>
      <c r="F137" s="124">
        <f t="shared" si="87"/>
        <v>7343499.812</v>
      </c>
      <c r="G137" s="124">
        <f t="shared" si="87"/>
        <v>7343499.812</v>
      </c>
      <c r="H137" s="124">
        <f t="shared" si="87"/>
        <v>6237982.73</v>
      </c>
      <c r="I137" s="124">
        <f t="shared" si="87"/>
        <v>6237982.73</v>
      </c>
      <c r="J137" s="124">
        <f t="shared" si="87"/>
        <v>4026948.565</v>
      </c>
      <c r="K137" s="124">
        <f t="shared" si="87"/>
        <v>4026948.565</v>
      </c>
      <c r="L137" s="124">
        <f t="shared" si="87"/>
        <v>5132465.647</v>
      </c>
      <c r="M137" s="124">
        <f t="shared" si="87"/>
        <v>7343499.812</v>
      </c>
      <c r="N137" s="124">
        <f t="shared" si="87"/>
        <v>7343499.812</v>
      </c>
      <c r="O137" s="124">
        <f t="shared" si="87"/>
        <v>7343499.812</v>
      </c>
      <c r="P137" s="124"/>
      <c r="Q137" s="125"/>
      <c r="R137" s="125"/>
      <c r="S137" s="125"/>
      <c r="T137" s="125"/>
      <c r="U137" s="125"/>
    </row>
    <row r="138">
      <c r="A138" s="122"/>
      <c r="B138" s="122" t="s">
        <v>52</v>
      </c>
      <c r="C138" s="146">
        <v>4500000.0</v>
      </c>
      <c r="D138" s="124">
        <f t="shared" ref="D138:O138" si="88">-(D48+D53)/30*$C$136</f>
        <v>7343499.812</v>
      </c>
      <c r="E138" s="124">
        <f t="shared" si="88"/>
        <v>7343499.812</v>
      </c>
      <c r="F138" s="124">
        <f t="shared" si="88"/>
        <v>7343499.812</v>
      </c>
      <c r="G138" s="124">
        <f t="shared" si="88"/>
        <v>6237982.73</v>
      </c>
      <c r="H138" s="124">
        <f t="shared" si="88"/>
        <v>6237982.73</v>
      </c>
      <c r="I138" s="124">
        <f t="shared" si="88"/>
        <v>4026948.565</v>
      </c>
      <c r="J138" s="124">
        <f t="shared" si="88"/>
        <v>4026948.565</v>
      </c>
      <c r="K138" s="124">
        <f t="shared" si="88"/>
        <v>5132465.647</v>
      </c>
      <c r="L138" s="124">
        <f t="shared" si="88"/>
        <v>7343499.812</v>
      </c>
      <c r="M138" s="124">
        <f t="shared" si="88"/>
        <v>7343499.812</v>
      </c>
      <c r="N138" s="124">
        <f t="shared" si="88"/>
        <v>7343499.812</v>
      </c>
      <c r="O138" s="124">
        <f t="shared" si="88"/>
        <v>7343499.812</v>
      </c>
      <c r="P138" s="124"/>
      <c r="Q138" s="125"/>
      <c r="R138" s="125"/>
      <c r="S138" s="125"/>
      <c r="T138" s="125"/>
      <c r="U138" s="125"/>
    </row>
    <row r="139">
      <c r="A139" s="124"/>
      <c r="B139" s="124" t="s">
        <v>53</v>
      </c>
      <c r="D139" s="124">
        <f t="shared" ref="D139:O139" si="89">D138-D137</f>
        <v>2843499.812</v>
      </c>
      <c r="E139" s="124">
        <f t="shared" si="89"/>
        <v>0</v>
      </c>
      <c r="F139" s="124">
        <f t="shared" si="89"/>
        <v>0</v>
      </c>
      <c r="G139" s="124">
        <f t="shared" si="89"/>
        <v>-1105517.082</v>
      </c>
      <c r="H139" s="124">
        <f t="shared" si="89"/>
        <v>0</v>
      </c>
      <c r="I139" s="124">
        <f t="shared" si="89"/>
        <v>-2211034.165</v>
      </c>
      <c r="J139" s="124">
        <f t="shared" si="89"/>
        <v>0</v>
      </c>
      <c r="K139" s="124">
        <f t="shared" si="89"/>
        <v>1105517.082</v>
      </c>
      <c r="L139" s="124">
        <f t="shared" si="89"/>
        <v>2211034.165</v>
      </c>
      <c r="M139" s="124">
        <f t="shared" si="89"/>
        <v>0</v>
      </c>
      <c r="N139" s="124">
        <f t="shared" si="89"/>
        <v>0</v>
      </c>
      <c r="O139" s="124">
        <f t="shared" si="89"/>
        <v>0</v>
      </c>
      <c r="P139" s="124"/>
      <c r="Q139" s="125"/>
      <c r="R139" s="125"/>
      <c r="S139" s="125"/>
      <c r="T139" s="125"/>
      <c r="U139" s="125"/>
    </row>
    <row r="140">
      <c r="A140" s="122"/>
      <c r="B140" s="122"/>
      <c r="D140" s="124"/>
      <c r="P140" s="124"/>
      <c r="Q140" s="125"/>
      <c r="R140" s="125"/>
      <c r="S140" s="125"/>
      <c r="T140" s="125"/>
      <c r="U140" s="125"/>
    </row>
    <row r="141">
      <c r="A141" s="124"/>
      <c r="B141" s="126" t="s">
        <v>261</v>
      </c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5"/>
      <c r="R141" s="125"/>
      <c r="S141" s="125"/>
      <c r="T141" s="125"/>
      <c r="U141" s="125"/>
    </row>
    <row r="142">
      <c r="A142" s="122"/>
      <c r="B142" s="122" t="s">
        <v>103</v>
      </c>
      <c r="C142" s="149">
        <v>14.0</v>
      </c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5"/>
      <c r="R142" s="125"/>
      <c r="S142" s="125"/>
      <c r="T142" s="125"/>
      <c r="U142" s="125"/>
    </row>
    <row r="143">
      <c r="A143" s="124"/>
      <c r="B143" s="124" t="s">
        <v>104</v>
      </c>
      <c r="C143" s="124"/>
      <c r="D143" s="124">
        <f t="shared" ref="D143:O143" si="90">C144</f>
        <v>2205000</v>
      </c>
      <c r="E143" s="124">
        <f t="shared" si="90"/>
        <v>4953256.932</v>
      </c>
      <c r="F143" s="124">
        <f t="shared" si="90"/>
        <v>4953256.932</v>
      </c>
      <c r="G143" s="124">
        <f t="shared" si="90"/>
        <v>4953256.932</v>
      </c>
      <c r="H143" s="124">
        <f t="shared" si="90"/>
        <v>4208236.479</v>
      </c>
      <c r="I143" s="124">
        <f t="shared" si="90"/>
        <v>4208236.479</v>
      </c>
      <c r="J143" s="124">
        <f t="shared" si="90"/>
        <v>2718195.573</v>
      </c>
      <c r="K143" s="124">
        <f t="shared" si="90"/>
        <v>2718195.573</v>
      </c>
      <c r="L143" s="124">
        <f t="shared" si="90"/>
        <v>3463216.026</v>
      </c>
      <c r="M143" s="124">
        <f t="shared" si="90"/>
        <v>4953256.932</v>
      </c>
      <c r="N143" s="124">
        <f t="shared" si="90"/>
        <v>4953256.932</v>
      </c>
      <c r="O143" s="124">
        <f t="shared" si="90"/>
        <v>4953256.932</v>
      </c>
      <c r="P143" s="124"/>
      <c r="Q143" s="125"/>
      <c r="R143" s="125"/>
      <c r="S143" s="125"/>
      <c r="T143" s="125"/>
      <c r="U143" s="125"/>
    </row>
    <row r="144">
      <c r="A144" s="122"/>
      <c r="B144" s="122" t="s">
        <v>105</v>
      </c>
      <c r="C144" s="146">
        <f>1205000+1000000</f>
        <v>2205000</v>
      </c>
      <c r="D144" s="124">
        <f t="shared" ref="D144:O144" si="91">D12*$C$142/30</f>
        <v>4953256.932</v>
      </c>
      <c r="E144" s="124">
        <f t="shared" si="91"/>
        <v>4953256.932</v>
      </c>
      <c r="F144" s="124">
        <f t="shared" si="91"/>
        <v>4953256.932</v>
      </c>
      <c r="G144" s="124">
        <f t="shared" si="91"/>
        <v>4208236.479</v>
      </c>
      <c r="H144" s="124">
        <f t="shared" si="91"/>
        <v>4208236.479</v>
      </c>
      <c r="I144" s="124">
        <f t="shared" si="91"/>
        <v>2718195.573</v>
      </c>
      <c r="J144" s="124">
        <f t="shared" si="91"/>
        <v>2718195.573</v>
      </c>
      <c r="K144" s="124">
        <f t="shared" si="91"/>
        <v>3463216.026</v>
      </c>
      <c r="L144" s="124">
        <f t="shared" si="91"/>
        <v>4953256.932</v>
      </c>
      <c r="M144" s="124">
        <f t="shared" si="91"/>
        <v>4953256.932</v>
      </c>
      <c r="N144" s="124">
        <f t="shared" si="91"/>
        <v>4953256.932</v>
      </c>
      <c r="O144" s="124">
        <f t="shared" si="91"/>
        <v>4953256.932</v>
      </c>
      <c r="P144" s="124"/>
      <c r="Q144" s="125"/>
      <c r="R144" s="125"/>
      <c r="S144" s="125"/>
      <c r="T144" s="125"/>
      <c r="U144" s="125"/>
    </row>
    <row r="145">
      <c r="A145" s="124"/>
      <c r="B145" s="124" t="s">
        <v>106</v>
      </c>
      <c r="D145" s="124">
        <f t="shared" ref="D145:O145" si="92">D144-D143</f>
        <v>2748256.932</v>
      </c>
      <c r="E145" s="124">
        <f t="shared" si="92"/>
        <v>0</v>
      </c>
      <c r="F145" s="124">
        <f t="shared" si="92"/>
        <v>0</v>
      </c>
      <c r="G145" s="124">
        <f t="shared" si="92"/>
        <v>-745020.453</v>
      </c>
      <c r="H145" s="124">
        <f t="shared" si="92"/>
        <v>0</v>
      </c>
      <c r="I145" s="124">
        <f t="shared" si="92"/>
        <v>-1490040.906</v>
      </c>
      <c r="J145" s="124">
        <f t="shared" si="92"/>
        <v>0</v>
      </c>
      <c r="K145" s="124">
        <f t="shared" si="92"/>
        <v>745020.453</v>
      </c>
      <c r="L145" s="124">
        <f t="shared" si="92"/>
        <v>1490040.906</v>
      </c>
      <c r="M145" s="124">
        <f t="shared" si="92"/>
        <v>0</v>
      </c>
      <c r="N145" s="124">
        <f t="shared" si="92"/>
        <v>0</v>
      </c>
      <c r="O145" s="124">
        <f t="shared" si="92"/>
        <v>0</v>
      </c>
      <c r="P145" s="124"/>
      <c r="Q145" s="125"/>
      <c r="R145" s="125"/>
      <c r="S145" s="125"/>
      <c r="T145" s="125"/>
      <c r="U145" s="125"/>
    </row>
    <row r="146">
      <c r="A146" s="122"/>
      <c r="B146" s="122"/>
      <c r="D146" s="124"/>
      <c r="P146" s="124"/>
      <c r="Q146" s="125"/>
      <c r="R146" s="125"/>
      <c r="S146" s="125"/>
      <c r="T146" s="125"/>
      <c r="U146" s="125"/>
    </row>
    <row r="147">
      <c r="A147" s="122"/>
      <c r="B147" s="126" t="s">
        <v>262</v>
      </c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5"/>
      <c r="R147" s="125"/>
      <c r="S147" s="125"/>
      <c r="T147" s="125"/>
      <c r="U147" s="125"/>
    </row>
    <row r="148">
      <c r="A148" s="122"/>
      <c r="B148" s="122" t="s">
        <v>103</v>
      </c>
      <c r="C148" s="149">
        <v>30.0</v>
      </c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5"/>
      <c r="R148" s="125"/>
      <c r="S148" s="125"/>
      <c r="T148" s="125"/>
      <c r="U148" s="125"/>
    </row>
    <row r="149">
      <c r="A149" s="122"/>
      <c r="B149" s="124" t="s">
        <v>104</v>
      </c>
      <c r="C149" s="122"/>
      <c r="D149" s="124">
        <f t="shared" ref="D149:O149" si="93">C150</f>
        <v>3500000</v>
      </c>
      <c r="E149" s="124">
        <f t="shared" si="93"/>
        <v>-4895666.541</v>
      </c>
      <c r="F149" s="124">
        <f t="shared" si="93"/>
        <v>-4895666.541</v>
      </c>
      <c r="G149" s="124">
        <f t="shared" si="93"/>
        <v>-4895666.541</v>
      </c>
      <c r="H149" s="124">
        <f t="shared" si="93"/>
        <v>-4158655.153</v>
      </c>
      <c r="I149" s="124">
        <f t="shared" si="93"/>
        <v>-4158655.153</v>
      </c>
      <c r="J149" s="124">
        <f t="shared" si="93"/>
        <v>-2684632.377</v>
      </c>
      <c r="K149" s="124">
        <f t="shared" si="93"/>
        <v>-2684632.377</v>
      </c>
      <c r="L149" s="124">
        <f t="shared" si="93"/>
        <v>-3421643.765</v>
      </c>
      <c r="M149" s="124">
        <f t="shared" si="93"/>
        <v>-4895666.541</v>
      </c>
      <c r="N149" s="124">
        <f t="shared" si="93"/>
        <v>-4895666.541</v>
      </c>
      <c r="O149" s="124">
        <f t="shared" si="93"/>
        <v>-4895666.541</v>
      </c>
      <c r="P149" s="124"/>
      <c r="Q149" s="125"/>
      <c r="R149" s="125"/>
      <c r="S149" s="125"/>
      <c r="T149" s="125"/>
      <c r="U149" s="125"/>
    </row>
    <row r="150">
      <c r="A150" s="122"/>
      <c r="B150" s="122" t="s">
        <v>105</v>
      </c>
      <c r="C150" s="146">
        <v>3500000.0</v>
      </c>
      <c r="D150" s="124">
        <f t="shared" ref="D150:O150" si="94">(D48+D53)*$C$148/30</f>
        <v>-4895666.541</v>
      </c>
      <c r="E150" s="124">
        <f t="shared" si="94"/>
        <v>-4895666.541</v>
      </c>
      <c r="F150" s="124">
        <f t="shared" si="94"/>
        <v>-4895666.541</v>
      </c>
      <c r="G150" s="124">
        <f t="shared" si="94"/>
        <v>-4158655.153</v>
      </c>
      <c r="H150" s="124">
        <f t="shared" si="94"/>
        <v>-4158655.153</v>
      </c>
      <c r="I150" s="124">
        <f t="shared" si="94"/>
        <v>-2684632.377</v>
      </c>
      <c r="J150" s="124">
        <f t="shared" si="94"/>
        <v>-2684632.377</v>
      </c>
      <c r="K150" s="124">
        <f t="shared" si="94"/>
        <v>-3421643.765</v>
      </c>
      <c r="L150" s="124">
        <f t="shared" si="94"/>
        <v>-4895666.541</v>
      </c>
      <c r="M150" s="124">
        <f t="shared" si="94"/>
        <v>-4895666.541</v>
      </c>
      <c r="N150" s="124">
        <f t="shared" si="94"/>
        <v>-4895666.541</v>
      </c>
      <c r="O150" s="124">
        <f t="shared" si="94"/>
        <v>-4895666.541</v>
      </c>
      <c r="P150" s="124"/>
      <c r="Q150" s="125"/>
      <c r="R150" s="125"/>
      <c r="S150" s="125"/>
      <c r="T150" s="125"/>
      <c r="U150" s="125"/>
    </row>
    <row r="151">
      <c r="A151" s="122"/>
      <c r="B151" s="122" t="s">
        <v>106</v>
      </c>
      <c r="C151" s="122"/>
      <c r="D151" s="124">
        <f t="shared" ref="D151:O151" si="95">D150-D149</f>
        <v>-8395666.541</v>
      </c>
      <c r="E151" s="124">
        <f t="shared" si="95"/>
        <v>0</v>
      </c>
      <c r="F151" s="124">
        <f t="shared" si="95"/>
        <v>0</v>
      </c>
      <c r="G151" s="124">
        <f t="shared" si="95"/>
        <v>737011.3883</v>
      </c>
      <c r="H151" s="124">
        <f t="shared" si="95"/>
        <v>0</v>
      </c>
      <c r="I151" s="124">
        <f t="shared" si="95"/>
        <v>1474022.777</v>
      </c>
      <c r="J151" s="124">
        <f t="shared" si="95"/>
        <v>0</v>
      </c>
      <c r="K151" s="124">
        <f t="shared" si="95"/>
        <v>-737011.3883</v>
      </c>
      <c r="L151" s="124">
        <f t="shared" si="95"/>
        <v>-1474022.777</v>
      </c>
      <c r="M151" s="124">
        <f t="shared" si="95"/>
        <v>0</v>
      </c>
      <c r="N151" s="124">
        <f t="shared" si="95"/>
        <v>0</v>
      </c>
      <c r="O151" s="124">
        <f t="shared" si="95"/>
        <v>0</v>
      </c>
      <c r="P151" s="124"/>
      <c r="Q151" s="125"/>
      <c r="R151" s="125"/>
      <c r="S151" s="125"/>
      <c r="T151" s="125"/>
      <c r="U151" s="125"/>
    </row>
    <row r="152">
      <c r="A152" s="122"/>
      <c r="B152" s="122"/>
      <c r="C152" s="122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5"/>
      <c r="R152" s="125"/>
      <c r="S152" s="125"/>
      <c r="T152" s="125"/>
      <c r="U152" s="125"/>
    </row>
    <row r="153">
      <c r="A153" s="122"/>
      <c r="B153" s="126" t="s">
        <v>263</v>
      </c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5"/>
      <c r="R153" s="125"/>
      <c r="S153" s="125"/>
      <c r="T153" s="125"/>
      <c r="U153" s="125"/>
    </row>
    <row r="154">
      <c r="A154" s="122"/>
      <c r="B154" s="122" t="s">
        <v>55</v>
      </c>
      <c r="C154" s="149">
        <v>25.0</v>
      </c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5"/>
      <c r="R154" s="125"/>
      <c r="S154" s="125"/>
      <c r="T154" s="125"/>
      <c r="U154" s="125"/>
    </row>
    <row r="155">
      <c r="A155" s="122"/>
      <c r="B155" s="124" t="s">
        <v>56</v>
      </c>
      <c r="C155" s="122"/>
      <c r="D155" s="124">
        <f t="shared" ref="D155:O155" si="96">C156</f>
        <v>2500000</v>
      </c>
      <c r="E155" s="124">
        <f t="shared" si="96"/>
        <v>-4079722.118</v>
      </c>
      <c r="F155" s="124">
        <f t="shared" si="96"/>
        <v>-3399768.431</v>
      </c>
      <c r="G155" s="124">
        <f t="shared" si="96"/>
        <v>-2833140.36</v>
      </c>
      <c r="H155" s="124">
        <f t="shared" si="96"/>
        <v>-2360950.3</v>
      </c>
      <c r="I155" s="124">
        <f t="shared" si="96"/>
        <v>-1967458.583</v>
      </c>
      <c r="J155" s="124">
        <f t="shared" si="96"/>
        <v>-1639548.819</v>
      </c>
      <c r="K155" s="124">
        <f t="shared" si="96"/>
        <v>-1366290.683</v>
      </c>
      <c r="L155" s="124">
        <f t="shared" si="96"/>
        <v>-1138575.569</v>
      </c>
      <c r="M155" s="124">
        <f t="shared" si="96"/>
        <v>-948812.9741</v>
      </c>
      <c r="N155" s="124">
        <f t="shared" si="96"/>
        <v>-790677.4784</v>
      </c>
      <c r="O155" s="124">
        <f t="shared" si="96"/>
        <v>-658897.8987</v>
      </c>
      <c r="P155" s="124"/>
      <c r="Q155" s="125"/>
      <c r="R155" s="125"/>
      <c r="S155" s="125"/>
      <c r="T155" s="125"/>
      <c r="U155" s="125"/>
    </row>
    <row r="156">
      <c r="A156" s="122"/>
      <c r="B156" s="122" t="s">
        <v>57</v>
      </c>
      <c r="C156" s="146">
        <v>2500000.0</v>
      </c>
      <c r="D156" s="124">
        <f>(D48+D53)*$C$154/30</f>
        <v>-4079722.118</v>
      </c>
      <c r="E156" s="124">
        <f t="shared" ref="E156:O156" si="97">E155*$C$154/30</f>
        <v>-3399768.431</v>
      </c>
      <c r="F156" s="124">
        <f t="shared" si="97"/>
        <v>-2833140.36</v>
      </c>
      <c r="G156" s="124">
        <f t="shared" si="97"/>
        <v>-2360950.3</v>
      </c>
      <c r="H156" s="124">
        <f t="shared" si="97"/>
        <v>-1967458.583</v>
      </c>
      <c r="I156" s="124">
        <f t="shared" si="97"/>
        <v>-1639548.819</v>
      </c>
      <c r="J156" s="124">
        <f t="shared" si="97"/>
        <v>-1366290.683</v>
      </c>
      <c r="K156" s="124">
        <f t="shared" si="97"/>
        <v>-1138575.569</v>
      </c>
      <c r="L156" s="124">
        <f t="shared" si="97"/>
        <v>-948812.9741</v>
      </c>
      <c r="M156" s="124">
        <f t="shared" si="97"/>
        <v>-790677.4784</v>
      </c>
      <c r="N156" s="124">
        <f t="shared" si="97"/>
        <v>-658897.8987</v>
      </c>
      <c r="O156" s="124">
        <f t="shared" si="97"/>
        <v>-549081.5822</v>
      </c>
      <c r="P156" s="124"/>
      <c r="Q156" s="125"/>
      <c r="R156" s="125"/>
      <c r="S156" s="125"/>
      <c r="T156" s="125"/>
      <c r="U156" s="125"/>
    </row>
    <row r="157">
      <c r="A157" s="122"/>
      <c r="B157" s="122" t="s">
        <v>58</v>
      </c>
      <c r="C157" s="122"/>
      <c r="D157" s="124">
        <f t="shared" ref="D157:O157" si="98">D156-D155</f>
        <v>-6579722.118</v>
      </c>
      <c r="E157" s="124">
        <f t="shared" si="98"/>
        <v>679953.6863</v>
      </c>
      <c r="F157" s="124">
        <f t="shared" si="98"/>
        <v>566628.0719</v>
      </c>
      <c r="G157" s="124">
        <f t="shared" si="98"/>
        <v>472190.0599</v>
      </c>
      <c r="H157" s="124">
        <f t="shared" si="98"/>
        <v>393491.7166</v>
      </c>
      <c r="I157" s="124">
        <f t="shared" si="98"/>
        <v>327909.7638</v>
      </c>
      <c r="J157" s="124">
        <f t="shared" si="98"/>
        <v>273258.1365</v>
      </c>
      <c r="K157" s="124">
        <f t="shared" si="98"/>
        <v>227715.1138</v>
      </c>
      <c r="L157" s="124">
        <f t="shared" si="98"/>
        <v>189762.5948</v>
      </c>
      <c r="M157" s="124">
        <f t="shared" si="98"/>
        <v>158135.4957</v>
      </c>
      <c r="N157" s="124">
        <f t="shared" si="98"/>
        <v>131779.5797</v>
      </c>
      <c r="O157" s="124">
        <f t="shared" si="98"/>
        <v>109816.3164</v>
      </c>
      <c r="P157" s="124"/>
      <c r="Q157" s="125"/>
      <c r="R157" s="125"/>
      <c r="S157" s="125"/>
      <c r="T157" s="125"/>
      <c r="U157" s="125"/>
    </row>
    <row r="158">
      <c r="A158" s="122"/>
      <c r="B158" s="122"/>
      <c r="C158" s="122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5"/>
      <c r="R158" s="125"/>
      <c r="S158" s="125"/>
      <c r="T158" s="125"/>
      <c r="U158" s="125"/>
    </row>
    <row r="159">
      <c r="A159" s="133"/>
      <c r="B159" s="132" t="s">
        <v>264</v>
      </c>
      <c r="C159" s="133"/>
      <c r="D159" s="132">
        <f t="shared" ref="D159:O159" si="99">D166</f>
        <v>1372463.961</v>
      </c>
      <c r="E159" s="132">
        <f t="shared" si="99"/>
        <v>4400424.683</v>
      </c>
      <c r="F159" s="132">
        <f t="shared" si="99"/>
        <v>7314787.852</v>
      </c>
      <c r="G159" s="132">
        <f t="shared" si="99"/>
        <v>10753807.8</v>
      </c>
      <c r="H159" s="132">
        <f t="shared" si="99"/>
        <v>13000325.85</v>
      </c>
      <c r="I159" s="132">
        <f t="shared" si="99"/>
        <v>16419720.66</v>
      </c>
      <c r="J159" s="132">
        <f t="shared" si="99"/>
        <v>17557128.57</v>
      </c>
      <c r="K159" s="132">
        <f t="shared" si="99"/>
        <v>18029338.2</v>
      </c>
      <c r="L159" s="132">
        <f t="shared" si="99"/>
        <v>18338093.89</v>
      </c>
      <c r="M159" s="132">
        <f t="shared" si="99"/>
        <v>20841983.23</v>
      </c>
      <c r="N159" s="132">
        <f t="shared" si="99"/>
        <v>23319222.19</v>
      </c>
      <c r="O159" s="132">
        <f t="shared" si="99"/>
        <v>25774200.46</v>
      </c>
      <c r="P159" s="133"/>
      <c r="Q159" s="125"/>
      <c r="R159" s="125"/>
      <c r="S159" s="125"/>
      <c r="T159" s="125"/>
      <c r="U159" s="125"/>
    </row>
    <row r="160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5"/>
      <c r="R160" s="125"/>
      <c r="S160" s="125"/>
      <c r="T160" s="125"/>
      <c r="U160" s="125"/>
    </row>
    <row r="161">
      <c r="A161" s="124"/>
      <c r="B161" s="126" t="s">
        <v>265</v>
      </c>
      <c r="D161" s="126">
        <f t="shared" ref="D161:O161" si="100">C166</f>
        <v>2800000</v>
      </c>
      <c r="E161" s="126">
        <f t="shared" si="100"/>
        <v>1372463.961</v>
      </c>
      <c r="F161" s="126">
        <f t="shared" si="100"/>
        <v>4400424.683</v>
      </c>
      <c r="G161" s="126">
        <f t="shared" si="100"/>
        <v>7314787.852</v>
      </c>
      <c r="H161" s="126">
        <f t="shared" si="100"/>
        <v>10753807.8</v>
      </c>
      <c r="I161" s="126">
        <f t="shared" si="100"/>
        <v>13000325.85</v>
      </c>
      <c r="J161" s="126">
        <f t="shared" si="100"/>
        <v>16419720.66</v>
      </c>
      <c r="K161" s="126">
        <f t="shared" si="100"/>
        <v>17557128.57</v>
      </c>
      <c r="L161" s="126">
        <f t="shared" si="100"/>
        <v>18029338.2</v>
      </c>
      <c r="M161" s="126">
        <f t="shared" si="100"/>
        <v>18338093.89</v>
      </c>
      <c r="N161" s="126">
        <f t="shared" si="100"/>
        <v>20841983.23</v>
      </c>
      <c r="O161" s="126">
        <f t="shared" si="100"/>
        <v>23319222.19</v>
      </c>
      <c r="P161" s="124"/>
      <c r="Q161" s="125"/>
      <c r="R161" s="125"/>
      <c r="S161" s="125"/>
      <c r="T161" s="125"/>
      <c r="U161" s="125"/>
    </row>
    <row r="162">
      <c r="A162" s="124"/>
      <c r="B162" s="124" t="s">
        <v>61</v>
      </c>
      <c r="D162" s="124">
        <f t="shared" ref="D162:O162" si="101">D102+D111+D105-D133</f>
        <v>-972355.3409</v>
      </c>
      <c r="E162" s="124">
        <f t="shared" si="101"/>
        <v>3485054.115</v>
      </c>
      <c r="F162" s="124">
        <f t="shared" si="101"/>
        <v>3373388.384</v>
      </c>
      <c r="G162" s="124">
        <f t="shared" si="101"/>
        <v>3845089.999</v>
      </c>
      <c r="H162" s="124">
        <f t="shared" si="101"/>
        <v>2654558.756</v>
      </c>
      <c r="I162" s="124">
        <f t="shared" si="101"/>
        <v>3719613.274</v>
      </c>
      <c r="J162" s="124">
        <f t="shared" si="101"/>
        <v>1439636.634</v>
      </c>
      <c r="K162" s="124">
        <f t="shared" si="101"/>
        <v>831375.0196</v>
      </c>
      <c r="L162" s="124">
        <f t="shared" si="101"/>
        <v>779784.3568</v>
      </c>
      <c r="M162" s="124">
        <f t="shared" si="101"/>
        <v>2976989.172</v>
      </c>
      <c r="N162" s="124">
        <f t="shared" si="101"/>
        <v>2952430.672</v>
      </c>
      <c r="O162" s="124">
        <f t="shared" si="101"/>
        <v>2932282.799</v>
      </c>
      <c r="P162" s="124"/>
      <c r="Q162" s="125"/>
      <c r="R162" s="125"/>
      <c r="S162" s="125"/>
      <c r="T162" s="125"/>
      <c r="U162" s="125"/>
    </row>
    <row r="163">
      <c r="A163" s="124"/>
      <c r="B163" s="124" t="s">
        <v>63</v>
      </c>
      <c r="D163" s="124">
        <f t="shared" ref="D163:O163" si="102">D124+D126</f>
        <v>-455180.6979</v>
      </c>
      <c r="E163" s="124">
        <f t="shared" si="102"/>
        <v>-457093.3928</v>
      </c>
      <c r="F163" s="124">
        <f t="shared" si="102"/>
        <v>-459025.2147</v>
      </c>
      <c r="G163" s="124">
        <f t="shared" si="102"/>
        <v>-406070.0546</v>
      </c>
      <c r="H163" s="124">
        <f t="shared" si="102"/>
        <v>-408040.706</v>
      </c>
      <c r="I163" s="124">
        <f t="shared" si="102"/>
        <v>-300218.4637</v>
      </c>
      <c r="J163" s="124">
        <f t="shared" si="102"/>
        <v>-302228.7252</v>
      </c>
      <c r="K163" s="124">
        <f t="shared" si="102"/>
        <v>-359165.3896</v>
      </c>
      <c r="L163" s="124">
        <f t="shared" si="102"/>
        <v>-471028.6578</v>
      </c>
      <c r="M163" s="124">
        <f t="shared" si="102"/>
        <v>-473099.8323</v>
      </c>
      <c r="N163" s="124">
        <f t="shared" si="102"/>
        <v>-475191.7185</v>
      </c>
      <c r="O163" s="124">
        <f t="shared" si="102"/>
        <v>-477304.5236</v>
      </c>
      <c r="P163" s="124"/>
      <c r="Q163" s="125"/>
      <c r="R163" s="125"/>
      <c r="S163" s="125"/>
      <c r="T163" s="125"/>
      <c r="U163" s="125"/>
    </row>
    <row r="164">
      <c r="A164" s="124"/>
      <c r="B164" s="124" t="s">
        <v>62</v>
      </c>
      <c r="D164" s="124">
        <f t="shared" ref="D164:O164" si="103">D129</f>
        <v>0</v>
      </c>
      <c r="E164" s="124">
        <f t="shared" si="103"/>
        <v>0</v>
      </c>
      <c r="F164" s="124">
        <f t="shared" si="103"/>
        <v>0</v>
      </c>
      <c r="G164" s="124">
        <f t="shared" si="103"/>
        <v>0</v>
      </c>
      <c r="H164" s="124">
        <f t="shared" si="103"/>
        <v>0</v>
      </c>
      <c r="I164" s="124">
        <f t="shared" si="103"/>
        <v>0</v>
      </c>
      <c r="J164" s="124">
        <f t="shared" si="103"/>
        <v>0</v>
      </c>
      <c r="K164" s="124">
        <f t="shared" si="103"/>
        <v>0</v>
      </c>
      <c r="L164" s="124">
        <f t="shared" si="103"/>
        <v>0</v>
      </c>
      <c r="M164" s="124">
        <f t="shared" si="103"/>
        <v>0</v>
      </c>
      <c r="N164" s="124">
        <f t="shared" si="103"/>
        <v>0</v>
      </c>
      <c r="O164" s="124">
        <f t="shared" si="103"/>
        <v>0</v>
      </c>
      <c r="P164" s="124"/>
      <c r="Q164" s="125"/>
      <c r="R164" s="125"/>
      <c r="S164" s="125"/>
      <c r="T164" s="125"/>
      <c r="U164" s="125"/>
    </row>
    <row r="165">
      <c r="A165" s="124"/>
      <c r="B165" s="159" t="s">
        <v>266</v>
      </c>
      <c r="D165" s="159">
        <f t="shared" ref="D165:O165" si="104">SUM(D162:D164)</f>
        <v>-1427536.039</v>
      </c>
      <c r="E165" s="159">
        <f t="shared" si="104"/>
        <v>3027960.722</v>
      </c>
      <c r="F165" s="159">
        <f t="shared" si="104"/>
        <v>2914363.169</v>
      </c>
      <c r="G165" s="159">
        <f t="shared" si="104"/>
        <v>3439019.945</v>
      </c>
      <c r="H165" s="159">
        <f t="shared" si="104"/>
        <v>2246518.05</v>
      </c>
      <c r="I165" s="159">
        <f t="shared" si="104"/>
        <v>3419394.81</v>
      </c>
      <c r="J165" s="159">
        <f t="shared" si="104"/>
        <v>1137407.908</v>
      </c>
      <c r="K165" s="159">
        <f t="shared" si="104"/>
        <v>472209.63</v>
      </c>
      <c r="L165" s="159">
        <f t="shared" si="104"/>
        <v>308755.6991</v>
      </c>
      <c r="M165" s="159">
        <f t="shared" si="104"/>
        <v>2503889.34</v>
      </c>
      <c r="N165" s="159">
        <f t="shared" si="104"/>
        <v>2477238.953</v>
      </c>
      <c r="O165" s="159">
        <f t="shared" si="104"/>
        <v>2454978.275</v>
      </c>
      <c r="P165" s="124"/>
      <c r="Q165" s="125"/>
      <c r="R165" s="125"/>
      <c r="S165" s="125"/>
      <c r="T165" s="125"/>
      <c r="U165" s="125"/>
    </row>
    <row r="166">
      <c r="A166" s="124"/>
      <c r="B166" s="126" t="s">
        <v>195</v>
      </c>
      <c r="C166" s="146">
        <v>2800000.0</v>
      </c>
      <c r="D166" s="126">
        <f t="shared" ref="D166:O166" si="105">D161+D165</f>
        <v>1372463.961</v>
      </c>
      <c r="E166" s="126">
        <f t="shared" si="105"/>
        <v>4400424.683</v>
      </c>
      <c r="F166" s="126">
        <f t="shared" si="105"/>
        <v>7314787.852</v>
      </c>
      <c r="G166" s="126">
        <f t="shared" si="105"/>
        <v>10753807.8</v>
      </c>
      <c r="H166" s="126">
        <f t="shared" si="105"/>
        <v>13000325.85</v>
      </c>
      <c r="I166" s="126">
        <f t="shared" si="105"/>
        <v>16419720.66</v>
      </c>
      <c r="J166" s="126">
        <f t="shared" si="105"/>
        <v>17557128.57</v>
      </c>
      <c r="K166" s="126">
        <f t="shared" si="105"/>
        <v>18029338.2</v>
      </c>
      <c r="L166" s="126">
        <f t="shared" si="105"/>
        <v>18338093.89</v>
      </c>
      <c r="M166" s="126">
        <f t="shared" si="105"/>
        <v>20841983.23</v>
      </c>
      <c r="N166" s="126">
        <f t="shared" si="105"/>
        <v>23319222.19</v>
      </c>
      <c r="O166" s="126">
        <f t="shared" si="105"/>
        <v>25774200.46</v>
      </c>
      <c r="P166" s="124"/>
      <c r="Q166" s="125"/>
      <c r="R166" s="125"/>
      <c r="S166" s="125"/>
      <c r="T166" s="125"/>
      <c r="U166" s="125"/>
    </row>
    <row r="167">
      <c r="A167" s="122"/>
      <c r="B167" s="122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5"/>
      <c r="R167" s="125"/>
      <c r="S167" s="125"/>
      <c r="T167" s="125"/>
      <c r="U167" s="125"/>
    </row>
    <row r="168">
      <c r="A168" s="133"/>
      <c r="B168" s="132" t="s">
        <v>267</v>
      </c>
      <c r="C168" s="132">
        <f t="shared" ref="C168:O168" si="106">C170-C175</f>
        <v>0</v>
      </c>
      <c r="D168" s="132">
        <f t="shared" si="106"/>
        <v>0.000000001862645149</v>
      </c>
      <c r="E168" s="132">
        <f t="shared" si="106"/>
        <v>0.000000003725290298</v>
      </c>
      <c r="F168" s="132">
        <f t="shared" si="106"/>
        <v>0.000000003725290298</v>
      </c>
      <c r="G168" s="132">
        <f t="shared" si="106"/>
        <v>0</v>
      </c>
      <c r="H168" s="132">
        <f t="shared" si="106"/>
        <v>0.000000003725290298</v>
      </c>
      <c r="I168" s="132">
        <f t="shared" si="106"/>
        <v>0.000000003725290298</v>
      </c>
      <c r="J168" s="132">
        <f t="shared" si="106"/>
        <v>-0.000000003725290298</v>
      </c>
      <c r="K168" s="132">
        <f t="shared" si="106"/>
        <v>0</v>
      </c>
      <c r="L168" s="132">
        <f t="shared" si="106"/>
        <v>0</v>
      </c>
      <c r="M168" s="132">
        <f t="shared" si="106"/>
        <v>0.000000003725290298</v>
      </c>
      <c r="N168" s="132">
        <f t="shared" si="106"/>
        <v>0</v>
      </c>
      <c r="O168" s="132">
        <f t="shared" si="106"/>
        <v>0.000000003725290298</v>
      </c>
      <c r="P168" s="133"/>
      <c r="Q168" s="125"/>
      <c r="R168" s="125"/>
      <c r="S168" s="125"/>
      <c r="T168" s="125"/>
      <c r="U168" s="125"/>
    </row>
    <row r="169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5"/>
      <c r="R169" s="125"/>
      <c r="S169" s="125"/>
      <c r="T169" s="125"/>
      <c r="U169" s="125"/>
    </row>
    <row r="170">
      <c r="A170" s="135"/>
      <c r="B170" s="161" t="s">
        <v>268</v>
      </c>
      <c r="C170" s="162">
        <f t="shared" ref="C170:O170" si="107">SUM(C171:C173)</f>
        <v>10505000</v>
      </c>
      <c r="D170" s="162">
        <f t="shared" si="107"/>
        <v>8773554.164</v>
      </c>
      <c r="E170" s="162">
        <f t="shared" si="107"/>
        <v>11801514.89</v>
      </c>
      <c r="F170" s="162">
        <f t="shared" si="107"/>
        <v>14715878.05</v>
      </c>
      <c r="G170" s="162">
        <f t="shared" si="107"/>
        <v>17041371.85</v>
      </c>
      <c r="H170" s="162">
        <f t="shared" si="107"/>
        <v>19287889.9</v>
      </c>
      <c r="I170" s="162">
        <f t="shared" si="107"/>
        <v>20480232.42</v>
      </c>
      <c r="J170" s="162">
        <f t="shared" si="107"/>
        <v>21617640.33</v>
      </c>
      <c r="K170" s="162">
        <f t="shared" si="107"/>
        <v>23203376.1</v>
      </c>
      <c r="L170" s="162">
        <f t="shared" si="107"/>
        <v>25739184.1</v>
      </c>
      <c r="M170" s="162">
        <f t="shared" si="107"/>
        <v>28243073.44</v>
      </c>
      <c r="N170" s="162">
        <f t="shared" si="107"/>
        <v>30720312.39</v>
      </c>
      <c r="O170" s="162">
        <f t="shared" si="107"/>
        <v>33175290.66</v>
      </c>
      <c r="P170" s="137"/>
      <c r="Q170" s="125"/>
      <c r="R170" s="125"/>
      <c r="S170" s="125"/>
      <c r="T170" s="125"/>
      <c r="U170" s="125"/>
    </row>
    <row r="171">
      <c r="A171" s="122"/>
      <c r="B171" s="124" t="s">
        <v>191</v>
      </c>
      <c r="C171" s="124">
        <f>D161</f>
        <v>2800000</v>
      </c>
      <c r="D171" s="129">
        <f t="shared" ref="D171:P171" si="108">D166</f>
        <v>1372463.961</v>
      </c>
      <c r="E171" s="129">
        <f t="shared" si="108"/>
        <v>4400424.683</v>
      </c>
      <c r="F171" s="129">
        <f t="shared" si="108"/>
        <v>7314787.852</v>
      </c>
      <c r="G171" s="129">
        <f t="shared" si="108"/>
        <v>10753807.8</v>
      </c>
      <c r="H171" s="129">
        <f t="shared" si="108"/>
        <v>13000325.85</v>
      </c>
      <c r="I171" s="129">
        <f t="shared" si="108"/>
        <v>16419720.66</v>
      </c>
      <c r="J171" s="129">
        <f t="shared" si="108"/>
        <v>17557128.57</v>
      </c>
      <c r="K171" s="129">
        <f t="shared" si="108"/>
        <v>18029338.2</v>
      </c>
      <c r="L171" s="129">
        <f t="shared" si="108"/>
        <v>18338093.89</v>
      </c>
      <c r="M171" s="129">
        <f t="shared" si="108"/>
        <v>20841983.23</v>
      </c>
      <c r="N171" s="129">
        <f t="shared" si="108"/>
        <v>23319222.19</v>
      </c>
      <c r="O171" s="129">
        <f t="shared" si="108"/>
        <v>25774200.46</v>
      </c>
      <c r="P171" s="129" t="str">
        <f t="shared" si="108"/>
        <v/>
      </c>
      <c r="Q171" s="125"/>
      <c r="R171" s="125"/>
      <c r="S171" s="125"/>
      <c r="T171" s="125"/>
      <c r="U171" s="125"/>
    </row>
    <row r="172">
      <c r="A172" s="122"/>
      <c r="B172" s="124" t="s">
        <v>49</v>
      </c>
      <c r="C172" s="124">
        <f t="shared" ref="C172:P172" si="109">C138</f>
        <v>4500000</v>
      </c>
      <c r="D172" s="129">
        <f t="shared" si="109"/>
        <v>7343499.812</v>
      </c>
      <c r="E172" s="129">
        <f t="shared" si="109"/>
        <v>7343499.812</v>
      </c>
      <c r="F172" s="129">
        <f t="shared" si="109"/>
        <v>7343499.812</v>
      </c>
      <c r="G172" s="129">
        <f t="shared" si="109"/>
        <v>6237982.73</v>
      </c>
      <c r="H172" s="129">
        <f t="shared" si="109"/>
        <v>6237982.73</v>
      </c>
      <c r="I172" s="129">
        <f t="shared" si="109"/>
        <v>4026948.565</v>
      </c>
      <c r="J172" s="129">
        <f t="shared" si="109"/>
        <v>4026948.565</v>
      </c>
      <c r="K172" s="129">
        <f t="shared" si="109"/>
        <v>5132465.647</v>
      </c>
      <c r="L172" s="129">
        <f t="shared" si="109"/>
        <v>7343499.812</v>
      </c>
      <c r="M172" s="129">
        <f t="shared" si="109"/>
        <v>7343499.812</v>
      </c>
      <c r="N172" s="129">
        <f t="shared" si="109"/>
        <v>7343499.812</v>
      </c>
      <c r="O172" s="129">
        <f t="shared" si="109"/>
        <v>7343499.812</v>
      </c>
      <c r="P172" s="129" t="str">
        <f t="shared" si="109"/>
        <v/>
      </c>
      <c r="Q172" s="125"/>
      <c r="R172" s="125"/>
      <c r="S172" s="125"/>
      <c r="T172" s="125"/>
      <c r="U172" s="125"/>
    </row>
    <row r="173">
      <c r="A173" s="122"/>
      <c r="B173" s="124" t="s">
        <v>269</v>
      </c>
      <c r="C173" s="124">
        <f>C144+C150-C156</f>
        <v>3205000</v>
      </c>
      <c r="D173" s="129">
        <f t="shared" ref="D173:O173" si="110">D144+D150</f>
        <v>57590.39053</v>
      </c>
      <c r="E173" s="129">
        <f t="shared" si="110"/>
        <v>57590.39053</v>
      </c>
      <c r="F173" s="129">
        <f t="shared" si="110"/>
        <v>57590.39053</v>
      </c>
      <c r="G173" s="129">
        <f t="shared" si="110"/>
        <v>49581.32576</v>
      </c>
      <c r="H173" s="129">
        <f t="shared" si="110"/>
        <v>49581.32576</v>
      </c>
      <c r="I173" s="129">
        <f t="shared" si="110"/>
        <v>33563.19621</v>
      </c>
      <c r="J173" s="129">
        <f t="shared" si="110"/>
        <v>33563.19621</v>
      </c>
      <c r="K173" s="129">
        <f t="shared" si="110"/>
        <v>41572.26098</v>
      </c>
      <c r="L173" s="129">
        <f t="shared" si="110"/>
        <v>57590.39053</v>
      </c>
      <c r="M173" s="129">
        <f t="shared" si="110"/>
        <v>57590.39053</v>
      </c>
      <c r="N173" s="129">
        <f t="shared" si="110"/>
        <v>57590.39053</v>
      </c>
      <c r="O173" s="129">
        <f t="shared" si="110"/>
        <v>57590.39053</v>
      </c>
      <c r="P173" s="129" t="str">
        <f>P144</f>
        <v/>
      </c>
      <c r="Q173" s="125"/>
      <c r="R173" s="125"/>
      <c r="S173" s="125"/>
      <c r="T173" s="125"/>
      <c r="U173" s="125"/>
    </row>
    <row r="174">
      <c r="A174" s="122"/>
      <c r="B174" s="124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5"/>
      <c r="R174" s="125"/>
      <c r="S174" s="125"/>
      <c r="T174" s="125"/>
      <c r="U174" s="125"/>
    </row>
    <row r="175">
      <c r="A175" s="135"/>
      <c r="B175" s="161" t="s">
        <v>270</v>
      </c>
      <c r="C175" s="162">
        <f t="shared" ref="C175:O175" si="111">C177+C183</f>
        <v>10505000</v>
      </c>
      <c r="D175" s="162">
        <f t="shared" si="111"/>
        <v>8773554.164</v>
      </c>
      <c r="E175" s="162">
        <f t="shared" si="111"/>
        <v>11801514.89</v>
      </c>
      <c r="F175" s="162">
        <f t="shared" si="111"/>
        <v>14715878.05</v>
      </c>
      <c r="G175" s="162">
        <f t="shared" si="111"/>
        <v>17041371.85</v>
      </c>
      <c r="H175" s="162">
        <f t="shared" si="111"/>
        <v>19287889.9</v>
      </c>
      <c r="I175" s="162">
        <f t="shared" si="111"/>
        <v>20480232.42</v>
      </c>
      <c r="J175" s="162">
        <f t="shared" si="111"/>
        <v>21617640.33</v>
      </c>
      <c r="K175" s="162">
        <f t="shared" si="111"/>
        <v>23203376.1</v>
      </c>
      <c r="L175" s="162">
        <f t="shared" si="111"/>
        <v>25739184.1</v>
      </c>
      <c r="M175" s="162">
        <f t="shared" si="111"/>
        <v>28243073.44</v>
      </c>
      <c r="N175" s="162">
        <f t="shared" si="111"/>
        <v>30720312.39</v>
      </c>
      <c r="O175" s="162">
        <f t="shared" si="111"/>
        <v>33175290.66</v>
      </c>
      <c r="P175" s="137"/>
      <c r="Q175" s="125"/>
      <c r="R175" s="125"/>
      <c r="S175" s="125"/>
      <c r="T175" s="125"/>
      <c r="U175" s="125"/>
    </row>
    <row r="176">
      <c r="A176" s="122"/>
      <c r="B176" s="124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5"/>
      <c r="R176" s="125"/>
      <c r="S176" s="125"/>
      <c r="T176" s="125"/>
      <c r="U176" s="125"/>
    </row>
    <row r="177">
      <c r="A177" s="122"/>
      <c r="B177" s="126" t="s">
        <v>271</v>
      </c>
      <c r="C177" s="126">
        <f t="shared" ref="C177:O177" si="112">SUM(C178:C180)</f>
        <v>7265196</v>
      </c>
      <c r="D177" s="126">
        <f t="shared" si="112"/>
        <v>9788307.281</v>
      </c>
      <c r="E177" s="126">
        <f t="shared" si="112"/>
        <v>12312897.67</v>
      </c>
      <c r="F177" s="126">
        <f t="shared" si="112"/>
        <v>14838981.95</v>
      </c>
      <c r="G177" s="126">
        <f t="shared" si="112"/>
        <v>16872418.36</v>
      </c>
      <c r="H177" s="126">
        <f t="shared" si="112"/>
        <v>18907378.7</v>
      </c>
      <c r="I177" s="126">
        <f t="shared" si="112"/>
        <v>19955564.79</v>
      </c>
      <c r="J177" s="126">
        <f t="shared" si="112"/>
        <v>21005305.44</v>
      </c>
      <c r="K177" s="126">
        <f t="shared" si="112"/>
        <v>22550772.89</v>
      </c>
      <c r="L177" s="126">
        <f t="shared" si="112"/>
        <v>25086139.54</v>
      </c>
      <c r="M177" s="126">
        <f t="shared" si="112"/>
        <v>27623107.84</v>
      </c>
      <c r="N177" s="126">
        <f t="shared" si="112"/>
        <v>30161693.83</v>
      </c>
      <c r="O177" s="126">
        <f t="shared" si="112"/>
        <v>32701913.66</v>
      </c>
      <c r="P177" s="129"/>
      <c r="Q177" s="125"/>
      <c r="R177" s="125"/>
      <c r="S177" s="125"/>
      <c r="T177" s="125"/>
      <c r="U177" s="125"/>
    </row>
    <row r="178">
      <c r="A178" s="122"/>
      <c r="B178" s="124" t="s">
        <v>272</v>
      </c>
      <c r="C178" s="124">
        <v>7265196.0</v>
      </c>
      <c r="D178" s="124">
        <f t="shared" ref="D178:O178" si="113">C178</f>
        <v>7265196</v>
      </c>
      <c r="E178" s="124">
        <f t="shared" si="113"/>
        <v>7265196</v>
      </c>
      <c r="F178" s="124">
        <f t="shared" si="113"/>
        <v>7265196</v>
      </c>
      <c r="G178" s="124">
        <f t="shared" si="113"/>
        <v>7265196</v>
      </c>
      <c r="H178" s="124">
        <f t="shared" si="113"/>
        <v>7265196</v>
      </c>
      <c r="I178" s="124">
        <f t="shared" si="113"/>
        <v>7265196</v>
      </c>
      <c r="J178" s="124">
        <f t="shared" si="113"/>
        <v>7265196</v>
      </c>
      <c r="K178" s="124">
        <f t="shared" si="113"/>
        <v>7265196</v>
      </c>
      <c r="L178" s="124">
        <f t="shared" si="113"/>
        <v>7265196</v>
      </c>
      <c r="M178" s="124">
        <f t="shared" si="113"/>
        <v>7265196</v>
      </c>
      <c r="N178" s="124">
        <f t="shared" si="113"/>
        <v>7265196</v>
      </c>
      <c r="O178" s="124">
        <f t="shared" si="113"/>
        <v>7265196</v>
      </c>
      <c r="P178" s="129">
        <f>P177/12</f>
        <v>0</v>
      </c>
      <c r="Q178" s="125"/>
      <c r="R178" s="125"/>
      <c r="S178" s="125"/>
      <c r="T178" s="125"/>
      <c r="U178" s="125"/>
    </row>
    <row r="179">
      <c r="A179" s="122"/>
      <c r="B179" s="124" t="s">
        <v>273</v>
      </c>
      <c r="C179" s="124"/>
      <c r="D179" s="124">
        <f t="shared" ref="D179:O179" si="114">C179+D113</f>
        <v>2803456.979</v>
      </c>
      <c r="E179" s="124">
        <f t="shared" si="114"/>
        <v>5608557.408</v>
      </c>
      <c r="F179" s="124">
        <f t="shared" si="114"/>
        <v>8415317.72</v>
      </c>
      <c r="G179" s="124">
        <f t="shared" si="114"/>
        <v>10674691.51</v>
      </c>
      <c r="H179" s="124">
        <f t="shared" si="114"/>
        <v>12935758.55</v>
      </c>
      <c r="I179" s="124">
        <f t="shared" si="114"/>
        <v>14100409.77</v>
      </c>
      <c r="J179" s="124">
        <f t="shared" si="114"/>
        <v>15266788.26</v>
      </c>
      <c r="K179" s="124">
        <f t="shared" si="114"/>
        <v>16983974.32</v>
      </c>
      <c r="L179" s="124">
        <f t="shared" si="114"/>
        <v>19801048.37</v>
      </c>
      <c r="M179" s="124">
        <f t="shared" si="114"/>
        <v>22619902.05</v>
      </c>
      <c r="N179" s="124">
        <f t="shared" si="114"/>
        <v>25440553.14</v>
      </c>
      <c r="O179" s="124">
        <f t="shared" si="114"/>
        <v>28263019.62</v>
      </c>
      <c r="P179" s="129"/>
      <c r="Q179" s="125"/>
      <c r="R179" s="125"/>
      <c r="S179" s="125"/>
      <c r="T179" s="125"/>
      <c r="U179" s="125"/>
    </row>
    <row r="180">
      <c r="A180" s="122"/>
      <c r="B180" s="124" t="s">
        <v>274</v>
      </c>
      <c r="C180" s="124"/>
      <c r="D180" s="124">
        <f>D126</f>
        <v>-280345.6979</v>
      </c>
      <c r="E180" s="124">
        <f t="shared" ref="E180:O180" si="115">E126+D180</f>
        <v>-560855.7408</v>
      </c>
      <c r="F180" s="124">
        <f t="shared" si="115"/>
        <v>-841531.772</v>
      </c>
      <c r="G180" s="124">
        <f t="shared" si="115"/>
        <v>-1067469.151</v>
      </c>
      <c r="H180" s="124">
        <f t="shared" si="115"/>
        <v>-1293575.855</v>
      </c>
      <c r="I180" s="124">
        <f t="shared" si="115"/>
        <v>-1410040.977</v>
      </c>
      <c r="J180" s="124">
        <f t="shared" si="115"/>
        <v>-1526678.826</v>
      </c>
      <c r="K180" s="124">
        <f t="shared" si="115"/>
        <v>-1698397.432</v>
      </c>
      <c r="L180" s="124">
        <f t="shared" si="115"/>
        <v>-1980104.837</v>
      </c>
      <c r="M180" s="124">
        <f t="shared" si="115"/>
        <v>-2261990.205</v>
      </c>
      <c r="N180" s="124">
        <f t="shared" si="115"/>
        <v>-2544055.314</v>
      </c>
      <c r="O180" s="124">
        <f t="shared" si="115"/>
        <v>-2826301.962</v>
      </c>
      <c r="P180" s="129"/>
      <c r="Q180" s="125"/>
      <c r="R180" s="125"/>
      <c r="S180" s="125"/>
      <c r="T180" s="125"/>
      <c r="U180" s="125"/>
    </row>
    <row r="181">
      <c r="A181" s="122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9"/>
      <c r="Q181" s="125"/>
      <c r="R181" s="125"/>
      <c r="S181" s="125"/>
      <c r="T181" s="125"/>
      <c r="U181" s="125"/>
    </row>
    <row r="182">
      <c r="A182" s="122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9"/>
      <c r="Q182" s="125"/>
      <c r="R182" s="125"/>
      <c r="S182" s="125"/>
      <c r="T182" s="125"/>
      <c r="U182" s="125"/>
    </row>
    <row r="183">
      <c r="A183" s="122"/>
      <c r="B183" s="126" t="s">
        <v>275</v>
      </c>
      <c r="C183" s="126">
        <f t="shared" ref="C183:O183" si="116">SUM(C184:C185)</f>
        <v>3239804</v>
      </c>
      <c r="D183" s="126">
        <f t="shared" si="116"/>
        <v>-1014753.118</v>
      </c>
      <c r="E183" s="126">
        <f t="shared" si="116"/>
        <v>-511382.7815</v>
      </c>
      <c r="F183" s="126">
        <f t="shared" si="116"/>
        <v>-123103.893</v>
      </c>
      <c r="G183" s="126">
        <f t="shared" si="116"/>
        <v>168953.4915</v>
      </c>
      <c r="H183" s="126">
        <f t="shared" si="116"/>
        <v>380511.2061</v>
      </c>
      <c r="I183" s="126">
        <f t="shared" si="116"/>
        <v>524667.6278</v>
      </c>
      <c r="J183" s="126">
        <f t="shared" si="116"/>
        <v>612334.8888</v>
      </c>
      <c r="K183" s="126">
        <f t="shared" si="116"/>
        <v>652603.2183</v>
      </c>
      <c r="L183" s="126">
        <f t="shared" si="116"/>
        <v>653044.561</v>
      </c>
      <c r="M183" s="126">
        <f t="shared" si="116"/>
        <v>619965.592</v>
      </c>
      <c r="N183" s="126">
        <f t="shared" si="116"/>
        <v>558618.5624</v>
      </c>
      <c r="O183" s="126">
        <f t="shared" si="116"/>
        <v>473377.0035</v>
      </c>
      <c r="P183" s="129"/>
      <c r="Q183" s="125"/>
      <c r="R183" s="125"/>
      <c r="S183" s="125"/>
      <c r="T183" s="125"/>
      <c r="U183" s="125"/>
    </row>
    <row r="184">
      <c r="A184" s="122"/>
      <c r="B184" s="124" t="s">
        <v>276</v>
      </c>
      <c r="C184" s="124">
        <f t="shared" ref="C184:O184" si="117">C120</f>
        <v>3239804</v>
      </c>
      <c r="D184" s="124">
        <f t="shared" si="117"/>
        <v>3064969</v>
      </c>
      <c r="E184" s="124">
        <f t="shared" si="117"/>
        <v>2888385.65</v>
      </c>
      <c r="F184" s="124">
        <f t="shared" si="117"/>
        <v>2710036.467</v>
      </c>
      <c r="G184" s="124">
        <f t="shared" si="117"/>
        <v>2529903.791</v>
      </c>
      <c r="H184" s="124">
        <f t="shared" si="117"/>
        <v>2347969.789</v>
      </c>
      <c r="I184" s="124">
        <f t="shared" si="117"/>
        <v>2164216.447</v>
      </c>
      <c r="J184" s="124">
        <f t="shared" si="117"/>
        <v>1978625.571</v>
      </c>
      <c r="K184" s="124">
        <f t="shared" si="117"/>
        <v>1791178.787</v>
      </c>
      <c r="L184" s="124">
        <f t="shared" si="117"/>
        <v>1601857.535</v>
      </c>
      <c r="M184" s="124">
        <f t="shared" si="117"/>
        <v>1410643.07</v>
      </c>
      <c r="N184" s="124">
        <f t="shared" si="117"/>
        <v>1217516.461</v>
      </c>
      <c r="O184" s="124">
        <f t="shared" si="117"/>
        <v>1022458.586</v>
      </c>
      <c r="P184" s="129"/>
      <c r="Q184" s="125"/>
      <c r="R184" s="125"/>
      <c r="S184" s="125"/>
      <c r="T184" s="125"/>
      <c r="U184" s="125"/>
    </row>
    <row r="185">
      <c r="A185" s="122"/>
      <c r="B185" s="124" t="s">
        <v>54</v>
      </c>
      <c r="C185" s="124"/>
      <c r="D185" s="124">
        <f t="shared" ref="D185:O185" si="118">D156</f>
        <v>-4079722.118</v>
      </c>
      <c r="E185" s="124">
        <f t="shared" si="118"/>
        <v>-3399768.431</v>
      </c>
      <c r="F185" s="124">
        <f t="shared" si="118"/>
        <v>-2833140.36</v>
      </c>
      <c r="G185" s="124">
        <f t="shared" si="118"/>
        <v>-2360950.3</v>
      </c>
      <c r="H185" s="124">
        <f t="shared" si="118"/>
        <v>-1967458.583</v>
      </c>
      <c r="I185" s="124">
        <f t="shared" si="118"/>
        <v>-1639548.819</v>
      </c>
      <c r="J185" s="124">
        <f t="shared" si="118"/>
        <v>-1366290.683</v>
      </c>
      <c r="K185" s="124">
        <f t="shared" si="118"/>
        <v>-1138575.569</v>
      </c>
      <c r="L185" s="124">
        <f t="shared" si="118"/>
        <v>-948812.9741</v>
      </c>
      <c r="M185" s="124">
        <f t="shared" si="118"/>
        <v>-790677.4784</v>
      </c>
      <c r="N185" s="124">
        <f t="shared" si="118"/>
        <v>-658897.8987</v>
      </c>
      <c r="O185" s="124">
        <f t="shared" si="118"/>
        <v>-549081.5822</v>
      </c>
      <c r="P185" s="129"/>
      <c r="Q185" s="125"/>
      <c r="R185" s="125"/>
      <c r="S185" s="125"/>
      <c r="T185" s="125"/>
      <c r="U185" s="125"/>
    </row>
    <row r="186">
      <c r="A186" s="122"/>
      <c r="B186" s="122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5"/>
      <c r="R186" s="125"/>
      <c r="S186" s="125"/>
      <c r="T186" s="125"/>
      <c r="U186" s="125"/>
    </row>
    <row r="187">
      <c r="A187" s="122"/>
      <c r="B187" s="122" t="s">
        <v>277</v>
      </c>
      <c r="C187" s="163">
        <f t="array" ref="C187">C4/ AVERAGE(INDIRECT("D"&amp;MATCH("Собственный капитал",$B:$B,0)&amp;":O"&amp;MATCH("Собственный капитал",$B:$B,0)))</f>
        <v>1.346903093</v>
      </c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>
        <f>O113/O177</f>
        <v>0.08630890875</v>
      </c>
      <c r="P187" s="129"/>
      <c r="Q187" s="125"/>
      <c r="R187" s="125"/>
      <c r="S187" s="125"/>
      <c r="T187" s="125"/>
      <c r="U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</row>
  </sheetData>
  <mergeCells count="24">
    <mergeCell ref="D135:O135"/>
    <mergeCell ref="D140:O140"/>
    <mergeCell ref="D146:O146"/>
    <mergeCell ref="B103:C103"/>
    <mergeCell ref="B112:C112"/>
    <mergeCell ref="D112:O112"/>
    <mergeCell ref="B114:C114"/>
    <mergeCell ref="B115:C115"/>
    <mergeCell ref="B133:C133"/>
    <mergeCell ref="D134:O134"/>
    <mergeCell ref="B147:C147"/>
    <mergeCell ref="B153:C153"/>
    <mergeCell ref="B161:C161"/>
    <mergeCell ref="B162:C162"/>
    <mergeCell ref="B163:C163"/>
    <mergeCell ref="B164:C164"/>
    <mergeCell ref="B165:C165"/>
    <mergeCell ref="B134:C134"/>
    <mergeCell ref="B135:C135"/>
    <mergeCell ref="B139:C139"/>
    <mergeCell ref="B140:C140"/>
    <mergeCell ref="B141:C141"/>
    <mergeCell ref="B145:C145"/>
    <mergeCell ref="B146:C146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2.63"/>
  </cols>
  <sheetData>
    <row r="1">
      <c r="A1" s="164"/>
      <c r="B1" s="165"/>
      <c r="C1" s="164"/>
      <c r="D1" s="164"/>
      <c r="E1" s="166" t="s">
        <v>187</v>
      </c>
      <c r="F1" s="166" t="s">
        <v>188</v>
      </c>
      <c r="G1" s="165"/>
      <c r="H1" s="165"/>
      <c r="I1" s="165"/>
      <c r="J1" s="165"/>
      <c r="K1" s="165"/>
      <c r="L1" s="165"/>
      <c r="M1" s="165"/>
      <c r="N1" s="165"/>
      <c r="O1" s="165"/>
    </row>
    <row r="2">
      <c r="A2" s="164"/>
      <c r="B2" s="167" t="s">
        <v>189</v>
      </c>
      <c r="C2" s="168">
        <f>O7</f>
        <v>684000000</v>
      </c>
      <c r="D2" s="169">
        <v>6.84E8</v>
      </c>
      <c r="E2" s="170">
        <f t="shared" ref="E2:E4" si="1">C2-D2</f>
        <v>0</v>
      </c>
      <c r="F2" s="171">
        <f>IFERROR(E2/D2,0)</f>
        <v>0</v>
      </c>
      <c r="G2" s="165"/>
      <c r="H2" s="165"/>
      <c r="I2" s="165"/>
      <c r="J2" s="165"/>
      <c r="K2" s="165"/>
      <c r="L2" s="165"/>
      <c r="M2" s="165"/>
      <c r="N2" s="165"/>
      <c r="O2" s="165"/>
    </row>
    <row r="3">
      <c r="A3" s="164"/>
      <c r="B3" s="167" t="s">
        <v>278</v>
      </c>
      <c r="C3" s="168">
        <f>O9</f>
        <v>16931922.73</v>
      </c>
      <c r="D3" s="169">
        <v>1.6931922733333353E7</v>
      </c>
      <c r="E3" s="170">
        <f t="shared" si="1"/>
        <v>0</v>
      </c>
      <c r="F3" s="171">
        <f t="shared" ref="F3:F4" si="2">E3/D3</f>
        <v>0</v>
      </c>
      <c r="G3" s="165"/>
      <c r="H3" s="165"/>
      <c r="I3" s="165"/>
      <c r="J3" s="165"/>
      <c r="K3" s="165"/>
      <c r="L3" s="165"/>
      <c r="M3" s="165"/>
      <c r="N3" s="165"/>
      <c r="O3" s="165"/>
    </row>
    <row r="4">
      <c r="A4" s="164"/>
      <c r="B4" s="172" t="s">
        <v>191</v>
      </c>
      <c r="C4" s="168">
        <f>N10</f>
        <v>28354525.13</v>
      </c>
      <c r="D4" s="169">
        <v>2.835452513333334E7</v>
      </c>
      <c r="E4" s="170">
        <f t="shared" si="1"/>
        <v>0</v>
      </c>
      <c r="F4" s="171">
        <f t="shared" si="2"/>
        <v>0</v>
      </c>
      <c r="G4" s="165"/>
      <c r="H4" s="165"/>
      <c r="I4" s="165"/>
      <c r="J4" s="165"/>
      <c r="K4" s="165"/>
      <c r="L4" s="165"/>
      <c r="M4" s="165"/>
      <c r="N4" s="165"/>
      <c r="O4" s="165"/>
    </row>
    <row r="5">
      <c r="A5" s="164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</row>
    <row r="6">
      <c r="A6" s="173" t="s">
        <v>279</v>
      </c>
      <c r="B6" s="174" t="s">
        <v>280</v>
      </c>
      <c r="C6" s="174">
        <v>1.0</v>
      </c>
      <c r="D6" s="174">
        <v>2.0</v>
      </c>
      <c r="E6" s="174">
        <v>3.0</v>
      </c>
      <c r="F6" s="174">
        <v>4.0</v>
      </c>
      <c r="G6" s="174">
        <v>5.0</v>
      </c>
      <c r="H6" s="174">
        <v>6.0</v>
      </c>
      <c r="I6" s="174">
        <v>7.0</v>
      </c>
      <c r="J6" s="174">
        <v>8.0</v>
      </c>
      <c r="K6" s="174">
        <v>9.0</v>
      </c>
      <c r="L6" s="174">
        <v>10.0</v>
      </c>
      <c r="M6" s="174">
        <v>11.0</v>
      </c>
      <c r="N6" s="174">
        <v>12.0</v>
      </c>
      <c r="O6" s="174" t="s">
        <v>281</v>
      </c>
    </row>
    <row r="7">
      <c r="A7" s="175" t="s">
        <v>282</v>
      </c>
      <c r="B7" s="176"/>
      <c r="C7" s="168">
        <f t="shared" ref="C7:N7" si="3">C12</f>
        <v>17000000</v>
      </c>
      <c r="D7" s="168">
        <f t="shared" si="3"/>
        <v>35000000</v>
      </c>
      <c r="E7" s="168">
        <f t="shared" si="3"/>
        <v>30000000</v>
      </c>
      <c r="F7" s="168">
        <f t="shared" si="3"/>
        <v>20000000</v>
      </c>
      <c r="G7" s="168">
        <f t="shared" si="3"/>
        <v>62000000</v>
      </c>
      <c r="H7" s="168">
        <f t="shared" si="3"/>
        <v>47000000</v>
      </c>
      <c r="I7" s="168">
        <f t="shared" si="3"/>
        <v>72000000</v>
      </c>
      <c r="J7" s="168">
        <f t="shared" si="3"/>
        <v>72000000</v>
      </c>
      <c r="K7" s="168">
        <f t="shared" si="3"/>
        <v>87000000</v>
      </c>
      <c r="L7" s="168">
        <f t="shared" si="3"/>
        <v>90000000</v>
      </c>
      <c r="M7" s="168">
        <f t="shared" si="3"/>
        <v>87000000</v>
      </c>
      <c r="N7" s="168">
        <f t="shared" si="3"/>
        <v>65000000</v>
      </c>
      <c r="O7" s="168">
        <f t="shared" ref="O7:O10" si="5">SUM(C7:N7)</f>
        <v>684000000</v>
      </c>
    </row>
    <row r="8">
      <c r="A8" s="175" t="s">
        <v>193</v>
      </c>
      <c r="B8" s="176"/>
      <c r="C8" s="168">
        <f t="shared" ref="C8:N8" si="4">-(C106+C147+C161)/C88</f>
        <v>25877977.98</v>
      </c>
      <c r="D8" s="168">
        <f t="shared" si="4"/>
        <v>162677092.1</v>
      </c>
      <c r="E8" s="168">
        <f t="shared" si="4"/>
        <v>35698115.47</v>
      </c>
      <c r="F8" s="168">
        <f t="shared" si="4"/>
        <v>32992426.52</v>
      </c>
      <c r="G8" s="168">
        <f t="shared" si="4"/>
        <v>83092415.88</v>
      </c>
      <c r="H8" s="168">
        <f t="shared" si="4"/>
        <v>29806549.4</v>
      </c>
      <c r="I8" s="168">
        <f t="shared" si="4"/>
        <v>35052012.15</v>
      </c>
      <c r="J8" s="168">
        <f t="shared" si="4"/>
        <v>36317123.19</v>
      </c>
      <c r="K8" s="168">
        <f t="shared" si="4"/>
        <v>60483428.24</v>
      </c>
      <c r="L8" s="168">
        <f t="shared" si="4"/>
        <v>64143097.84</v>
      </c>
      <c r="M8" s="168">
        <f t="shared" si="4"/>
        <v>60483428.24</v>
      </c>
      <c r="N8" s="168">
        <f t="shared" si="4"/>
        <v>63020836.46</v>
      </c>
      <c r="O8" s="168">
        <f t="shared" si="5"/>
        <v>689644503.4</v>
      </c>
    </row>
    <row r="9">
      <c r="A9" s="175" t="s">
        <v>44</v>
      </c>
      <c r="B9" s="176"/>
      <c r="C9" s="177">
        <f t="shared" ref="C9:N9" si="6">C183</f>
        <v>-5744034.333</v>
      </c>
      <c r="D9" s="177">
        <f t="shared" si="6"/>
        <v>-15364034.33</v>
      </c>
      <c r="E9" s="177">
        <f t="shared" si="6"/>
        <v>-3289034.333</v>
      </c>
      <c r="F9" s="177">
        <f t="shared" si="6"/>
        <v>-6489034.333</v>
      </c>
      <c r="G9" s="177">
        <f t="shared" si="6"/>
        <v>-5644034.333</v>
      </c>
      <c r="H9" s="168">
        <f t="shared" si="6"/>
        <v>6930299.2</v>
      </c>
      <c r="I9" s="168">
        <f t="shared" si="6"/>
        <v>13830299.2</v>
      </c>
      <c r="J9" s="168">
        <f t="shared" si="6"/>
        <v>13330299.2</v>
      </c>
      <c r="K9" s="168">
        <f t="shared" si="6"/>
        <v>6730299.2</v>
      </c>
      <c r="L9" s="168">
        <f t="shared" si="6"/>
        <v>6134299.2</v>
      </c>
      <c r="M9" s="168">
        <f t="shared" si="6"/>
        <v>6751299.2</v>
      </c>
      <c r="N9" s="177">
        <f t="shared" si="6"/>
        <v>-244700.8</v>
      </c>
      <c r="O9" s="168">
        <f t="shared" si="5"/>
        <v>16931922.73</v>
      </c>
    </row>
    <row r="10">
      <c r="A10" s="175" t="s">
        <v>191</v>
      </c>
      <c r="B10" s="176"/>
      <c r="C10" s="177">
        <f t="shared" ref="C10:N10" si="7">C304</f>
        <v>-6707367.667</v>
      </c>
      <c r="D10" s="177">
        <f t="shared" si="7"/>
        <v>-7474735.333</v>
      </c>
      <c r="E10" s="177">
        <f t="shared" si="7"/>
        <v>-9029603</v>
      </c>
      <c r="F10" s="177">
        <f t="shared" si="7"/>
        <v>-17236970.67</v>
      </c>
      <c r="G10" s="177">
        <f t="shared" si="7"/>
        <v>-4784338.333</v>
      </c>
      <c r="H10" s="177">
        <f t="shared" si="7"/>
        <v>-10872522.07</v>
      </c>
      <c r="I10" s="168">
        <f t="shared" si="7"/>
        <v>11389294.2</v>
      </c>
      <c r="J10" s="168">
        <f t="shared" si="7"/>
        <v>5013610.467</v>
      </c>
      <c r="K10" s="168">
        <f t="shared" si="7"/>
        <v>12602926.73</v>
      </c>
      <c r="L10" s="168">
        <f t="shared" si="7"/>
        <v>15570243</v>
      </c>
      <c r="M10" s="168">
        <f t="shared" si="7"/>
        <v>16400059.27</v>
      </c>
      <c r="N10" s="168">
        <f t="shared" si="7"/>
        <v>28354525.13</v>
      </c>
      <c r="O10" s="168">
        <f t="shared" si="5"/>
        <v>33225121.73</v>
      </c>
    </row>
    <row r="11">
      <c r="A11" s="164"/>
      <c r="B11" s="178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</row>
    <row r="12">
      <c r="A12" s="179" t="s">
        <v>283</v>
      </c>
      <c r="B12" s="180"/>
      <c r="C12" s="181">
        <f t="shared" ref="C12:O12" si="8">C24+C38+C45+C52+C59</f>
        <v>17000000</v>
      </c>
      <c r="D12" s="181">
        <f t="shared" si="8"/>
        <v>35000000</v>
      </c>
      <c r="E12" s="181">
        <f t="shared" si="8"/>
        <v>30000000</v>
      </c>
      <c r="F12" s="181">
        <f t="shared" si="8"/>
        <v>20000000</v>
      </c>
      <c r="G12" s="181">
        <f t="shared" si="8"/>
        <v>62000000</v>
      </c>
      <c r="H12" s="181">
        <f t="shared" si="8"/>
        <v>47000000</v>
      </c>
      <c r="I12" s="181">
        <f t="shared" si="8"/>
        <v>72000000</v>
      </c>
      <c r="J12" s="181">
        <f t="shared" si="8"/>
        <v>72000000</v>
      </c>
      <c r="K12" s="181">
        <f t="shared" si="8"/>
        <v>87000000</v>
      </c>
      <c r="L12" s="181">
        <f t="shared" si="8"/>
        <v>90000000</v>
      </c>
      <c r="M12" s="181">
        <f t="shared" si="8"/>
        <v>87000000</v>
      </c>
      <c r="N12" s="181">
        <f t="shared" si="8"/>
        <v>65000000</v>
      </c>
      <c r="O12" s="182">
        <f t="shared" si="8"/>
        <v>0</v>
      </c>
    </row>
    <row r="13">
      <c r="A13" s="183" t="s">
        <v>284</v>
      </c>
      <c r="B13" s="178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</row>
    <row r="14">
      <c r="A14" s="164"/>
      <c r="B14" s="178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</row>
    <row r="15">
      <c r="A15" s="183" t="s">
        <v>285</v>
      </c>
      <c r="B15" s="178"/>
      <c r="C15" s="184">
        <f t="shared" ref="C15:N15" si="9">B18</f>
        <v>5</v>
      </c>
      <c r="D15" s="184">
        <f t="shared" si="9"/>
        <v>8</v>
      </c>
      <c r="E15" s="184">
        <f t="shared" si="9"/>
        <v>11</v>
      </c>
      <c r="F15" s="184">
        <f t="shared" si="9"/>
        <v>14</v>
      </c>
      <c r="G15" s="184">
        <f t="shared" si="9"/>
        <v>17</v>
      </c>
      <c r="H15" s="184">
        <f t="shared" si="9"/>
        <v>20</v>
      </c>
      <c r="I15" s="184">
        <f t="shared" si="9"/>
        <v>20</v>
      </c>
      <c r="J15" s="184">
        <f t="shared" si="9"/>
        <v>20</v>
      </c>
      <c r="K15" s="184">
        <f t="shared" si="9"/>
        <v>20</v>
      </c>
      <c r="L15" s="184">
        <f t="shared" si="9"/>
        <v>20</v>
      </c>
      <c r="M15" s="184">
        <f t="shared" si="9"/>
        <v>20</v>
      </c>
      <c r="N15" s="184">
        <f t="shared" si="9"/>
        <v>20</v>
      </c>
      <c r="O15" s="164"/>
    </row>
    <row r="16">
      <c r="A16" s="183" t="s">
        <v>286</v>
      </c>
      <c r="B16" s="185">
        <v>4.0</v>
      </c>
      <c r="C16" s="186">
        <f t="shared" ref="C16:N16" si="10">ROUND(B16,0)</f>
        <v>4</v>
      </c>
      <c r="D16" s="186">
        <f t="shared" si="10"/>
        <v>4</v>
      </c>
      <c r="E16" s="186">
        <f t="shared" si="10"/>
        <v>4</v>
      </c>
      <c r="F16" s="186">
        <f t="shared" si="10"/>
        <v>4</v>
      </c>
      <c r="G16" s="186">
        <f t="shared" si="10"/>
        <v>4</v>
      </c>
      <c r="H16" s="186">
        <f t="shared" si="10"/>
        <v>4</v>
      </c>
      <c r="I16" s="186">
        <f t="shared" si="10"/>
        <v>4</v>
      </c>
      <c r="J16" s="186">
        <f t="shared" si="10"/>
        <v>4</v>
      </c>
      <c r="K16" s="186">
        <f t="shared" si="10"/>
        <v>4</v>
      </c>
      <c r="L16" s="186">
        <f t="shared" si="10"/>
        <v>4</v>
      </c>
      <c r="M16" s="186">
        <f t="shared" si="10"/>
        <v>4</v>
      </c>
      <c r="N16" s="186">
        <f t="shared" si="10"/>
        <v>4</v>
      </c>
      <c r="O16" s="164"/>
    </row>
    <row r="17">
      <c r="A17" s="183" t="s">
        <v>287</v>
      </c>
      <c r="B17" s="178"/>
      <c r="C17" s="186">
        <v>1.0</v>
      </c>
      <c r="D17" s="186">
        <v>1.0</v>
      </c>
      <c r="E17" s="186">
        <v>1.0</v>
      </c>
      <c r="F17" s="186">
        <v>1.0</v>
      </c>
      <c r="G17" s="186">
        <v>1.0</v>
      </c>
      <c r="H17" s="186">
        <f t="shared" ref="H17:N17" si="11">ROUND(C16,0)</f>
        <v>4</v>
      </c>
      <c r="I17" s="186">
        <f t="shared" si="11"/>
        <v>4</v>
      </c>
      <c r="J17" s="186">
        <f t="shared" si="11"/>
        <v>4</v>
      </c>
      <c r="K17" s="186">
        <f t="shared" si="11"/>
        <v>4</v>
      </c>
      <c r="L17" s="186">
        <f t="shared" si="11"/>
        <v>4</v>
      </c>
      <c r="M17" s="186">
        <f t="shared" si="11"/>
        <v>4</v>
      </c>
      <c r="N17" s="186">
        <f t="shared" si="11"/>
        <v>4</v>
      </c>
      <c r="O17" s="164"/>
    </row>
    <row r="18">
      <c r="A18" s="183" t="s">
        <v>288</v>
      </c>
      <c r="B18" s="185">
        <v>5.0</v>
      </c>
      <c r="C18" s="184">
        <f t="shared" ref="C18:N18" si="12">C15+C16-C17</f>
        <v>8</v>
      </c>
      <c r="D18" s="184">
        <f t="shared" si="12"/>
        <v>11</v>
      </c>
      <c r="E18" s="184">
        <f t="shared" si="12"/>
        <v>14</v>
      </c>
      <c r="F18" s="184">
        <f t="shared" si="12"/>
        <v>17</v>
      </c>
      <c r="G18" s="184">
        <f t="shared" si="12"/>
        <v>20</v>
      </c>
      <c r="H18" s="184">
        <f t="shared" si="12"/>
        <v>20</v>
      </c>
      <c r="I18" s="184">
        <f t="shared" si="12"/>
        <v>20</v>
      </c>
      <c r="J18" s="184">
        <f t="shared" si="12"/>
        <v>20</v>
      </c>
      <c r="K18" s="184">
        <f t="shared" si="12"/>
        <v>20</v>
      </c>
      <c r="L18" s="184">
        <f t="shared" si="12"/>
        <v>20</v>
      </c>
      <c r="M18" s="184">
        <f t="shared" si="12"/>
        <v>20</v>
      </c>
      <c r="N18" s="184">
        <f t="shared" si="12"/>
        <v>20</v>
      </c>
      <c r="O18" s="164"/>
    </row>
    <row r="19">
      <c r="A19" s="164"/>
      <c r="B19" s="178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</row>
    <row r="20">
      <c r="A20" s="183" t="s">
        <v>289</v>
      </c>
      <c r="B20" s="187">
        <v>5000000.0</v>
      </c>
      <c r="C20" s="166">
        <f t="shared" ref="C20:N20" si="13">B20</f>
        <v>5000000</v>
      </c>
      <c r="D20" s="166">
        <f t="shared" si="13"/>
        <v>5000000</v>
      </c>
      <c r="E20" s="166">
        <f t="shared" si="13"/>
        <v>5000000</v>
      </c>
      <c r="F20" s="166">
        <f t="shared" si="13"/>
        <v>5000000</v>
      </c>
      <c r="G20" s="166">
        <f t="shared" si="13"/>
        <v>5000000</v>
      </c>
      <c r="H20" s="166">
        <f t="shared" si="13"/>
        <v>5000000</v>
      </c>
      <c r="I20" s="166">
        <f t="shared" si="13"/>
        <v>5000000</v>
      </c>
      <c r="J20" s="166">
        <f t="shared" si="13"/>
        <v>5000000</v>
      </c>
      <c r="K20" s="166">
        <f t="shared" si="13"/>
        <v>5000000</v>
      </c>
      <c r="L20" s="166">
        <f t="shared" si="13"/>
        <v>5000000</v>
      </c>
      <c r="M20" s="166">
        <f t="shared" si="13"/>
        <v>5000000</v>
      </c>
      <c r="N20" s="166">
        <f t="shared" si="13"/>
        <v>5000000</v>
      </c>
      <c r="O20" s="164"/>
    </row>
    <row r="21">
      <c r="A21" s="183" t="s">
        <v>290</v>
      </c>
      <c r="B21" s="188">
        <v>0.0</v>
      </c>
      <c r="C21" s="189">
        <f t="shared" ref="C21:N21" si="14">B21</f>
        <v>0</v>
      </c>
      <c r="D21" s="189">
        <f t="shared" si="14"/>
        <v>0</v>
      </c>
      <c r="E21" s="189">
        <f t="shared" si="14"/>
        <v>0</v>
      </c>
      <c r="F21" s="189">
        <f t="shared" si="14"/>
        <v>0</v>
      </c>
      <c r="G21" s="189">
        <f t="shared" si="14"/>
        <v>0</v>
      </c>
      <c r="H21" s="189">
        <f t="shared" si="14"/>
        <v>0</v>
      </c>
      <c r="I21" s="189">
        <f t="shared" si="14"/>
        <v>0</v>
      </c>
      <c r="J21" s="189">
        <f t="shared" si="14"/>
        <v>0</v>
      </c>
      <c r="K21" s="189">
        <f t="shared" si="14"/>
        <v>0</v>
      </c>
      <c r="L21" s="189">
        <f t="shared" si="14"/>
        <v>0</v>
      </c>
      <c r="M21" s="189">
        <f t="shared" si="14"/>
        <v>0</v>
      </c>
      <c r="N21" s="189">
        <f t="shared" si="14"/>
        <v>0</v>
      </c>
      <c r="O21" s="164"/>
    </row>
    <row r="22">
      <c r="A22" s="183" t="s">
        <v>291</v>
      </c>
      <c r="B22" s="187">
        <f>B20+B20*B21</f>
        <v>5000000</v>
      </c>
      <c r="C22" s="166">
        <f t="shared" ref="C22:N22" si="15">(C20+C20*C21)</f>
        <v>5000000</v>
      </c>
      <c r="D22" s="166">
        <f t="shared" si="15"/>
        <v>5000000</v>
      </c>
      <c r="E22" s="166">
        <f t="shared" si="15"/>
        <v>5000000</v>
      </c>
      <c r="F22" s="166">
        <f t="shared" si="15"/>
        <v>5000000</v>
      </c>
      <c r="G22" s="166">
        <f t="shared" si="15"/>
        <v>5000000</v>
      </c>
      <c r="H22" s="166">
        <f t="shared" si="15"/>
        <v>5000000</v>
      </c>
      <c r="I22" s="166">
        <f t="shared" si="15"/>
        <v>5000000</v>
      </c>
      <c r="J22" s="166">
        <f t="shared" si="15"/>
        <v>5000000</v>
      </c>
      <c r="K22" s="166">
        <f t="shared" si="15"/>
        <v>5000000</v>
      </c>
      <c r="L22" s="166">
        <f t="shared" si="15"/>
        <v>5000000</v>
      </c>
      <c r="M22" s="166">
        <f t="shared" si="15"/>
        <v>5000000</v>
      </c>
      <c r="N22" s="166">
        <f t="shared" si="15"/>
        <v>5000000</v>
      </c>
      <c r="O22" s="164"/>
    </row>
    <row r="23">
      <c r="A23" s="164"/>
      <c r="B23" s="178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</row>
    <row r="24">
      <c r="A24" s="190" t="s">
        <v>292</v>
      </c>
      <c r="B24" s="191"/>
      <c r="C24" s="192">
        <f t="shared" ref="C24:N24" si="16">C17*C22</f>
        <v>5000000</v>
      </c>
      <c r="D24" s="192">
        <f t="shared" si="16"/>
        <v>5000000</v>
      </c>
      <c r="E24" s="192">
        <f t="shared" si="16"/>
        <v>5000000</v>
      </c>
      <c r="F24" s="192">
        <f t="shared" si="16"/>
        <v>5000000</v>
      </c>
      <c r="G24" s="192">
        <f t="shared" si="16"/>
        <v>5000000</v>
      </c>
      <c r="H24" s="192">
        <f t="shared" si="16"/>
        <v>20000000</v>
      </c>
      <c r="I24" s="192">
        <f t="shared" si="16"/>
        <v>20000000</v>
      </c>
      <c r="J24" s="192">
        <f t="shared" si="16"/>
        <v>20000000</v>
      </c>
      <c r="K24" s="192">
        <f t="shared" si="16"/>
        <v>20000000</v>
      </c>
      <c r="L24" s="192">
        <f t="shared" si="16"/>
        <v>20000000</v>
      </c>
      <c r="M24" s="192">
        <f t="shared" si="16"/>
        <v>20000000</v>
      </c>
      <c r="N24" s="192">
        <f t="shared" si="16"/>
        <v>20000000</v>
      </c>
      <c r="O24" s="191"/>
    </row>
    <row r="25">
      <c r="A25" s="164"/>
      <c r="B25" s="178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</row>
    <row r="26">
      <c r="A26" s="183" t="s">
        <v>293</v>
      </c>
      <c r="B26" s="188">
        <v>0.25</v>
      </c>
      <c r="C26" s="193">
        <f>ROUND(SUM(C17:N17)*B26,0)</f>
        <v>8</v>
      </c>
      <c r="D26" s="164" t="s">
        <v>294</v>
      </c>
      <c r="E26" s="164"/>
      <c r="F26" s="164" t="s">
        <v>295</v>
      </c>
      <c r="G26" s="164"/>
      <c r="H26" s="164"/>
      <c r="I26" s="164"/>
      <c r="J26" s="164"/>
      <c r="K26" s="164"/>
      <c r="L26" s="164"/>
      <c r="M26" s="164"/>
      <c r="N26" s="164"/>
      <c r="O26" s="164"/>
    </row>
    <row r="27">
      <c r="A27" s="164"/>
      <c r="B27" s="178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</row>
    <row r="28">
      <c r="A28" s="183" t="s">
        <v>285</v>
      </c>
      <c r="B28" s="178"/>
      <c r="C28" s="193">
        <f t="shared" ref="C28:N28" si="17">B31</f>
        <v>2</v>
      </c>
      <c r="D28" s="184">
        <f t="shared" si="17"/>
        <v>2</v>
      </c>
      <c r="E28" s="184">
        <f t="shared" si="17"/>
        <v>2</v>
      </c>
      <c r="F28" s="184">
        <f t="shared" si="17"/>
        <v>3</v>
      </c>
      <c r="G28" s="184">
        <f t="shared" si="17"/>
        <v>4</v>
      </c>
      <c r="H28" s="184">
        <f t="shared" si="17"/>
        <v>4</v>
      </c>
      <c r="I28" s="184">
        <f t="shared" si="17"/>
        <v>5</v>
      </c>
      <c r="J28" s="184">
        <f t="shared" si="17"/>
        <v>5</v>
      </c>
      <c r="K28" s="184">
        <f t="shared" si="17"/>
        <v>6</v>
      </c>
      <c r="L28" s="184">
        <f t="shared" si="17"/>
        <v>5</v>
      </c>
      <c r="M28" s="184">
        <f t="shared" si="17"/>
        <v>5</v>
      </c>
      <c r="N28" s="184">
        <f t="shared" si="17"/>
        <v>4</v>
      </c>
      <c r="O28" s="164"/>
    </row>
    <row r="29">
      <c r="A29" s="183" t="s">
        <v>286</v>
      </c>
      <c r="B29" s="178"/>
      <c r="C29" s="194"/>
      <c r="D29" s="186">
        <v>1.0</v>
      </c>
      <c r="E29" s="186">
        <v>1.0</v>
      </c>
      <c r="F29" s="186">
        <v>1.0</v>
      </c>
      <c r="G29" s="186">
        <v>1.0</v>
      </c>
      <c r="H29" s="186">
        <v>1.0</v>
      </c>
      <c r="I29" s="194"/>
      <c r="J29" s="186">
        <v>1.0</v>
      </c>
      <c r="K29" s="194"/>
      <c r="L29" s="186">
        <v>1.0</v>
      </c>
      <c r="M29" s="194"/>
      <c r="N29" s="186">
        <v>1.0</v>
      </c>
      <c r="O29" s="164"/>
    </row>
    <row r="30">
      <c r="A30" s="183" t="s">
        <v>287</v>
      </c>
      <c r="B30" s="178"/>
      <c r="C30" s="164" t="str">
        <f t="shared" ref="C30:N30" si="18">C54</f>
        <v/>
      </c>
      <c r="D30" s="193">
        <f t="shared" si="18"/>
        <v>1</v>
      </c>
      <c r="E30" s="164" t="str">
        <f t="shared" si="18"/>
        <v/>
      </c>
      <c r="F30" s="164" t="str">
        <f t="shared" si="18"/>
        <v/>
      </c>
      <c r="G30" s="193">
        <f t="shared" si="18"/>
        <v>1</v>
      </c>
      <c r="H30" s="164" t="str">
        <f t="shared" si="18"/>
        <v/>
      </c>
      <c r="I30" s="164" t="str">
        <f t="shared" si="18"/>
        <v/>
      </c>
      <c r="J30" s="164" t="str">
        <f t="shared" si="18"/>
        <v/>
      </c>
      <c r="K30" s="184">
        <f t="shared" si="18"/>
        <v>1</v>
      </c>
      <c r="L30" s="184">
        <f t="shared" si="18"/>
        <v>1</v>
      </c>
      <c r="M30" s="184">
        <f t="shared" si="18"/>
        <v>1</v>
      </c>
      <c r="N30" s="184">
        <f t="shared" si="18"/>
        <v>1</v>
      </c>
      <c r="O30" s="164"/>
    </row>
    <row r="31">
      <c r="A31" s="183" t="s">
        <v>288</v>
      </c>
      <c r="B31" s="185">
        <v>2.0</v>
      </c>
      <c r="C31" s="184">
        <f t="shared" ref="C31:N31" si="19">C28+C29-C30</f>
        <v>2</v>
      </c>
      <c r="D31" s="184">
        <f t="shared" si="19"/>
        <v>2</v>
      </c>
      <c r="E31" s="184">
        <f t="shared" si="19"/>
        <v>3</v>
      </c>
      <c r="F31" s="184">
        <f t="shared" si="19"/>
        <v>4</v>
      </c>
      <c r="G31" s="184">
        <f t="shared" si="19"/>
        <v>4</v>
      </c>
      <c r="H31" s="184">
        <f t="shared" si="19"/>
        <v>5</v>
      </c>
      <c r="I31" s="184">
        <f t="shared" si="19"/>
        <v>5</v>
      </c>
      <c r="J31" s="184">
        <f t="shared" si="19"/>
        <v>6</v>
      </c>
      <c r="K31" s="184">
        <f t="shared" si="19"/>
        <v>5</v>
      </c>
      <c r="L31" s="184">
        <f t="shared" si="19"/>
        <v>5</v>
      </c>
      <c r="M31" s="184">
        <f t="shared" si="19"/>
        <v>4</v>
      </c>
      <c r="N31" s="184">
        <f t="shared" si="19"/>
        <v>4</v>
      </c>
      <c r="O31" s="164"/>
    </row>
    <row r="32">
      <c r="A32" s="164"/>
      <c r="B32" s="178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</row>
    <row r="33">
      <c r="A33" s="183" t="s">
        <v>296</v>
      </c>
      <c r="B33" s="178"/>
      <c r="C33" s="164"/>
      <c r="D33" s="164"/>
      <c r="E33" s="184">
        <f>ROUND(C29,0)</f>
        <v>0</v>
      </c>
      <c r="F33" s="184">
        <f t="shared" ref="F33:N33" si="20">D29</f>
        <v>1</v>
      </c>
      <c r="G33" s="184">
        <f t="shared" si="20"/>
        <v>1</v>
      </c>
      <c r="H33" s="184">
        <f t="shared" si="20"/>
        <v>1</v>
      </c>
      <c r="I33" s="184">
        <f t="shared" si="20"/>
        <v>1</v>
      </c>
      <c r="J33" s="184">
        <f t="shared" si="20"/>
        <v>1</v>
      </c>
      <c r="K33" s="195" t="str">
        <f t="shared" si="20"/>
        <v/>
      </c>
      <c r="L33" s="184">
        <f t="shared" si="20"/>
        <v>1</v>
      </c>
      <c r="M33" s="195" t="str">
        <f t="shared" si="20"/>
        <v/>
      </c>
      <c r="N33" s="184">
        <f t="shared" si="20"/>
        <v>1</v>
      </c>
      <c r="O33" s="164"/>
    </row>
    <row r="34">
      <c r="A34" s="183" t="s">
        <v>297</v>
      </c>
      <c r="B34" s="187">
        <v>1.5E7</v>
      </c>
      <c r="C34" s="166">
        <f t="shared" ref="C34:N34" si="21">B34</f>
        <v>15000000</v>
      </c>
      <c r="D34" s="166">
        <f t="shared" si="21"/>
        <v>15000000</v>
      </c>
      <c r="E34" s="166">
        <f t="shared" si="21"/>
        <v>15000000</v>
      </c>
      <c r="F34" s="166">
        <f t="shared" si="21"/>
        <v>15000000</v>
      </c>
      <c r="G34" s="166">
        <f t="shared" si="21"/>
        <v>15000000</v>
      </c>
      <c r="H34" s="166">
        <f t="shared" si="21"/>
        <v>15000000</v>
      </c>
      <c r="I34" s="166">
        <f t="shared" si="21"/>
        <v>15000000</v>
      </c>
      <c r="J34" s="166">
        <f t="shared" si="21"/>
        <v>15000000</v>
      </c>
      <c r="K34" s="166">
        <f t="shared" si="21"/>
        <v>15000000</v>
      </c>
      <c r="L34" s="166">
        <f t="shared" si="21"/>
        <v>15000000</v>
      </c>
      <c r="M34" s="166">
        <f t="shared" si="21"/>
        <v>15000000</v>
      </c>
      <c r="N34" s="166">
        <f t="shared" si="21"/>
        <v>15000000</v>
      </c>
      <c r="O34" s="164"/>
    </row>
    <row r="35">
      <c r="A35" s="183" t="s">
        <v>290</v>
      </c>
      <c r="B35" s="188">
        <v>0.0</v>
      </c>
      <c r="C35" s="189">
        <f t="shared" ref="C35:N35" si="22">B35</f>
        <v>0</v>
      </c>
      <c r="D35" s="189">
        <f t="shared" si="22"/>
        <v>0</v>
      </c>
      <c r="E35" s="189">
        <f t="shared" si="22"/>
        <v>0</v>
      </c>
      <c r="F35" s="189">
        <f t="shared" si="22"/>
        <v>0</v>
      </c>
      <c r="G35" s="189">
        <f t="shared" si="22"/>
        <v>0</v>
      </c>
      <c r="H35" s="189">
        <f t="shared" si="22"/>
        <v>0</v>
      </c>
      <c r="I35" s="189">
        <f t="shared" si="22"/>
        <v>0</v>
      </c>
      <c r="J35" s="189">
        <f t="shared" si="22"/>
        <v>0</v>
      </c>
      <c r="K35" s="189">
        <f t="shared" si="22"/>
        <v>0</v>
      </c>
      <c r="L35" s="189">
        <f t="shared" si="22"/>
        <v>0</v>
      </c>
      <c r="M35" s="189">
        <f t="shared" si="22"/>
        <v>0</v>
      </c>
      <c r="N35" s="189">
        <f t="shared" si="22"/>
        <v>0</v>
      </c>
      <c r="O35" s="164"/>
    </row>
    <row r="36">
      <c r="A36" s="183" t="s">
        <v>291</v>
      </c>
      <c r="B36" s="187">
        <f>B34+B34*B35</f>
        <v>15000000</v>
      </c>
      <c r="C36" s="166">
        <f t="shared" ref="C36:N36" si="23">(C34+C34*C35)</f>
        <v>15000000</v>
      </c>
      <c r="D36" s="166">
        <f t="shared" si="23"/>
        <v>15000000</v>
      </c>
      <c r="E36" s="166">
        <f t="shared" si="23"/>
        <v>15000000</v>
      </c>
      <c r="F36" s="166">
        <f t="shared" si="23"/>
        <v>15000000</v>
      </c>
      <c r="G36" s="166">
        <f t="shared" si="23"/>
        <v>15000000</v>
      </c>
      <c r="H36" s="166">
        <f t="shared" si="23"/>
        <v>15000000</v>
      </c>
      <c r="I36" s="166">
        <f t="shared" si="23"/>
        <v>15000000</v>
      </c>
      <c r="J36" s="166">
        <f t="shared" si="23"/>
        <v>15000000</v>
      </c>
      <c r="K36" s="166">
        <f t="shared" si="23"/>
        <v>15000000</v>
      </c>
      <c r="L36" s="166">
        <f t="shared" si="23"/>
        <v>15000000</v>
      </c>
      <c r="M36" s="166">
        <f t="shared" si="23"/>
        <v>15000000</v>
      </c>
      <c r="N36" s="166">
        <f t="shared" si="23"/>
        <v>15000000</v>
      </c>
      <c r="O36" s="164"/>
    </row>
    <row r="37">
      <c r="A37" s="164"/>
      <c r="B37" s="178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</row>
    <row r="38">
      <c r="A38" s="190" t="s">
        <v>298</v>
      </c>
      <c r="B38" s="191"/>
      <c r="C38" s="192">
        <f t="shared" ref="C38:N38" si="24">C33*C36</f>
        <v>0</v>
      </c>
      <c r="D38" s="192">
        <f t="shared" si="24"/>
        <v>0</v>
      </c>
      <c r="E38" s="192">
        <f t="shared" si="24"/>
        <v>0</v>
      </c>
      <c r="F38" s="192">
        <f t="shared" si="24"/>
        <v>15000000</v>
      </c>
      <c r="G38" s="192">
        <f t="shared" si="24"/>
        <v>15000000</v>
      </c>
      <c r="H38" s="192">
        <f t="shared" si="24"/>
        <v>15000000</v>
      </c>
      <c r="I38" s="192">
        <f t="shared" si="24"/>
        <v>15000000</v>
      </c>
      <c r="J38" s="192">
        <f t="shared" si="24"/>
        <v>15000000</v>
      </c>
      <c r="K38" s="192">
        <f t="shared" si="24"/>
        <v>0</v>
      </c>
      <c r="L38" s="192">
        <f t="shared" si="24"/>
        <v>15000000</v>
      </c>
      <c r="M38" s="192">
        <f t="shared" si="24"/>
        <v>0</v>
      </c>
      <c r="N38" s="192">
        <f t="shared" si="24"/>
        <v>15000000</v>
      </c>
      <c r="O38" s="191"/>
    </row>
    <row r="39">
      <c r="A39" s="164"/>
      <c r="B39" s="178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</row>
    <row r="40">
      <c r="A40" s="183" t="s">
        <v>299</v>
      </c>
      <c r="B40" s="178"/>
      <c r="C40" s="193">
        <v>1.0</v>
      </c>
      <c r="D40" s="164"/>
      <c r="E40" s="164"/>
      <c r="F40" s="164"/>
      <c r="G40" s="184">
        <f t="shared" ref="G40:N40" si="25">F33</f>
        <v>1</v>
      </c>
      <c r="H40" s="184">
        <f t="shared" si="25"/>
        <v>1</v>
      </c>
      <c r="I40" s="184">
        <f t="shared" si="25"/>
        <v>1</v>
      </c>
      <c r="J40" s="184">
        <f t="shared" si="25"/>
        <v>1</v>
      </c>
      <c r="K40" s="184">
        <f t="shared" si="25"/>
        <v>1</v>
      </c>
      <c r="L40" s="195" t="str">
        <f t="shared" si="25"/>
        <v/>
      </c>
      <c r="M40" s="184">
        <f t="shared" si="25"/>
        <v>1</v>
      </c>
      <c r="N40" s="195" t="str">
        <f t="shared" si="25"/>
        <v/>
      </c>
      <c r="O40" s="164"/>
    </row>
    <row r="41">
      <c r="A41" s="183" t="s">
        <v>300</v>
      </c>
      <c r="B41" s="187">
        <v>1.2E7</v>
      </c>
      <c r="C41" s="166">
        <f t="shared" ref="C41:N41" si="26">B41</f>
        <v>12000000</v>
      </c>
      <c r="D41" s="166">
        <f t="shared" si="26"/>
        <v>12000000</v>
      </c>
      <c r="E41" s="166">
        <f t="shared" si="26"/>
        <v>12000000</v>
      </c>
      <c r="F41" s="166">
        <f t="shared" si="26"/>
        <v>12000000</v>
      </c>
      <c r="G41" s="166">
        <f t="shared" si="26"/>
        <v>12000000</v>
      </c>
      <c r="H41" s="166">
        <f t="shared" si="26"/>
        <v>12000000</v>
      </c>
      <c r="I41" s="166">
        <f t="shared" si="26"/>
        <v>12000000</v>
      </c>
      <c r="J41" s="166">
        <f t="shared" si="26"/>
        <v>12000000</v>
      </c>
      <c r="K41" s="166">
        <f t="shared" si="26"/>
        <v>12000000</v>
      </c>
      <c r="L41" s="166">
        <f t="shared" si="26"/>
        <v>12000000</v>
      </c>
      <c r="M41" s="166">
        <f t="shared" si="26"/>
        <v>12000000</v>
      </c>
      <c r="N41" s="166">
        <f t="shared" si="26"/>
        <v>12000000</v>
      </c>
      <c r="O41" s="164"/>
    </row>
    <row r="42">
      <c r="A42" s="183" t="s">
        <v>290</v>
      </c>
      <c r="B42" s="188">
        <v>0.0</v>
      </c>
      <c r="C42" s="189">
        <f t="shared" ref="C42:N42" si="27">B42</f>
        <v>0</v>
      </c>
      <c r="D42" s="189">
        <f t="shared" si="27"/>
        <v>0</v>
      </c>
      <c r="E42" s="189">
        <f t="shared" si="27"/>
        <v>0</v>
      </c>
      <c r="F42" s="189">
        <f t="shared" si="27"/>
        <v>0</v>
      </c>
      <c r="G42" s="189">
        <f t="shared" si="27"/>
        <v>0</v>
      </c>
      <c r="H42" s="189">
        <f t="shared" si="27"/>
        <v>0</v>
      </c>
      <c r="I42" s="189">
        <f t="shared" si="27"/>
        <v>0</v>
      </c>
      <c r="J42" s="189">
        <f t="shared" si="27"/>
        <v>0</v>
      </c>
      <c r="K42" s="189">
        <f t="shared" si="27"/>
        <v>0</v>
      </c>
      <c r="L42" s="189">
        <f t="shared" si="27"/>
        <v>0</v>
      </c>
      <c r="M42" s="189">
        <f t="shared" si="27"/>
        <v>0</v>
      </c>
      <c r="N42" s="189">
        <f t="shared" si="27"/>
        <v>0</v>
      </c>
      <c r="O42" s="164"/>
    </row>
    <row r="43">
      <c r="A43" s="183" t="s">
        <v>291</v>
      </c>
      <c r="B43" s="187">
        <f>B41+B41*B42</f>
        <v>12000000</v>
      </c>
      <c r="C43" s="166">
        <f t="shared" ref="C43:N43" si="28">(C41+C41*C42)</f>
        <v>12000000</v>
      </c>
      <c r="D43" s="166">
        <f t="shared" si="28"/>
        <v>12000000</v>
      </c>
      <c r="E43" s="166">
        <f t="shared" si="28"/>
        <v>12000000</v>
      </c>
      <c r="F43" s="166">
        <f t="shared" si="28"/>
        <v>12000000</v>
      </c>
      <c r="G43" s="166">
        <f t="shared" si="28"/>
        <v>12000000</v>
      </c>
      <c r="H43" s="166">
        <f t="shared" si="28"/>
        <v>12000000</v>
      </c>
      <c r="I43" s="166">
        <f t="shared" si="28"/>
        <v>12000000</v>
      </c>
      <c r="J43" s="166">
        <f t="shared" si="28"/>
        <v>12000000</v>
      </c>
      <c r="K43" s="166">
        <f t="shared" si="28"/>
        <v>12000000</v>
      </c>
      <c r="L43" s="166">
        <f t="shared" si="28"/>
        <v>12000000</v>
      </c>
      <c r="M43" s="166">
        <f t="shared" si="28"/>
        <v>12000000</v>
      </c>
      <c r="N43" s="166">
        <f t="shared" si="28"/>
        <v>12000000</v>
      </c>
      <c r="O43" s="164"/>
    </row>
    <row r="44">
      <c r="A44" s="164"/>
      <c r="B44" s="178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</row>
    <row r="45">
      <c r="A45" s="190" t="s">
        <v>301</v>
      </c>
      <c r="B45" s="191"/>
      <c r="C45" s="192">
        <f t="shared" ref="C45:N45" si="29">C40*C43</f>
        <v>12000000</v>
      </c>
      <c r="D45" s="192">
        <f t="shared" si="29"/>
        <v>0</v>
      </c>
      <c r="E45" s="192">
        <f t="shared" si="29"/>
        <v>0</v>
      </c>
      <c r="F45" s="192">
        <f t="shared" si="29"/>
        <v>0</v>
      </c>
      <c r="G45" s="192">
        <f t="shared" si="29"/>
        <v>12000000</v>
      </c>
      <c r="H45" s="192">
        <f t="shared" si="29"/>
        <v>12000000</v>
      </c>
      <c r="I45" s="192">
        <f t="shared" si="29"/>
        <v>12000000</v>
      </c>
      <c r="J45" s="192">
        <f t="shared" si="29"/>
        <v>12000000</v>
      </c>
      <c r="K45" s="192">
        <f t="shared" si="29"/>
        <v>12000000</v>
      </c>
      <c r="L45" s="192">
        <f t="shared" si="29"/>
        <v>0</v>
      </c>
      <c r="M45" s="192">
        <f t="shared" si="29"/>
        <v>12000000</v>
      </c>
      <c r="N45" s="192">
        <f t="shared" si="29"/>
        <v>0</v>
      </c>
      <c r="O45" s="191"/>
    </row>
    <row r="46">
      <c r="A46" s="164"/>
      <c r="B46" s="178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</row>
    <row r="47">
      <c r="A47" s="183" t="s">
        <v>302</v>
      </c>
      <c r="B47" s="178"/>
      <c r="C47" s="164"/>
      <c r="D47" s="164"/>
      <c r="E47" s="193">
        <f t="shared" ref="E47:N47" si="30">C40</f>
        <v>1</v>
      </c>
      <c r="F47" s="164" t="str">
        <f t="shared" si="30"/>
        <v/>
      </c>
      <c r="G47" s="164" t="str">
        <f t="shared" si="30"/>
        <v/>
      </c>
      <c r="H47" s="164" t="str">
        <f t="shared" si="30"/>
        <v/>
      </c>
      <c r="I47" s="184">
        <f t="shared" si="30"/>
        <v>1</v>
      </c>
      <c r="J47" s="184">
        <f t="shared" si="30"/>
        <v>1</v>
      </c>
      <c r="K47" s="184">
        <f t="shared" si="30"/>
        <v>1</v>
      </c>
      <c r="L47" s="184">
        <f t="shared" si="30"/>
        <v>1</v>
      </c>
      <c r="M47" s="184">
        <f t="shared" si="30"/>
        <v>1</v>
      </c>
      <c r="N47" s="195" t="str">
        <f t="shared" si="30"/>
        <v/>
      </c>
      <c r="O47" s="164"/>
    </row>
    <row r="48">
      <c r="A48" s="183" t="s">
        <v>303</v>
      </c>
      <c r="B48" s="187">
        <v>2.5E7</v>
      </c>
      <c r="C48" s="166">
        <f t="shared" ref="C48:N48" si="31">B48</f>
        <v>25000000</v>
      </c>
      <c r="D48" s="166">
        <f t="shared" si="31"/>
        <v>25000000</v>
      </c>
      <c r="E48" s="166">
        <f t="shared" si="31"/>
        <v>25000000</v>
      </c>
      <c r="F48" s="166">
        <f t="shared" si="31"/>
        <v>25000000</v>
      </c>
      <c r="G48" s="166">
        <f t="shared" si="31"/>
        <v>25000000</v>
      </c>
      <c r="H48" s="166">
        <f t="shared" si="31"/>
        <v>25000000</v>
      </c>
      <c r="I48" s="166">
        <f t="shared" si="31"/>
        <v>25000000</v>
      </c>
      <c r="J48" s="166">
        <f t="shared" si="31"/>
        <v>25000000</v>
      </c>
      <c r="K48" s="166">
        <f t="shared" si="31"/>
        <v>25000000</v>
      </c>
      <c r="L48" s="166">
        <f t="shared" si="31"/>
        <v>25000000</v>
      </c>
      <c r="M48" s="166">
        <f t="shared" si="31"/>
        <v>25000000</v>
      </c>
      <c r="N48" s="166">
        <f t="shared" si="31"/>
        <v>25000000</v>
      </c>
      <c r="O48" s="164"/>
    </row>
    <row r="49">
      <c r="A49" s="183" t="s">
        <v>290</v>
      </c>
      <c r="B49" s="188">
        <v>0.0</v>
      </c>
      <c r="C49" s="189">
        <f t="shared" ref="C49:N49" si="32">B49</f>
        <v>0</v>
      </c>
      <c r="D49" s="189">
        <f t="shared" si="32"/>
        <v>0</v>
      </c>
      <c r="E49" s="189">
        <f t="shared" si="32"/>
        <v>0</v>
      </c>
      <c r="F49" s="189">
        <f t="shared" si="32"/>
        <v>0</v>
      </c>
      <c r="G49" s="189">
        <f t="shared" si="32"/>
        <v>0</v>
      </c>
      <c r="H49" s="189">
        <f t="shared" si="32"/>
        <v>0</v>
      </c>
      <c r="I49" s="189">
        <f t="shared" si="32"/>
        <v>0</v>
      </c>
      <c r="J49" s="189">
        <f t="shared" si="32"/>
        <v>0</v>
      </c>
      <c r="K49" s="189">
        <f t="shared" si="32"/>
        <v>0</v>
      </c>
      <c r="L49" s="189">
        <f t="shared" si="32"/>
        <v>0</v>
      </c>
      <c r="M49" s="189">
        <f t="shared" si="32"/>
        <v>0</v>
      </c>
      <c r="N49" s="189">
        <f t="shared" si="32"/>
        <v>0</v>
      </c>
      <c r="O49" s="164"/>
    </row>
    <row r="50">
      <c r="A50" s="183" t="s">
        <v>291</v>
      </c>
      <c r="B50" s="187">
        <f>B48+B48*B49</f>
        <v>25000000</v>
      </c>
      <c r="C50" s="166">
        <f t="shared" ref="C50:N50" si="33">(C48+C48*C49)</f>
        <v>25000000</v>
      </c>
      <c r="D50" s="166">
        <f t="shared" si="33"/>
        <v>25000000</v>
      </c>
      <c r="E50" s="166">
        <f t="shared" si="33"/>
        <v>25000000</v>
      </c>
      <c r="F50" s="166">
        <f t="shared" si="33"/>
        <v>25000000</v>
      </c>
      <c r="G50" s="166">
        <f t="shared" si="33"/>
        <v>25000000</v>
      </c>
      <c r="H50" s="166">
        <f t="shared" si="33"/>
        <v>25000000</v>
      </c>
      <c r="I50" s="166">
        <f t="shared" si="33"/>
        <v>25000000</v>
      </c>
      <c r="J50" s="166">
        <f t="shared" si="33"/>
        <v>25000000</v>
      </c>
      <c r="K50" s="166">
        <f t="shared" si="33"/>
        <v>25000000</v>
      </c>
      <c r="L50" s="166">
        <f t="shared" si="33"/>
        <v>25000000</v>
      </c>
      <c r="M50" s="166">
        <f t="shared" si="33"/>
        <v>25000000</v>
      </c>
      <c r="N50" s="166">
        <f t="shared" si="33"/>
        <v>25000000</v>
      </c>
      <c r="O50" s="164"/>
    </row>
    <row r="51">
      <c r="A51" s="164"/>
      <c r="B51" s="178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</row>
    <row r="52">
      <c r="A52" s="190" t="s">
        <v>304</v>
      </c>
      <c r="B52" s="191"/>
      <c r="C52" s="192">
        <f t="shared" ref="C52:N52" si="34">C47*C50</f>
        <v>0</v>
      </c>
      <c r="D52" s="192">
        <f t="shared" si="34"/>
        <v>0</v>
      </c>
      <c r="E52" s="192">
        <f t="shared" si="34"/>
        <v>25000000</v>
      </c>
      <c r="F52" s="192">
        <f t="shared" si="34"/>
        <v>0</v>
      </c>
      <c r="G52" s="192">
        <f t="shared" si="34"/>
        <v>0</v>
      </c>
      <c r="H52" s="192">
        <f t="shared" si="34"/>
        <v>0</v>
      </c>
      <c r="I52" s="192">
        <f t="shared" si="34"/>
        <v>25000000</v>
      </c>
      <c r="J52" s="192">
        <f t="shared" si="34"/>
        <v>25000000</v>
      </c>
      <c r="K52" s="192">
        <f t="shared" si="34"/>
        <v>25000000</v>
      </c>
      <c r="L52" s="192">
        <f t="shared" si="34"/>
        <v>25000000</v>
      </c>
      <c r="M52" s="192">
        <f t="shared" si="34"/>
        <v>25000000</v>
      </c>
      <c r="N52" s="192">
        <f t="shared" si="34"/>
        <v>0</v>
      </c>
      <c r="O52" s="191"/>
    </row>
    <row r="53">
      <c r="A53" s="164"/>
      <c r="B53" s="178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</row>
    <row r="54">
      <c r="A54" s="183" t="s">
        <v>305</v>
      </c>
      <c r="B54" s="178"/>
      <c r="C54" s="164"/>
      <c r="D54" s="193">
        <v>1.0</v>
      </c>
      <c r="E54" s="164" t="str">
        <f t="shared" ref="E54:F54" si="35">C46</f>
        <v/>
      </c>
      <c r="F54" s="164" t="str">
        <f t="shared" si="35"/>
        <v/>
      </c>
      <c r="G54" s="193">
        <f t="shared" ref="G54:N54" si="36">E47</f>
        <v>1</v>
      </c>
      <c r="H54" s="164" t="str">
        <f t="shared" si="36"/>
        <v/>
      </c>
      <c r="I54" s="164" t="str">
        <f t="shared" si="36"/>
        <v/>
      </c>
      <c r="J54" s="164" t="str">
        <f t="shared" si="36"/>
        <v/>
      </c>
      <c r="K54" s="184">
        <f t="shared" si="36"/>
        <v>1</v>
      </c>
      <c r="L54" s="184">
        <f t="shared" si="36"/>
        <v>1</v>
      </c>
      <c r="M54" s="184">
        <f t="shared" si="36"/>
        <v>1</v>
      </c>
      <c r="N54" s="184">
        <f t="shared" si="36"/>
        <v>1</v>
      </c>
      <c r="O54" s="164"/>
    </row>
    <row r="55">
      <c r="A55" s="183" t="s">
        <v>306</v>
      </c>
      <c r="B55" s="187">
        <v>3.0E7</v>
      </c>
      <c r="C55" s="166">
        <f t="shared" ref="C55:N55" si="37">B55</f>
        <v>30000000</v>
      </c>
      <c r="D55" s="166">
        <f t="shared" si="37"/>
        <v>30000000</v>
      </c>
      <c r="E55" s="166">
        <f t="shared" si="37"/>
        <v>30000000</v>
      </c>
      <c r="F55" s="166">
        <f t="shared" si="37"/>
        <v>30000000</v>
      </c>
      <c r="G55" s="166">
        <f t="shared" si="37"/>
        <v>30000000</v>
      </c>
      <c r="H55" s="166">
        <f t="shared" si="37"/>
        <v>30000000</v>
      </c>
      <c r="I55" s="166">
        <f t="shared" si="37"/>
        <v>30000000</v>
      </c>
      <c r="J55" s="166">
        <f t="shared" si="37"/>
        <v>30000000</v>
      </c>
      <c r="K55" s="166">
        <f t="shared" si="37"/>
        <v>30000000</v>
      </c>
      <c r="L55" s="166">
        <f t="shared" si="37"/>
        <v>30000000</v>
      </c>
      <c r="M55" s="166">
        <f t="shared" si="37"/>
        <v>30000000</v>
      </c>
      <c r="N55" s="166">
        <f t="shared" si="37"/>
        <v>30000000</v>
      </c>
      <c r="O55" s="164"/>
    </row>
    <row r="56">
      <c r="A56" s="183" t="s">
        <v>290</v>
      </c>
      <c r="B56" s="188">
        <v>0.0</v>
      </c>
      <c r="C56" s="189">
        <f t="shared" ref="C56:N56" si="38">B56</f>
        <v>0</v>
      </c>
      <c r="D56" s="189">
        <f t="shared" si="38"/>
        <v>0</v>
      </c>
      <c r="E56" s="189">
        <f t="shared" si="38"/>
        <v>0</v>
      </c>
      <c r="F56" s="189">
        <f t="shared" si="38"/>
        <v>0</v>
      </c>
      <c r="G56" s="189">
        <f t="shared" si="38"/>
        <v>0</v>
      </c>
      <c r="H56" s="189">
        <f t="shared" si="38"/>
        <v>0</v>
      </c>
      <c r="I56" s="189">
        <f t="shared" si="38"/>
        <v>0</v>
      </c>
      <c r="J56" s="189">
        <f t="shared" si="38"/>
        <v>0</v>
      </c>
      <c r="K56" s="189">
        <f t="shared" si="38"/>
        <v>0</v>
      </c>
      <c r="L56" s="189">
        <f t="shared" si="38"/>
        <v>0</v>
      </c>
      <c r="M56" s="189">
        <f t="shared" si="38"/>
        <v>0</v>
      </c>
      <c r="N56" s="189">
        <f t="shared" si="38"/>
        <v>0</v>
      </c>
      <c r="O56" s="164"/>
    </row>
    <row r="57">
      <c r="A57" s="183" t="s">
        <v>291</v>
      </c>
      <c r="B57" s="187">
        <f>B55+B55*B56</f>
        <v>30000000</v>
      </c>
      <c r="C57" s="166">
        <f t="shared" ref="C57:N57" si="39">(C55+C55*C56)</f>
        <v>30000000</v>
      </c>
      <c r="D57" s="166">
        <f t="shared" si="39"/>
        <v>30000000</v>
      </c>
      <c r="E57" s="166">
        <f t="shared" si="39"/>
        <v>30000000</v>
      </c>
      <c r="F57" s="166">
        <f t="shared" si="39"/>
        <v>30000000</v>
      </c>
      <c r="G57" s="166">
        <f t="shared" si="39"/>
        <v>30000000</v>
      </c>
      <c r="H57" s="166">
        <f t="shared" si="39"/>
        <v>30000000</v>
      </c>
      <c r="I57" s="166">
        <f t="shared" si="39"/>
        <v>30000000</v>
      </c>
      <c r="J57" s="166">
        <f t="shared" si="39"/>
        <v>30000000</v>
      </c>
      <c r="K57" s="166">
        <f t="shared" si="39"/>
        <v>30000000</v>
      </c>
      <c r="L57" s="166">
        <f t="shared" si="39"/>
        <v>30000000</v>
      </c>
      <c r="M57" s="166">
        <f t="shared" si="39"/>
        <v>30000000</v>
      </c>
      <c r="N57" s="166">
        <f t="shared" si="39"/>
        <v>30000000</v>
      </c>
      <c r="O57" s="164"/>
    </row>
    <row r="58">
      <c r="A58" s="164"/>
      <c r="B58" s="178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</row>
    <row r="59">
      <c r="A59" s="190" t="s">
        <v>307</v>
      </c>
      <c r="B59" s="191"/>
      <c r="C59" s="192">
        <f t="shared" ref="C59:N59" si="40">C54*C57</f>
        <v>0</v>
      </c>
      <c r="D59" s="192">
        <f t="shared" si="40"/>
        <v>30000000</v>
      </c>
      <c r="E59" s="192">
        <f t="shared" si="40"/>
        <v>0</v>
      </c>
      <c r="F59" s="192">
        <f t="shared" si="40"/>
        <v>0</v>
      </c>
      <c r="G59" s="192">
        <f t="shared" si="40"/>
        <v>30000000</v>
      </c>
      <c r="H59" s="192">
        <f t="shared" si="40"/>
        <v>0</v>
      </c>
      <c r="I59" s="192">
        <f t="shared" si="40"/>
        <v>0</v>
      </c>
      <c r="J59" s="192">
        <f t="shared" si="40"/>
        <v>0</v>
      </c>
      <c r="K59" s="192">
        <f t="shared" si="40"/>
        <v>30000000</v>
      </c>
      <c r="L59" s="192">
        <f t="shared" si="40"/>
        <v>30000000</v>
      </c>
      <c r="M59" s="192">
        <f t="shared" si="40"/>
        <v>30000000</v>
      </c>
      <c r="N59" s="192">
        <f t="shared" si="40"/>
        <v>30000000</v>
      </c>
      <c r="O59" s="191"/>
    </row>
    <row r="60">
      <c r="A60" s="164"/>
      <c r="B60" s="178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</row>
    <row r="61">
      <c r="A61" s="175" t="s">
        <v>308</v>
      </c>
      <c r="B61" s="176"/>
      <c r="C61" s="168">
        <f t="shared" ref="C61:N61" si="41">C63+C67+C72+C77+C82</f>
        <v>-7480000</v>
      </c>
      <c r="D61" s="168">
        <f t="shared" si="41"/>
        <v>-31000000</v>
      </c>
      <c r="E61" s="168">
        <f t="shared" si="41"/>
        <v>-16750000</v>
      </c>
      <c r="F61" s="168">
        <f t="shared" si="41"/>
        <v>-11200000</v>
      </c>
      <c r="G61" s="168">
        <f t="shared" si="41"/>
        <v>-47680000</v>
      </c>
      <c r="H61" s="168">
        <f t="shared" si="41"/>
        <v>-20680000</v>
      </c>
      <c r="I61" s="168">
        <f t="shared" si="41"/>
        <v>-36430000</v>
      </c>
      <c r="J61" s="168">
        <f t="shared" si="41"/>
        <v>-36430000</v>
      </c>
      <c r="K61" s="168">
        <f t="shared" si="41"/>
        <v>-56230000</v>
      </c>
      <c r="L61" s="168">
        <f t="shared" si="41"/>
        <v>-59950000</v>
      </c>
      <c r="M61" s="168">
        <f t="shared" si="41"/>
        <v>-56230000</v>
      </c>
      <c r="N61" s="168">
        <f t="shared" si="41"/>
        <v>-44200000</v>
      </c>
      <c r="O61" s="176"/>
    </row>
    <row r="62">
      <c r="A62" s="164"/>
      <c r="B62" s="178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</row>
    <row r="63">
      <c r="A63" s="179" t="s">
        <v>309</v>
      </c>
      <c r="B63" s="180"/>
      <c r="C63" s="181">
        <f t="shared" ref="C63:N63" si="42">SUM(C64:C66)</f>
        <v>-1000000</v>
      </c>
      <c r="D63" s="181">
        <f t="shared" si="42"/>
        <v>-1000000</v>
      </c>
      <c r="E63" s="181">
        <f t="shared" si="42"/>
        <v>-1000000</v>
      </c>
      <c r="F63" s="181">
        <f t="shared" si="42"/>
        <v>-1000000</v>
      </c>
      <c r="G63" s="181">
        <f t="shared" si="42"/>
        <v>-1000000</v>
      </c>
      <c r="H63" s="181">
        <f t="shared" si="42"/>
        <v>-4000000</v>
      </c>
      <c r="I63" s="181">
        <f t="shared" si="42"/>
        <v>-4000000</v>
      </c>
      <c r="J63" s="181">
        <f t="shared" si="42"/>
        <v>-4000000</v>
      </c>
      <c r="K63" s="181">
        <f t="shared" si="42"/>
        <v>-4000000</v>
      </c>
      <c r="L63" s="181">
        <f t="shared" si="42"/>
        <v>-4000000</v>
      </c>
      <c r="M63" s="181">
        <f t="shared" si="42"/>
        <v>-4000000</v>
      </c>
      <c r="N63" s="181">
        <f t="shared" si="42"/>
        <v>-4000000</v>
      </c>
      <c r="O63" s="180"/>
    </row>
    <row r="64">
      <c r="A64" s="183" t="s">
        <v>310</v>
      </c>
      <c r="B64" s="188">
        <v>0.15</v>
      </c>
      <c r="C64" s="166">
        <f t="shared" ref="C64:N64" si="43">-$B64*C24</f>
        <v>-750000</v>
      </c>
      <c r="D64" s="166">
        <f t="shared" si="43"/>
        <v>-750000</v>
      </c>
      <c r="E64" s="166">
        <f t="shared" si="43"/>
        <v>-750000</v>
      </c>
      <c r="F64" s="166">
        <f t="shared" si="43"/>
        <v>-750000</v>
      </c>
      <c r="G64" s="166">
        <f t="shared" si="43"/>
        <v>-750000</v>
      </c>
      <c r="H64" s="166">
        <f t="shared" si="43"/>
        <v>-3000000</v>
      </c>
      <c r="I64" s="166">
        <f t="shared" si="43"/>
        <v>-3000000</v>
      </c>
      <c r="J64" s="166">
        <f t="shared" si="43"/>
        <v>-3000000</v>
      </c>
      <c r="K64" s="166">
        <f t="shared" si="43"/>
        <v>-3000000</v>
      </c>
      <c r="L64" s="166">
        <f t="shared" si="43"/>
        <v>-3000000</v>
      </c>
      <c r="M64" s="166">
        <f t="shared" si="43"/>
        <v>-3000000</v>
      </c>
      <c r="N64" s="166">
        <f t="shared" si="43"/>
        <v>-3000000</v>
      </c>
      <c r="O64" s="165"/>
    </row>
    <row r="65">
      <c r="A65" s="183" t="s">
        <v>311</v>
      </c>
      <c r="B65" s="188">
        <v>0.05</v>
      </c>
      <c r="C65" s="166">
        <f t="shared" ref="C65:N65" si="44">-$B65*C24</f>
        <v>-250000</v>
      </c>
      <c r="D65" s="166">
        <f t="shared" si="44"/>
        <v>-250000</v>
      </c>
      <c r="E65" s="166">
        <f t="shared" si="44"/>
        <v>-250000</v>
      </c>
      <c r="F65" s="166">
        <f t="shared" si="44"/>
        <v>-250000</v>
      </c>
      <c r="G65" s="166">
        <f t="shared" si="44"/>
        <v>-250000</v>
      </c>
      <c r="H65" s="166">
        <f t="shared" si="44"/>
        <v>-1000000</v>
      </c>
      <c r="I65" s="166">
        <f t="shared" si="44"/>
        <v>-1000000</v>
      </c>
      <c r="J65" s="166">
        <f t="shared" si="44"/>
        <v>-1000000</v>
      </c>
      <c r="K65" s="166">
        <f t="shared" si="44"/>
        <v>-1000000</v>
      </c>
      <c r="L65" s="166">
        <f t="shared" si="44"/>
        <v>-1000000</v>
      </c>
      <c r="M65" s="166">
        <f t="shared" si="44"/>
        <v>-1000000</v>
      </c>
      <c r="N65" s="166">
        <f t="shared" si="44"/>
        <v>-1000000</v>
      </c>
      <c r="O65" s="165"/>
    </row>
    <row r="66">
      <c r="A66" s="164"/>
      <c r="B66" s="178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</row>
    <row r="67">
      <c r="A67" s="179" t="s">
        <v>312</v>
      </c>
      <c r="B67" s="180"/>
      <c r="C67" s="181">
        <f t="shared" ref="C67:N67" si="45">SUM(C68:C71)</f>
        <v>0</v>
      </c>
      <c r="D67" s="181">
        <f t="shared" si="45"/>
        <v>0</v>
      </c>
      <c r="E67" s="181">
        <f t="shared" si="45"/>
        <v>0</v>
      </c>
      <c r="F67" s="181">
        <f t="shared" si="45"/>
        <v>-10200000</v>
      </c>
      <c r="G67" s="181">
        <f t="shared" si="45"/>
        <v>-10200000</v>
      </c>
      <c r="H67" s="181">
        <f t="shared" si="45"/>
        <v>-10200000</v>
      </c>
      <c r="I67" s="181">
        <f t="shared" si="45"/>
        <v>-10200000</v>
      </c>
      <c r="J67" s="181">
        <f t="shared" si="45"/>
        <v>-10200000</v>
      </c>
      <c r="K67" s="181">
        <f t="shared" si="45"/>
        <v>0</v>
      </c>
      <c r="L67" s="181">
        <f t="shared" si="45"/>
        <v>-10200000</v>
      </c>
      <c r="M67" s="181">
        <f t="shared" si="45"/>
        <v>0</v>
      </c>
      <c r="N67" s="181">
        <f t="shared" si="45"/>
        <v>-10200000</v>
      </c>
      <c r="O67" s="180"/>
    </row>
    <row r="68">
      <c r="A68" s="183" t="s">
        <v>313</v>
      </c>
      <c r="B68" s="188">
        <v>0.43</v>
      </c>
      <c r="C68" s="166">
        <f t="shared" ref="C68:N68" si="46">-$B68*C38</f>
        <v>0</v>
      </c>
      <c r="D68" s="166">
        <f t="shared" si="46"/>
        <v>0</v>
      </c>
      <c r="E68" s="166">
        <f t="shared" si="46"/>
        <v>0</v>
      </c>
      <c r="F68" s="166">
        <f t="shared" si="46"/>
        <v>-6450000</v>
      </c>
      <c r="G68" s="166">
        <f t="shared" si="46"/>
        <v>-6450000</v>
      </c>
      <c r="H68" s="166">
        <f t="shared" si="46"/>
        <v>-6450000</v>
      </c>
      <c r="I68" s="166">
        <f t="shared" si="46"/>
        <v>-6450000</v>
      </c>
      <c r="J68" s="166">
        <f t="shared" si="46"/>
        <v>-6450000</v>
      </c>
      <c r="K68" s="166">
        <f t="shared" si="46"/>
        <v>0</v>
      </c>
      <c r="L68" s="166">
        <f t="shared" si="46"/>
        <v>-6450000</v>
      </c>
      <c r="M68" s="166">
        <f t="shared" si="46"/>
        <v>0</v>
      </c>
      <c r="N68" s="166">
        <f t="shared" si="46"/>
        <v>-6450000</v>
      </c>
      <c r="O68" s="165"/>
    </row>
    <row r="69">
      <c r="A69" s="183" t="s">
        <v>314</v>
      </c>
      <c r="B69" s="188">
        <v>0.2</v>
      </c>
      <c r="C69" s="166">
        <f t="shared" ref="C69:N69" si="47">-$B69*C38</f>
        <v>0</v>
      </c>
      <c r="D69" s="166">
        <f t="shared" si="47"/>
        <v>0</v>
      </c>
      <c r="E69" s="166">
        <f t="shared" si="47"/>
        <v>0</v>
      </c>
      <c r="F69" s="166">
        <f t="shared" si="47"/>
        <v>-3000000</v>
      </c>
      <c r="G69" s="166">
        <f t="shared" si="47"/>
        <v>-3000000</v>
      </c>
      <c r="H69" s="166">
        <f t="shared" si="47"/>
        <v>-3000000</v>
      </c>
      <c r="I69" s="166">
        <f t="shared" si="47"/>
        <v>-3000000</v>
      </c>
      <c r="J69" s="166">
        <f t="shared" si="47"/>
        <v>-3000000</v>
      </c>
      <c r="K69" s="166">
        <f t="shared" si="47"/>
        <v>0</v>
      </c>
      <c r="L69" s="166">
        <f t="shared" si="47"/>
        <v>-3000000</v>
      </c>
      <c r="M69" s="166">
        <f t="shared" si="47"/>
        <v>0</v>
      </c>
      <c r="N69" s="166">
        <f t="shared" si="47"/>
        <v>-3000000</v>
      </c>
      <c r="O69" s="165"/>
    </row>
    <row r="70">
      <c r="A70" s="183" t="s">
        <v>311</v>
      </c>
      <c r="B70" s="188">
        <v>0.05</v>
      </c>
      <c r="C70" s="166">
        <f t="shared" ref="C70:N70" si="48">-$B70*C38</f>
        <v>0</v>
      </c>
      <c r="D70" s="166">
        <f t="shared" si="48"/>
        <v>0</v>
      </c>
      <c r="E70" s="166">
        <f t="shared" si="48"/>
        <v>0</v>
      </c>
      <c r="F70" s="166">
        <f t="shared" si="48"/>
        <v>-750000</v>
      </c>
      <c r="G70" s="166">
        <f t="shared" si="48"/>
        <v>-750000</v>
      </c>
      <c r="H70" s="166">
        <f t="shared" si="48"/>
        <v>-750000</v>
      </c>
      <c r="I70" s="166">
        <f t="shared" si="48"/>
        <v>-750000</v>
      </c>
      <c r="J70" s="166">
        <f t="shared" si="48"/>
        <v>-750000</v>
      </c>
      <c r="K70" s="166">
        <f t="shared" si="48"/>
        <v>0</v>
      </c>
      <c r="L70" s="166">
        <f t="shared" si="48"/>
        <v>-750000</v>
      </c>
      <c r="M70" s="166">
        <f t="shared" si="48"/>
        <v>0</v>
      </c>
      <c r="N70" s="166">
        <f t="shared" si="48"/>
        <v>-750000</v>
      </c>
      <c r="O70" s="165"/>
    </row>
    <row r="71">
      <c r="A71" s="164"/>
      <c r="B71" s="178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</row>
    <row r="72">
      <c r="A72" s="179" t="s">
        <v>315</v>
      </c>
      <c r="B72" s="180"/>
      <c r="C72" s="181">
        <f t="shared" ref="C72:N72" si="49">SUM(C73:C76)</f>
        <v>-6480000</v>
      </c>
      <c r="D72" s="181">
        <f t="shared" si="49"/>
        <v>0</v>
      </c>
      <c r="E72" s="181">
        <f t="shared" si="49"/>
        <v>0</v>
      </c>
      <c r="F72" s="181">
        <f t="shared" si="49"/>
        <v>0</v>
      </c>
      <c r="G72" s="181">
        <f t="shared" si="49"/>
        <v>-6480000</v>
      </c>
      <c r="H72" s="181">
        <f t="shared" si="49"/>
        <v>-6480000</v>
      </c>
      <c r="I72" s="181">
        <f t="shared" si="49"/>
        <v>-6480000</v>
      </c>
      <c r="J72" s="181">
        <f t="shared" si="49"/>
        <v>-6480000</v>
      </c>
      <c r="K72" s="181">
        <f t="shared" si="49"/>
        <v>-6480000</v>
      </c>
      <c r="L72" s="181">
        <f t="shared" si="49"/>
        <v>0</v>
      </c>
      <c r="M72" s="181">
        <f t="shared" si="49"/>
        <v>-6480000</v>
      </c>
      <c r="N72" s="181">
        <f t="shared" si="49"/>
        <v>0</v>
      </c>
      <c r="O72" s="180"/>
    </row>
    <row r="73">
      <c r="A73" s="183" t="s">
        <v>313</v>
      </c>
      <c r="B73" s="188">
        <v>0.15</v>
      </c>
      <c r="C73" s="166">
        <f t="shared" ref="C73:N73" si="50">-$B73*C45</f>
        <v>-1800000</v>
      </c>
      <c r="D73" s="166">
        <f t="shared" si="50"/>
        <v>0</v>
      </c>
      <c r="E73" s="166">
        <f t="shared" si="50"/>
        <v>0</v>
      </c>
      <c r="F73" s="166">
        <f t="shared" si="50"/>
        <v>0</v>
      </c>
      <c r="G73" s="166">
        <f t="shared" si="50"/>
        <v>-1800000</v>
      </c>
      <c r="H73" s="166">
        <f t="shared" si="50"/>
        <v>-1800000</v>
      </c>
      <c r="I73" s="166">
        <f t="shared" si="50"/>
        <v>-1800000</v>
      </c>
      <c r="J73" s="166">
        <f t="shared" si="50"/>
        <v>-1800000</v>
      </c>
      <c r="K73" s="166">
        <f t="shared" si="50"/>
        <v>-1800000</v>
      </c>
      <c r="L73" s="166">
        <f t="shared" si="50"/>
        <v>0</v>
      </c>
      <c r="M73" s="166">
        <f t="shared" si="50"/>
        <v>-1800000</v>
      </c>
      <c r="N73" s="166">
        <f t="shared" si="50"/>
        <v>0</v>
      </c>
      <c r="O73" s="165"/>
    </row>
    <row r="74">
      <c r="A74" s="183" t="s">
        <v>314</v>
      </c>
      <c r="B74" s="188">
        <v>0.34</v>
      </c>
      <c r="C74" s="166">
        <f t="shared" ref="C74:N74" si="51">-$B74*C45</f>
        <v>-4080000</v>
      </c>
      <c r="D74" s="166">
        <f t="shared" si="51"/>
        <v>0</v>
      </c>
      <c r="E74" s="166">
        <f t="shared" si="51"/>
        <v>0</v>
      </c>
      <c r="F74" s="166">
        <f t="shared" si="51"/>
        <v>0</v>
      </c>
      <c r="G74" s="166">
        <f t="shared" si="51"/>
        <v>-4080000</v>
      </c>
      <c r="H74" s="166">
        <f t="shared" si="51"/>
        <v>-4080000</v>
      </c>
      <c r="I74" s="166">
        <f t="shared" si="51"/>
        <v>-4080000</v>
      </c>
      <c r="J74" s="166">
        <f t="shared" si="51"/>
        <v>-4080000</v>
      </c>
      <c r="K74" s="166">
        <f t="shared" si="51"/>
        <v>-4080000</v>
      </c>
      <c r="L74" s="166">
        <f t="shared" si="51"/>
        <v>0</v>
      </c>
      <c r="M74" s="166">
        <f t="shared" si="51"/>
        <v>-4080000</v>
      </c>
      <c r="N74" s="166">
        <f t="shared" si="51"/>
        <v>0</v>
      </c>
      <c r="O74" s="165"/>
    </row>
    <row r="75">
      <c r="A75" s="183" t="s">
        <v>311</v>
      </c>
      <c r="B75" s="188">
        <v>0.05</v>
      </c>
      <c r="C75" s="166">
        <f t="shared" ref="C75:N75" si="52">-$B75*C45</f>
        <v>-600000</v>
      </c>
      <c r="D75" s="166">
        <f t="shared" si="52"/>
        <v>0</v>
      </c>
      <c r="E75" s="166">
        <f t="shared" si="52"/>
        <v>0</v>
      </c>
      <c r="F75" s="166">
        <f t="shared" si="52"/>
        <v>0</v>
      </c>
      <c r="G75" s="166">
        <f t="shared" si="52"/>
        <v>-600000</v>
      </c>
      <c r="H75" s="166">
        <f t="shared" si="52"/>
        <v>-600000</v>
      </c>
      <c r="I75" s="166">
        <f t="shared" si="52"/>
        <v>-600000</v>
      </c>
      <c r="J75" s="166">
        <f t="shared" si="52"/>
        <v>-600000</v>
      </c>
      <c r="K75" s="166">
        <f t="shared" si="52"/>
        <v>-600000</v>
      </c>
      <c r="L75" s="166">
        <f t="shared" si="52"/>
        <v>0</v>
      </c>
      <c r="M75" s="166">
        <f t="shared" si="52"/>
        <v>-600000</v>
      </c>
      <c r="N75" s="166">
        <f t="shared" si="52"/>
        <v>0</v>
      </c>
      <c r="O75" s="165"/>
    </row>
    <row r="76">
      <c r="A76" s="164"/>
      <c r="B76" s="178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</row>
    <row r="77">
      <c r="A77" s="179" t="s">
        <v>316</v>
      </c>
      <c r="B77" s="180"/>
      <c r="C77" s="181">
        <f t="shared" ref="C77:N77" si="53">SUM(C78:C81)</f>
        <v>0</v>
      </c>
      <c r="D77" s="181">
        <f t="shared" si="53"/>
        <v>0</v>
      </c>
      <c r="E77" s="181">
        <f t="shared" si="53"/>
        <v>-15750000</v>
      </c>
      <c r="F77" s="181">
        <f t="shared" si="53"/>
        <v>0</v>
      </c>
      <c r="G77" s="181">
        <f t="shared" si="53"/>
        <v>0</v>
      </c>
      <c r="H77" s="181">
        <f t="shared" si="53"/>
        <v>0</v>
      </c>
      <c r="I77" s="181">
        <f t="shared" si="53"/>
        <v>-15750000</v>
      </c>
      <c r="J77" s="181">
        <f t="shared" si="53"/>
        <v>-15750000</v>
      </c>
      <c r="K77" s="181">
        <f t="shared" si="53"/>
        <v>-15750000</v>
      </c>
      <c r="L77" s="181">
        <f t="shared" si="53"/>
        <v>-15750000</v>
      </c>
      <c r="M77" s="181">
        <f t="shared" si="53"/>
        <v>-15750000</v>
      </c>
      <c r="N77" s="181">
        <f t="shared" si="53"/>
        <v>0</v>
      </c>
      <c r="O77" s="180"/>
    </row>
    <row r="78">
      <c r="A78" s="183" t="s">
        <v>313</v>
      </c>
      <c r="B78" s="188">
        <v>0.38</v>
      </c>
      <c r="C78" s="166">
        <f t="shared" ref="C78:N78" si="54">-$B78*C52</f>
        <v>0</v>
      </c>
      <c r="D78" s="166">
        <f t="shared" si="54"/>
        <v>0</v>
      </c>
      <c r="E78" s="166">
        <f t="shared" si="54"/>
        <v>-9500000</v>
      </c>
      <c r="F78" s="166">
        <f t="shared" si="54"/>
        <v>0</v>
      </c>
      <c r="G78" s="166">
        <f t="shared" si="54"/>
        <v>0</v>
      </c>
      <c r="H78" s="166">
        <f t="shared" si="54"/>
        <v>0</v>
      </c>
      <c r="I78" s="166">
        <f t="shared" si="54"/>
        <v>-9500000</v>
      </c>
      <c r="J78" s="166">
        <f t="shared" si="54"/>
        <v>-9500000</v>
      </c>
      <c r="K78" s="166">
        <f t="shared" si="54"/>
        <v>-9500000</v>
      </c>
      <c r="L78" s="166">
        <f t="shared" si="54"/>
        <v>-9500000</v>
      </c>
      <c r="M78" s="166">
        <f t="shared" si="54"/>
        <v>-9500000</v>
      </c>
      <c r="N78" s="166">
        <f t="shared" si="54"/>
        <v>0</v>
      </c>
      <c r="O78" s="165"/>
    </row>
    <row r="79">
      <c r="A79" s="183" t="s">
        <v>314</v>
      </c>
      <c r="B79" s="188">
        <v>0.2</v>
      </c>
      <c r="C79" s="166">
        <f t="shared" ref="C79:N79" si="55">-$B79*C52</f>
        <v>0</v>
      </c>
      <c r="D79" s="166">
        <f t="shared" si="55"/>
        <v>0</v>
      </c>
      <c r="E79" s="166">
        <f t="shared" si="55"/>
        <v>-5000000</v>
      </c>
      <c r="F79" s="166">
        <f t="shared" si="55"/>
        <v>0</v>
      </c>
      <c r="G79" s="166">
        <f t="shared" si="55"/>
        <v>0</v>
      </c>
      <c r="H79" s="166">
        <f t="shared" si="55"/>
        <v>0</v>
      </c>
      <c r="I79" s="166">
        <f t="shared" si="55"/>
        <v>-5000000</v>
      </c>
      <c r="J79" s="166">
        <f t="shared" si="55"/>
        <v>-5000000</v>
      </c>
      <c r="K79" s="166">
        <f t="shared" si="55"/>
        <v>-5000000</v>
      </c>
      <c r="L79" s="166">
        <f t="shared" si="55"/>
        <v>-5000000</v>
      </c>
      <c r="M79" s="166">
        <f t="shared" si="55"/>
        <v>-5000000</v>
      </c>
      <c r="N79" s="166">
        <f t="shared" si="55"/>
        <v>0</v>
      </c>
      <c r="O79" s="165"/>
    </row>
    <row r="80">
      <c r="A80" s="183" t="s">
        <v>311</v>
      </c>
      <c r="B80" s="188">
        <v>0.05</v>
      </c>
      <c r="C80" s="166">
        <f t="shared" ref="C80:N80" si="56">-$B80*C52</f>
        <v>0</v>
      </c>
      <c r="D80" s="166">
        <f t="shared" si="56"/>
        <v>0</v>
      </c>
      <c r="E80" s="166">
        <f t="shared" si="56"/>
        <v>-1250000</v>
      </c>
      <c r="F80" s="166">
        <f t="shared" si="56"/>
        <v>0</v>
      </c>
      <c r="G80" s="166">
        <f t="shared" si="56"/>
        <v>0</v>
      </c>
      <c r="H80" s="166">
        <f t="shared" si="56"/>
        <v>0</v>
      </c>
      <c r="I80" s="166">
        <f t="shared" si="56"/>
        <v>-1250000</v>
      </c>
      <c r="J80" s="166">
        <f t="shared" si="56"/>
        <v>-1250000</v>
      </c>
      <c r="K80" s="166">
        <f t="shared" si="56"/>
        <v>-1250000</v>
      </c>
      <c r="L80" s="166">
        <f t="shared" si="56"/>
        <v>-1250000</v>
      </c>
      <c r="M80" s="166">
        <f t="shared" si="56"/>
        <v>-1250000</v>
      </c>
      <c r="N80" s="166">
        <f t="shared" si="56"/>
        <v>0</v>
      </c>
      <c r="O80" s="165"/>
    </row>
    <row r="81">
      <c r="A81" s="164"/>
      <c r="B81" s="178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</row>
    <row r="82">
      <c r="A82" s="179" t="s">
        <v>317</v>
      </c>
      <c r="B82" s="180"/>
      <c r="C82" s="181">
        <f t="shared" ref="C82:N82" si="57">SUM(C83:C86)</f>
        <v>0</v>
      </c>
      <c r="D82" s="181">
        <f t="shared" si="57"/>
        <v>-30000000</v>
      </c>
      <c r="E82" s="181">
        <f t="shared" si="57"/>
        <v>0</v>
      </c>
      <c r="F82" s="181">
        <f t="shared" si="57"/>
        <v>0</v>
      </c>
      <c r="G82" s="181">
        <f t="shared" si="57"/>
        <v>-30000000</v>
      </c>
      <c r="H82" s="181">
        <f t="shared" si="57"/>
        <v>0</v>
      </c>
      <c r="I82" s="181">
        <f t="shared" si="57"/>
        <v>0</v>
      </c>
      <c r="J82" s="181">
        <f t="shared" si="57"/>
        <v>0</v>
      </c>
      <c r="K82" s="181">
        <f t="shared" si="57"/>
        <v>-30000000</v>
      </c>
      <c r="L82" s="181">
        <f t="shared" si="57"/>
        <v>-30000000</v>
      </c>
      <c r="M82" s="181">
        <f t="shared" si="57"/>
        <v>-30000000</v>
      </c>
      <c r="N82" s="181">
        <f t="shared" si="57"/>
        <v>-30000000</v>
      </c>
      <c r="O82" s="180"/>
    </row>
    <row r="83">
      <c r="A83" s="183" t="s">
        <v>313</v>
      </c>
      <c r="B83" s="188">
        <v>0.6</v>
      </c>
      <c r="C83" s="166">
        <f t="shared" ref="C83:N83" si="58">-$B83*C59</f>
        <v>0</v>
      </c>
      <c r="D83" s="166">
        <f t="shared" si="58"/>
        <v>-18000000</v>
      </c>
      <c r="E83" s="166">
        <f t="shared" si="58"/>
        <v>0</v>
      </c>
      <c r="F83" s="166">
        <f t="shared" si="58"/>
        <v>0</v>
      </c>
      <c r="G83" s="166">
        <f t="shared" si="58"/>
        <v>-18000000</v>
      </c>
      <c r="H83" s="166">
        <f t="shared" si="58"/>
        <v>0</v>
      </c>
      <c r="I83" s="166">
        <f t="shared" si="58"/>
        <v>0</v>
      </c>
      <c r="J83" s="166">
        <f t="shared" si="58"/>
        <v>0</v>
      </c>
      <c r="K83" s="166">
        <f t="shared" si="58"/>
        <v>-18000000</v>
      </c>
      <c r="L83" s="166">
        <f t="shared" si="58"/>
        <v>-18000000</v>
      </c>
      <c r="M83" s="166">
        <f t="shared" si="58"/>
        <v>-18000000</v>
      </c>
      <c r="N83" s="166">
        <f t="shared" si="58"/>
        <v>-18000000</v>
      </c>
      <c r="O83" s="165"/>
    </row>
    <row r="84">
      <c r="A84" s="183" t="s">
        <v>314</v>
      </c>
      <c r="B84" s="188">
        <v>0.35</v>
      </c>
      <c r="C84" s="166">
        <f t="shared" ref="C84:N84" si="59">-$B84*C59</f>
        <v>0</v>
      </c>
      <c r="D84" s="166">
        <f t="shared" si="59"/>
        <v>-10500000</v>
      </c>
      <c r="E84" s="166">
        <f t="shared" si="59"/>
        <v>0</v>
      </c>
      <c r="F84" s="166">
        <f t="shared" si="59"/>
        <v>0</v>
      </c>
      <c r="G84" s="166">
        <f t="shared" si="59"/>
        <v>-10500000</v>
      </c>
      <c r="H84" s="166">
        <f t="shared" si="59"/>
        <v>0</v>
      </c>
      <c r="I84" s="166">
        <f t="shared" si="59"/>
        <v>0</v>
      </c>
      <c r="J84" s="166">
        <f t="shared" si="59"/>
        <v>0</v>
      </c>
      <c r="K84" s="166">
        <f t="shared" si="59"/>
        <v>-10500000</v>
      </c>
      <c r="L84" s="166">
        <f t="shared" si="59"/>
        <v>-10500000</v>
      </c>
      <c r="M84" s="166">
        <f t="shared" si="59"/>
        <v>-10500000</v>
      </c>
      <c r="N84" s="166">
        <f t="shared" si="59"/>
        <v>-10500000</v>
      </c>
      <c r="O84" s="165"/>
    </row>
    <row r="85">
      <c r="A85" s="183" t="s">
        <v>311</v>
      </c>
      <c r="B85" s="188">
        <v>0.05</v>
      </c>
      <c r="C85" s="166">
        <f t="shared" ref="C85:N85" si="60">-$B85*C59</f>
        <v>0</v>
      </c>
      <c r="D85" s="166">
        <f t="shared" si="60"/>
        <v>-1500000</v>
      </c>
      <c r="E85" s="166">
        <f t="shared" si="60"/>
        <v>0</v>
      </c>
      <c r="F85" s="166">
        <f t="shared" si="60"/>
        <v>0</v>
      </c>
      <c r="G85" s="166">
        <f t="shared" si="60"/>
        <v>-1500000</v>
      </c>
      <c r="H85" s="166">
        <f t="shared" si="60"/>
        <v>0</v>
      </c>
      <c r="I85" s="166">
        <f t="shared" si="60"/>
        <v>0</v>
      </c>
      <c r="J85" s="166">
        <f t="shared" si="60"/>
        <v>0</v>
      </c>
      <c r="K85" s="166">
        <f t="shared" si="60"/>
        <v>-1500000</v>
      </c>
      <c r="L85" s="166">
        <f t="shared" si="60"/>
        <v>-1500000</v>
      </c>
      <c r="M85" s="166">
        <f t="shared" si="60"/>
        <v>-1500000</v>
      </c>
      <c r="N85" s="166">
        <f t="shared" si="60"/>
        <v>-1500000</v>
      </c>
      <c r="O85" s="165"/>
    </row>
    <row r="86">
      <c r="A86" s="164"/>
      <c r="B86" s="178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</row>
    <row r="87">
      <c r="A87" s="175" t="s">
        <v>318</v>
      </c>
      <c r="B87" s="176"/>
      <c r="C87" s="168">
        <f t="shared" ref="C87:N87" si="61">C12+C61</f>
        <v>9520000</v>
      </c>
      <c r="D87" s="168">
        <f t="shared" si="61"/>
        <v>4000000</v>
      </c>
      <c r="E87" s="168">
        <f t="shared" si="61"/>
        <v>13250000</v>
      </c>
      <c r="F87" s="168">
        <f t="shared" si="61"/>
        <v>8800000</v>
      </c>
      <c r="G87" s="168">
        <f t="shared" si="61"/>
        <v>14320000</v>
      </c>
      <c r="H87" s="168">
        <f t="shared" si="61"/>
        <v>26320000</v>
      </c>
      <c r="I87" s="168">
        <f t="shared" si="61"/>
        <v>35570000</v>
      </c>
      <c r="J87" s="168">
        <f t="shared" si="61"/>
        <v>35570000</v>
      </c>
      <c r="K87" s="168">
        <f t="shared" si="61"/>
        <v>30770000</v>
      </c>
      <c r="L87" s="168">
        <f t="shared" si="61"/>
        <v>30050000</v>
      </c>
      <c r="M87" s="168">
        <f t="shared" si="61"/>
        <v>30770000</v>
      </c>
      <c r="N87" s="168">
        <f t="shared" si="61"/>
        <v>20800000</v>
      </c>
      <c r="O87" s="176"/>
    </row>
    <row r="88">
      <c r="A88" s="196" t="s">
        <v>319</v>
      </c>
      <c r="B88" s="178"/>
      <c r="C88" s="197">
        <f t="shared" ref="C88:N88" si="62">IFERROR(C87/C7,"")</f>
        <v>0.56</v>
      </c>
      <c r="D88" s="197">
        <f t="shared" si="62"/>
        <v>0.1142857143</v>
      </c>
      <c r="E88" s="197">
        <f t="shared" si="62"/>
        <v>0.4416666667</v>
      </c>
      <c r="F88" s="197">
        <f t="shared" si="62"/>
        <v>0.44</v>
      </c>
      <c r="G88" s="197">
        <f t="shared" si="62"/>
        <v>0.2309677419</v>
      </c>
      <c r="H88" s="197">
        <f t="shared" si="62"/>
        <v>0.56</v>
      </c>
      <c r="I88" s="197">
        <f t="shared" si="62"/>
        <v>0.4940277778</v>
      </c>
      <c r="J88" s="197">
        <f t="shared" si="62"/>
        <v>0.4940277778</v>
      </c>
      <c r="K88" s="197">
        <f t="shared" si="62"/>
        <v>0.3536781609</v>
      </c>
      <c r="L88" s="197">
        <f t="shared" si="62"/>
        <v>0.3338888889</v>
      </c>
      <c r="M88" s="197">
        <f t="shared" si="62"/>
        <v>0.3536781609</v>
      </c>
      <c r="N88" s="197">
        <f t="shared" si="62"/>
        <v>0.32</v>
      </c>
      <c r="O88" s="164"/>
    </row>
    <row r="89">
      <c r="A89" s="164"/>
      <c r="B89" s="178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</row>
    <row r="90">
      <c r="A90" s="179" t="s">
        <v>320</v>
      </c>
      <c r="B90" s="180"/>
      <c r="C90" s="181">
        <f t="shared" ref="C90:N90" si="63">C24+C63</f>
        <v>4000000</v>
      </c>
      <c r="D90" s="181">
        <f t="shared" si="63"/>
        <v>4000000</v>
      </c>
      <c r="E90" s="181">
        <f t="shared" si="63"/>
        <v>4000000</v>
      </c>
      <c r="F90" s="181">
        <f t="shared" si="63"/>
        <v>4000000</v>
      </c>
      <c r="G90" s="181">
        <f t="shared" si="63"/>
        <v>4000000</v>
      </c>
      <c r="H90" s="181">
        <f t="shared" si="63"/>
        <v>16000000</v>
      </c>
      <c r="I90" s="181">
        <f t="shared" si="63"/>
        <v>16000000</v>
      </c>
      <c r="J90" s="181">
        <f t="shared" si="63"/>
        <v>16000000</v>
      </c>
      <c r="K90" s="181">
        <f t="shared" si="63"/>
        <v>16000000</v>
      </c>
      <c r="L90" s="181">
        <f t="shared" si="63"/>
        <v>16000000</v>
      </c>
      <c r="M90" s="181">
        <f t="shared" si="63"/>
        <v>16000000</v>
      </c>
      <c r="N90" s="181">
        <f t="shared" si="63"/>
        <v>16000000</v>
      </c>
      <c r="O90" s="180"/>
    </row>
    <row r="91">
      <c r="A91" s="196" t="s">
        <v>321</v>
      </c>
      <c r="B91" s="178"/>
      <c r="C91" s="197">
        <f t="shared" ref="C91:N91" si="64">IFERROR(C90/C24,"")</f>
        <v>0.8</v>
      </c>
      <c r="D91" s="197">
        <f t="shared" si="64"/>
        <v>0.8</v>
      </c>
      <c r="E91" s="197">
        <f t="shared" si="64"/>
        <v>0.8</v>
      </c>
      <c r="F91" s="197">
        <f t="shared" si="64"/>
        <v>0.8</v>
      </c>
      <c r="G91" s="197">
        <f t="shared" si="64"/>
        <v>0.8</v>
      </c>
      <c r="H91" s="197">
        <f t="shared" si="64"/>
        <v>0.8</v>
      </c>
      <c r="I91" s="197">
        <f t="shared" si="64"/>
        <v>0.8</v>
      </c>
      <c r="J91" s="197">
        <f t="shared" si="64"/>
        <v>0.8</v>
      </c>
      <c r="K91" s="197">
        <f t="shared" si="64"/>
        <v>0.8</v>
      </c>
      <c r="L91" s="197">
        <f t="shared" si="64"/>
        <v>0.8</v>
      </c>
      <c r="M91" s="197">
        <f t="shared" si="64"/>
        <v>0.8</v>
      </c>
      <c r="N91" s="197">
        <f t="shared" si="64"/>
        <v>0.8</v>
      </c>
      <c r="O91" s="164"/>
    </row>
    <row r="92">
      <c r="A92" s="164"/>
      <c r="B92" s="178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</row>
    <row r="93">
      <c r="A93" s="179" t="s">
        <v>322</v>
      </c>
      <c r="B93" s="180"/>
      <c r="C93" s="181">
        <f t="shared" ref="C93:N93" si="65">C38+C67</f>
        <v>0</v>
      </c>
      <c r="D93" s="181">
        <f t="shared" si="65"/>
        <v>0</v>
      </c>
      <c r="E93" s="181">
        <f t="shared" si="65"/>
        <v>0</v>
      </c>
      <c r="F93" s="181">
        <f t="shared" si="65"/>
        <v>4800000</v>
      </c>
      <c r="G93" s="181">
        <f t="shared" si="65"/>
        <v>4800000</v>
      </c>
      <c r="H93" s="181">
        <f t="shared" si="65"/>
        <v>4800000</v>
      </c>
      <c r="I93" s="181">
        <f t="shared" si="65"/>
        <v>4800000</v>
      </c>
      <c r="J93" s="181">
        <f t="shared" si="65"/>
        <v>4800000</v>
      </c>
      <c r="K93" s="181">
        <f t="shared" si="65"/>
        <v>0</v>
      </c>
      <c r="L93" s="181">
        <f t="shared" si="65"/>
        <v>4800000</v>
      </c>
      <c r="M93" s="181">
        <f t="shared" si="65"/>
        <v>0</v>
      </c>
      <c r="N93" s="181">
        <f t="shared" si="65"/>
        <v>4800000</v>
      </c>
      <c r="O93" s="180"/>
    </row>
    <row r="94">
      <c r="A94" s="196" t="s">
        <v>323</v>
      </c>
      <c r="B94" s="178"/>
      <c r="C94" s="198" t="str">
        <f t="shared" ref="C94:N94" si="66">IFERROR(C93/C38,"")</f>
        <v/>
      </c>
      <c r="D94" s="198" t="str">
        <f t="shared" si="66"/>
        <v/>
      </c>
      <c r="E94" s="198" t="str">
        <f t="shared" si="66"/>
        <v/>
      </c>
      <c r="F94" s="197">
        <f t="shared" si="66"/>
        <v>0.32</v>
      </c>
      <c r="G94" s="197">
        <f t="shared" si="66"/>
        <v>0.32</v>
      </c>
      <c r="H94" s="197">
        <f t="shared" si="66"/>
        <v>0.32</v>
      </c>
      <c r="I94" s="197">
        <f t="shared" si="66"/>
        <v>0.32</v>
      </c>
      <c r="J94" s="197">
        <f t="shared" si="66"/>
        <v>0.32</v>
      </c>
      <c r="K94" s="198" t="str">
        <f t="shared" si="66"/>
        <v/>
      </c>
      <c r="L94" s="197">
        <f t="shared" si="66"/>
        <v>0.32</v>
      </c>
      <c r="M94" s="198" t="str">
        <f t="shared" si="66"/>
        <v/>
      </c>
      <c r="N94" s="197">
        <f t="shared" si="66"/>
        <v>0.32</v>
      </c>
      <c r="O94" s="164"/>
    </row>
    <row r="95">
      <c r="A95" s="164"/>
      <c r="B95" s="178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</row>
    <row r="96">
      <c r="A96" s="179" t="s">
        <v>324</v>
      </c>
      <c r="B96" s="180"/>
      <c r="C96" s="181">
        <f t="shared" ref="C96:N96" si="67">C45+C72</f>
        <v>5520000</v>
      </c>
      <c r="D96" s="181">
        <f t="shared" si="67"/>
        <v>0</v>
      </c>
      <c r="E96" s="181">
        <f t="shared" si="67"/>
        <v>0</v>
      </c>
      <c r="F96" s="181">
        <f t="shared" si="67"/>
        <v>0</v>
      </c>
      <c r="G96" s="181">
        <f t="shared" si="67"/>
        <v>5520000</v>
      </c>
      <c r="H96" s="181">
        <f t="shared" si="67"/>
        <v>5520000</v>
      </c>
      <c r="I96" s="181">
        <f t="shared" si="67"/>
        <v>5520000</v>
      </c>
      <c r="J96" s="181">
        <f t="shared" si="67"/>
        <v>5520000</v>
      </c>
      <c r="K96" s="181">
        <f t="shared" si="67"/>
        <v>5520000</v>
      </c>
      <c r="L96" s="181">
        <f t="shared" si="67"/>
        <v>0</v>
      </c>
      <c r="M96" s="181">
        <f t="shared" si="67"/>
        <v>5520000</v>
      </c>
      <c r="N96" s="181">
        <f t="shared" si="67"/>
        <v>0</v>
      </c>
      <c r="O96" s="180"/>
    </row>
    <row r="97">
      <c r="A97" s="196" t="s">
        <v>325</v>
      </c>
      <c r="B97" s="178"/>
      <c r="C97" s="197">
        <f t="shared" ref="C97:N97" si="68">IFERROR(C96/C45,"")</f>
        <v>0.46</v>
      </c>
      <c r="D97" s="198" t="str">
        <f t="shared" si="68"/>
        <v/>
      </c>
      <c r="E97" s="198" t="str">
        <f t="shared" si="68"/>
        <v/>
      </c>
      <c r="F97" s="198" t="str">
        <f t="shared" si="68"/>
        <v/>
      </c>
      <c r="G97" s="197">
        <f t="shared" si="68"/>
        <v>0.46</v>
      </c>
      <c r="H97" s="197">
        <f t="shared" si="68"/>
        <v>0.46</v>
      </c>
      <c r="I97" s="197">
        <f t="shared" si="68"/>
        <v>0.46</v>
      </c>
      <c r="J97" s="197">
        <f t="shared" si="68"/>
        <v>0.46</v>
      </c>
      <c r="K97" s="197">
        <f t="shared" si="68"/>
        <v>0.46</v>
      </c>
      <c r="L97" s="198" t="str">
        <f t="shared" si="68"/>
        <v/>
      </c>
      <c r="M97" s="197">
        <f t="shared" si="68"/>
        <v>0.46</v>
      </c>
      <c r="N97" s="198" t="str">
        <f t="shared" si="68"/>
        <v/>
      </c>
      <c r="O97" s="164"/>
    </row>
    <row r="98">
      <c r="A98" s="164"/>
      <c r="B98" s="178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</row>
    <row r="99">
      <c r="A99" s="179" t="s">
        <v>326</v>
      </c>
      <c r="B99" s="180"/>
      <c r="C99" s="181">
        <f t="shared" ref="C99:N99" si="69">C52+C77</f>
        <v>0</v>
      </c>
      <c r="D99" s="181">
        <f t="shared" si="69"/>
        <v>0</v>
      </c>
      <c r="E99" s="181">
        <f t="shared" si="69"/>
        <v>9250000</v>
      </c>
      <c r="F99" s="181">
        <f t="shared" si="69"/>
        <v>0</v>
      </c>
      <c r="G99" s="181">
        <f t="shared" si="69"/>
        <v>0</v>
      </c>
      <c r="H99" s="181">
        <f t="shared" si="69"/>
        <v>0</v>
      </c>
      <c r="I99" s="181">
        <f t="shared" si="69"/>
        <v>9250000</v>
      </c>
      <c r="J99" s="181">
        <f t="shared" si="69"/>
        <v>9250000</v>
      </c>
      <c r="K99" s="181">
        <f t="shared" si="69"/>
        <v>9250000</v>
      </c>
      <c r="L99" s="181">
        <f t="shared" si="69"/>
        <v>9250000</v>
      </c>
      <c r="M99" s="181">
        <f t="shared" si="69"/>
        <v>9250000</v>
      </c>
      <c r="N99" s="181">
        <f t="shared" si="69"/>
        <v>0</v>
      </c>
      <c r="O99" s="180"/>
    </row>
    <row r="100">
      <c r="A100" s="196" t="s">
        <v>327</v>
      </c>
      <c r="B100" s="178"/>
      <c r="C100" s="198" t="str">
        <f t="shared" ref="C100:N100" si="70">IFERROR(C99/C52,"")</f>
        <v/>
      </c>
      <c r="D100" s="198" t="str">
        <f t="shared" si="70"/>
        <v/>
      </c>
      <c r="E100" s="197">
        <f t="shared" si="70"/>
        <v>0.37</v>
      </c>
      <c r="F100" s="198" t="str">
        <f t="shared" si="70"/>
        <v/>
      </c>
      <c r="G100" s="198" t="str">
        <f t="shared" si="70"/>
        <v/>
      </c>
      <c r="H100" s="198" t="str">
        <f t="shared" si="70"/>
        <v/>
      </c>
      <c r="I100" s="197">
        <f t="shared" si="70"/>
        <v>0.37</v>
      </c>
      <c r="J100" s="197">
        <f t="shared" si="70"/>
        <v>0.37</v>
      </c>
      <c r="K100" s="197">
        <f t="shared" si="70"/>
        <v>0.37</v>
      </c>
      <c r="L100" s="197">
        <f t="shared" si="70"/>
        <v>0.37</v>
      </c>
      <c r="M100" s="197">
        <f t="shared" si="70"/>
        <v>0.37</v>
      </c>
      <c r="N100" s="198" t="str">
        <f t="shared" si="70"/>
        <v/>
      </c>
      <c r="O100" s="164"/>
    </row>
    <row r="101">
      <c r="A101" s="164"/>
      <c r="B101" s="178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</row>
    <row r="102">
      <c r="A102" s="179" t="s">
        <v>328</v>
      </c>
      <c r="B102" s="180"/>
      <c r="C102" s="181">
        <f t="shared" ref="C102:N102" si="71">C59+C82</f>
        <v>0</v>
      </c>
      <c r="D102" s="181">
        <f t="shared" si="71"/>
        <v>0</v>
      </c>
      <c r="E102" s="181">
        <f t="shared" si="71"/>
        <v>0</v>
      </c>
      <c r="F102" s="181">
        <f t="shared" si="71"/>
        <v>0</v>
      </c>
      <c r="G102" s="181">
        <f t="shared" si="71"/>
        <v>0</v>
      </c>
      <c r="H102" s="181">
        <f t="shared" si="71"/>
        <v>0</v>
      </c>
      <c r="I102" s="181">
        <f t="shared" si="71"/>
        <v>0</v>
      </c>
      <c r="J102" s="181">
        <f t="shared" si="71"/>
        <v>0</v>
      </c>
      <c r="K102" s="181">
        <f t="shared" si="71"/>
        <v>0</v>
      </c>
      <c r="L102" s="181">
        <f t="shared" si="71"/>
        <v>0</v>
      </c>
      <c r="M102" s="181">
        <f t="shared" si="71"/>
        <v>0</v>
      </c>
      <c r="N102" s="181">
        <f t="shared" si="71"/>
        <v>0</v>
      </c>
      <c r="O102" s="180"/>
    </row>
    <row r="103">
      <c r="A103" s="196" t="s">
        <v>329</v>
      </c>
      <c r="B103" s="178"/>
      <c r="C103" s="198" t="str">
        <f t="shared" ref="C103:N103" si="72">IFERROR(C102/C59,"")</f>
        <v/>
      </c>
      <c r="D103" s="197">
        <f t="shared" si="72"/>
        <v>0</v>
      </c>
      <c r="E103" s="198" t="str">
        <f t="shared" si="72"/>
        <v/>
      </c>
      <c r="F103" s="198" t="str">
        <f t="shared" si="72"/>
        <v/>
      </c>
      <c r="G103" s="197">
        <f t="shared" si="72"/>
        <v>0</v>
      </c>
      <c r="H103" s="198" t="str">
        <f t="shared" si="72"/>
        <v/>
      </c>
      <c r="I103" s="198" t="str">
        <f t="shared" si="72"/>
        <v/>
      </c>
      <c r="J103" s="198" t="str">
        <f t="shared" si="72"/>
        <v/>
      </c>
      <c r="K103" s="197">
        <f t="shared" si="72"/>
        <v>0</v>
      </c>
      <c r="L103" s="197">
        <f t="shared" si="72"/>
        <v>0</v>
      </c>
      <c r="M103" s="197">
        <f t="shared" si="72"/>
        <v>0</v>
      </c>
      <c r="N103" s="197">
        <f t="shared" si="72"/>
        <v>0</v>
      </c>
      <c r="O103" s="164"/>
    </row>
    <row r="104">
      <c r="A104" s="164"/>
      <c r="B104" s="178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</row>
    <row r="105">
      <c r="A105" s="164"/>
      <c r="B105" s="178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</row>
    <row r="106">
      <c r="A106" s="175" t="s">
        <v>330</v>
      </c>
      <c r="B106" s="176"/>
      <c r="C106" s="168">
        <f t="shared" ref="C106:N106" si="73">C108+C113+C117+C121+C125</f>
        <v>-7108333.333</v>
      </c>
      <c r="D106" s="168">
        <f t="shared" si="73"/>
        <v>-7108333.333</v>
      </c>
      <c r="E106" s="168">
        <f t="shared" si="73"/>
        <v>-7108333.333</v>
      </c>
      <c r="F106" s="168">
        <f t="shared" si="73"/>
        <v>-7108333.333</v>
      </c>
      <c r="G106" s="168">
        <f t="shared" si="73"/>
        <v>-7108333.333</v>
      </c>
      <c r="H106" s="168">
        <f t="shared" si="73"/>
        <v>-7108333.333</v>
      </c>
      <c r="I106" s="168">
        <f t="shared" si="73"/>
        <v>-7108333.333</v>
      </c>
      <c r="J106" s="168">
        <f t="shared" si="73"/>
        <v>-7108333.333</v>
      </c>
      <c r="K106" s="168">
        <f t="shared" si="73"/>
        <v>-7108333.333</v>
      </c>
      <c r="L106" s="168">
        <f t="shared" si="73"/>
        <v>-7108333.333</v>
      </c>
      <c r="M106" s="168">
        <f t="shared" si="73"/>
        <v>-7108333.333</v>
      </c>
      <c r="N106" s="168">
        <f t="shared" si="73"/>
        <v>-7108333.333</v>
      </c>
      <c r="O106" s="176"/>
    </row>
    <row r="107">
      <c r="A107" s="164"/>
      <c r="B107" s="178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</row>
    <row r="108">
      <c r="A108" s="179" t="s">
        <v>331</v>
      </c>
      <c r="B108" s="180"/>
      <c r="C108" s="181">
        <f t="shared" ref="C108:N108" si="74">SUM(C109:C112)</f>
        <v>-1308333.333</v>
      </c>
      <c r="D108" s="181">
        <f t="shared" si="74"/>
        <v>-1308333.333</v>
      </c>
      <c r="E108" s="181">
        <f t="shared" si="74"/>
        <v>-1308333.333</v>
      </c>
      <c r="F108" s="181">
        <f t="shared" si="74"/>
        <v>-1308333.333</v>
      </c>
      <c r="G108" s="181">
        <f t="shared" si="74"/>
        <v>-1308333.333</v>
      </c>
      <c r="H108" s="181">
        <f t="shared" si="74"/>
        <v>-1308333.333</v>
      </c>
      <c r="I108" s="181">
        <f t="shared" si="74"/>
        <v>-1308333.333</v>
      </c>
      <c r="J108" s="181">
        <f t="shared" si="74"/>
        <v>-1308333.333</v>
      </c>
      <c r="K108" s="181">
        <f t="shared" si="74"/>
        <v>-1308333.333</v>
      </c>
      <c r="L108" s="181">
        <f t="shared" si="74"/>
        <v>-1308333.333</v>
      </c>
      <c r="M108" s="181">
        <f t="shared" si="74"/>
        <v>-1308333.333</v>
      </c>
      <c r="N108" s="181">
        <f t="shared" si="74"/>
        <v>-1308333.333</v>
      </c>
      <c r="O108" s="180"/>
    </row>
    <row r="109">
      <c r="A109" s="183" t="s">
        <v>332</v>
      </c>
      <c r="B109" s="187">
        <v>1000000.0</v>
      </c>
      <c r="C109" s="166">
        <f t="shared" ref="C109:N109" si="75">-$B109</f>
        <v>-1000000</v>
      </c>
      <c r="D109" s="166">
        <f t="shared" si="75"/>
        <v>-1000000</v>
      </c>
      <c r="E109" s="166">
        <f t="shared" si="75"/>
        <v>-1000000</v>
      </c>
      <c r="F109" s="166">
        <f t="shared" si="75"/>
        <v>-1000000</v>
      </c>
      <c r="G109" s="166">
        <f t="shared" si="75"/>
        <v>-1000000</v>
      </c>
      <c r="H109" s="166">
        <f t="shared" si="75"/>
        <v>-1000000</v>
      </c>
      <c r="I109" s="166">
        <f t="shared" si="75"/>
        <v>-1000000</v>
      </c>
      <c r="J109" s="166">
        <f t="shared" si="75"/>
        <v>-1000000</v>
      </c>
      <c r="K109" s="166">
        <f t="shared" si="75"/>
        <v>-1000000</v>
      </c>
      <c r="L109" s="166">
        <f t="shared" si="75"/>
        <v>-1000000</v>
      </c>
      <c r="M109" s="166">
        <f t="shared" si="75"/>
        <v>-1000000</v>
      </c>
      <c r="N109" s="166">
        <f t="shared" si="75"/>
        <v>-1000000</v>
      </c>
      <c r="O109" s="165"/>
    </row>
    <row r="110">
      <c r="A110" s="183" t="s">
        <v>333</v>
      </c>
      <c r="B110" s="187">
        <v>300000.0</v>
      </c>
      <c r="C110" s="166">
        <f t="shared" ref="C110:N110" si="76">-$B110</f>
        <v>-300000</v>
      </c>
      <c r="D110" s="166">
        <f t="shared" si="76"/>
        <v>-300000</v>
      </c>
      <c r="E110" s="166">
        <f t="shared" si="76"/>
        <v>-300000</v>
      </c>
      <c r="F110" s="166">
        <f t="shared" si="76"/>
        <v>-300000</v>
      </c>
      <c r="G110" s="166">
        <f t="shared" si="76"/>
        <v>-300000</v>
      </c>
      <c r="H110" s="166">
        <f t="shared" si="76"/>
        <v>-300000</v>
      </c>
      <c r="I110" s="166">
        <f t="shared" si="76"/>
        <v>-300000</v>
      </c>
      <c r="J110" s="166">
        <f t="shared" si="76"/>
        <v>-300000</v>
      </c>
      <c r="K110" s="166">
        <f t="shared" si="76"/>
        <v>-300000</v>
      </c>
      <c r="L110" s="166">
        <f t="shared" si="76"/>
        <v>-300000</v>
      </c>
      <c r="M110" s="166">
        <f t="shared" si="76"/>
        <v>-300000</v>
      </c>
      <c r="N110" s="166">
        <f t="shared" si="76"/>
        <v>-300000</v>
      </c>
      <c r="O110" s="165"/>
    </row>
    <row r="111">
      <c r="A111" s="183" t="s">
        <v>334</v>
      </c>
      <c r="B111" s="187">
        <f>100000/12</f>
        <v>8333.333333</v>
      </c>
      <c r="C111" s="166">
        <f t="shared" ref="C111:N111" si="77">-$B111</f>
        <v>-8333.333333</v>
      </c>
      <c r="D111" s="166">
        <f t="shared" si="77"/>
        <v>-8333.333333</v>
      </c>
      <c r="E111" s="166">
        <f t="shared" si="77"/>
        <v>-8333.333333</v>
      </c>
      <c r="F111" s="166">
        <f t="shared" si="77"/>
        <v>-8333.333333</v>
      </c>
      <c r="G111" s="166">
        <f t="shared" si="77"/>
        <v>-8333.333333</v>
      </c>
      <c r="H111" s="166">
        <f t="shared" si="77"/>
        <v>-8333.333333</v>
      </c>
      <c r="I111" s="166">
        <f t="shared" si="77"/>
        <v>-8333.333333</v>
      </c>
      <c r="J111" s="166">
        <f t="shared" si="77"/>
        <v>-8333.333333</v>
      </c>
      <c r="K111" s="166">
        <f t="shared" si="77"/>
        <v>-8333.333333</v>
      </c>
      <c r="L111" s="166">
        <f t="shared" si="77"/>
        <v>-8333.333333</v>
      </c>
      <c r="M111" s="166">
        <f t="shared" si="77"/>
        <v>-8333.333333</v>
      </c>
      <c r="N111" s="166">
        <f t="shared" si="77"/>
        <v>-8333.333333</v>
      </c>
      <c r="O111" s="165"/>
    </row>
    <row r="112">
      <c r="A112" s="164"/>
      <c r="B112" s="178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</row>
    <row r="113">
      <c r="A113" s="179" t="s">
        <v>335</v>
      </c>
      <c r="B113" s="180"/>
      <c r="C113" s="181">
        <f t="shared" ref="C113:N113" si="78">SUM(C114:C116)</f>
        <v>-1200000</v>
      </c>
      <c r="D113" s="181">
        <f t="shared" si="78"/>
        <v>-1200000</v>
      </c>
      <c r="E113" s="181">
        <f t="shared" si="78"/>
        <v>-1200000</v>
      </c>
      <c r="F113" s="181">
        <f t="shared" si="78"/>
        <v>-1200000</v>
      </c>
      <c r="G113" s="181">
        <f t="shared" si="78"/>
        <v>-1200000</v>
      </c>
      <c r="H113" s="181">
        <f t="shared" si="78"/>
        <v>-1200000</v>
      </c>
      <c r="I113" s="181">
        <f t="shared" si="78"/>
        <v>-1200000</v>
      </c>
      <c r="J113" s="181">
        <f t="shared" si="78"/>
        <v>-1200000</v>
      </c>
      <c r="K113" s="181">
        <f t="shared" si="78"/>
        <v>-1200000</v>
      </c>
      <c r="L113" s="181">
        <f t="shared" si="78"/>
        <v>-1200000</v>
      </c>
      <c r="M113" s="181">
        <f t="shared" si="78"/>
        <v>-1200000</v>
      </c>
      <c r="N113" s="181">
        <f t="shared" si="78"/>
        <v>-1200000</v>
      </c>
      <c r="O113" s="180"/>
    </row>
    <row r="114">
      <c r="A114" s="183" t="s">
        <v>336</v>
      </c>
      <c r="B114" s="187">
        <v>500000.0</v>
      </c>
      <c r="C114" s="166">
        <f t="shared" ref="C114:N114" si="79">-$B114</f>
        <v>-500000</v>
      </c>
      <c r="D114" s="166">
        <f t="shared" si="79"/>
        <v>-500000</v>
      </c>
      <c r="E114" s="166">
        <f t="shared" si="79"/>
        <v>-500000</v>
      </c>
      <c r="F114" s="166">
        <f t="shared" si="79"/>
        <v>-500000</v>
      </c>
      <c r="G114" s="166">
        <f t="shared" si="79"/>
        <v>-500000</v>
      </c>
      <c r="H114" s="166">
        <f t="shared" si="79"/>
        <v>-500000</v>
      </c>
      <c r="I114" s="166">
        <f t="shared" si="79"/>
        <v>-500000</v>
      </c>
      <c r="J114" s="166">
        <f t="shared" si="79"/>
        <v>-500000</v>
      </c>
      <c r="K114" s="166">
        <f t="shared" si="79"/>
        <v>-500000</v>
      </c>
      <c r="L114" s="166">
        <f t="shared" si="79"/>
        <v>-500000</v>
      </c>
      <c r="M114" s="166">
        <f t="shared" si="79"/>
        <v>-500000</v>
      </c>
      <c r="N114" s="166">
        <f t="shared" si="79"/>
        <v>-500000</v>
      </c>
      <c r="O114" s="165"/>
    </row>
    <row r="115">
      <c r="A115" s="183" t="s">
        <v>337</v>
      </c>
      <c r="B115" s="187">
        <v>700000.0</v>
      </c>
      <c r="C115" s="166">
        <f t="shared" ref="C115:N115" si="80">-$B115</f>
        <v>-700000</v>
      </c>
      <c r="D115" s="166">
        <f t="shared" si="80"/>
        <v>-700000</v>
      </c>
      <c r="E115" s="166">
        <f t="shared" si="80"/>
        <v>-700000</v>
      </c>
      <c r="F115" s="166">
        <f t="shared" si="80"/>
        <v>-700000</v>
      </c>
      <c r="G115" s="166">
        <f t="shared" si="80"/>
        <v>-700000</v>
      </c>
      <c r="H115" s="166">
        <f t="shared" si="80"/>
        <v>-700000</v>
      </c>
      <c r="I115" s="166">
        <f t="shared" si="80"/>
        <v>-700000</v>
      </c>
      <c r="J115" s="166">
        <f t="shared" si="80"/>
        <v>-700000</v>
      </c>
      <c r="K115" s="166">
        <f t="shared" si="80"/>
        <v>-700000</v>
      </c>
      <c r="L115" s="166">
        <f t="shared" si="80"/>
        <v>-700000</v>
      </c>
      <c r="M115" s="166">
        <f t="shared" si="80"/>
        <v>-700000</v>
      </c>
      <c r="N115" s="166">
        <f t="shared" si="80"/>
        <v>-700000</v>
      </c>
      <c r="O115" s="165"/>
    </row>
    <row r="116">
      <c r="A116" s="164"/>
      <c r="B116" s="178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</row>
    <row r="117">
      <c r="A117" s="179" t="s">
        <v>338</v>
      </c>
      <c r="B117" s="180"/>
      <c r="C117" s="181">
        <f t="shared" ref="C117:N117" si="81">SUM(C118:C120)</f>
        <v>-1100000</v>
      </c>
      <c r="D117" s="181">
        <f t="shared" si="81"/>
        <v>-1100000</v>
      </c>
      <c r="E117" s="181">
        <f t="shared" si="81"/>
        <v>-1100000</v>
      </c>
      <c r="F117" s="181">
        <f t="shared" si="81"/>
        <v>-1100000</v>
      </c>
      <c r="G117" s="181">
        <f t="shared" si="81"/>
        <v>-1100000</v>
      </c>
      <c r="H117" s="181">
        <f t="shared" si="81"/>
        <v>-1100000</v>
      </c>
      <c r="I117" s="181">
        <f t="shared" si="81"/>
        <v>-1100000</v>
      </c>
      <c r="J117" s="181">
        <f t="shared" si="81"/>
        <v>-1100000</v>
      </c>
      <c r="K117" s="181">
        <f t="shared" si="81"/>
        <v>-1100000</v>
      </c>
      <c r="L117" s="181">
        <f t="shared" si="81"/>
        <v>-1100000</v>
      </c>
      <c r="M117" s="181">
        <f t="shared" si="81"/>
        <v>-1100000</v>
      </c>
      <c r="N117" s="181">
        <f t="shared" si="81"/>
        <v>-1100000</v>
      </c>
      <c r="O117" s="180"/>
    </row>
    <row r="118">
      <c r="A118" s="183" t="s">
        <v>336</v>
      </c>
      <c r="B118" s="187">
        <v>300000.0</v>
      </c>
      <c r="C118" s="166">
        <f t="shared" ref="C118:N118" si="82">-$B118</f>
        <v>-300000</v>
      </c>
      <c r="D118" s="166">
        <f t="shared" si="82"/>
        <v>-300000</v>
      </c>
      <c r="E118" s="166">
        <f t="shared" si="82"/>
        <v>-300000</v>
      </c>
      <c r="F118" s="166">
        <f t="shared" si="82"/>
        <v>-300000</v>
      </c>
      <c r="G118" s="166">
        <f t="shared" si="82"/>
        <v>-300000</v>
      </c>
      <c r="H118" s="166">
        <f t="shared" si="82"/>
        <v>-300000</v>
      </c>
      <c r="I118" s="166">
        <f t="shared" si="82"/>
        <v>-300000</v>
      </c>
      <c r="J118" s="166">
        <f t="shared" si="82"/>
        <v>-300000</v>
      </c>
      <c r="K118" s="166">
        <f t="shared" si="82"/>
        <v>-300000</v>
      </c>
      <c r="L118" s="166">
        <f t="shared" si="82"/>
        <v>-300000</v>
      </c>
      <c r="M118" s="166">
        <f t="shared" si="82"/>
        <v>-300000</v>
      </c>
      <c r="N118" s="166">
        <f t="shared" si="82"/>
        <v>-300000</v>
      </c>
      <c r="O118" s="165"/>
    </row>
    <row r="119">
      <c r="A119" s="183" t="s">
        <v>337</v>
      </c>
      <c r="B119" s="187">
        <v>800000.0</v>
      </c>
      <c r="C119" s="166">
        <f t="shared" ref="C119:N119" si="83">-$B119</f>
        <v>-800000</v>
      </c>
      <c r="D119" s="166">
        <f t="shared" si="83"/>
        <v>-800000</v>
      </c>
      <c r="E119" s="166">
        <f t="shared" si="83"/>
        <v>-800000</v>
      </c>
      <c r="F119" s="166">
        <f t="shared" si="83"/>
        <v>-800000</v>
      </c>
      <c r="G119" s="166">
        <f t="shared" si="83"/>
        <v>-800000</v>
      </c>
      <c r="H119" s="166">
        <f t="shared" si="83"/>
        <v>-800000</v>
      </c>
      <c r="I119" s="166">
        <f t="shared" si="83"/>
        <v>-800000</v>
      </c>
      <c r="J119" s="166">
        <f t="shared" si="83"/>
        <v>-800000</v>
      </c>
      <c r="K119" s="166">
        <f t="shared" si="83"/>
        <v>-800000</v>
      </c>
      <c r="L119" s="166">
        <f t="shared" si="83"/>
        <v>-800000</v>
      </c>
      <c r="M119" s="166">
        <f t="shared" si="83"/>
        <v>-800000</v>
      </c>
      <c r="N119" s="166">
        <f t="shared" si="83"/>
        <v>-800000</v>
      </c>
      <c r="O119" s="165"/>
    </row>
    <row r="120">
      <c r="A120" s="164"/>
      <c r="B120" s="178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</row>
    <row r="121">
      <c r="A121" s="179" t="s">
        <v>339</v>
      </c>
      <c r="B121" s="180"/>
      <c r="C121" s="181">
        <f t="shared" ref="C121:N121" si="84">SUM(C122:C124)</f>
        <v>-1500000</v>
      </c>
      <c r="D121" s="181">
        <f t="shared" si="84"/>
        <v>-1500000</v>
      </c>
      <c r="E121" s="181">
        <f t="shared" si="84"/>
        <v>-1500000</v>
      </c>
      <c r="F121" s="181">
        <f t="shared" si="84"/>
        <v>-1500000</v>
      </c>
      <c r="G121" s="181">
        <f t="shared" si="84"/>
        <v>-1500000</v>
      </c>
      <c r="H121" s="181">
        <f t="shared" si="84"/>
        <v>-1500000</v>
      </c>
      <c r="I121" s="181">
        <f t="shared" si="84"/>
        <v>-1500000</v>
      </c>
      <c r="J121" s="181">
        <f t="shared" si="84"/>
        <v>-1500000</v>
      </c>
      <c r="K121" s="181">
        <f t="shared" si="84"/>
        <v>-1500000</v>
      </c>
      <c r="L121" s="181">
        <f t="shared" si="84"/>
        <v>-1500000</v>
      </c>
      <c r="M121" s="181">
        <f t="shared" si="84"/>
        <v>-1500000</v>
      </c>
      <c r="N121" s="181">
        <f t="shared" si="84"/>
        <v>-1500000</v>
      </c>
      <c r="O121" s="180"/>
    </row>
    <row r="122">
      <c r="A122" s="183" t="s">
        <v>336</v>
      </c>
      <c r="B122" s="187">
        <v>500000.0</v>
      </c>
      <c r="C122" s="166">
        <f t="shared" ref="C122:N122" si="85">-$B122</f>
        <v>-500000</v>
      </c>
      <c r="D122" s="166">
        <f t="shared" si="85"/>
        <v>-500000</v>
      </c>
      <c r="E122" s="166">
        <f t="shared" si="85"/>
        <v>-500000</v>
      </c>
      <c r="F122" s="166">
        <f t="shared" si="85"/>
        <v>-500000</v>
      </c>
      <c r="G122" s="166">
        <f t="shared" si="85"/>
        <v>-500000</v>
      </c>
      <c r="H122" s="166">
        <f t="shared" si="85"/>
        <v>-500000</v>
      </c>
      <c r="I122" s="166">
        <f t="shared" si="85"/>
        <v>-500000</v>
      </c>
      <c r="J122" s="166">
        <f t="shared" si="85"/>
        <v>-500000</v>
      </c>
      <c r="K122" s="166">
        <f t="shared" si="85"/>
        <v>-500000</v>
      </c>
      <c r="L122" s="166">
        <f t="shared" si="85"/>
        <v>-500000</v>
      </c>
      <c r="M122" s="166">
        <f t="shared" si="85"/>
        <v>-500000</v>
      </c>
      <c r="N122" s="166">
        <f t="shared" si="85"/>
        <v>-500000</v>
      </c>
      <c r="O122" s="165"/>
    </row>
    <row r="123">
      <c r="A123" s="183" t="s">
        <v>337</v>
      </c>
      <c r="B123" s="187">
        <v>1000000.0</v>
      </c>
      <c r="C123" s="166">
        <f t="shared" ref="C123:N123" si="86">-$B123</f>
        <v>-1000000</v>
      </c>
      <c r="D123" s="166">
        <f t="shared" si="86"/>
        <v>-1000000</v>
      </c>
      <c r="E123" s="166">
        <f t="shared" si="86"/>
        <v>-1000000</v>
      </c>
      <c r="F123" s="166">
        <f t="shared" si="86"/>
        <v>-1000000</v>
      </c>
      <c r="G123" s="166">
        <f t="shared" si="86"/>
        <v>-1000000</v>
      </c>
      <c r="H123" s="166">
        <f t="shared" si="86"/>
        <v>-1000000</v>
      </c>
      <c r="I123" s="166">
        <f t="shared" si="86"/>
        <v>-1000000</v>
      </c>
      <c r="J123" s="166">
        <f t="shared" si="86"/>
        <v>-1000000</v>
      </c>
      <c r="K123" s="166">
        <f t="shared" si="86"/>
        <v>-1000000</v>
      </c>
      <c r="L123" s="166">
        <f t="shared" si="86"/>
        <v>-1000000</v>
      </c>
      <c r="M123" s="166">
        <f t="shared" si="86"/>
        <v>-1000000</v>
      </c>
      <c r="N123" s="166">
        <f t="shared" si="86"/>
        <v>-1000000</v>
      </c>
      <c r="O123" s="165"/>
    </row>
    <row r="124">
      <c r="A124" s="164"/>
      <c r="B124" s="178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</row>
    <row r="125">
      <c r="A125" s="179" t="s">
        <v>340</v>
      </c>
      <c r="B125" s="180"/>
      <c r="C125" s="181">
        <f t="shared" ref="C125:N125" si="87">SUM(C126:C128)</f>
        <v>-2000000</v>
      </c>
      <c r="D125" s="181">
        <f t="shared" si="87"/>
        <v>-2000000</v>
      </c>
      <c r="E125" s="181">
        <f t="shared" si="87"/>
        <v>-2000000</v>
      </c>
      <c r="F125" s="181">
        <f t="shared" si="87"/>
        <v>-2000000</v>
      </c>
      <c r="G125" s="181">
        <f t="shared" si="87"/>
        <v>-2000000</v>
      </c>
      <c r="H125" s="181">
        <f t="shared" si="87"/>
        <v>-2000000</v>
      </c>
      <c r="I125" s="181">
        <f t="shared" si="87"/>
        <v>-2000000</v>
      </c>
      <c r="J125" s="181">
        <f t="shared" si="87"/>
        <v>-2000000</v>
      </c>
      <c r="K125" s="181">
        <f t="shared" si="87"/>
        <v>-2000000</v>
      </c>
      <c r="L125" s="181">
        <f t="shared" si="87"/>
        <v>-2000000</v>
      </c>
      <c r="M125" s="181">
        <f t="shared" si="87"/>
        <v>-2000000</v>
      </c>
      <c r="N125" s="181">
        <f t="shared" si="87"/>
        <v>-2000000</v>
      </c>
      <c r="O125" s="180"/>
    </row>
    <row r="126">
      <c r="A126" s="183" t="s">
        <v>336</v>
      </c>
      <c r="B126" s="187">
        <v>500000.0</v>
      </c>
      <c r="C126" s="166">
        <f t="shared" ref="C126:N126" si="88">-$B126</f>
        <v>-500000</v>
      </c>
      <c r="D126" s="166">
        <f t="shared" si="88"/>
        <v>-500000</v>
      </c>
      <c r="E126" s="166">
        <f t="shared" si="88"/>
        <v>-500000</v>
      </c>
      <c r="F126" s="166">
        <f t="shared" si="88"/>
        <v>-500000</v>
      </c>
      <c r="G126" s="166">
        <f t="shared" si="88"/>
        <v>-500000</v>
      </c>
      <c r="H126" s="166">
        <f t="shared" si="88"/>
        <v>-500000</v>
      </c>
      <c r="I126" s="166">
        <f t="shared" si="88"/>
        <v>-500000</v>
      </c>
      <c r="J126" s="166">
        <f t="shared" si="88"/>
        <v>-500000</v>
      </c>
      <c r="K126" s="166">
        <f t="shared" si="88"/>
        <v>-500000</v>
      </c>
      <c r="L126" s="166">
        <f t="shared" si="88"/>
        <v>-500000</v>
      </c>
      <c r="M126" s="166">
        <f t="shared" si="88"/>
        <v>-500000</v>
      </c>
      <c r="N126" s="166">
        <f t="shared" si="88"/>
        <v>-500000</v>
      </c>
      <c r="O126" s="165"/>
    </row>
    <row r="127">
      <c r="A127" s="183" t="s">
        <v>337</v>
      </c>
      <c r="B127" s="187">
        <v>1500000.0</v>
      </c>
      <c r="C127" s="166">
        <f t="shared" ref="C127:N127" si="89">-$B127</f>
        <v>-1500000</v>
      </c>
      <c r="D127" s="166">
        <f t="shared" si="89"/>
        <v>-1500000</v>
      </c>
      <c r="E127" s="166">
        <f t="shared" si="89"/>
        <v>-1500000</v>
      </c>
      <c r="F127" s="166">
        <f t="shared" si="89"/>
        <v>-1500000</v>
      </c>
      <c r="G127" s="166">
        <f t="shared" si="89"/>
        <v>-1500000</v>
      </c>
      <c r="H127" s="166">
        <f t="shared" si="89"/>
        <v>-1500000</v>
      </c>
      <c r="I127" s="166">
        <f t="shared" si="89"/>
        <v>-1500000</v>
      </c>
      <c r="J127" s="166">
        <f t="shared" si="89"/>
        <v>-1500000</v>
      </c>
      <c r="K127" s="166">
        <f t="shared" si="89"/>
        <v>-1500000</v>
      </c>
      <c r="L127" s="166">
        <f t="shared" si="89"/>
        <v>-1500000</v>
      </c>
      <c r="M127" s="166">
        <f t="shared" si="89"/>
        <v>-1500000</v>
      </c>
      <c r="N127" s="166">
        <f t="shared" si="89"/>
        <v>-1500000</v>
      </c>
      <c r="O127" s="165"/>
    </row>
    <row r="128">
      <c r="A128" s="164"/>
      <c r="B128" s="178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</row>
    <row r="129">
      <c r="A129" s="175" t="s">
        <v>341</v>
      </c>
      <c r="B129" s="176"/>
      <c r="C129" s="168">
        <f t="shared" ref="C129:N129" si="90">C87+C106</f>
        <v>2411666.667</v>
      </c>
      <c r="D129" s="199">
        <f t="shared" si="90"/>
        <v>-3108333.333</v>
      </c>
      <c r="E129" s="168">
        <f t="shared" si="90"/>
        <v>6141666.667</v>
      </c>
      <c r="F129" s="168">
        <f t="shared" si="90"/>
        <v>1691666.667</v>
      </c>
      <c r="G129" s="168">
        <f t="shared" si="90"/>
        <v>7211666.667</v>
      </c>
      <c r="H129" s="168">
        <f t="shared" si="90"/>
        <v>19211666.67</v>
      </c>
      <c r="I129" s="168">
        <f t="shared" si="90"/>
        <v>28461666.67</v>
      </c>
      <c r="J129" s="168">
        <f t="shared" si="90"/>
        <v>28461666.67</v>
      </c>
      <c r="K129" s="168">
        <f t="shared" si="90"/>
        <v>23661666.67</v>
      </c>
      <c r="L129" s="168">
        <f t="shared" si="90"/>
        <v>22941666.67</v>
      </c>
      <c r="M129" s="168">
        <f t="shared" si="90"/>
        <v>23661666.67</v>
      </c>
      <c r="N129" s="168">
        <f t="shared" si="90"/>
        <v>13691666.67</v>
      </c>
      <c r="O129" s="176"/>
    </row>
    <row r="130">
      <c r="A130" s="196" t="s">
        <v>342</v>
      </c>
      <c r="B130" s="178"/>
      <c r="C130" s="197">
        <f t="shared" ref="C130:N130" si="91">IFERROR(C129/C7,"")</f>
        <v>0.1418627451</v>
      </c>
      <c r="D130" s="197">
        <f t="shared" si="91"/>
        <v>-0.08880952381</v>
      </c>
      <c r="E130" s="197">
        <f t="shared" si="91"/>
        <v>0.2047222222</v>
      </c>
      <c r="F130" s="197">
        <f t="shared" si="91"/>
        <v>0.08458333333</v>
      </c>
      <c r="G130" s="197">
        <f t="shared" si="91"/>
        <v>0.1163172043</v>
      </c>
      <c r="H130" s="197">
        <f t="shared" si="91"/>
        <v>0.4087588652</v>
      </c>
      <c r="I130" s="197">
        <f t="shared" si="91"/>
        <v>0.3953009259</v>
      </c>
      <c r="J130" s="197">
        <f t="shared" si="91"/>
        <v>0.3953009259</v>
      </c>
      <c r="K130" s="197">
        <f t="shared" si="91"/>
        <v>0.2719731801</v>
      </c>
      <c r="L130" s="197">
        <f t="shared" si="91"/>
        <v>0.2549074074</v>
      </c>
      <c r="M130" s="197">
        <f t="shared" si="91"/>
        <v>0.2719731801</v>
      </c>
      <c r="N130" s="197">
        <f t="shared" si="91"/>
        <v>0.2106410256</v>
      </c>
      <c r="O130" s="164"/>
    </row>
    <row r="131">
      <c r="A131" s="164"/>
      <c r="B131" s="178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</row>
    <row r="132">
      <c r="A132" s="179" t="s">
        <v>343</v>
      </c>
      <c r="B132" s="180"/>
      <c r="C132" s="181">
        <f t="shared" ref="C132:N132" si="92">C90+C108</f>
        <v>2691666.667</v>
      </c>
      <c r="D132" s="181">
        <f t="shared" si="92"/>
        <v>2691666.667</v>
      </c>
      <c r="E132" s="181">
        <f t="shared" si="92"/>
        <v>2691666.667</v>
      </c>
      <c r="F132" s="181">
        <f t="shared" si="92"/>
        <v>2691666.667</v>
      </c>
      <c r="G132" s="181">
        <f t="shared" si="92"/>
        <v>2691666.667</v>
      </c>
      <c r="H132" s="181">
        <f t="shared" si="92"/>
        <v>14691666.67</v>
      </c>
      <c r="I132" s="181">
        <f t="shared" si="92"/>
        <v>14691666.67</v>
      </c>
      <c r="J132" s="181">
        <f t="shared" si="92"/>
        <v>14691666.67</v>
      </c>
      <c r="K132" s="181">
        <f t="shared" si="92"/>
        <v>14691666.67</v>
      </c>
      <c r="L132" s="181">
        <f t="shared" si="92"/>
        <v>14691666.67</v>
      </c>
      <c r="M132" s="181">
        <f t="shared" si="92"/>
        <v>14691666.67</v>
      </c>
      <c r="N132" s="181">
        <f t="shared" si="92"/>
        <v>14691666.67</v>
      </c>
      <c r="O132" s="180"/>
    </row>
    <row r="133">
      <c r="A133" s="196" t="s">
        <v>344</v>
      </c>
      <c r="B133" s="178"/>
      <c r="C133" s="197">
        <f t="shared" ref="C133:N133" si="93">IFERROR(C132/C24,"")</f>
        <v>0.5383333333</v>
      </c>
      <c r="D133" s="197">
        <f t="shared" si="93"/>
        <v>0.5383333333</v>
      </c>
      <c r="E133" s="197">
        <f t="shared" si="93"/>
        <v>0.5383333333</v>
      </c>
      <c r="F133" s="197">
        <f t="shared" si="93"/>
        <v>0.5383333333</v>
      </c>
      <c r="G133" s="197">
        <f t="shared" si="93"/>
        <v>0.5383333333</v>
      </c>
      <c r="H133" s="197">
        <f t="shared" si="93"/>
        <v>0.7345833333</v>
      </c>
      <c r="I133" s="197">
        <f t="shared" si="93"/>
        <v>0.7345833333</v>
      </c>
      <c r="J133" s="197">
        <f t="shared" si="93"/>
        <v>0.7345833333</v>
      </c>
      <c r="K133" s="197">
        <f t="shared" si="93"/>
        <v>0.7345833333</v>
      </c>
      <c r="L133" s="197">
        <f t="shared" si="93"/>
        <v>0.7345833333</v>
      </c>
      <c r="M133" s="197">
        <f t="shared" si="93"/>
        <v>0.7345833333</v>
      </c>
      <c r="N133" s="197">
        <f t="shared" si="93"/>
        <v>0.7345833333</v>
      </c>
      <c r="O133" s="164"/>
    </row>
    <row r="134">
      <c r="A134" s="164"/>
      <c r="B134" s="178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</row>
    <row r="135">
      <c r="A135" s="179" t="s">
        <v>345</v>
      </c>
      <c r="B135" s="180"/>
      <c r="C135" s="181">
        <f t="shared" ref="C135:N135" si="94">C93+C113</f>
        <v>-1200000</v>
      </c>
      <c r="D135" s="181">
        <f t="shared" si="94"/>
        <v>-1200000</v>
      </c>
      <c r="E135" s="181">
        <f t="shared" si="94"/>
        <v>-1200000</v>
      </c>
      <c r="F135" s="181">
        <f t="shared" si="94"/>
        <v>3600000</v>
      </c>
      <c r="G135" s="181">
        <f t="shared" si="94"/>
        <v>3600000</v>
      </c>
      <c r="H135" s="181">
        <f t="shared" si="94"/>
        <v>3600000</v>
      </c>
      <c r="I135" s="181">
        <f t="shared" si="94"/>
        <v>3600000</v>
      </c>
      <c r="J135" s="181">
        <f t="shared" si="94"/>
        <v>3600000</v>
      </c>
      <c r="K135" s="181">
        <f t="shared" si="94"/>
        <v>-1200000</v>
      </c>
      <c r="L135" s="181">
        <f t="shared" si="94"/>
        <v>3600000</v>
      </c>
      <c r="M135" s="181">
        <f t="shared" si="94"/>
        <v>-1200000</v>
      </c>
      <c r="N135" s="181">
        <f t="shared" si="94"/>
        <v>3600000</v>
      </c>
      <c r="O135" s="180"/>
    </row>
    <row r="136">
      <c r="A136" s="196" t="s">
        <v>346</v>
      </c>
      <c r="B136" s="178"/>
      <c r="C136" s="198" t="str">
        <f t="shared" ref="C136:N136" si="95">IFERROR(C135/C38,"")</f>
        <v/>
      </c>
      <c r="D136" s="198" t="str">
        <f t="shared" si="95"/>
        <v/>
      </c>
      <c r="E136" s="198" t="str">
        <f t="shared" si="95"/>
        <v/>
      </c>
      <c r="F136" s="197">
        <f t="shared" si="95"/>
        <v>0.24</v>
      </c>
      <c r="G136" s="197">
        <f t="shared" si="95"/>
        <v>0.24</v>
      </c>
      <c r="H136" s="197">
        <f t="shared" si="95"/>
        <v>0.24</v>
      </c>
      <c r="I136" s="197">
        <f t="shared" si="95"/>
        <v>0.24</v>
      </c>
      <c r="J136" s="197">
        <f t="shared" si="95"/>
        <v>0.24</v>
      </c>
      <c r="K136" s="198" t="str">
        <f t="shared" si="95"/>
        <v/>
      </c>
      <c r="L136" s="197">
        <f t="shared" si="95"/>
        <v>0.24</v>
      </c>
      <c r="M136" s="198" t="str">
        <f t="shared" si="95"/>
        <v/>
      </c>
      <c r="N136" s="197">
        <f t="shared" si="95"/>
        <v>0.24</v>
      </c>
      <c r="O136" s="164"/>
    </row>
    <row r="137">
      <c r="A137" s="164"/>
      <c r="B137" s="178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</row>
    <row r="138">
      <c r="A138" s="179" t="s">
        <v>347</v>
      </c>
      <c r="B138" s="180"/>
      <c r="C138" s="181">
        <f t="shared" ref="C138:N138" si="96">C96+C117</f>
        <v>4420000</v>
      </c>
      <c r="D138" s="181">
        <f t="shared" si="96"/>
        <v>-1100000</v>
      </c>
      <c r="E138" s="181">
        <f t="shared" si="96"/>
        <v>-1100000</v>
      </c>
      <c r="F138" s="181">
        <f t="shared" si="96"/>
        <v>-1100000</v>
      </c>
      <c r="G138" s="181">
        <f t="shared" si="96"/>
        <v>4420000</v>
      </c>
      <c r="H138" s="181">
        <f t="shared" si="96"/>
        <v>4420000</v>
      </c>
      <c r="I138" s="181">
        <f t="shared" si="96"/>
        <v>4420000</v>
      </c>
      <c r="J138" s="181">
        <f t="shared" si="96"/>
        <v>4420000</v>
      </c>
      <c r="K138" s="181">
        <f t="shared" si="96"/>
        <v>4420000</v>
      </c>
      <c r="L138" s="181">
        <f t="shared" si="96"/>
        <v>-1100000</v>
      </c>
      <c r="M138" s="181">
        <f t="shared" si="96"/>
        <v>4420000</v>
      </c>
      <c r="N138" s="181">
        <f t="shared" si="96"/>
        <v>-1100000</v>
      </c>
      <c r="O138" s="180"/>
    </row>
    <row r="139">
      <c r="A139" s="196" t="s">
        <v>325</v>
      </c>
      <c r="B139" s="178"/>
      <c r="C139" s="197">
        <f t="shared" ref="C139:N139" si="97">IFERROR(C138/C45,"")</f>
        <v>0.3683333333</v>
      </c>
      <c r="D139" s="198" t="str">
        <f t="shared" si="97"/>
        <v/>
      </c>
      <c r="E139" s="198" t="str">
        <f t="shared" si="97"/>
        <v/>
      </c>
      <c r="F139" s="198" t="str">
        <f t="shared" si="97"/>
        <v/>
      </c>
      <c r="G139" s="197">
        <f t="shared" si="97"/>
        <v>0.3683333333</v>
      </c>
      <c r="H139" s="197">
        <f t="shared" si="97"/>
        <v>0.3683333333</v>
      </c>
      <c r="I139" s="197">
        <f t="shared" si="97"/>
        <v>0.3683333333</v>
      </c>
      <c r="J139" s="197">
        <f t="shared" si="97"/>
        <v>0.3683333333</v>
      </c>
      <c r="K139" s="197">
        <f t="shared" si="97"/>
        <v>0.3683333333</v>
      </c>
      <c r="L139" s="198" t="str">
        <f t="shared" si="97"/>
        <v/>
      </c>
      <c r="M139" s="197">
        <f t="shared" si="97"/>
        <v>0.3683333333</v>
      </c>
      <c r="N139" s="198" t="str">
        <f t="shared" si="97"/>
        <v/>
      </c>
      <c r="O139" s="164"/>
    </row>
    <row r="140">
      <c r="A140" s="164"/>
      <c r="B140" s="178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</row>
    <row r="141">
      <c r="A141" s="179" t="s">
        <v>348</v>
      </c>
      <c r="B141" s="180"/>
      <c r="C141" s="181">
        <f t="shared" ref="C141:N141" si="98">C99+C121</f>
        <v>-1500000</v>
      </c>
      <c r="D141" s="181">
        <f t="shared" si="98"/>
        <v>-1500000</v>
      </c>
      <c r="E141" s="181">
        <f t="shared" si="98"/>
        <v>7750000</v>
      </c>
      <c r="F141" s="181">
        <f t="shared" si="98"/>
        <v>-1500000</v>
      </c>
      <c r="G141" s="181">
        <f t="shared" si="98"/>
        <v>-1500000</v>
      </c>
      <c r="H141" s="181">
        <f t="shared" si="98"/>
        <v>-1500000</v>
      </c>
      <c r="I141" s="181">
        <f t="shared" si="98"/>
        <v>7750000</v>
      </c>
      <c r="J141" s="181">
        <f t="shared" si="98"/>
        <v>7750000</v>
      </c>
      <c r="K141" s="181">
        <f t="shared" si="98"/>
        <v>7750000</v>
      </c>
      <c r="L141" s="181">
        <f t="shared" si="98"/>
        <v>7750000</v>
      </c>
      <c r="M141" s="181">
        <f t="shared" si="98"/>
        <v>7750000</v>
      </c>
      <c r="N141" s="181">
        <f t="shared" si="98"/>
        <v>-1500000</v>
      </c>
      <c r="O141" s="180"/>
    </row>
    <row r="142">
      <c r="A142" s="196" t="s">
        <v>327</v>
      </c>
      <c r="B142" s="178"/>
      <c r="C142" s="198" t="str">
        <f t="shared" ref="C142:N142" si="99">IFERROR(C141/C52,"")</f>
        <v/>
      </c>
      <c r="D142" s="198" t="str">
        <f t="shared" si="99"/>
        <v/>
      </c>
      <c r="E142" s="197">
        <f t="shared" si="99"/>
        <v>0.31</v>
      </c>
      <c r="F142" s="198" t="str">
        <f t="shared" si="99"/>
        <v/>
      </c>
      <c r="G142" s="198" t="str">
        <f t="shared" si="99"/>
        <v/>
      </c>
      <c r="H142" s="198" t="str">
        <f t="shared" si="99"/>
        <v/>
      </c>
      <c r="I142" s="197">
        <f t="shared" si="99"/>
        <v>0.31</v>
      </c>
      <c r="J142" s="197">
        <f t="shared" si="99"/>
        <v>0.31</v>
      </c>
      <c r="K142" s="197">
        <f t="shared" si="99"/>
        <v>0.31</v>
      </c>
      <c r="L142" s="197">
        <f t="shared" si="99"/>
        <v>0.31</v>
      </c>
      <c r="M142" s="197">
        <f t="shared" si="99"/>
        <v>0.31</v>
      </c>
      <c r="N142" s="198" t="str">
        <f t="shared" si="99"/>
        <v/>
      </c>
      <c r="O142" s="164"/>
    </row>
    <row r="143">
      <c r="A143" s="164"/>
      <c r="B143" s="178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</row>
    <row r="144">
      <c r="A144" s="179" t="s">
        <v>349</v>
      </c>
      <c r="B144" s="180"/>
      <c r="C144" s="181">
        <f t="shared" ref="C144:N144" si="100">C102+C125</f>
        <v>-2000000</v>
      </c>
      <c r="D144" s="181">
        <f t="shared" si="100"/>
        <v>-2000000</v>
      </c>
      <c r="E144" s="181">
        <f t="shared" si="100"/>
        <v>-2000000</v>
      </c>
      <c r="F144" s="181">
        <f t="shared" si="100"/>
        <v>-2000000</v>
      </c>
      <c r="G144" s="181">
        <f t="shared" si="100"/>
        <v>-2000000</v>
      </c>
      <c r="H144" s="181">
        <f t="shared" si="100"/>
        <v>-2000000</v>
      </c>
      <c r="I144" s="181">
        <f t="shared" si="100"/>
        <v>-2000000</v>
      </c>
      <c r="J144" s="181">
        <f t="shared" si="100"/>
        <v>-2000000</v>
      </c>
      <c r="K144" s="181">
        <f t="shared" si="100"/>
        <v>-2000000</v>
      </c>
      <c r="L144" s="181">
        <f t="shared" si="100"/>
        <v>-2000000</v>
      </c>
      <c r="M144" s="181">
        <f t="shared" si="100"/>
        <v>-2000000</v>
      </c>
      <c r="N144" s="181">
        <f t="shared" si="100"/>
        <v>-2000000</v>
      </c>
      <c r="O144" s="180"/>
    </row>
    <row r="145">
      <c r="A145" s="196" t="s">
        <v>350</v>
      </c>
      <c r="B145" s="178"/>
      <c r="C145" s="198" t="str">
        <f t="shared" ref="C145:N145" si="101">IFERROR(C144/C59,"")</f>
        <v/>
      </c>
      <c r="D145" s="197">
        <f t="shared" si="101"/>
        <v>-0.06666666667</v>
      </c>
      <c r="E145" s="198" t="str">
        <f t="shared" si="101"/>
        <v/>
      </c>
      <c r="F145" s="198" t="str">
        <f t="shared" si="101"/>
        <v/>
      </c>
      <c r="G145" s="197">
        <f t="shared" si="101"/>
        <v>-0.06666666667</v>
      </c>
      <c r="H145" s="198" t="str">
        <f t="shared" si="101"/>
        <v/>
      </c>
      <c r="I145" s="198" t="str">
        <f t="shared" si="101"/>
        <v/>
      </c>
      <c r="J145" s="198" t="str">
        <f t="shared" si="101"/>
        <v/>
      </c>
      <c r="K145" s="197">
        <f t="shared" si="101"/>
        <v>-0.06666666667</v>
      </c>
      <c r="L145" s="197">
        <f t="shared" si="101"/>
        <v>-0.06666666667</v>
      </c>
      <c r="M145" s="197">
        <f t="shared" si="101"/>
        <v>-0.06666666667</v>
      </c>
      <c r="N145" s="197">
        <f t="shared" si="101"/>
        <v>-0.06666666667</v>
      </c>
      <c r="O145" s="164"/>
    </row>
    <row r="146">
      <c r="A146" s="164"/>
      <c r="B146" s="178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</row>
    <row r="147">
      <c r="A147" s="175" t="s">
        <v>225</v>
      </c>
      <c r="B147" s="176"/>
      <c r="C147" s="168">
        <f t="shared" ref="C147:N147" si="102">SUM(C148:C157)</f>
        <v>-2200001</v>
      </c>
      <c r="D147" s="168">
        <f t="shared" si="102"/>
        <v>-4650001</v>
      </c>
      <c r="E147" s="168">
        <f t="shared" si="102"/>
        <v>-2600001</v>
      </c>
      <c r="F147" s="168">
        <f t="shared" si="102"/>
        <v>-2600001</v>
      </c>
      <c r="G147" s="168">
        <f t="shared" si="102"/>
        <v>-4650001</v>
      </c>
      <c r="H147" s="168">
        <f t="shared" si="102"/>
        <v>-2600001</v>
      </c>
      <c r="I147" s="168">
        <f t="shared" si="102"/>
        <v>-2200001</v>
      </c>
      <c r="J147" s="168">
        <f t="shared" si="102"/>
        <v>-2600001</v>
      </c>
      <c r="K147" s="168">
        <f t="shared" si="102"/>
        <v>-4250001</v>
      </c>
      <c r="L147" s="168">
        <f t="shared" si="102"/>
        <v>-4650001</v>
      </c>
      <c r="M147" s="168">
        <f t="shared" si="102"/>
        <v>-4250001</v>
      </c>
      <c r="N147" s="168">
        <f t="shared" si="102"/>
        <v>-4650001</v>
      </c>
      <c r="O147" s="176"/>
    </row>
    <row r="148">
      <c r="A148" s="183" t="s">
        <v>351</v>
      </c>
      <c r="B148" s="187">
        <v>600000.0</v>
      </c>
      <c r="C148" s="166">
        <f t="shared" ref="C148:N148" si="103">-$B148</f>
        <v>-600000</v>
      </c>
      <c r="D148" s="166">
        <f t="shared" si="103"/>
        <v>-600000</v>
      </c>
      <c r="E148" s="166">
        <f t="shared" si="103"/>
        <v>-600000</v>
      </c>
      <c r="F148" s="166">
        <f t="shared" si="103"/>
        <v>-600000</v>
      </c>
      <c r="G148" s="166">
        <f t="shared" si="103"/>
        <v>-600000</v>
      </c>
      <c r="H148" s="166">
        <f t="shared" si="103"/>
        <v>-600000</v>
      </c>
      <c r="I148" s="166">
        <f t="shared" si="103"/>
        <v>-600000</v>
      </c>
      <c r="J148" s="166">
        <f t="shared" si="103"/>
        <v>-600000</v>
      </c>
      <c r="K148" s="166">
        <f t="shared" si="103"/>
        <v>-600000</v>
      </c>
      <c r="L148" s="166">
        <f t="shared" si="103"/>
        <v>-600000</v>
      </c>
      <c r="M148" s="166">
        <f t="shared" si="103"/>
        <v>-600000</v>
      </c>
      <c r="N148" s="166">
        <f t="shared" si="103"/>
        <v>-600000</v>
      </c>
      <c r="O148" s="164"/>
    </row>
    <row r="149">
      <c r="A149" s="183" t="s">
        <v>352</v>
      </c>
      <c r="B149" s="187">
        <v>800000.0</v>
      </c>
      <c r="C149" s="166">
        <f t="shared" ref="C149:N149" si="104">-$B149</f>
        <v>-800000</v>
      </c>
      <c r="D149" s="166">
        <f t="shared" si="104"/>
        <v>-800000</v>
      </c>
      <c r="E149" s="166">
        <f t="shared" si="104"/>
        <v>-800000</v>
      </c>
      <c r="F149" s="166">
        <f t="shared" si="104"/>
        <v>-800000</v>
      </c>
      <c r="G149" s="166">
        <f t="shared" si="104"/>
        <v>-800000</v>
      </c>
      <c r="H149" s="166">
        <f t="shared" si="104"/>
        <v>-800000</v>
      </c>
      <c r="I149" s="166">
        <f t="shared" si="104"/>
        <v>-800000</v>
      </c>
      <c r="J149" s="166">
        <f t="shared" si="104"/>
        <v>-800000</v>
      </c>
      <c r="K149" s="166">
        <f t="shared" si="104"/>
        <v>-800000</v>
      </c>
      <c r="L149" s="166">
        <f t="shared" si="104"/>
        <v>-800000</v>
      </c>
      <c r="M149" s="166">
        <f t="shared" si="104"/>
        <v>-800000</v>
      </c>
      <c r="N149" s="166">
        <f t="shared" si="104"/>
        <v>-800000</v>
      </c>
      <c r="O149" s="164"/>
    </row>
    <row r="150">
      <c r="A150" s="183" t="s">
        <v>353</v>
      </c>
      <c r="B150" s="187">
        <v>1.0</v>
      </c>
      <c r="C150" s="166">
        <f t="shared" ref="C150:N150" si="105">-$B150</f>
        <v>-1</v>
      </c>
      <c r="D150" s="166">
        <f t="shared" si="105"/>
        <v>-1</v>
      </c>
      <c r="E150" s="166">
        <f t="shared" si="105"/>
        <v>-1</v>
      </c>
      <c r="F150" s="166">
        <f t="shared" si="105"/>
        <v>-1</v>
      </c>
      <c r="G150" s="166">
        <f t="shared" si="105"/>
        <v>-1</v>
      </c>
      <c r="H150" s="166">
        <f t="shared" si="105"/>
        <v>-1</v>
      </c>
      <c r="I150" s="166">
        <f t="shared" si="105"/>
        <v>-1</v>
      </c>
      <c r="J150" s="166">
        <f t="shared" si="105"/>
        <v>-1</v>
      </c>
      <c r="K150" s="166">
        <f t="shared" si="105"/>
        <v>-1</v>
      </c>
      <c r="L150" s="166">
        <f t="shared" si="105"/>
        <v>-1</v>
      </c>
      <c r="M150" s="166">
        <f t="shared" si="105"/>
        <v>-1</v>
      </c>
      <c r="N150" s="166">
        <f t="shared" si="105"/>
        <v>-1</v>
      </c>
      <c r="O150" s="164"/>
    </row>
    <row r="151">
      <c r="A151" s="183" t="s">
        <v>354</v>
      </c>
      <c r="B151" s="187">
        <v>400000.0</v>
      </c>
      <c r="C151" s="166">
        <f t="shared" ref="C151:N151" si="106">-C29*$B$151</f>
        <v>0</v>
      </c>
      <c r="D151" s="166">
        <f t="shared" si="106"/>
        <v>-400000</v>
      </c>
      <c r="E151" s="166">
        <f t="shared" si="106"/>
        <v>-400000</v>
      </c>
      <c r="F151" s="166">
        <f t="shared" si="106"/>
        <v>-400000</v>
      </c>
      <c r="G151" s="166">
        <f t="shared" si="106"/>
        <v>-400000</v>
      </c>
      <c r="H151" s="166">
        <f t="shared" si="106"/>
        <v>-400000</v>
      </c>
      <c r="I151" s="166">
        <f t="shared" si="106"/>
        <v>0</v>
      </c>
      <c r="J151" s="166">
        <f t="shared" si="106"/>
        <v>-400000</v>
      </c>
      <c r="K151" s="166">
        <f t="shared" si="106"/>
        <v>0</v>
      </c>
      <c r="L151" s="166">
        <f t="shared" si="106"/>
        <v>-400000</v>
      </c>
      <c r="M151" s="166">
        <f t="shared" si="106"/>
        <v>0</v>
      </c>
      <c r="N151" s="166">
        <f t="shared" si="106"/>
        <v>-400000</v>
      </c>
      <c r="O151" s="164"/>
    </row>
    <row r="152">
      <c r="A152" s="183" t="s">
        <v>355</v>
      </c>
      <c r="B152" s="187">
        <v>1500000.0</v>
      </c>
      <c r="C152" s="166">
        <f t="shared" ref="C152:N152" si="107">-C30*$B$152</f>
        <v>0</v>
      </c>
      <c r="D152" s="166">
        <f t="shared" si="107"/>
        <v>-1500000</v>
      </c>
      <c r="E152" s="166">
        <f t="shared" si="107"/>
        <v>0</v>
      </c>
      <c r="F152" s="166">
        <f t="shared" si="107"/>
        <v>0</v>
      </c>
      <c r="G152" s="166">
        <f t="shared" si="107"/>
        <v>-1500000</v>
      </c>
      <c r="H152" s="166">
        <f t="shared" si="107"/>
        <v>0</v>
      </c>
      <c r="I152" s="166">
        <f t="shared" si="107"/>
        <v>0</v>
      </c>
      <c r="J152" s="166">
        <f t="shared" si="107"/>
        <v>0</v>
      </c>
      <c r="K152" s="166">
        <f t="shared" si="107"/>
        <v>-1500000</v>
      </c>
      <c r="L152" s="166">
        <f t="shared" si="107"/>
        <v>-1500000</v>
      </c>
      <c r="M152" s="166">
        <f t="shared" si="107"/>
        <v>-1500000</v>
      </c>
      <c r="N152" s="166">
        <f t="shared" si="107"/>
        <v>-1500000</v>
      </c>
      <c r="O152" s="164"/>
    </row>
    <row r="153">
      <c r="A153" s="183" t="s">
        <v>356</v>
      </c>
      <c r="B153" s="187">
        <v>550000.0</v>
      </c>
      <c r="C153" s="166">
        <f t="shared" ref="C153:N153" si="108">-C30*$B$153</f>
        <v>0</v>
      </c>
      <c r="D153" s="166">
        <f t="shared" si="108"/>
        <v>-550000</v>
      </c>
      <c r="E153" s="166">
        <f t="shared" si="108"/>
        <v>0</v>
      </c>
      <c r="F153" s="166">
        <f t="shared" si="108"/>
        <v>0</v>
      </c>
      <c r="G153" s="166">
        <f t="shared" si="108"/>
        <v>-550000</v>
      </c>
      <c r="H153" s="166">
        <f t="shared" si="108"/>
        <v>0</v>
      </c>
      <c r="I153" s="166">
        <f t="shared" si="108"/>
        <v>0</v>
      </c>
      <c r="J153" s="166">
        <f t="shared" si="108"/>
        <v>0</v>
      </c>
      <c r="K153" s="166">
        <f t="shared" si="108"/>
        <v>-550000</v>
      </c>
      <c r="L153" s="166">
        <f t="shared" si="108"/>
        <v>-550000</v>
      </c>
      <c r="M153" s="166">
        <f t="shared" si="108"/>
        <v>-550000</v>
      </c>
      <c r="N153" s="166">
        <f t="shared" si="108"/>
        <v>-550000</v>
      </c>
      <c r="O153" s="164"/>
    </row>
    <row r="154">
      <c r="A154" s="183" t="s">
        <v>357</v>
      </c>
      <c r="B154" s="187">
        <v>100000.0</v>
      </c>
      <c r="C154" s="166">
        <f t="shared" ref="C154:N154" si="109">-$B154</f>
        <v>-100000</v>
      </c>
      <c r="D154" s="166">
        <f t="shared" si="109"/>
        <v>-100000</v>
      </c>
      <c r="E154" s="166">
        <f t="shared" si="109"/>
        <v>-100000</v>
      </c>
      <c r="F154" s="166">
        <f t="shared" si="109"/>
        <v>-100000</v>
      </c>
      <c r="G154" s="166">
        <f t="shared" si="109"/>
        <v>-100000</v>
      </c>
      <c r="H154" s="166">
        <f t="shared" si="109"/>
        <v>-100000</v>
      </c>
      <c r="I154" s="166">
        <f t="shared" si="109"/>
        <v>-100000</v>
      </c>
      <c r="J154" s="166">
        <f t="shared" si="109"/>
        <v>-100000</v>
      </c>
      <c r="K154" s="166">
        <f t="shared" si="109"/>
        <v>-100000</v>
      </c>
      <c r="L154" s="166">
        <f t="shared" si="109"/>
        <v>-100000</v>
      </c>
      <c r="M154" s="166">
        <f t="shared" si="109"/>
        <v>-100000</v>
      </c>
      <c r="N154" s="166">
        <f t="shared" si="109"/>
        <v>-100000</v>
      </c>
      <c r="O154" s="164"/>
    </row>
    <row r="155">
      <c r="A155" s="183" t="s">
        <v>358</v>
      </c>
      <c r="B155" s="187">
        <v>200000.0</v>
      </c>
      <c r="C155" s="166">
        <f t="shared" ref="C155:N155" si="110">-$B155</f>
        <v>-200000</v>
      </c>
      <c r="D155" s="166">
        <f t="shared" si="110"/>
        <v>-200000</v>
      </c>
      <c r="E155" s="166">
        <f t="shared" si="110"/>
        <v>-200000</v>
      </c>
      <c r="F155" s="166">
        <f t="shared" si="110"/>
        <v>-200000</v>
      </c>
      <c r="G155" s="166">
        <f t="shared" si="110"/>
        <v>-200000</v>
      </c>
      <c r="H155" s="166">
        <f t="shared" si="110"/>
        <v>-200000</v>
      </c>
      <c r="I155" s="166">
        <f t="shared" si="110"/>
        <v>-200000</v>
      </c>
      <c r="J155" s="166">
        <f t="shared" si="110"/>
        <v>-200000</v>
      </c>
      <c r="K155" s="166">
        <f t="shared" si="110"/>
        <v>-200000</v>
      </c>
      <c r="L155" s="166">
        <f t="shared" si="110"/>
        <v>-200000</v>
      </c>
      <c r="M155" s="166">
        <f t="shared" si="110"/>
        <v>-200000</v>
      </c>
      <c r="N155" s="166">
        <f t="shared" si="110"/>
        <v>-200000</v>
      </c>
      <c r="O155" s="164"/>
    </row>
    <row r="156">
      <c r="A156" s="183" t="s">
        <v>359</v>
      </c>
      <c r="B156" s="187">
        <v>500000.0</v>
      </c>
      <c r="C156" s="166">
        <f t="shared" ref="C156:N156" si="111">-$B156</f>
        <v>-500000</v>
      </c>
      <c r="D156" s="166">
        <f t="shared" si="111"/>
        <v>-500000</v>
      </c>
      <c r="E156" s="166">
        <f t="shared" si="111"/>
        <v>-500000</v>
      </c>
      <c r="F156" s="166">
        <f t="shared" si="111"/>
        <v>-500000</v>
      </c>
      <c r="G156" s="166">
        <f t="shared" si="111"/>
        <v>-500000</v>
      </c>
      <c r="H156" s="166">
        <f t="shared" si="111"/>
        <v>-500000</v>
      </c>
      <c r="I156" s="166">
        <f t="shared" si="111"/>
        <v>-500000</v>
      </c>
      <c r="J156" s="166">
        <f t="shared" si="111"/>
        <v>-500000</v>
      </c>
      <c r="K156" s="166">
        <f t="shared" si="111"/>
        <v>-500000</v>
      </c>
      <c r="L156" s="166">
        <f t="shared" si="111"/>
        <v>-500000</v>
      </c>
      <c r="M156" s="166">
        <f t="shared" si="111"/>
        <v>-500000</v>
      </c>
      <c r="N156" s="166">
        <f t="shared" si="111"/>
        <v>-500000</v>
      </c>
      <c r="O156" s="164"/>
    </row>
    <row r="157">
      <c r="A157" s="164"/>
      <c r="B157" s="200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</row>
    <row r="158">
      <c r="A158" s="175" t="s">
        <v>360</v>
      </c>
      <c r="B158" s="176"/>
      <c r="C158" s="168">
        <f t="shared" ref="C158:N158" si="112">C129+C147</f>
        <v>211665.6667</v>
      </c>
      <c r="D158" s="199">
        <f t="shared" si="112"/>
        <v>-7758334.333</v>
      </c>
      <c r="E158" s="168">
        <f t="shared" si="112"/>
        <v>3541665.667</v>
      </c>
      <c r="F158" s="199">
        <f t="shared" si="112"/>
        <v>-908334.3333</v>
      </c>
      <c r="G158" s="168">
        <f t="shared" si="112"/>
        <v>2561665.667</v>
      </c>
      <c r="H158" s="168">
        <f t="shared" si="112"/>
        <v>16611665.67</v>
      </c>
      <c r="I158" s="168">
        <f t="shared" si="112"/>
        <v>26261665.67</v>
      </c>
      <c r="J158" s="168">
        <f t="shared" si="112"/>
        <v>25861665.67</v>
      </c>
      <c r="K158" s="168">
        <f t="shared" si="112"/>
        <v>19411665.67</v>
      </c>
      <c r="L158" s="168">
        <f t="shared" si="112"/>
        <v>18291665.67</v>
      </c>
      <c r="M158" s="168">
        <f t="shared" si="112"/>
        <v>19411665.67</v>
      </c>
      <c r="N158" s="168">
        <f t="shared" si="112"/>
        <v>9041665.667</v>
      </c>
      <c r="O158" s="176"/>
    </row>
    <row r="159">
      <c r="A159" s="196" t="s">
        <v>361</v>
      </c>
      <c r="B159" s="178"/>
      <c r="C159" s="197">
        <f t="shared" ref="C159:N159" si="113">IFERROR(C158/C7,"")</f>
        <v>0.01245092157</v>
      </c>
      <c r="D159" s="197">
        <f t="shared" si="113"/>
        <v>-0.2216666952</v>
      </c>
      <c r="E159" s="197">
        <f t="shared" si="113"/>
        <v>0.1180555222</v>
      </c>
      <c r="F159" s="197">
        <f t="shared" si="113"/>
        <v>-0.04541671667</v>
      </c>
      <c r="G159" s="197">
        <f t="shared" si="113"/>
        <v>0.04131718817</v>
      </c>
      <c r="H159" s="197">
        <f t="shared" si="113"/>
        <v>0.353439695</v>
      </c>
      <c r="I159" s="197">
        <f t="shared" si="113"/>
        <v>0.3647453565</v>
      </c>
      <c r="J159" s="197">
        <f t="shared" si="113"/>
        <v>0.3591898009</v>
      </c>
      <c r="K159" s="197">
        <f t="shared" si="113"/>
        <v>0.2231225939</v>
      </c>
      <c r="L159" s="197">
        <f t="shared" si="113"/>
        <v>0.2032407296</v>
      </c>
      <c r="M159" s="197">
        <f t="shared" si="113"/>
        <v>0.2231225939</v>
      </c>
      <c r="N159" s="197">
        <f t="shared" si="113"/>
        <v>0.1391025487</v>
      </c>
      <c r="O159" s="164"/>
    </row>
    <row r="160">
      <c r="A160" s="164"/>
      <c r="B160" s="178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</row>
    <row r="161">
      <c r="A161" s="175" t="s">
        <v>362</v>
      </c>
      <c r="B161" s="176"/>
      <c r="C161" s="168">
        <f t="shared" ref="C161:N161" si="114">C163+C172</f>
        <v>-5183333.333</v>
      </c>
      <c r="D161" s="168">
        <f t="shared" si="114"/>
        <v>-6833333.333</v>
      </c>
      <c r="E161" s="168">
        <f t="shared" si="114"/>
        <v>-6058333.333</v>
      </c>
      <c r="F161" s="168">
        <f t="shared" si="114"/>
        <v>-4808333.333</v>
      </c>
      <c r="G161" s="168">
        <f t="shared" si="114"/>
        <v>-7433333.333</v>
      </c>
      <c r="H161" s="168">
        <f t="shared" si="114"/>
        <v>-6983333.333</v>
      </c>
      <c r="I161" s="168">
        <f t="shared" si="114"/>
        <v>-8008333.333</v>
      </c>
      <c r="J161" s="168">
        <f t="shared" si="114"/>
        <v>-8233333.333</v>
      </c>
      <c r="K161" s="168">
        <f t="shared" si="114"/>
        <v>-10033333.33</v>
      </c>
      <c r="L161" s="168">
        <f t="shared" si="114"/>
        <v>-9658333.333</v>
      </c>
      <c r="M161" s="168">
        <f t="shared" si="114"/>
        <v>-10033333.33</v>
      </c>
      <c r="N161" s="168">
        <f t="shared" si="114"/>
        <v>-8408333.333</v>
      </c>
      <c r="O161" s="176"/>
    </row>
    <row r="162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</row>
    <row r="163">
      <c r="A163" s="179" t="s">
        <v>363</v>
      </c>
      <c r="B163" s="180"/>
      <c r="C163" s="181">
        <f t="shared" ref="C163:N163" si="115">SUM(C164:C171)</f>
        <v>-3158333.333</v>
      </c>
      <c r="D163" s="181">
        <f t="shared" si="115"/>
        <v>-3158333.333</v>
      </c>
      <c r="E163" s="181">
        <f t="shared" si="115"/>
        <v>-3158333.333</v>
      </c>
      <c r="F163" s="181">
        <f t="shared" si="115"/>
        <v>-3158333.333</v>
      </c>
      <c r="G163" s="181">
        <f t="shared" si="115"/>
        <v>-3158333.333</v>
      </c>
      <c r="H163" s="181">
        <f t="shared" si="115"/>
        <v>-3158333.333</v>
      </c>
      <c r="I163" s="181">
        <f t="shared" si="115"/>
        <v>-3158333.333</v>
      </c>
      <c r="J163" s="181">
        <f t="shared" si="115"/>
        <v>-3158333.333</v>
      </c>
      <c r="K163" s="181">
        <f t="shared" si="115"/>
        <v>-3158333.333</v>
      </c>
      <c r="L163" s="181">
        <f t="shared" si="115"/>
        <v>-3158333.333</v>
      </c>
      <c r="M163" s="181">
        <f t="shared" si="115"/>
        <v>-3158333.333</v>
      </c>
      <c r="N163" s="181">
        <f t="shared" si="115"/>
        <v>-3158333.333</v>
      </c>
      <c r="O163" s="180"/>
    </row>
    <row r="164">
      <c r="A164" s="183" t="s">
        <v>364</v>
      </c>
      <c r="B164" s="187">
        <f>6000000/12</f>
        <v>500000</v>
      </c>
      <c r="C164" s="166">
        <f t="shared" ref="C164:N164" si="116">-$B164</f>
        <v>-500000</v>
      </c>
      <c r="D164" s="166">
        <f t="shared" si="116"/>
        <v>-500000</v>
      </c>
      <c r="E164" s="166">
        <f t="shared" si="116"/>
        <v>-500000</v>
      </c>
      <c r="F164" s="166">
        <f t="shared" si="116"/>
        <v>-500000</v>
      </c>
      <c r="G164" s="166">
        <f t="shared" si="116"/>
        <v>-500000</v>
      </c>
      <c r="H164" s="166">
        <f t="shared" si="116"/>
        <v>-500000</v>
      </c>
      <c r="I164" s="166">
        <f t="shared" si="116"/>
        <v>-500000</v>
      </c>
      <c r="J164" s="166">
        <f t="shared" si="116"/>
        <v>-500000</v>
      </c>
      <c r="K164" s="166">
        <f t="shared" si="116"/>
        <v>-500000</v>
      </c>
      <c r="L164" s="166">
        <f t="shared" si="116"/>
        <v>-500000</v>
      </c>
      <c r="M164" s="166">
        <f t="shared" si="116"/>
        <v>-500000</v>
      </c>
      <c r="N164" s="166">
        <f t="shared" si="116"/>
        <v>-500000</v>
      </c>
      <c r="O164" s="164"/>
    </row>
    <row r="165">
      <c r="A165" s="183" t="s">
        <v>365</v>
      </c>
      <c r="B165" s="187">
        <f>22000000/12</f>
        <v>1833333.333</v>
      </c>
      <c r="C165" s="166">
        <f t="shared" ref="C165:N165" si="117">-$B165</f>
        <v>-1833333.333</v>
      </c>
      <c r="D165" s="166">
        <f t="shared" si="117"/>
        <v>-1833333.333</v>
      </c>
      <c r="E165" s="166">
        <f t="shared" si="117"/>
        <v>-1833333.333</v>
      </c>
      <c r="F165" s="166">
        <f t="shared" si="117"/>
        <v>-1833333.333</v>
      </c>
      <c r="G165" s="166">
        <f t="shared" si="117"/>
        <v>-1833333.333</v>
      </c>
      <c r="H165" s="166">
        <f t="shared" si="117"/>
        <v>-1833333.333</v>
      </c>
      <c r="I165" s="166">
        <f t="shared" si="117"/>
        <v>-1833333.333</v>
      </c>
      <c r="J165" s="166">
        <f t="shared" si="117"/>
        <v>-1833333.333</v>
      </c>
      <c r="K165" s="166">
        <f t="shared" si="117"/>
        <v>-1833333.333</v>
      </c>
      <c r="L165" s="166">
        <f t="shared" si="117"/>
        <v>-1833333.333</v>
      </c>
      <c r="M165" s="166">
        <f t="shared" si="117"/>
        <v>-1833333.333</v>
      </c>
      <c r="N165" s="166">
        <f t="shared" si="117"/>
        <v>-1833333.333</v>
      </c>
      <c r="O165" s="164"/>
    </row>
    <row r="166">
      <c r="A166" s="183" t="s">
        <v>366</v>
      </c>
      <c r="B166" s="187">
        <f>7200000/12</f>
        <v>600000</v>
      </c>
      <c r="C166" s="166">
        <f t="shared" ref="C166:N166" si="118">-$B166</f>
        <v>-600000</v>
      </c>
      <c r="D166" s="166">
        <f t="shared" si="118"/>
        <v>-600000</v>
      </c>
      <c r="E166" s="166">
        <f t="shared" si="118"/>
        <v>-600000</v>
      </c>
      <c r="F166" s="166">
        <f t="shared" si="118"/>
        <v>-600000</v>
      </c>
      <c r="G166" s="166">
        <f t="shared" si="118"/>
        <v>-600000</v>
      </c>
      <c r="H166" s="166">
        <f t="shared" si="118"/>
        <v>-600000</v>
      </c>
      <c r="I166" s="166">
        <f t="shared" si="118"/>
        <v>-600000</v>
      </c>
      <c r="J166" s="166">
        <f t="shared" si="118"/>
        <v>-600000</v>
      </c>
      <c r="K166" s="166">
        <f t="shared" si="118"/>
        <v>-600000</v>
      </c>
      <c r="L166" s="166">
        <f t="shared" si="118"/>
        <v>-600000</v>
      </c>
      <c r="M166" s="166">
        <f t="shared" si="118"/>
        <v>-600000</v>
      </c>
      <c r="N166" s="166">
        <f t="shared" si="118"/>
        <v>-600000</v>
      </c>
      <c r="O166" s="164"/>
    </row>
    <row r="167">
      <c r="A167" s="183" t="s">
        <v>353</v>
      </c>
      <c r="B167" s="187">
        <v>0.0</v>
      </c>
      <c r="C167" s="166">
        <f t="shared" ref="C167:N167" si="119">-$B167</f>
        <v>0</v>
      </c>
      <c r="D167" s="166">
        <f t="shared" si="119"/>
        <v>0</v>
      </c>
      <c r="E167" s="166">
        <f t="shared" si="119"/>
        <v>0</v>
      </c>
      <c r="F167" s="166">
        <f t="shared" si="119"/>
        <v>0</v>
      </c>
      <c r="G167" s="166">
        <f t="shared" si="119"/>
        <v>0</v>
      </c>
      <c r="H167" s="166">
        <f t="shared" si="119"/>
        <v>0</v>
      </c>
      <c r="I167" s="166">
        <f t="shared" si="119"/>
        <v>0</v>
      </c>
      <c r="J167" s="166">
        <f t="shared" si="119"/>
        <v>0</v>
      </c>
      <c r="K167" s="166">
        <f t="shared" si="119"/>
        <v>0</v>
      </c>
      <c r="L167" s="166">
        <f t="shared" si="119"/>
        <v>0</v>
      </c>
      <c r="M167" s="166">
        <f t="shared" si="119"/>
        <v>0</v>
      </c>
      <c r="N167" s="166">
        <f t="shared" si="119"/>
        <v>0</v>
      </c>
      <c r="O167" s="164"/>
    </row>
    <row r="168">
      <c r="A168" s="183" t="s">
        <v>367</v>
      </c>
      <c r="B168" s="187">
        <f>300000/12</f>
        <v>25000</v>
      </c>
      <c r="C168" s="166">
        <f t="shared" ref="C168:N168" si="120">-$B168</f>
        <v>-25000</v>
      </c>
      <c r="D168" s="166">
        <f t="shared" si="120"/>
        <v>-25000</v>
      </c>
      <c r="E168" s="166">
        <f t="shared" si="120"/>
        <v>-25000</v>
      </c>
      <c r="F168" s="166">
        <f t="shared" si="120"/>
        <v>-25000</v>
      </c>
      <c r="G168" s="166">
        <f t="shared" si="120"/>
        <v>-25000</v>
      </c>
      <c r="H168" s="166">
        <f t="shared" si="120"/>
        <v>-25000</v>
      </c>
      <c r="I168" s="166">
        <f t="shared" si="120"/>
        <v>-25000</v>
      </c>
      <c r="J168" s="166">
        <f t="shared" si="120"/>
        <v>-25000</v>
      </c>
      <c r="K168" s="166">
        <f t="shared" si="120"/>
        <v>-25000</v>
      </c>
      <c r="L168" s="166">
        <f t="shared" si="120"/>
        <v>-25000</v>
      </c>
      <c r="M168" s="166">
        <f t="shared" si="120"/>
        <v>-25000</v>
      </c>
      <c r="N168" s="166">
        <f t="shared" si="120"/>
        <v>-25000</v>
      </c>
      <c r="O168" s="164"/>
    </row>
    <row r="169">
      <c r="A169" s="183" t="s">
        <v>83</v>
      </c>
      <c r="B169" s="187">
        <f>600000/12</f>
        <v>50000</v>
      </c>
      <c r="C169" s="166">
        <f t="shared" ref="C169:N169" si="121">-$B169</f>
        <v>-50000</v>
      </c>
      <c r="D169" s="166">
        <f t="shared" si="121"/>
        <v>-50000</v>
      </c>
      <c r="E169" s="166">
        <f t="shared" si="121"/>
        <v>-50000</v>
      </c>
      <c r="F169" s="166">
        <f t="shared" si="121"/>
        <v>-50000</v>
      </c>
      <c r="G169" s="166">
        <f t="shared" si="121"/>
        <v>-50000</v>
      </c>
      <c r="H169" s="166">
        <f t="shared" si="121"/>
        <v>-50000</v>
      </c>
      <c r="I169" s="166">
        <f t="shared" si="121"/>
        <v>-50000</v>
      </c>
      <c r="J169" s="166">
        <f t="shared" si="121"/>
        <v>-50000</v>
      </c>
      <c r="K169" s="166">
        <f t="shared" si="121"/>
        <v>-50000</v>
      </c>
      <c r="L169" s="166">
        <f t="shared" si="121"/>
        <v>-50000</v>
      </c>
      <c r="M169" s="166">
        <f t="shared" si="121"/>
        <v>-50000</v>
      </c>
      <c r="N169" s="166">
        <f t="shared" si="121"/>
        <v>-50000</v>
      </c>
      <c r="O169" s="164"/>
    </row>
    <row r="170">
      <c r="A170" s="183" t="s">
        <v>368</v>
      </c>
      <c r="B170" s="187">
        <v>150000.0</v>
      </c>
      <c r="C170" s="166">
        <f t="shared" ref="C170:N170" si="122">-$B170</f>
        <v>-150000</v>
      </c>
      <c r="D170" s="166">
        <f t="shared" si="122"/>
        <v>-150000</v>
      </c>
      <c r="E170" s="166">
        <f t="shared" si="122"/>
        <v>-150000</v>
      </c>
      <c r="F170" s="166">
        <f t="shared" si="122"/>
        <v>-150000</v>
      </c>
      <c r="G170" s="166">
        <f t="shared" si="122"/>
        <v>-150000</v>
      </c>
      <c r="H170" s="166">
        <f t="shared" si="122"/>
        <v>-150000</v>
      </c>
      <c r="I170" s="166">
        <f t="shared" si="122"/>
        <v>-150000</v>
      </c>
      <c r="J170" s="166">
        <f t="shared" si="122"/>
        <v>-150000</v>
      </c>
      <c r="K170" s="166">
        <f t="shared" si="122"/>
        <v>-150000</v>
      </c>
      <c r="L170" s="166">
        <f t="shared" si="122"/>
        <v>-150000</v>
      </c>
      <c r="M170" s="166">
        <f t="shared" si="122"/>
        <v>-150000</v>
      </c>
      <c r="N170" s="166">
        <f t="shared" si="122"/>
        <v>-150000</v>
      </c>
      <c r="O170" s="164"/>
    </row>
    <row r="171">
      <c r="A171" s="164"/>
      <c r="B171" s="200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</row>
    <row r="172">
      <c r="A172" s="179" t="s">
        <v>369</v>
      </c>
      <c r="B172" s="180"/>
      <c r="C172" s="181">
        <f t="shared" ref="C172:N172" si="123">SUM(C173:C175)</f>
        <v>-2025000</v>
      </c>
      <c r="D172" s="181">
        <f t="shared" si="123"/>
        <v>-3675000</v>
      </c>
      <c r="E172" s="181">
        <f t="shared" si="123"/>
        <v>-2900000</v>
      </c>
      <c r="F172" s="181">
        <f t="shared" si="123"/>
        <v>-1650000</v>
      </c>
      <c r="G172" s="181">
        <f t="shared" si="123"/>
        <v>-4275000</v>
      </c>
      <c r="H172" s="181">
        <f t="shared" si="123"/>
        <v>-3825000</v>
      </c>
      <c r="I172" s="181">
        <f t="shared" si="123"/>
        <v>-4850000</v>
      </c>
      <c r="J172" s="181">
        <f t="shared" si="123"/>
        <v>-5075000</v>
      </c>
      <c r="K172" s="181">
        <f t="shared" si="123"/>
        <v>-6875000</v>
      </c>
      <c r="L172" s="181">
        <f t="shared" si="123"/>
        <v>-6500000</v>
      </c>
      <c r="M172" s="181">
        <f t="shared" si="123"/>
        <v>-6875000</v>
      </c>
      <c r="N172" s="181">
        <f t="shared" si="123"/>
        <v>-5250000</v>
      </c>
      <c r="O172" s="180"/>
    </row>
    <row r="173">
      <c r="A173" s="183" t="s">
        <v>370</v>
      </c>
      <c r="B173" s="188">
        <v>0.15</v>
      </c>
      <c r="C173" s="166">
        <f t="shared" ref="C173:N173" si="124">-$B173*(C16*C22*30%+C17*C22*70%)</f>
        <v>-1425000</v>
      </c>
      <c r="D173" s="166">
        <f t="shared" si="124"/>
        <v>-1425000</v>
      </c>
      <c r="E173" s="166">
        <f t="shared" si="124"/>
        <v>-1425000</v>
      </c>
      <c r="F173" s="166">
        <f t="shared" si="124"/>
        <v>-1425000</v>
      </c>
      <c r="G173" s="166">
        <f t="shared" si="124"/>
        <v>-1425000</v>
      </c>
      <c r="H173" s="166">
        <f t="shared" si="124"/>
        <v>-3000000</v>
      </c>
      <c r="I173" s="166">
        <f t="shared" si="124"/>
        <v>-3000000</v>
      </c>
      <c r="J173" s="166">
        <f t="shared" si="124"/>
        <v>-3000000</v>
      </c>
      <c r="K173" s="166">
        <f t="shared" si="124"/>
        <v>-3000000</v>
      </c>
      <c r="L173" s="166">
        <f t="shared" si="124"/>
        <v>-3000000</v>
      </c>
      <c r="M173" s="166">
        <f t="shared" si="124"/>
        <v>-3000000</v>
      </c>
      <c r="N173" s="166">
        <f t="shared" si="124"/>
        <v>-3000000</v>
      </c>
      <c r="O173" s="164"/>
    </row>
    <row r="174">
      <c r="A174" s="183" t="s">
        <v>371</v>
      </c>
      <c r="B174" s="188">
        <v>0.05</v>
      </c>
      <c r="C174" s="166">
        <f t="shared" ref="C174:N174" si="125">-$B174*((C29*C36*30%+C30*C36*70%)+C40*C43+C47*C50+C54*C57)</f>
        <v>-600000</v>
      </c>
      <c r="D174" s="166">
        <f t="shared" si="125"/>
        <v>-2250000</v>
      </c>
      <c r="E174" s="166">
        <f t="shared" si="125"/>
        <v>-1475000</v>
      </c>
      <c r="F174" s="166">
        <f t="shared" si="125"/>
        <v>-225000</v>
      </c>
      <c r="G174" s="166">
        <f t="shared" si="125"/>
        <v>-2850000</v>
      </c>
      <c r="H174" s="166">
        <f t="shared" si="125"/>
        <v>-825000</v>
      </c>
      <c r="I174" s="166">
        <f t="shared" si="125"/>
        <v>-1850000</v>
      </c>
      <c r="J174" s="166">
        <f t="shared" si="125"/>
        <v>-2075000</v>
      </c>
      <c r="K174" s="166">
        <f t="shared" si="125"/>
        <v>-3875000</v>
      </c>
      <c r="L174" s="166">
        <f t="shared" si="125"/>
        <v>-3500000</v>
      </c>
      <c r="M174" s="166">
        <f t="shared" si="125"/>
        <v>-3875000</v>
      </c>
      <c r="N174" s="166">
        <f t="shared" si="125"/>
        <v>-2250000</v>
      </c>
      <c r="O174" s="164"/>
    </row>
    <row r="175">
      <c r="A175" s="164"/>
      <c r="B175" s="200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4"/>
    </row>
    <row r="176">
      <c r="A176" s="175" t="s">
        <v>372</v>
      </c>
      <c r="B176" s="176"/>
      <c r="C176" s="199">
        <f t="shared" ref="C176:N176" si="126">C158+C161</f>
        <v>-4971667.667</v>
      </c>
      <c r="D176" s="199">
        <f t="shared" si="126"/>
        <v>-14591667.67</v>
      </c>
      <c r="E176" s="199">
        <f t="shared" si="126"/>
        <v>-2516667.667</v>
      </c>
      <c r="F176" s="199">
        <f t="shared" si="126"/>
        <v>-5716667.667</v>
      </c>
      <c r="G176" s="199">
        <f t="shared" si="126"/>
        <v>-4871667.667</v>
      </c>
      <c r="H176" s="168">
        <f t="shared" si="126"/>
        <v>9628332.333</v>
      </c>
      <c r="I176" s="168">
        <f t="shared" si="126"/>
        <v>18253332.33</v>
      </c>
      <c r="J176" s="168">
        <f t="shared" si="126"/>
        <v>17628332.33</v>
      </c>
      <c r="K176" s="168">
        <f t="shared" si="126"/>
        <v>9378332.333</v>
      </c>
      <c r="L176" s="168">
        <f t="shared" si="126"/>
        <v>8633332.333</v>
      </c>
      <c r="M176" s="168">
        <f t="shared" si="126"/>
        <v>9378332.333</v>
      </c>
      <c r="N176" s="168">
        <f t="shared" si="126"/>
        <v>633332.3333</v>
      </c>
      <c r="O176" s="176"/>
    </row>
    <row r="177">
      <c r="A177" s="196" t="s">
        <v>373</v>
      </c>
      <c r="B177" s="178"/>
      <c r="C177" s="197">
        <f t="shared" ref="C177:N177" si="127">IFERROR(C176/C7,"")</f>
        <v>-0.2924510392</v>
      </c>
      <c r="D177" s="197">
        <f t="shared" si="127"/>
        <v>-0.4169047905</v>
      </c>
      <c r="E177" s="197">
        <f t="shared" si="127"/>
        <v>-0.08388892222</v>
      </c>
      <c r="F177" s="197">
        <f t="shared" si="127"/>
        <v>-0.2858333833</v>
      </c>
      <c r="G177" s="197">
        <f t="shared" si="127"/>
        <v>-0.07857528495</v>
      </c>
      <c r="H177" s="197">
        <f t="shared" si="127"/>
        <v>0.2048581348</v>
      </c>
      <c r="I177" s="197">
        <f t="shared" si="127"/>
        <v>0.2535185046</v>
      </c>
      <c r="J177" s="197">
        <f t="shared" si="127"/>
        <v>0.2448379491</v>
      </c>
      <c r="K177" s="197">
        <f t="shared" si="127"/>
        <v>0.1077969234</v>
      </c>
      <c r="L177" s="197">
        <f t="shared" si="127"/>
        <v>0.09592591481</v>
      </c>
      <c r="M177" s="197">
        <f t="shared" si="127"/>
        <v>0.1077969234</v>
      </c>
      <c r="N177" s="197">
        <f t="shared" si="127"/>
        <v>0.009743574359</v>
      </c>
      <c r="O177" s="164"/>
    </row>
    <row r="178">
      <c r="A178" s="164"/>
      <c r="B178" s="178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</row>
    <row r="179">
      <c r="A179" s="183" t="s">
        <v>374</v>
      </c>
      <c r="B179" s="188">
        <v>0.2</v>
      </c>
      <c r="C179" s="166">
        <f t="shared" ref="C179:N179" si="128">-IF(C176&lt;0,0,C176*$B$179)</f>
        <v>0</v>
      </c>
      <c r="D179" s="166">
        <f t="shared" si="128"/>
        <v>0</v>
      </c>
      <c r="E179" s="166">
        <f t="shared" si="128"/>
        <v>0</v>
      </c>
      <c r="F179" s="166">
        <f t="shared" si="128"/>
        <v>0</v>
      </c>
      <c r="G179" s="166">
        <f t="shared" si="128"/>
        <v>0</v>
      </c>
      <c r="H179" s="166">
        <f t="shared" si="128"/>
        <v>-1925666.467</v>
      </c>
      <c r="I179" s="166">
        <f t="shared" si="128"/>
        <v>-3650666.467</v>
      </c>
      <c r="J179" s="166">
        <f t="shared" si="128"/>
        <v>-3525666.467</v>
      </c>
      <c r="K179" s="166">
        <f t="shared" si="128"/>
        <v>-1875666.467</v>
      </c>
      <c r="L179" s="166">
        <f t="shared" si="128"/>
        <v>-1726666.467</v>
      </c>
      <c r="M179" s="166">
        <f t="shared" si="128"/>
        <v>-1875666.467</v>
      </c>
      <c r="N179" s="166">
        <f t="shared" si="128"/>
        <v>-126666.4667</v>
      </c>
      <c r="O179" s="164"/>
    </row>
    <row r="180">
      <c r="A180" s="183" t="s">
        <v>375</v>
      </c>
      <c r="B180" s="185" t="s">
        <v>376</v>
      </c>
      <c r="C180" s="166">
        <f t="shared" ref="C180:N180" si="129">C193+C200+C207</f>
        <v>-55700</v>
      </c>
      <c r="D180" s="166">
        <f t="shared" si="129"/>
        <v>-55700</v>
      </c>
      <c r="E180" s="166">
        <f t="shared" si="129"/>
        <v>-55700</v>
      </c>
      <c r="F180" s="166">
        <f t="shared" si="129"/>
        <v>-55700</v>
      </c>
      <c r="G180" s="166">
        <f t="shared" si="129"/>
        <v>-55700</v>
      </c>
      <c r="H180" s="166">
        <f t="shared" si="129"/>
        <v>-55700</v>
      </c>
      <c r="I180" s="166">
        <f t="shared" si="129"/>
        <v>-55700</v>
      </c>
      <c r="J180" s="166">
        <f t="shared" si="129"/>
        <v>-55700</v>
      </c>
      <c r="K180" s="166">
        <f t="shared" si="129"/>
        <v>-55700</v>
      </c>
      <c r="L180" s="166">
        <f t="shared" si="129"/>
        <v>-55700</v>
      </c>
      <c r="M180" s="166">
        <f t="shared" si="129"/>
        <v>-34700</v>
      </c>
      <c r="N180" s="166">
        <f t="shared" si="129"/>
        <v>-34700</v>
      </c>
      <c r="O180" s="164"/>
    </row>
    <row r="181">
      <c r="A181" s="183" t="s">
        <v>377</v>
      </c>
      <c r="B181" s="185" t="s">
        <v>376</v>
      </c>
      <c r="C181" s="166">
        <f t="shared" ref="C181:N181" si="130">C227+C233+C239+C245</f>
        <v>-716666.6667</v>
      </c>
      <c r="D181" s="166">
        <f t="shared" si="130"/>
        <v>-716666.6667</v>
      </c>
      <c r="E181" s="166">
        <f t="shared" si="130"/>
        <v>-716666.6667</v>
      </c>
      <c r="F181" s="166">
        <f t="shared" si="130"/>
        <v>-716666.6667</v>
      </c>
      <c r="G181" s="166">
        <f t="shared" si="130"/>
        <v>-716666.6667</v>
      </c>
      <c r="H181" s="166">
        <f t="shared" si="130"/>
        <v>-716666.6667</v>
      </c>
      <c r="I181" s="166">
        <f t="shared" si="130"/>
        <v>-716666.6667</v>
      </c>
      <c r="J181" s="166">
        <f t="shared" si="130"/>
        <v>-716666.6667</v>
      </c>
      <c r="K181" s="166">
        <f t="shared" si="130"/>
        <v>-716666.6667</v>
      </c>
      <c r="L181" s="166">
        <f t="shared" si="130"/>
        <v>-716666.6667</v>
      </c>
      <c r="M181" s="166">
        <f t="shared" si="130"/>
        <v>-716666.6667</v>
      </c>
      <c r="N181" s="166">
        <f t="shared" si="130"/>
        <v>-716666.6667</v>
      </c>
      <c r="O181" s="164"/>
    </row>
    <row r="182">
      <c r="A182" s="164"/>
      <c r="B182" s="178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</row>
    <row r="183">
      <c r="A183" s="175" t="s">
        <v>44</v>
      </c>
      <c r="B183" s="176"/>
      <c r="C183" s="199">
        <f t="shared" ref="C183:N183" si="131">C176+SUM(C179:C182)</f>
        <v>-5744034.333</v>
      </c>
      <c r="D183" s="199">
        <f t="shared" si="131"/>
        <v>-15364034.33</v>
      </c>
      <c r="E183" s="199">
        <f t="shared" si="131"/>
        <v>-3289034.333</v>
      </c>
      <c r="F183" s="199">
        <f t="shared" si="131"/>
        <v>-6489034.333</v>
      </c>
      <c r="G183" s="199">
        <f t="shared" si="131"/>
        <v>-5644034.333</v>
      </c>
      <c r="H183" s="168">
        <f t="shared" si="131"/>
        <v>6930299.2</v>
      </c>
      <c r="I183" s="168">
        <f t="shared" si="131"/>
        <v>13830299.2</v>
      </c>
      <c r="J183" s="168">
        <f t="shared" si="131"/>
        <v>13330299.2</v>
      </c>
      <c r="K183" s="168">
        <f t="shared" si="131"/>
        <v>6730299.2</v>
      </c>
      <c r="L183" s="168">
        <f t="shared" si="131"/>
        <v>6134299.2</v>
      </c>
      <c r="M183" s="168">
        <f t="shared" si="131"/>
        <v>6751299.2</v>
      </c>
      <c r="N183" s="199">
        <f t="shared" si="131"/>
        <v>-244700.8</v>
      </c>
      <c r="O183" s="168">
        <f>SUM(C183:N183)</f>
        <v>16931922.73</v>
      </c>
    </row>
    <row r="184">
      <c r="A184" s="196" t="s">
        <v>378</v>
      </c>
      <c r="B184" s="178"/>
      <c r="C184" s="197">
        <f t="shared" ref="C184:N184" si="132">IFERROR(C183/C7,"")</f>
        <v>-0.3378843725</v>
      </c>
      <c r="D184" s="197">
        <f t="shared" si="132"/>
        <v>-0.4389724095</v>
      </c>
      <c r="E184" s="197">
        <f t="shared" si="132"/>
        <v>-0.1096344778</v>
      </c>
      <c r="F184" s="197">
        <f t="shared" si="132"/>
        <v>-0.3244517167</v>
      </c>
      <c r="G184" s="197">
        <f t="shared" si="132"/>
        <v>-0.09103281183</v>
      </c>
      <c r="H184" s="197">
        <f t="shared" si="132"/>
        <v>0.1474531745</v>
      </c>
      <c r="I184" s="197">
        <f t="shared" si="132"/>
        <v>0.1920874889</v>
      </c>
      <c r="J184" s="197">
        <f t="shared" si="132"/>
        <v>0.1851430444</v>
      </c>
      <c r="K184" s="197">
        <f t="shared" si="132"/>
        <v>0.07735976092</v>
      </c>
      <c r="L184" s="197">
        <f t="shared" si="132"/>
        <v>0.06815888</v>
      </c>
      <c r="M184" s="197">
        <f t="shared" si="132"/>
        <v>0.07760114023</v>
      </c>
      <c r="N184" s="197">
        <f t="shared" si="132"/>
        <v>-0.003764627692</v>
      </c>
      <c r="O184" s="164"/>
    </row>
    <row r="185">
      <c r="A185" s="164"/>
      <c r="B185" s="178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</row>
    <row r="186">
      <c r="A186" s="201" t="s">
        <v>379</v>
      </c>
      <c r="B186" s="178"/>
      <c r="C186" s="169">
        <f>C183</f>
        <v>-5744034.333</v>
      </c>
      <c r="D186" s="169">
        <f t="shared" ref="D186:N186" si="133">C186+D183</f>
        <v>-21108068.67</v>
      </c>
      <c r="E186" s="169">
        <f t="shared" si="133"/>
        <v>-24397103</v>
      </c>
      <c r="F186" s="169">
        <f t="shared" si="133"/>
        <v>-30886137.33</v>
      </c>
      <c r="G186" s="169">
        <f t="shared" si="133"/>
        <v>-36530171.67</v>
      </c>
      <c r="H186" s="169">
        <f t="shared" si="133"/>
        <v>-29599872.47</v>
      </c>
      <c r="I186" s="169">
        <f t="shared" si="133"/>
        <v>-15769573.27</v>
      </c>
      <c r="J186" s="169">
        <f t="shared" si="133"/>
        <v>-2439274.067</v>
      </c>
      <c r="K186" s="169">
        <f t="shared" si="133"/>
        <v>4291025.133</v>
      </c>
      <c r="L186" s="169">
        <f t="shared" si="133"/>
        <v>10425324.33</v>
      </c>
      <c r="M186" s="169">
        <f t="shared" si="133"/>
        <v>17176623.53</v>
      </c>
      <c r="N186" s="169">
        <f t="shared" si="133"/>
        <v>16931922.73</v>
      </c>
      <c r="O186" s="164"/>
    </row>
    <row r="187">
      <c r="A187" s="164"/>
      <c r="B187" s="178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</row>
    <row r="188">
      <c r="A188" s="175" t="s">
        <v>380</v>
      </c>
      <c r="B188" s="176"/>
      <c r="C188" s="168">
        <f t="shared" ref="C188:N188" si="134">C194+C201+C208+C213+C216</f>
        <v>-1870000</v>
      </c>
      <c r="D188" s="168">
        <f t="shared" si="134"/>
        <v>-1870000</v>
      </c>
      <c r="E188" s="168">
        <f t="shared" si="134"/>
        <v>-1870000</v>
      </c>
      <c r="F188" s="168">
        <f t="shared" si="134"/>
        <v>-1870000</v>
      </c>
      <c r="G188" s="168">
        <f t="shared" si="134"/>
        <v>-1870000</v>
      </c>
      <c r="H188" s="168">
        <f t="shared" si="134"/>
        <v>-5335149.6</v>
      </c>
      <c r="I188" s="168">
        <f t="shared" si="134"/>
        <v>-8785149.6</v>
      </c>
      <c r="J188" s="168">
        <f t="shared" si="134"/>
        <v>-8535149.6</v>
      </c>
      <c r="K188" s="168">
        <f t="shared" si="134"/>
        <v>-5235149.6</v>
      </c>
      <c r="L188" s="168">
        <f t="shared" si="134"/>
        <v>-4756149.6</v>
      </c>
      <c r="M188" s="168">
        <f t="shared" si="134"/>
        <v>-5015649.6</v>
      </c>
      <c r="N188" s="168">
        <f t="shared" si="134"/>
        <v>-1640000</v>
      </c>
      <c r="O188" s="176"/>
    </row>
    <row r="189">
      <c r="A189" s="164"/>
      <c r="B189" s="178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</row>
    <row r="190">
      <c r="A190" s="183" t="s">
        <v>381</v>
      </c>
      <c r="B190" s="178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</row>
    <row r="191">
      <c r="A191" s="183" t="s">
        <v>382</v>
      </c>
      <c r="B191" s="178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</row>
    <row r="192">
      <c r="A192" s="183" t="s">
        <v>383</v>
      </c>
      <c r="B192" s="178"/>
      <c r="C192" s="166">
        <f t="shared" ref="C192:L192" si="135">B195</f>
        <v>2119000</v>
      </c>
      <c r="D192" s="166">
        <f t="shared" si="135"/>
        <v>1889000</v>
      </c>
      <c r="E192" s="166">
        <f t="shared" si="135"/>
        <v>1659000</v>
      </c>
      <c r="F192" s="166">
        <f t="shared" si="135"/>
        <v>1429000</v>
      </c>
      <c r="G192" s="166">
        <f t="shared" si="135"/>
        <v>1199000</v>
      </c>
      <c r="H192" s="166">
        <f t="shared" si="135"/>
        <v>969000</v>
      </c>
      <c r="I192" s="166">
        <f t="shared" si="135"/>
        <v>739000</v>
      </c>
      <c r="J192" s="166">
        <f t="shared" si="135"/>
        <v>509000</v>
      </c>
      <c r="K192" s="166">
        <f t="shared" si="135"/>
        <v>279000</v>
      </c>
      <c r="L192" s="166">
        <f t="shared" si="135"/>
        <v>49000</v>
      </c>
      <c r="M192" s="164"/>
      <c r="N192" s="164" t="str">
        <f>M195</f>
        <v/>
      </c>
      <c r="O192" s="164"/>
    </row>
    <row r="193">
      <c r="A193" s="183" t="s">
        <v>384</v>
      </c>
      <c r="B193" s="178"/>
      <c r="C193" s="166">
        <v>-21000.0</v>
      </c>
      <c r="D193" s="166">
        <v>-21000.0</v>
      </c>
      <c r="E193" s="166">
        <v>-21000.0</v>
      </c>
      <c r="F193" s="166">
        <v>-21000.0</v>
      </c>
      <c r="G193" s="166">
        <v>-21000.0</v>
      </c>
      <c r="H193" s="166">
        <v>-21000.0</v>
      </c>
      <c r="I193" s="166">
        <v>-21000.0</v>
      </c>
      <c r="J193" s="166">
        <v>-21000.0</v>
      </c>
      <c r="K193" s="166">
        <v>-21000.0</v>
      </c>
      <c r="L193" s="166">
        <v>-21000.0</v>
      </c>
      <c r="M193" s="165"/>
      <c r="N193" s="165"/>
      <c r="O193" s="164"/>
    </row>
    <row r="194">
      <c r="A194" s="183" t="s">
        <v>385</v>
      </c>
      <c r="B194" s="187">
        <v>230000.0</v>
      </c>
      <c r="C194" s="166">
        <f t="shared" ref="C194:K194" si="136">-$B194</f>
        <v>-230000</v>
      </c>
      <c r="D194" s="166">
        <f t="shared" si="136"/>
        <v>-230000</v>
      </c>
      <c r="E194" s="166">
        <f t="shared" si="136"/>
        <v>-230000</v>
      </c>
      <c r="F194" s="166">
        <f t="shared" si="136"/>
        <v>-230000</v>
      </c>
      <c r="G194" s="166">
        <f t="shared" si="136"/>
        <v>-230000</v>
      </c>
      <c r="H194" s="166">
        <f t="shared" si="136"/>
        <v>-230000</v>
      </c>
      <c r="I194" s="166">
        <f t="shared" si="136"/>
        <v>-230000</v>
      </c>
      <c r="J194" s="166">
        <f t="shared" si="136"/>
        <v>-230000</v>
      </c>
      <c r="K194" s="166">
        <f t="shared" si="136"/>
        <v>-230000</v>
      </c>
      <c r="L194" s="193">
        <v>-49000.0</v>
      </c>
      <c r="M194" s="164"/>
      <c r="N194" s="164"/>
      <c r="O194" s="164"/>
    </row>
    <row r="195">
      <c r="A195" s="183" t="s">
        <v>386</v>
      </c>
      <c r="B195" s="187">
        <v>2119000.0</v>
      </c>
      <c r="C195" s="166">
        <f t="shared" ref="C195:L195" si="137">C192+C194</f>
        <v>1889000</v>
      </c>
      <c r="D195" s="166">
        <f t="shared" si="137"/>
        <v>1659000</v>
      </c>
      <c r="E195" s="166">
        <f t="shared" si="137"/>
        <v>1429000</v>
      </c>
      <c r="F195" s="166">
        <f t="shared" si="137"/>
        <v>1199000</v>
      </c>
      <c r="G195" s="166">
        <f t="shared" si="137"/>
        <v>969000</v>
      </c>
      <c r="H195" s="166">
        <f t="shared" si="137"/>
        <v>739000</v>
      </c>
      <c r="I195" s="166">
        <f t="shared" si="137"/>
        <v>509000</v>
      </c>
      <c r="J195" s="166">
        <f t="shared" si="137"/>
        <v>279000</v>
      </c>
      <c r="K195" s="166">
        <f t="shared" si="137"/>
        <v>49000</v>
      </c>
      <c r="L195" s="166">
        <f t="shared" si="137"/>
        <v>0</v>
      </c>
      <c r="M195" s="164"/>
      <c r="N195" s="164"/>
      <c r="O195" s="164"/>
    </row>
    <row r="196">
      <c r="A196" s="164"/>
      <c r="B196" s="178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</row>
    <row r="197">
      <c r="A197" s="183" t="s">
        <v>387</v>
      </c>
      <c r="B197" s="178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</row>
    <row r="198">
      <c r="A198" s="183" t="s">
        <v>382</v>
      </c>
      <c r="B198" s="178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</row>
    <row r="199">
      <c r="A199" s="183" t="s">
        <v>383</v>
      </c>
      <c r="B199" s="178"/>
      <c r="C199" s="166">
        <f t="shared" ref="C199:N199" si="138">B202</f>
        <v>850000</v>
      </c>
      <c r="D199" s="166">
        <f t="shared" si="138"/>
        <v>795000</v>
      </c>
      <c r="E199" s="166">
        <f t="shared" si="138"/>
        <v>740000</v>
      </c>
      <c r="F199" s="166">
        <f t="shared" si="138"/>
        <v>685000</v>
      </c>
      <c r="G199" s="166">
        <f t="shared" si="138"/>
        <v>630000</v>
      </c>
      <c r="H199" s="166">
        <f t="shared" si="138"/>
        <v>575000</v>
      </c>
      <c r="I199" s="166">
        <f t="shared" si="138"/>
        <v>520000</v>
      </c>
      <c r="J199" s="166">
        <f t="shared" si="138"/>
        <v>465000</v>
      </c>
      <c r="K199" s="166">
        <f t="shared" si="138"/>
        <v>410000</v>
      </c>
      <c r="L199" s="166">
        <f t="shared" si="138"/>
        <v>355000</v>
      </c>
      <c r="M199" s="166">
        <f t="shared" si="138"/>
        <v>300000</v>
      </c>
      <c r="N199" s="166">
        <f t="shared" si="138"/>
        <v>245000</v>
      </c>
      <c r="O199" s="164"/>
    </row>
    <row r="200">
      <c r="A200" s="183" t="s">
        <v>384</v>
      </c>
      <c r="B200" s="178"/>
      <c r="C200" s="166">
        <v>-15500.0</v>
      </c>
      <c r="D200" s="166">
        <v>-15500.0</v>
      </c>
      <c r="E200" s="166">
        <v>-15500.0</v>
      </c>
      <c r="F200" s="166">
        <v>-15500.0</v>
      </c>
      <c r="G200" s="166">
        <v>-15500.0</v>
      </c>
      <c r="H200" s="166">
        <v>-15500.0</v>
      </c>
      <c r="I200" s="166">
        <v>-15500.0</v>
      </c>
      <c r="J200" s="166">
        <v>-15500.0</v>
      </c>
      <c r="K200" s="166">
        <v>-15500.0</v>
      </c>
      <c r="L200" s="166">
        <v>-15500.0</v>
      </c>
      <c r="M200" s="166">
        <v>-15500.0</v>
      </c>
      <c r="N200" s="166">
        <v>-15500.0</v>
      </c>
      <c r="O200" s="165"/>
    </row>
    <row r="201">
      <c r="A201" s="183" t="s">
        <v>385</v>
      </c>
      <c r="B201" s="187">
        <v>55000.0</v>
      </c>
      <c r="C201" s="166">
        <f t="shared" ref="C201:N201" si="139">-$B201</f>
        <v>-55000</v>
      </c>
      <c r="D201" s="166">
        <f t="shared" si="139"/>
        <v>-55000</v>
      </c>
      <c r="E201" s="166">
        <f t="shared" si="139"/>
        <v>-55000</v>
      </c>
      <c r="F201" s="166">
        <f t="shared" si="139"/>
        <v>-55000</v>
      </c>
      <c r="G201" s="166">
        <f t="shared" si="139"/>
        <v>-55000</v>
      </c>
      <c r="H201" s="166">
        <f t="shared" si="139"/>
        <v>-55000</v>
      </c>
      <c r="I201" s="166">
        <f t="shared" si="139"/>
        <v>-55000</v>
      </c>
      <c r="J201" s="166">
        <f t="shared" si="139"/>
        <v>-55000</v>
      </c>
      <c r="K201" s="166">
        <f t="shared" si="139"/>
        <v>-55000</v>
      </c>
      <c r="L201" s="166">
        <f t="shared" si="139"/>
        <v>-55000</v>
      </c>
      <c r="M201" s="166">
        <f t="shared" si="139"/>
        <v>-55000</v>
      </c>
      <c r="N201" s="166">
        <f t="shared" si="139"/>
        <v>-55000</v>
      </c>
      <c r="O201" s="164"/>
    </row>
    <row r="202">
      <c r="A202" s="183" t="s">
        <v>386</v>
      </c>
      <c r="B202" s="187">
        <v>850000.0</v>
      </c>
      <c r="C202" s="166">
        <f t="shared" ref="C202:N202" si="140">C199+C201</f>
        <v>795000</v>
      </c>
      <c r="D202" s="166">
        <f t="shared" si="140"/>
        <v>740000</v>
      </c>
      <c r="E202" s="166">
        <f t="shared" si="140"/>
        <v>685000</v>
      </c>
      <c r="F202" s="166">
        <f t="shared" si="140"/>
        <v>630000</v>
      </c>
      <c r="G202" s="166">
        <f t="shared" si="140"/>
        <v>575000</v>
      </c>
      <c r="H202" s="166">
        <f t="shared" si="140"/>
        <v>520000</v>
      </c>
      <c r="I202" s="166">
        <f t="shared" si="140"/>
        <v>465000</v>
      </c>
      <c r="J202" s="166">
        <f t="shared" si="140"/>
        <v>410000</v>
      </c>
      <c r="K202" s="166">
        <f t="shared" si="140"/>
        <v>355000</v>
      </c>
      <c r="L202" s="166">
        <f t="shared" si="140"/>
        <v>300000</v>
      </c>
      <c r="M202" s="166">
        <f t="shared" si="140"/>
        <v>245000</v>
      </c>
      <c r="N202" s="166">
        <f t="shared" si="140"/>
        <v>190000</v>
      </c>
      <c r="O202" s="164"/>
    </row>
    <row r="203">
      <c r="A203" s="164"/>
      <c r="B203" s="200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</row>
    <row r="204">
      <c r="A204" s="183" t="s">
        <v>388</v>
      </c>
      <c r="B204" s="178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</row>
    <row r="205">
      <c r="A205" s="183" t="s">
        <v>382</v>
      </c>
      <c r="B205" s="178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</row>
    <row r="206">
      <c r="A206" s="183" t="s">
        <v>383</v>
      </c>
      <c r="B206" s="178"/>
      <c r="C206" s="166">
        <f t="shared" ref="C206:N206" si="141">B209</f>
        <v>1500000</v>
      </c>
      <c r="D206" s="166">
        <f t="shared" si="141"/>
        <v>1415000</v>
      </c>
      <c r="E206" s="166">
        <f t="shared" si="141"/>
        <v>1330000</v>
      </c>
      <c r="F206" s="166">
        <f t="shared" si="141"/>
        <v>1245000</v>
      </c>
      <c r="G206" s="166">
        <f t="shared" si="141"/>
        <v>1160000</v>
      </c>
      <c r="H206" s="166">
        <f t="shared" si="141"/>
        <v>1075000</v>
      </c>
      <c r="I206" s="166">
        <f t="shared" si="141"/>
        <v>990000</v>
      </c>
      <c r="J206" s="166">
        <f t="shared" si="141"/>
        <v>905000</v>
      </c>
      <c r="K206" s="166">
        <f t="shared" si="141"/>
        <v>820000</v>
      </c>
      <c r="L206" s="166">
        <f t="shared" si="141"/>
        <v>735000</v>
      </c>
      <c r="M206" s="166">
        <f t="shared" si="141"/>
        <v>650000</v>
      </c>
      <c r="N206" s="166">
        <f t="shared" si="141"/>
        <v>565000</v>
      </c>
      <c r="O206" s="164"/>
    </row>
    <row r="207">
      <c r="A207" s="183" t="s">
        <v>384</v>
      </c>
      <c r="B207" s="178"/>
      <c r="C207" s="166">
        <v>-19200.0</v>
      </c>
      <c r="D207" s="166">
        <v>-19200.0</v>
      </c>
      <c r="E207" s="166">
        <v>-19200.0</v>
      </c>
      <c r="F207" s="166">
        <v>-19200.0</v>
      </c>
      <c r="G207" s="166">
        <v>-19200.0</v>
      </c>
      <c r="H207" s="166">
        <v>-19200.0</v>
      </c>
      <c r="I207" s="166">
        <v>-19200.0</v>
      </c>
      <c r="J207" s="166">
        <v>-19200.0</v>
      </c>
      <c r="K207" s="166">
        <v>-19200.0</v>
      </c>
      <c r="L207" s="166">
        <v>-19200.0</v>
      </c>
      <c r="M207" s="166">
        <v>-19200.0</v>
      </c>
      <c r="N207" s="166">
        <v>-19200.0</v>
      </c>
      <c r="O207" s="165"/>
    </row>
    <row r="208">
      <c r="A208" s="183" t="s">
        <v>385</v>
      </c>
      <c r="B208" s="187">
        <v>85000.0</v>
      </c>
      <c r="C208" s="166">
        <f t="shared" ref="C208:N208" si="142">-$B208</f>
        <v>-85000</v>
      </c>
      <c r="D208" s="166">
        <f t="shared" si="142"/>
        <v>-85000</v>
      </c>
      <c r="E208" s="166">
        <f t="shared" si="142"/>
        <v>-85000</v>
      </c>
      <c r="F208" s="166">
        <f t="shared" si="142"/>
        <v>-85000</v>
      </c>
      <c r="G208" s="166">
        <f t="shared" si="142"/>
        <v>-85000</v>
      </c>
      <c r="H208" s="166">
        <f t="shared" si="142"/>
        <v>-85000</v>
      </c>
      <c r="I208" s="166">
        <f t="shared" si="142"/>
        <v>-85000</v>
      </c>
      <c r="J208" s="166">
        <f t="shared" si="142"/>
        <v>-85000</v>
      </c>
      <c r="K208" s="166">
        <f t="shared" si="142"/>
        <v>-85000</v>
      </c>
      <c r="L208" s="166">
        <f t="shared" si="142"/>
        <v>-85000</v>
      </c>
      <c r="M208" s="166">
        <f t="shared" si="142"/>
        <v>-85000</v>
      </c>
      <c r="N208" s="166">
        <f t="shared" si="142"/>
        <v>-85000</v>
      </c>
      <c r="O208" s="164"/>
    </row>
    <row r="209">
      <c r="A209" s="183" t="s">
        <v>386</v>
      </c>
      <c r="B209" s="187">
        <v>1500000.0</v>
      </c>
      <c r="C209" s="166">
        <f t="shared" ref="C209:N209" si="143">C206+C208</f>
        <v>1415000</v>
      </c>
      <c r="D209" s="166">
        <f t="shared" si="143"/>
        <v>1330000</v>
      </c>
      <c r="E209" s="166">
        <f t="shared" si="143"/>
        <v>1245000</v>
      </c>
      <c r="F209" s="166">
        <f t="shared" si="143"/>
        <v>1160000</v>
      </c>
      <c r="G209" s="166">
        <f t="shared" si="143"/>
        <v>1075000</v>
      </c>
      <c r="H209" s="166">
        <f t="shared" si="143"/>
        <v>990000</v>
      </c>
      <c r="I209" s="166">
        <f t="shared" si="143"/>
        <v>905000</v>
      </c>
      <c r="J209" s="166">
        <f t="shared" si="143"/>
        <v>820000</v>
      </c>
      <c r="K209" s="166">
        <f t="shared" si="143"/>
        <v>735000</v>
      </c>
      <c r="L209" s="166">
        <f t="shared" si="143"/>
        <v>650000</v>
      </c>
      <c r="M209" s="166">
        <f t="shared" si="143"/>
        <v>565000</v>
      </c>
      <c r="N209" s="166">
        <f t="shared" si="143"/>
        <v>480000</v>
      </c>
      <c r="O209" s="164"/>
    </row>
    <row r="210">
      <c r="A210" s="164"/>
      <c r="B210" s="178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</row>
    <row r="211">
      <c r="A211" s="183" t="s">
        <v>389</v>
      </c>
      <c r="B211" s="178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</row>
    <row r="212">
      <c r="A212" s="183" t="s">
        <v>390</v>
      </c>
      <c r="B212" s="178"/>
      <c r="C212" s="166">
        <f t="shared" ref="C212:N212" si="144">B214</f>
        <v>44000000</v>
      </c>
      <c r="D212" s="166">
        <f t="shared" si="144"/>
        <v>42500000</v>
      </c>
      <c r="E212" s="166">
        <f t="shared" si="144"/>
        <v>41000000</v>
      </c>
      <c r="F212" s="166">
        <f t="shared" si="144"/>
        <v>39500000</v>
      </c>
      <c r="G212" s="166">
        <f t="shared" si="144"/>
        <v>38000000</v>
      </c>
      <c r="H212" s="166">
        <f t="shared" si="144"/>
        <v>36500000</v>
      </c>
      <c r="I212" s="166">
        <f t="shared" si="144"/>
        <v>35000000</v>
      </c>
      <c r="J212" s="166">
        <f t="shared" si="144"/>
        <v>33500000</v>
      </c>
      <c r="K212" s="166">
        <f t="shared" si="144"/>
        <v>32000000</v>
      </c>
      <c r="L212" s="166">
        <f t="shared" si="144"/>
        <v>30500000</v>
      </c>
      <c r="M212" s="166">
        <f t="shared" si="144"/>
        <v>29000000</v>
      </c>
      <c r="N212" s="166">
        <f t="shared" si="144"/>
        <v>27500000</v>
      </c>
      <c r="O212" s="164"/>
    </row>
    <row r="213">
      <c r="A213" s="183" t="s">
        <v>391</v>
      </c>
      <c r="B213" s="187">
        <v>1500000.0</v>
      </c>
      <c r="C213" s="166">
        <f>-B213</f>
        <v>-1500000</v>
      </c>
      <c r="D213" s="166">
        <f t="shared" ref="D213:N213" si="145">C213</f>
        <v>-1500000</v>
      </c>
      <c r="E213" s="166">
        <f t="shared" si="145"/>
        <v>-1500000</v>
      </c>
      <c r="F213" s="166">
        <f t="shared" si="145"/>
        <v>-1500000</v>
      </c>
      <c r="G213" s="166">
        <f t="shared" si="145"/>
        <v>-1500000</v>
      </c>
      <c r="H213" s="166">
        <f t="shared" si="145"/>
        <v>-1500000</v>
      </c>
      <c r="I213" s="166">
        <f t="shared" si="145"/>
        <v>-1500000</v>
      </c>
      <c r="J213" s="166">
        <f t="shared" si="145"/>
        <v>-1500000</v>
      </c>
      <c r="K213" s="166">
        <f t="shared" si="145"/>
        <v>-1500000</v>
      </c>
      <c r="L213" s="166">
        <f t="shared" si="145"/>
        <v>-1500000</v>
      </c>
      <c r="M213" s="166">
        <f t="shared" si="145"/>
        <v>-1500000</v>
      </c>
      <c r="N213" s="166">
        <f t="shared" si="145"/>
        <v>-1500000</v>
      </c>
      <c r="O213" s="164"/>
    </row>
    <row r="214">
      <c r="A214" s="183" t="s">
        <v>392</v>
      </c>
      <c r="B214" s="187">
        <v>4.4E7</v>
      </c>
      <c r="C214" s="166">
        <f t="shared" ref="C214:N214" si="146">C212+C213</f>
        <v>42500000</v>
      </c>
      <c r="D214" s="166">
        <f t="shared" si="146"/>
        <v>41000000</v>
      </c>
      <c r="E214" s="166">
        <f t="shared" si="146"/>
        <v>39500000</v>
      </c>
      <c r="F214" s="166">
        <f t="shared" si="146"/>
        <v>38000000</v>
      </c>
      <c r="G214" s="166">
        <f t="shared" si="146"/>
        <v>36500000</v>
      </c>
      <c r="H214" s="166">
        <f t="shared" si="146"/>
        <v>35000000</v>
      </c>
      <c r="I214" s="166">
        <f t="shared" si="146"/>
        <v>33500000</v>
      </c>
      <c r="J214" s="166">
        <f t="shared" si="146"/>
        <v>32000000</v>
      </c>
      <c r="K214" s="166">
        <f t="shared" si="146"/>
        <v>30500000</v>
      </c>
      <c r="L214" s="166">
        <f t="shared" si="146"/>
        <v>29000000</v>
      </c>
      <c r="M214" s="166">
        <f t="shared" si="146"/>
        <v>27500000</v>
      </c>
      <c r="N214" s="166">
        <f t="shared" si="146"/>
        <v>26000000</v>
      </c>
      <c r="O214" s="164"/>
    </row>
    <row r="215">
      <c r="A215" s="164"/>
      <c r="B215" s="178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</row>
    <row r="216">
      <c r="A216" s="183" t="s">
        <v>393</v>
      </c>
      <c r="B216" s="188">
        <v>0.5</v>
      </c>
      <c r="C216" s="166">
        <f t="shared" ref="C216:N216" si="147">IF(C183&gt;0,-C183*$B$216,0)</f>
        <v>0</v>
      </c>
      <c r="D216" s="166">
        <f t="shared" si="147"/>
        <v>0</v>
      </c>
      <c r="E216" s="166">
        <f t="shared" si="147"/>
        <v>0</v>
      </c>
      <c r="F216" s="166">
        <f t="shared" si="147"/>
        <v>0</v>
      </c>
      <c r="G216" s="166">
        <f t="shared" si="147"/>
        <v>0</v>
      </c>
      <c r="H216" s="166">
        <f t="shared" si="147"/>
        <v>-3465149.6</v>
      </c>
      <c r="I216" s="166">
        <f t="shared" si="147"/>
        <v>-6915149.6</v>
      </c>
      <c r="J216" s="166">
        <f t="shared" si="147"/>
        <v>-6665149.6</v>
      </c>
      <c r="K216" s="166">
        <f t="shared" si="147"/>
        <v>-3365149.6</v>
      </c>
      <c r="L216" s="166">
        <f t="shared" si="147"/>
        <v>-3067149.6</v>
      </c>
      <c r="M216" s="166">
        <f t="shared" si="147"/>
        <v>-3375649.6</v>
      </c>
      <c r="N216" s="166">
        <f t="shared" si="147"/>
        <v>0</v>
      </c>
      <c r="O216" s="164"/>
    </row>
    <row r="217">
      <c r="A217" s="183" t="s">
        <v>394</v>
      </c>
      <c r="B217" s="188">
        <v>0.5</v>
      </c>
      <c r="C217" s="166">
        <f t="shared" ref="C217:N217" si="148">C216*$B$217</f>
        <v>0</v>
      </c>
      <c r="D217" s="166">
        <f t="shared" si="148"/>
        <v>0</v>
      </c>
      <c r="E217" s="166">
        <f t="shared" si="148"/>
        <v>0</v>
      </c>
      <c r="F217" s="166">
        <f t="shared" si="148"/>
        <v>0</v>
      </c>
      <c r="G217" s="166">
        <f t="shared" si="148"/>
        <v>0</v>
      </c>
      <c r="H217" s="166">
        <f t="shared" si="148"/>
        <v>-1732574.8</v>
      </c>
      <c r="I217" s="166">
        <f t="shared" si="148"/>
        <v>-3457574.8</v>
      </c>
      <c r="J217" s="166">
        <f t="shared" si="148"/>
        <v>-3332574.8</v>
      </c>
      <c r="K217" s="166">
        <f t="shared" si="148"/>
        <v>-1682574.8</v>
      </c>
      <c r="L217" s="166">
        <f t="shared" si="148"/>
        <v>-1533574.8</v>
      </c>
      <c r="M217" s="166">
        <f t="shared" si="148"/>
        <v>-1687824.8</v>
      </c>
      <c r="N217" s="166">
        <f t="shared" si="148"/>
        <v>0</v>
      </c>
      <c r="O217" s="164"/>
    </row>
    <row r="218">
      <c r="A218" s="183" t="s">
        <v>395</v>
      </c>
      <c r="B218" s="188">
        <v>0.5</v>
      </c>
      <c r="C218" s="166">
        <f t="shared" ref="C218:N218" si="149">C216*$B$218</f>
        <v>0</v>
      </c>
      <c r="D218" s="166">
        <f t="shared" si="149"/>
        <v>0</v>
      </c>
      <c r="E218" s="166">
        <f t="shared" si="149"/>
        <v>0</v>
      </c>
      <c r="F218" s="166">
        <f t="shared" si="149"/>
        <v>0</v>
      </c>
      <c r="G218" s="166">
        <f t="shared" si="149"/>
        <v>0</v>
      </c>
      <c r="H218" s="166">
        <f t="shared" si="149"/>
        <v>-1732574.8</v>
      </c>
      <c r="I218" s="166">
        <f t="shared" si="149"/>
        <v>-3457574.8</v>
      </c>
      <c r="J218" s="166">
        <f t="shared" si="149"/>
        <v>-3332574.8</v>
      </c>
      <c r="K218" s="166">
        <f t="shared" si="149"/>
        <v>-1682574.8</v>
      </c>
      <c r="L218" s="166">
        <f t="shared" si="149"/>
        <v>-1533574.8</v>
      </c>
      <c r="M218" s="166">
        <f t="shared" si="149"/>
        <v>-1687824.8</v>
      </c>
      <c r="N218" s="166">
        <f t="shared" si="149"/>
        <v>0</v>
      </c>
      <c r="O218" s="164"/>
    </row>
    <row r="219">
      <c r="A219" s="164"/>
      <c r="B219" s="178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</row>
    <row r="220">
      <c r="A220" s="201" t="s">
        <v>396</v>
      </c>
      <c r="B220" s="178"/>
      <c r="C220" s="169">
        <f>C216</f>
        <v>0</v>
      </c>
      <c r="D220" s="169">
        <f t="shared" ref="D220:N220" si="150">C220+D216</f>
        <v>0</v>
      </c>
      <c r="E220" s="169">
        <f t="shared" si="150"/>
        <v>0</v>
      </c>
      <c r="F220" s="169">
        <f t="shared" si="150"/>
        <v>0</v>
      </c>
      <c r="G220" s="169">
        <f t="shared" si="150"/>
        <v>0</v>
      </c>
      <c r="H220" s="169">
        <f t="shared" si="150"/>
        <v>-3465149.6</v>
      </c>
      <c r="I220" s="169">
        <f t="shared" si="150"/>
        <v>-10380299.2</v>
      </c>
      <c r="J220" s="169">
        <f t="shared" si="150"/>
        <v>-17045448.8</v>
      </c>
      <c r="K220" s="169">
        <f t="shared" si="150"/>
        <v>-20410598.4</v>
      </c>
      <c r="L220" s="169">
        <f t="shared" si="150"/>
        <v>-23477748</v>
      </c>
      <c r="M220" s="169">
        <f t="shared" si="150"/>
        <v>-26853397.6</v>
      </c>
      <c r="N220" s="169">
        <f t="shared" si="150"/>
        <v>-26853397.6</v>
      </c>
      <c r="O220" s="164"/>
    </row>
    <row r="221">
      <c r="A221" s="164"/>
      <c r="B221" s="178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</row>
    <row r="222">
      <c r="A222" s="175" t="s">
        <v>397</v>
      </c>
      <c r="B222" s="176"/>
      <c r="C222" s="168">
        <f t="shared" ref="C222:N222" si="151">-(C224+C230+C236+C242)</f>
        <v>0</v>
      </c>
      <c r="D222" s="168">
        <f t="shared" si="151"/>
        <v>-2000000</v>
      </c>
      <c r="E222" s="168">
        <f t="shared" si="151"/>
        <v>0</v>
      </c>
      <c r="F222" s="168">
        <f t="shared" si="151"/>
        <v>-75000</v>
      </c>
      <c r="G222" s="168">
        <f t="shared" si="151"/>
        <v>0</v>
      </c>
      <c r="H222" s="168">
        <f t="shared" si="151"/>
        <v>-400000</v>
      </c>
      <c r="I222" s="168">
        <f t="shared" si="151"/>
        <v>17000000</v>
      </c>
      <c r="J222" s="168">
        <f t="shared" si="151"/>
        <v>0</v>
      </c>
      <c r="K222" s="168">
        <f t="shared" si="151"/>
        <v>0</v>
      </c>
      <c r="L222" s="168">
        <f t="shared" si="151"/>
        <v>0</v>
      </c>
      <c r="M222" s="168">
        <f t="shared" si="151"/>
        <v>0</v>
      </c>
      <c r="N222" s="168">
        <f t="shared" si="151"/>
        <v>0</v>
      </c>
      <c r="O222" s="176"/>
    </row>
    <row r="223">
      <c r="A223" s="164"/>
      <c r="B223" s="178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</row>
    <row r="224">
      <c r="A224" s="183" t="s">
        <v>398</v>
      </c>
      <c r="B224" s="178"/>
      <c r="C224" s="164"/>
      <c r="D224" s="165"/>
      <c r="E224" s="165"/>
      <c r="F224" s="166">
        <v>75000.0</v>
      </c>
      <c r="G224" s="165"/>
      <c r="H224" s="165"/>
      <c r="I224" s="165"/>
      <c r="J224" s="164"/>
      <c r="K224" s="164"/>
      <c r="L224" s="164"/>
      <c r="M224" s="164"/>
      <c r="N224" s="164"/>
      <c r="O224" s="164"/>
    </row>
    <row r="225">
      <c r="A225" s="183" t="s">
        <v>399</v>
      </c>
      <c r="B225" s="185">
        <v>60.0</v>
      </c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</row>
    <row r="226">
      <c r="A226" s="183" t="s">
        <v>400</v>
      </c>
      <c r="B226" s="178"/>
      <c r="C226" s="166">
        <f t="shared" ref="C226:N226" si="152">B228+C224</f>
        <v>3000000</v>
      </c>
      <c r="D226" s="166">
        <f t="shared" si="152"/>
        <v>2950000</v>
      </c>
      <c r="E226" s="166">
        <f t="shared" si="152"/>
        <v>2900000</v>
      </c>
      <c r="F226" s="166">
        <f t="shared" si="152"/>
        <v>2925000</v>
      </c>
      <c r="G226" s="166">
        <f t="shared" si="152"/>
        <v>2875000</v>
      </c>
      <c r="H226" s="166">
        <f t="shared" si="152"/>
        <v>2825000</v>
      </c>
      <c r="I226" s="166">
        <f t="shared" si="152"/>
        <v>2775000</v>
      </c>
      <c r="J226" s="166">
        <f t="shared" si="152"/>
        <v>2725000</v>
      </c>
      <c r="K226" s="166">
        <f t="shared" si="152"/>
        <v>2675000</v>
      </c>
      <c r="L226" s="166">
        <f t="shared" si="152"/>
        <v>2625000</v>
      </c>
      <c r="M226" s="166">
        <f t="shared" si="152"/>
        <v>2575000</v>
      </c>
      <c r="N226" s="166">
        <f t="shared" si="152"/>
        <v>2525000</v>
      </c>
      <c r="O226" s="164"/>
    </row>
    <row r="227">
      <c r="A227" s="183" t="s">
        <v>401</v>
      </c>
      <c r="B227" s="187">
        <f>B228/B225</f>
        <v>50000</v>
      </c>
      <c r="C227" s="166">
        <f t="shared" ref="C227:N227" si="153">-$B$227</f>
        <v>-50000</v>
      </c>
      <c r="D227" s="166">
        <f t="shared" si="153"/>
        <v>-50000</v>
      </c>
      <c r="E227" s="166">
        <f t="shared" si="153"/>
        <v>-50000</v>
      </c>
      <c r="F227" s="166">
        <f t="shared" si="153"/>
        <v>-50000</v>
      </c>
      <c r="G227" s="166">
        <f t="shared" si="153"/>
        <v>-50000</v>
      </c>
      <c r="H227" s="166">
        <f t="shared" si="153"/>
        <v>-50000</v>
      </c>
      <c r="I227" s="166">
        <f t="shared" si="153"/>
        <v>-50000</v>
      </c>
      <c r="J227" s="166">
        <f t="shared" si="153"/>
        <v>-50000</v>
      </c>
      <c r="K227" s="166">
        <f t="shared" si="153"/>
        <v>-50000</v>
      </c>
      <c r="L227" s="166">
        <f t="shared" si="153"/>
        <v>-50000</v>
      </c>
      <c r="M227" s="166">
        <f t="shared" si="153"/>
        <v>-50000</v>
      </c>
      <c r="N227" s="166">
        <f t="shared" si="153"/>
        <v>-50000</v>
      </c>
      <c r="O227" s="164"/>
    </row>
    <row r="228">
      <c r="A228" s="183" t="s">
        <v>402</v>
      </c>
      <c r="B228" s="187">
        <v>3000000.0</v>
      </c>
      <c r="C228" s="166">
        <f t="shared" ref="C228:N228" si="154">C226+C227</f>
        <v>2950000</v>
      </c>
      <c r="D228" s="166">
        <f t="shared" si="154"/>
        <v>2900000</v>
      </c>
      <c r="E228" s="166">
        <f t="shared" si="154"/>
        <v>2850000</v>
      </c>
      <c r="F228" s="166">
        <f t="shared" si="154"/>
        <v>2875000</v>
      </c>
      <c r="G228" s="166">
        <f t="shared" si="154"/>
        <v>2825000</v>
      </c>
      <c r="H228" s="166">
        <f t="shared" si="154"/>
        <v>2775000</v>
      </c>
      <c r="I228" s="166">
        <f t="shared" si="154"/>
        <v>2725000</v>
      </c>
      <c r="J228" s="166">
        <f t="shared" si="154"/>
        <v>2675000</v>
      </c>
      <c r="K228" s="166">
        <f t="shared" si="154"/>
        <v>2625000</v>
      </c>
      <c r="L228" s="166">
        <f t="shared" si="154"/>
        <v>2575000</v>
      </c>
      <c r="M228" s="166">
        <f t="shared" si="154"/>
        <v>2525000</v>
      </c>
      <c r="N228" s="166">
        <f t="shared" si="154"/>
        <v>2475000</v>
      </c>
      <c r="O228" s="164"/>
    </row>
    <row r="229">
      <c r="A229" s="164"/>
      <c r="B229" s="178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</row>
    <row r="230">
      <c r="A230" s="183" t="s">
        <v>403</v>
      </c>
      <c r="B230" s="178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</row>
    <row r="231">
      <c r="A231" s="183" t="s">
        <v>399</v>
      </c>
      <c r="B231" s="185">
        <v>0.0</v>
      </c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</row>
    <row r="232">
      <c r="A232" s="183" t="s">
        <v>400</v>
      </c>
      <c r="B232" s="178"/>
      <c r="C232" s="166">
        <f t="shared" ref="C232:N232" si="155">B234+C230</f>
        <v>30000000</v>
      </c>
      <c r="D232" s="166">
        <f t="shared" si="155"/>
        <v>30000000</v>
      </c>
      <c r="E232" s="166">
        <f t="shared" si="155"/>
        <v>30000000</v>
      </c>
      <c r="F232" s="166">
        <f t="shared" si="155"/>
        <v>30000000</v>
      </c>
      <c r="G232" s="166">
        <f t="shared" si="155"/>
        <v>30000000</v>
      </c>
      <c r="H232" s="166">
        <f t="shared" si="155"/>
        <v>30000000</v>
      </c>
      <c r="I232" s="166">
        <f t="shared" si="155"/>
        <v>30000000</v>
      </c>
      <c r="J232" s="166">
        <f t="shared" si="155"/>
        <v>30000000</v>
      </c>
      <c r="K232" s="166">
        <f t="shared" si="155"/>
        <v>30000000</v>
      </c>
      <c r="L232" s="166">
        <f t="shared" si="155"/>
        <v>30000000</v>
      </c>
      <c r="M232" s="166">
        <f t="shared" si="155"/>
        <v>30000000</v>
      </c>
      <c r="N232" s="166">
        <f t="shared" si="155"/>
        <v>30000000</v>
      </c>
      <c r="O232" s="164"/>
    </row>
    <row r="233">
      <c r="A233" s="183" t="s">
        <v>401</v>
      </c>
      <c r="B233" s="200" t="str">
        <f>IFERROR(B234/B231,"")</f>
        <v/>
      </c>
      <c r="C233" s="166">
        <f t="shared" ref="C233:N233" si="156">-$B233</f>
        <v>0</v>
      </c>
      <c r="D233" s="166">
        <f t="shared" si="156"/>
        <v>0</v>
      </c>
      <c r="E233" s="166">
        <f t="shared" si="156"/>
        <v>0</v>
      </c>
      <c r="F233" s="166">
        <f t="shared" si="156"/>
        <v>0</v>
      </c>
      <c r="G233" s="166">
        <f t="shared" si="156"/>
        <v>0</v>
      </c>
      <c r="H233" s="166">
        <f t="shared" si="156"/>
        <v>0</v>
      </c>
      <c r="I233" s="166">
        <f t="shared" si="156"/>
        <v>0</v>
      </c>
      <c r="J233" s="166">
        <f t="shared" si="156"/>
        <v>0</v>
      </c>
      <c r="K233" s="166">
        <f t="shared" si="156"/>
        <v>0</v>
      </c>
      <c r="L233" s="166">
        <f t="shared" si="156"/>
        <v>0</v>
      </c>
      <c r="M233" s="166">
        <f t="shared" si="156"/>
        <v>0</v>
      </c>
      <c r="N233" s="166">
        <f t="shared" si="156"/>
        <v>0</v>
      </c>
      <c r="O233" s="164"/>
    </row>
    <row r="234">
      <c r="A234" s="183" t="s">
        <v>402</v>
      </c>
      <c r="B234" s="187">
        <v>3.0E7</v>
      </c>
      <c r="C234" s="166">
        <f t="shared" ref="C234:N234" si="157">C232+C233</f>
        <v>30000000</v>
      </c>
      <c r="D234" s="166">
        <f t="shared" si="157"/>
        <v>30000000</v>
      </c>
      <c r="E234" s="166">
        <f t="shared" si="157"/>
        <v>30000000</v>
      </c>
      <c r="F234" s="166">
        <f t="shared" si="157"/>
        <v>30000000</v>
      </c>
      <c r="G234" s="166">
        <f t="shared" si="157"/>
        <v>30000000</v>
      </c>
      <c r="H234" s="166">
        <f t="shared" si="157"/>
        <v>30000000</v>
      </c>
      <c r="I234" s="166">
        <f t="shared" si="157"/>
        <v>30000000</v>
      </c>
      <c r="J234" s="166">
        <f t="shared" si="157"/>
        <v>30000000</v>
      </c>
      <c r="K234" s="166">
        <f t="shared" si="157"/>
        <v>30000000</v>
      </c>
      <c r="L234" s="166">
        <f t="shared" si="157"/>
        <v>30000000</v>
      </c>
      <c r="M234" s="166">
        <f t="shared" si="157"/>
        <v>30000000</v>
      </c>
      <c r="N234" s="166">
        <f t="shared" si="157"/>
        <v>30000000</v>
      </c>
      <c r="O234" s="164"/>
    </row>
    <row r="235">
      <c r="A235" s="164"/>
      <c r="B235" s="178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</row>
    <row r="236">
      <c r="A236" s="183" t="s">
        <v>404</v>
      </c>
      <c r="B236" s="178"/>
      <c r="C236" s="164"/>
      <c r="D236" s="165"/>
      <c r="E236" s="165"/>
      <c r="F236" s="165"/>
      <c r="G236" s="165"/>
      <c r="H236" s="166">
        <v>400000.0</v>
      </c>
      <c r="I236" s="165"/>
      <c r="J236" s="164"/>
      <c r="K236" s="164"/>
      <c r="L236" s="164"/>
      <c r="M236" s="164"/>
      <c r="N236" s="164"/>
      <c r="O236" s="164"/>
    </row>
    <row r="237">
      <c r="A237" s="183" t="s">
        <v>399</v>
      </c>
      <c r="B237" s="185">
        <v>60.0</v>
      </c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</row>
    <row r="238">
      <c r="A238" s="183" t="s">
        <v>400</v>
      </c>
      <c r="B238" s="178"/>
      <c r="C238" s="166">
        <f t="shared" ref="C238:N238" si="158">B240+C236</f>
        <v>5000000</v>
      </c>
      <c r="D238" s="166">
        <f t="shared" si="158"/>
        <v>4916666.667</v>
      </c>
      <c r="E238" s="166">
        <f t="shared" si="158"/>
        <v>4833333.333</v>
      </c>
      <c r="F238" s="166">
        <f t="shared" si="158"/>
        <v>4750000</v>
      </c>
      <c r="G238" s="166">
        <f t="shared" si="158"/>
        <v>4666666.667</v>
      </c>
      <c r="H238" s="166">
        <f t="shared" si="158"/>
        <v>4983333.333</v>
      </c>
      <c r="I238" s="166">
        <f t="shared" si="158"/>
        <v>4900000</v>
      </c>
      <c r="J238" s="166">
        <f t="shared" si="158"/>
        <v>4816666.667</v>
      </c>
      <c r="K238" s="166">
        <f t="shared" si="158"/>
        <v>4733333.333</v>
      </c>
      <c r="L238" s="166">
        <f t="shared" si="158"/>
        <v>4650000</v>
      </c>
      <c r="M238" s="166">
        <f t="shared" si="158"/>
        <v>4566666.667</v>
      </c>
      <c r="N238" s="166">
        <f t="shared" si="158"/>
        <v>4483333.333</v>
      </c>
      <c r="O238" s="164"/>
    </row>
    <row r="239">
      <c r="A239" s="183" t="s">
        <v>401</v>
      </c>
      <c r="B239" s="187">
        <f>B240/B237</f>
        <v>83333.33333</v>
      </c>
      <c r="C239" s="166">
        <f t="shared" ref="C239:N239" si="159">-$B239</f>
        <v>-83333.33333</v>
      </c>
      <c r="D239" s="166">
        <f t="shared" si="159"/>
        <v>-83333.33333</v>
      </c>
      <c r="E239" s="166">
        <f t="shared" si="159"/>
        <v>-83333.33333</v>
      </c>
      <c r="F239" s="166">
        <f t="shared" si="159"/>
        <v>-83333.33333</v>
      </c>
      <c r="G239" s="166">
        <f t="shared" si="159"/>
        <v>-83333.33333</v>
      </c>
      <c r="H239" s="166">
        <f t="shared" si="159"/>
        <v>-83333.33333</v>
      </c>
      <c r="I239" s="166">
        <f t="shared" si="159"/>
        <v>-83333.33333</v>
      </c>
      <c r="J239" s="166">
        <f t="shared" si="159"/>
        <v>-83333.33333</v>
      </c>
      <c r="K239" s="166">
        <f t="shared" si="159"/>
        <v>-83333.33333</v>
      </c>
      <c r="L239" s="166">
        <f t="shared" si="159"/>
        <v>-83333.33333</v>
      </c>
      <c r="M239" s="166">
        <f t="shared" si="159"/>
        <v>-83333.33333</v>
      </c>
      <c r="N239" s="166">
        <f t="shared" si="159"/>
        <v>-83333.33333</v>
      </c>
      <c r="O239" s="164"/>
    </row>
    <row r="240">
      <c r="A240" s="183" t="s">
        <v>402</v>
      </c>
      <c r="B240" s="187">
        <v>5000000.0</v>
      </c>
      <c r="C240" s="166">
        <f t="shared" ref="C240:N240" si="160">C238+C239</f>
        <v>4916666.667</v>
      </c>
      <c r="D240" s="166">
        <f t="shared" si="160"/>
        <v>4833333.333</v>
      </c>
      <c r="E240" s="166">
        <f t="shared" si="160"/>
        <v>4750000</v>
      </c>
      <c r="F240" s="166">
        <f t="shared" si="160"/>
        <v>4666666.667</v>
      </c>
      <c r="G240" s="166">
        <f t="shared" si="160"/>
        <v>4583333.333</v>
      </c>
      <c r="H240" s="166">
        <f t="shared" si="160"/>
        <v>4900000</v>
      </c>
      <c r="I240" s="166">
        <f t="shared" si="160"/>
        <v>4816666.667</v>
      </c>
      <c r="J240" s="166">
        <f t="shared" si="160"/>
        <v>4733333.333</v>
      </c>
      <c r="K240" s="166">
        <f t="shared" si="160"/>
        <v>4650000</v>
      </c>
      <c r="L240" s="166">
        <f t="shared" si="160"/>
        <v>4566666.667</v>
      </c>
      <c r="M240" s="166">
        <f t="shared" si="160"/>
        <v>4483333.333</v>
      </c>
      <c r="N240" s="166">
        <f t="shared" si="160"/>
        <v>4400000</v>
      </c>
      <c r="O240" s="164"/>
    </row>
    <row r="241">
      <c r="A241" s="164"/>
      <c r="B241" s="178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</row>
    <row r="242">
      <c r="A242" s="183" t="s">
        <v>405</v>
      </c>
      <c r="B242" s="178"/>
      <c r="C242" s="164"/>
      <c r="D242" s="166">
        <v>2000000.0</v>
      </c>
      <c r="E242" s="165"/>
      <c r="F242" s="165"/>
      <c r="G242" s="165"/>
      <c r="H242" s="165"/>
      <c r="I242" s="166">
        <v>-1.7E7</v>
      </c>
      <c r="J242" s="164"/>
      <c r="K242" s="164"/>
      <c r="L242" s="164"/>
      <c r="M242" s="164"/>
      <c r="N242" s="164"/>
      <c r="O242" s="164"/>
    </row>
    <row r="243">
      <c r="A243" s="183" t="s">
        <v>399</v>
      </c>
      <c r="B243" s="185">
        <v>60.0</v>
      </c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4"/>
    </row>
    <row r="244">
      <c r="A244" s="183" t="s">
        <v>400</v>
      </c>
      <c r="B244" s="178"/>
      <c r="C244" s="166">
        <f t="shared" ref="C244:N244" si="161">B246+C242</f>
        <v>35000000</v>
      </c>
      <c r="D244" s="166">
        <f t="shared" si="161"/>
        <v>36416666.67</v>
      </c>
      <c r="E244" s="166">
        <f t="shared" si="161"/>
        <v>35833333.33</v>
      </c>
      <c r="F244" s="166">
        <f t="shared" si="161"/>
        <v>35250000</v>
      </c>
      <c r="G244" s="166">
        <f t="shared" si="161"/>
        <v>34666666.67</v>
      </c>
      <c r="H244" s="166">
        <f t="shared" si="161"/>
        <v>34083333.33</v>
      </c>
      <c r="I244" s="166">
        <f t="shared" si="161"/>
        <v>16500000</v>
      </c>
      <c r="J244" s="166">
        <f t="shared" si="161"/>
        <v>15916666.67</v>
      </c>
      <c r="K244" s="166">
        <f t="shared" si="161"/>
        <v>15333333.33</v>
      </c>
      <c r="L244" s="166">
        <f t="shared" si="161"/>
        <v>14750000</v>
      </c>
      <c r="M244" s="166">
        <f t="shared" si="161"/>
        <v>14166666.67</v>
      </c>
      <c r="N244" s="166">
        <f t="shared" si="161"/>
        <v>13583333.33</v>
      </c>
      <c r="O244" s="164"/>
    </row>
    <row r="245">
      <c r="A245" s="183" t="s">
        <v>401</v>
      </c>
      <c r="B245" s="187">
        <f>B246/B243</f>
        <v>583333.3333</v>
      </c>
      <c r="C245" s="166">
        <f t="shared" ref="C245:N245" si="162">-$B245</f>
        <v>-583333.3333</v>
      </c>
      <c r="D245" s="166">
        <f t="shared" si="162"/>
        <v>-583333.3333</v>
      </c>
      <c r="E245" s="166">
        <f t="shared" si="162"/>
        <v>-583333.3333</v>
      </c>
      <c r="F245" s="166">
        <f t="shared" si="162"/>
        <v>-583333.3333</v>
      </c>
      <c r="G245" s="166">
        <f t="shared" si="162"/>
        <v>-583333.3333</v>
      </c>
      <c r="H245" s="166">
        <f t="shared" si="162"/>
        <v>-583333.3333</v>
      </c>
      <c r="I245" s="166">
        <f t="shared" si="162"/>
        <v>-583333.3333</v>
      </c>
      <c r="J245" s="166">
        <f t="shared" si="162"/>
        <v>-583333.3333</v>
      </c>
      <c r="K245" s="166">
        <f t="shared" si="162"/>
        <v>-583333.3333</v>
      </c>
      <c r="L245" s="166">
        <f t="shared" si="162"/>
        <v>-583333.3333</v>
      </c>
      <c r="M245" s="166">
        <f t="shared" si="162"/>
        <v>-583333.3333</v>
      </c>
      <c r="N245" s="166">
        <f t="shared" si="162"/>
        <v>-583333.3333</v>
      </c>
      <c r="O245" s="164"/>
    </row>
    <row r="246">
      <c r="A246" s="183" t="s">
        <v>402</v>
      </c>
      <c r="B246" s="187">
        <v>3.5E7</v>
      </c>
      <c r="C246" s="166">
        <f t="shared" ref="C246:N246" si="163">C244+C245</f>
        <v>34416666.67</v>
      </c>
      <c r="D246" s="166">
        <f t="shared" si="163"/>
        <v>35833333.33</v>
      </c>
      <c r="E246" s="166">
        <f t="shared" si="163"/>
        <v>35250000</v>
      </c>
      <c r="F246" s="166">
        <f t="shared" si="163"/>
        <v>34666666.67</v>
      </c>
      <c r="G246" s="166">
        <f t="shared" si="163"/>
        <v>34083333.33</v>
      </c>
      <c r="H246" s="166">
        <f t="shared" si="163"/>
        <v>33500000</v>
      </c>
      <c r="I246" s="166">
        <f t="shared" si="163"/>
        <v>15916666.67</v>
      </c>
      <c r="J246" s="166">
        <f t="shared" si="163"/>
        <v>15333333.33</v>
      </c>
      <c r="K246" s="166">
        <f t="shared" si="163"/>
        <v>14750000</v>
      </c>
      <c r="L246" s="166">
        <f t="shared" si="163"/>
        <v>14166666.67</v>
      </c>
      <c r="M246" s="166">
        <f t="shared" si="163"/>
        <v>13583333.33</v>
      </c>
      <c r="N246" s="166">
        <f t="shared" si="163"/>
        <v>13000000</v>
      </c>
      <c r="O246" s="164"/>
    </row>
    <row r="247">
      <c r="A247" s="164"/>
      <c r="B247" s="178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</row>
    <row r="248">
      <c r="A248" s="202" t="s">
        <v>47</v>
      </c>
      <c r="B248" s="176"/>
      <c r="C248" s="168">
        <f t="shared" ref="C248:N248" si="164">C264-C280+C288-C294</f>
        <v>-111190000</v>
      </c>
      <c r="D248" s="168">
        <f t="shared" si="164"/>
        <v>-128940000</v>
      </c>
      <c r="E248" s="168">
        <f t="shared" si="164"/>
        <v>-131827500</v>
      </c>
      <c r="F248" s="168">
        <f t="shared" si="164"/>
        <v>-131337500</v>
      </c>
      <c r="G248" s="168">
        <f t="shared" si="164"/>
        <v>-150587500</v>
      </c>
      <c r="H248" s="168">
        <f t="shared" si="164"/>
        <v>-142587500</v>
      </c>
      <c r="I248" s="168">
        <f t="shared" si="164"/>
        <v>-142087500</v>
      </c>
      <c r="J248" s="168">
        <f t="shared" si="164"/>
        <v>-130200000</v>
      </c>
      <c r="K248" s="168">
        <f t="shared" si="164"/>
        <v>-135577500</v>
      </c>
      <c r="L248" s="168">
        <f t="shared" si="164"/>
        <v>-136450000</v>
      </c>
      <c r="M248" s="168">
        <f t="shared" si="164"/>
        <v>-134827500</v>
      </c>
      <c r="N248" s="168">
        <f t="shared" si="164"/>
        <v>-147950000</v>
      </c>
      <c r="O248" s="176"/>
    </row>
    <row r="249">
      <c r="A249" s="164"/>
      <c r="B249" s="178"/>
      <c r="C249" s="166">
        <f t="shared" ref="C249:N249" si="165">C265+C289-C281-C295</f>
        <v>9810000</v>
      </c>
      <c r="D249" s="166">
        <f t="shared" si="165"/>
        <v>-17750000</v>
      </c>
      <c r="E249" s="166">
        <f t="shared" si="165"/>
        <v>-2887500</v>
      </c>
      <c r="F249" s="166">
        <f t="shared" si="165"/>
        <v>490000</v>
      </c>
      <c r="G249" s="166">
        <f t="shared" si="165"/>
        <v>-19250000</v>
      </c>
      <c r="H249" s="166">
        <f t="shared" si="165"/>
        <v>8000000</v>
      </c>
      <c r="I249" s="166">
        <f t="shared" si="165"/>
        <v>500000</v>
      </c>
      <c r="J249" s="166">
        <f t="shared" si="165"/>
        <v>11887500</v>
      </c>
      <c r="K249" s="166">
        <f t="shared" si="165"/>
        <v>-5377500</v>
      </c>
      <c r="L249" s="166">
        <f t="shared" si="165"/>
        <v>-872500</v>
      </c>
      <c r="M249" s="166">
        <f t="shared" si="165"/>
        <v>1622500</v>
      </c>
      <c r="N249" s="166">
        <f t="shared" si="165"/>
        <v>-13122500</v>
      </c>
      <c r="O249" s="164"/>
    </row>
    <row r="250">
      <c r="A250" s="183" t="s">
        <v>49</v>
      </c>
      <c r="B250" s="178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</row>
    <row r="251">
      <c r="A251" s="183" t="s">
        <v>406</v>
      </c>
      <c r="B251" s="188">
        <v>0.25</v>
      </c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</row>
    <row r="252">
      <c r="A252" s="183" t="s">
        <v>407</v>
      </c>
      <c r="B252" s="188">
        <v>0.3</v>
      </c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</row>
    <row r="253">
      <c r="A253" s="183" t="s">
        <v>408</v>
      </c>
      <c r="B253" s="188">
        <v>0.5</v>
      </c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</row>
    <row r="254">
      <c r="A254" s="183" t="s">
        <v>409</v>
      </c>
      <c r="B254" s="188">
        <v>0.5</v>
      </c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</row>
    <row r="255">
      <c r="A255" s="183" t="s">
        <v>410</v>
      </c>
      <c r="B255" s="178"/>
      <c r="C255" s="166">
        <f t="shared" ref="C255:N255" si="166">B264</f>
        <v>1000000</v>
      </c>
      <c r="D255" s="166">
        <f t="shared" si="166"/>
        <v>14210000</v>
      </c>
      <c r="E255" s="166">
        <f t="shared" si="166"/>
        <v>960000</v>
      </c>
      <c r="F255" s="166">
        <f t="shared" si="166"/>
        <v>2072500</v>
      </c>
      <c r="G255" s="166">
        <f t="shared" si="166"/>
        <v>11612500</v>
      </c>
      <c r="H255" s="166">
        <f t="shared" si="166"/>
        <v>-1637500</v>
      </c>
      <c r="I255" s="166">
        <f t="shared" si="166"/>
        <v>7862500</v>
      </c>
      <c r="J255" s="166">
        <f t="shared" si="166"/>
        <v>16862500</v>
      </c>
      <c r="K255" s="166">
        <f t="shared" si="166"/>
        <v>33250000</v>
      </c>
      <c r="L255" s="166">
        <f t="shared" si="166"/>
        <v>34322500</v>
      </c>
      <c r="M255" s="166">
        <f t="shared" si="166"/>
        <v>28500000</v>
      </c>
      <c r="N255" s="166">
        <f t="shared" si="166"/>
        <v>11072500</v>
      </c>
      <c r="O255" s="164"/>
    </row>
    <row r="256">
      <c r="A256" s="203" t="s">
        <v>411</v>
      </c>
      <c r="B256" s="178"/>
      <c r="C256" s="204">
        <f t="shared" ref="C256:N256" si="167">-D257*$B$251-C257*(1-$B$251)</f>
        <v>0</v>
      </c>
      <c r="D256" s="204">
        <f t="shared" si="167"/>
        <v>0</v>
      </c>
      <c r="E256" s="204">
        <f t="shared" si="167"/>
        <v>1612500</v>
      </c>
      <c r="F256" s="204">
        <f t="shared" si="167"/>
        <v>6450000</v>
      </c>
      <c r="G256" s="204">
        <f t="shared" si="167"/>
        <v>6450000</v>
      </c>
      <c r="H256" s="204">
        <f t="shared" si="167"/>
        <v>6450000</v>
      </c>
      <c r="I256" s="204">
        <f t="shared" si="167"/>
        <v>6450000</v>
      </c>
      <c r="J256" s="204">
        <f t="shared" si="167"/>
        <v>4837500</v>
      </c>
      <c r="K256" s="204">
        <f t="shared" si="167"/>
        <v>1612500</v>
      </c>
      <c r="L256" s="204">
        <f t="shared" si="167"/>
        <v>4837500</v>
      </c>
      <c r="M256" s="204">
        <f t="shared" si="167"/>
        <v>1612500</v>
      </c>
      <c r="N256" s="204">
        <f t="shared" si="167"/>
        <v>4837500</v>
      </c>
      <c r="O256" s="164"/>
    </row>
    <row r="257">
      <c r="A257" s="203" t="s">
        <v>412</v>
      </c>
      <c r="B257" s="178"/>
      <c r="C257" s="204">
        <f t="shared" ref="C257:N257" si="168">C68</f>
        <v>0</v>
      </c>
      <c r="D257" s="204">
        <f t="shared" si="168"/>
        <v>0</v>
      </c>
      <c r="E257" s="204">
        <f t="shared" si="168"/>
        <v>0</v>
      </c>
      <c r="F257" s="204">
        <f t="shared" si="168"/>
        <v>-6450000</v>
      </c>
      <c r="G257" s="204">
        <f t="shared" si="168"/>
        <v>-6450000</v>
      </c>
      <c r="H257" s="204">
        <f t="shared" si="168"/>
        <v>-6450000</v>
      </c>
      <c r="I257" s="204">
        <f t="shared" si="168"/>
        <v>-6450000</v>
      </c>
      <c r="J257" s="204">
        <f t="shared" si="168"/>
        <v>-6450000</v>
      </c>
      <c r="K257" s="204">
        <f t="shared" si="168"/>
        <v>0</v>
      </c>
      <c r="L257" s="204">
        <f t="shared" si="168"/>
        <v>-6450000</v>
      </c>
      <c r="M257" s="204">
        <f t="shared" si="168"/>
        <v>0</v>
      </c>
      <c r="N257" s="204">
        <f t="shared" si="168"/>
        <v>-6450000</v>
      </c>
      <c r="O257" s="164"/>
    </row>
    <row r="258">
      <c r="A258" s="203" t="s">
        <v>413</v>
      </c>
      <c r="B258" s="178"/>
      <c r="C258" s="204">
        <f t="shared" ref="C258:M258" si="169">-(D259*$B$252)-(C259*(1-$B$252))</f>
        <v>1260000</v>
      </c>
      <c r="D258" s="204">
        <f t="shared" si="169"/>
        <v>0</v>
      </c>
      <c r="E258" s="204">
        <f t="shared" si="169"/>
        <v>0</v>
      </c>
      <c r="F258" s="204">
        <f t="shared" si="169"/>
        <v>540000</v>
      </c>
      <c r="G258" s="204">
        <f t="shared" si="169"/>
        <v>1800000</v>
      </c>
      <c r="H258" s="204">
        <f t="shared" si="169"/>
        <v>1800000</v>
      </c>
      <c r="I258" s="204">
        <f t="shared" si="169"/>
        <v>1800000</v>
      </c>
      <c r="J258" s="204">
        <f t="shared" si="169"/>
        <v>1800000</v>
      </c>
      <c r="K258" s="204">
        <f t="shared" si="169"/>
        <v>1260000</v>
      </c>
      <c r="L258" s="204">
        <f t="shared" si="169"/>
        <v>540000</v>
      </c>
      <c r="M258" s="204">
        <f t="shared" si="169"/>
        <v>1260000</v>
      </c>
      <c r="N258" s="204">
        <f>-C259*$B$252</f>
        <v>540000</v>
      </c>
      <c r="O258" s="164"/>
    </row>
    <row r="259">
      <c r="A259" s="203" t="s">
        <v>414</v>
      </c>
      <c r="B259" s="200"/>
      <c r="C259" s="204">
        <f t="shared" ref="C259:N259" si="170">C73</f>
        <v>-1800000</v>
      </c>
      <c r="D259" s="204">
        <f t="shared" si="170"/>
        <v>0</v>
      </c>
      <c r="E259" s="204">
        <f t="shared" si="170"/>
        <v>0</v>
      </c>
      <c r="F259" s="204">
        <f t="shared" si="170"/>
        <v>0</v>
      </c>
      <c r="G259" s="204">
        <f t="shared" si="170"/>
        <v>-1800000</v>
      </c>
      <c r="H259" s="204">
        <f t="shared" si="170"/>
        <v>-1800000</v>
      </c>
      <c r="I259" s="204">
        <f t="shared" si="170"/>
        <v>-1800000</v>
      </c>
      <c r="J259" s="204">
        <f t="shared" si="170"/>
        <v>-1800000</v>
      </c>
      <c r="K259" s="204">
        <f t="shared" si="170"/>
        <v>-1800000</v>
      </c>
      <c r="L259" s="204">
        <f t="shared" si="170"/>
        <v>0</v>
      </c>
      <c r="M259" s="204">
        <f t="shared" si="170"/>
        <v>-1800000</v>
      </c>
      <c r="N259" s="204">
        <f t="shared" si="170"/>
        <v>0</v>
      </c>
      <c r="O259" s="164"/>
    </row>
    <row r="260">
      <c r="A260" s="203" t="s">
        <v>415</v>
      </c>
      <c r="B260" s="200"/>
      <c r="C260" s="204">
        <f>-(E261*$B$253)</f>
        <v>4750000</v>
      </c>
      <c r="D260" s="204">
        <f t="shared" ref="D260:N260" si="171">-(F261*$B$253)-(E261*(1-$B$253))</f>
        <v>4750000</v>
      </c>
      <c r="E260" s="204">
        <f t="shared" si="171"/>
        <v>0</v>
      </c>
      <c r="F260" s="204">
        <f t="shared" si="171"/>
        <v>0</v>
      </c>
      <c r="G260" s="204">
        <f t="shared" si="171"/>
        <v>4750000</v>
      </c>
      <c r="H260" s="204">
        <f t="shared" si="171"/>
        <v>9500000</v>
      </c>
      <c r="I260" s="204">
        <f t="shared" si="171"/>
        <v>9500000</v>
      </c>
      <c r="J260" s="204">
        <f t="shared" si="171"/>
        <v>9500000</v>
      </c>
      <c r="K260" s="204">
        <f t="shared" si="171"/>
        <v>9500000</v>
      </c>
      <c r="L260" s="204">
        <f t="shared" si="171"/>
        <v>4750000</v>
      </c>
      <c r="M260" s="204">
        <f t="shared" si="171"/>
        <v>0</v>
      </c>
      <c r="N260" s="204">
        <f t="shared" si="171"/>
        <v>0</v>
      </c>
      <c r="O260" s="164"/>
    </row>
    <row r="261">
      <c r="A261" s="203" t="s">
        <v>416</v>
      </c>
      <c r="B261" s="200"/>
      <c r="C261" s="204">
        <f t="shared" ref="C261:N261" si="172">C78</f>
        <v>0</v>
      </c>
      <c r="D261" s="204">
        <f t="shared" si="172"/>
        <v>0</v>
      </c>
      <c r="E261" s="204">
        <f t="shared" si="172"/>
        <v>-9500000</v>
      </c>
      <c r="F261" s="204">
        <f t="shared" si="172"/>
        <v>0</v>
      </c>
      <c r="G261" s="204">
        <f t="shared" si="172"/>
        <v>0</v>
      </c>
      <c r="H261" s="204">
        <f t="shared" si="172"/>
        <v>0</v>
      </c>
      <c r="I261" s="204">
        <f t="shared" si="172"/>
        <v>-9500000</v>
      </c>
      <c r="J261" s="204">
        <f t="shared" si="172"/>
        <v>-9500000</v>
      </c>
      <c r="K261" s="204">
        <f t="shared" si="172"/>
        <v>-9500000</v>
      </c>
      <c r="L261" s="204">
        <f t="shared" si="172"/>
        <v>-9500000</v>
      </c>
      <c r="M261" s="204">
        <f t="shared" si="172"/>
        <v>-9500000</v>
      </c>
      <c r="N261" s="204">
        <f t="shared" si="172"/>
        <v>0</v>
      </c>
      <c r="O261" s="164"/>
    </row>
    <row r="262">
      <c r="A262" s="203" t="s">
        <v>417</v>
      </c>
      <c r="B262" s="200"/>
      <c r="C262" s="204">
        <f t="shared" ref="C262:M262" si="173">-(E263*$B$254)-(D263*(1-$B$254))</f>
        <v>9000000</v>
      </c>
      <c r="D262" s="204">
        <f t="shared" si="173"/>
        <v>0</v>
      </c>
      <c r="E262" s="204">
        <f t="shared" si="173"/>
        <v>9000000</v>
      </c>
      <c r="F262" s="204">
        <f t="shared" si="173"/>
        <v>9000000</v>
      </c>
      <c r="G262" s="204">
        <f t="shared" si="173"/>
        <v>0</v>
      </c>
      <c r="H262" s="204">
        <f t="shared" si="173"/>
        <v>0</v>
      </c>
      <c r="I262" s="204">
        <f t="shared" si="173"/>
        <v>9000000</v>
      </c>
      <c r="J262" s="204">
        <f t="shared" si="173"/>
        <v>18000000</v>
      </c>
      <c r="K262" s="204">
        <f t="shared" si="173"/>
        <v>18000000</v>
      </c>
      <c r="L262" s="204">
        <f t="shared" si="173"/>
        <v>18000000</v>
      </c>
      <c r="M262" s="204">
        <f t="shared" si="173"/>
        <v>9000000</v>
      </c>
      <c r="N262" s="204">
        <f>-D263*(1-$B$254)</f>
        <v>9000000</v>
      </c>
      <c r="O262" s="164"/>
    </row>
    <row r="263">
      <c r="A263" s="203" t="s">
        <v>418</v>
      </c>
      <c r="B263" s="200"/>
      <c r="C263" s="204">
        <f t="shared" ref="C263:N263" si="174">C83</f>
        <v>0</v>
      </c>
      <c r="D263" s="204">
        <f t="shared" si="174"/>
        <v>-18000000</v>
      </c>
      <c r="E263" s="204">
        <f t="shared" si="174"/>
        <v>0</v>
      </c>
      <c r="F263" s="204">
        <f t="shared" si="174"/>
        <v>0</v>
      </c>
      <c r="G263" s="204">
        <f t="shared" si="174"/>
        <v>-18000000</v>
      </c>
      <c r="H263" s="204">
        <f t="shared" si="174"/>
        <v>0</v>
      </c>
      <c r="I263" s="204">
        <f t="shared" si="174"/>
        <v>0</v>
      </c>
      <c r="J263" s="204">
        <f t="shared" si="174"/>
        <v>0</v>
      </c>
      <c r="K263" s="204">
        <f t="shared" si="174"/>
        <v>-18000000</v>
      </c>
      <c r="L263" s="204">
        <f t="shared" si="174"/>
        <v>-18000000</v>
      </c>
      <c r="M263" s="204">
        <f t="shared" si="174"/>
        <v>-18000000</v>
      </c>
      <c r="N263" s="204">
        <f t="shared" si="174"/>
        <v>-18000000</v>
      </c>
      <c r="O263" s="164"/>
    </row>
    <row r="264">
      <c r="A264" s="183" t="s">
        <v>419</v>
      </c>
      <c r="B264" s="187">
        <v>1000000.0</v>
      </c>
      <c r="C264" s="166">
        <f t="shared" ref="C264:N264" si="175">SUM(C255:C263)</f>
        <v>14210000</v>
      </c>
      <c r="D264" s="166">
        <f t="shared" si="175"/>
        <v>960000</v>
      </c>
      <c r="E264" s="166">
        <f t="shared" si="175"/>
        <v>2072500</v>
      </c>
      <c r="F264" s="166">
        <f t="shared" si="175"/>
        <v>11612500</v>
      </c>
      <c r="G264" s="166">
        <f t="shared" si="175"/>
        <v>-1637500</v>
      </c>
      <c r="H264" s="166">
        <f t="shared" si="175"/>
        <v>7862500</v>
      </c>
      <c r="I264" s="166">
        <f t="shared" si="175"/>
        <v>16862500</v>
      </c>
      <c r="J264" s="166">
        <f t="shared" si="175"/>
        <v>33250000</v>
      </c>
      <c r="K264" s="166">
        <f t="shared" si="175"/>
        <v>34322500</v>
      </c>
      <c r="L264" s="166">
        <f t="shared" si="175"/>
        <v>28500000</v>
      </c>
      <c r="M264" s="166">
        <f t="shared" si="175"/>
        <v>11072500</v>
      </c>
      <c r="N264" s="166">
        <f t="shared" si="175"/>
        <v>1000000</v>
      </c>
      <c r="O264" s="164"/>
    </row>
    <row r="265">
      <c r="A265" s="183" t="s">
        <v>53</v>
      </c>
      <c r="B265" s="178"/>
      <c r="C265" s="166">
        <f t="shared" ref="C265:N265" si="176">C264-C255</f>
        <v>13210000</v>
      </c>
      <c r="D265" s="166">
        <f t="shared" si="176"/>
        <v>-13250000</v>
      </c>
      <c r="E265" s="166">
        <f t="shared" si="176"/>
        <v>1112500</v>
      </c>
      <c r="F265" s="166">
        <f t="shared" si="176"/>
        <v>9540000</v>
      </c>
      <c r="G265" s="166">
        <f t="shared" si="176"/>
        <v>-13250000</v>
      </c>
      <c r="H265" s="166">
        <f t="shared" si="176"/>
        <v>9500000</v>
      </c>
      <c r="I265" s="166">
        <f t="shared" si="176"/>
        <v>9000000</v>
      </c>
      <c r="J265" s="166">
        <f t="shared" si="176"/>
        <v>16387500</v>
      </c>
      <c r="K265" s="166">
        <f t="shared" si="176"/>
        <v>1072500</v>
      </c>
      <c r="L265" s="166">
        <f t="shared" si="176"/>
        <v>-5822500</v>
      </c>
      <c r="M265" s="166">
        <f t="shared" si="176"/>
        <v>-17427500</v>
      </c>
      <c r="N265" s="166">
        <f t="shared" si="176"/>
        <v>-10072500</v>
      </c>
      <c r="O265" s="164"/>
    </row>
    <row r="266">
      <c r="A266" s="164"/>
      <c r="B266" s="178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</row>
    <row r="267">
      <c r="A267" s="183" t="s">
        <v>420</v>
      </c>
      <c r="B267" s="188">
        <v>0.3</v>
      </c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</row>
    <row r="268">
      <c r="A268" s="183" t="s">
        <v>421</v>
      </c>
      <c r="B268" s="178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</row>
    <row r="269">
      <c r="A269" s="183" t="s">
        <v>422</v>
      </c>
      <c r="B269" s="178"/>
      <c r="C269" s="166">
        <f t="shared" ref="C269:N269" si="177">B280</f>
        <v>120000000</v>
      </c>
      <c r="D269" s="166">
        <f t="shared" si="177"/>
        <v>128400000</v>
      </c>
      <c r="E269" s="166">
        <f t="shared" si="177"/>
        <v>123900000</v>
      </c>
      <c r="F269" s="166">
        <f t="shared" si="177"/>
        <v>134400000</v>
      </c>
      <c r="G269" s="166">
        <f t="shared" si="177"/>
        <v>142500000</v>
      </c>
      <c r="H269" s="166">
        <f t="shared" si="177"/>
        <v>145500000</v>
      </c>
      <c r="I269" s="166">
        <f t="shared" si="177"/>
        <v>153000000</v>
      </c>
      <c r="J269" s="166">
        <f t="shared" si="177"/>
        <v>162000000</v>
      </c>
      <c r="K269" s="166">
        <f t="shared" si="177"/>
        <v>166500000</v>
      </c>
      <c r="L269" s="166">
        <f t="shared" si="177"/>
        <v>167400000</v>
      </c>
      <c r="M269" s="166">
        <f t="shared" si="177"/>
        <v>159000000</v>
      </c>
      <c r="N269" s="166">
        <f t="shared" si="177"/>
        <v>143400000</v>
      </c>
      <c r="O269" s="164"/>
    </row>
    <row r="270">
      <c r="A270" s="203" t="s">
        <v>423</v>
      </c>
      <c r="B270" s="200"/>
      <c r="C270" s="204">
        <f t="shared" ref="C270:N270" si="178">C16*C22*$B$267</f>
        <v>6000000</v>
      </c>
      <c r="D270" s="204">
        <f t="shared" si="178"/>
        <v>6000000</v>
      </c>
      <c r="E270" s="204">
        <f t="shared" si="178"/>
        <v>6000000</v>
      </c>
      <c r="F270" s="204">
        <f t="shared" si="178"/>
        <v>6000000</v>
      </c>
      <c r="G270" s="204">
        <f t="shared" si="178"/>
        <v>6000000</v>
      </c>
      <c r="H270" s="204">
        <f t="shared" si="178"/>
        <v>6000000</v>
      </c>
      <c r="I270" s="204">
        <f t="shared" si="178"/>
        <v>6000000</v>
      </c>
      <c r="J270" s="204">
        <f t="shared" si="178"/>
        <v>6000000</v>
      </c>
      <c r="K270" s="204">
        <f t="shared" si="178"/>
        <v>6000000</v>
      </c>
      <c r="L270" s="204">
        <f t="shared" si="178"/>
        <v>6000000</v>
      </c>
      <c r="M270" s="204">
        <f t="shared" si="178"/>
        <v>6000000</v>
      </c>
      <c r="N270" s="204">
        <f t="shared" si="178"/>
        <v>6000000</v>
      </c>
      <c r="O270" s="164"/>
    </row>
    <row r="271">
      <c r="A271" s="203" t="s">
        <v>424</v>
      </c>
      <c r="B271" s="200"/>
      <c r="C271" s="204">
        <f t="shared" ref="C271:N271" si="179">-C17*C22*$B$267</f>
        <v>-1500000</v>
      </c>
      <c r="D271" s="204">
        <f t="shared" si="179"/>
        <v>-1500000</v>
      </c>
      <c r="E271" s="204">
        <f t="shared" si="179"/>
        <v>-1500000</v>
      </c>
      <c r="F271" s="204">
        <f t="shared" si="179"/>
        <v>-1500000</v>
      </c>
      <c r="G271" s="204">
        <f t="shared" si="179"/>
        <v>-1500000</v>
      </c>
      <c r="H271" s="204">
        <f t="shared" si="179"/>
        <v>-6000000</v>
      </c>
      <c r="I271" s="204">
        <f t="shared" si="179"/>
        <v>-6000000</v>
      </c>
      <c r="J271" s="204">
        <f t="shared" si="179"/>
        <v>-6000000</v>
      </c>
      <c r="K271" s="204">
        <f t="shared" si="179"/>
        <v>-6000000</v>
      </c>
      <c r="L271" s="204">
        <f t="shared" si="179"/>
        <v>-6000000</v>
      </c>
      <c r="M271" s="204">
        <f t="shared" si="179"/>
        <v>-6000000</v>
      </c>
      <c r="N271" s="204">
        <f t="shared" si="179"/>
        <v>-6000000</v>
      </c>
      <c r="O271" s="164"/>
    </row>
    <row r="272">
      <c r="A272" s="203" t="s">
        <v>425</v>
      </c>
      <c r="B272" s="200"/>
      <c r="C272" s="204">
        <f t="shared" ref="C272:M272" si="180">-D273</f>
        <v>0</v>
      </c>
      <c r="D272" s="204">
        <f t="shared" si="180"/>
        <v>0</v>
      </c>
      <c r="E272" s="204">
        <f t="shared" si="180"/>
        <v>4500000</v>
      </c>
      <c r="F272" s="204">
        <f t="shared" si="180"/>
        <v>4500000</v>
      </c>
      <c r="G272" s="204">
        <f t="shared" si="180"/>
        <v>4500000</v>
      </c>
      <c r="H272" s="204">
        <f t="shared" si="180"/>
        <v>4500000</v>
      </c>
      <c r="I272" s="204">
        <f t="shared" si="180"/>
        <v>4500000</v>
      </c>
      <c r="J272" s="204">
        <f t="shared" si="180"/>
        <v>0</v>
      </c>
      <c r="K272" s="204">
        <f t="shared" si="180"/>
        <v>4500000</v>
      </c>
      <c r="L272" s="204">
        <f t="shared" si="180"/>
        <v>0</v>
      </c>
      <c r="M272" s="204">
        <f t="shared" si="180"/>
        <v>4500000</v>
      </c>
      <c r="N272" s="204">
        <f>-C273</f>
        <v>0</v>
      </c>
      <c r="O272" s="164"/>
    </row>
    <row r="273">
      <c r="A273" s="203" t="s">
        <v>426</v>
      </c>
      <c r="B273" s="200"/>
      <c r="C273" s="204">
        <f t="shared" ref="C273:N273" si="181">-C33*C36*$B$267</f>
        <v>0</v>
      </c>
      <c r="D273" s="204">
        <f t="shared" si="181"/>
        <v>0</v>
      </c>
      <c r="E273" s="204">
        <f t="shared" si="181"/>
        <v>0</v>
      </c>
      <c r="F273" s="204">
        <f t="shared" si="181"/>
        <v>-4500000</v>
      </c>
      <c r="G273" s="204">
        <f t="shared" si="181"/>
        <v>-4500000</v>
      </c>
      <c r="H273" s="204">
        <f t="shared" si="181"/>
        <v>-4500000</v>
      </c>
      <c r="I273" s="204">
        <f t="shared" si="181"/>
        <v>-4500000</v>
      </c>
      <c r="J273" s="204">
        <f t="shared" si="181"/>
        <v>-4500000</v>
      </c>
      <c r="K273" s="204">
        <f t="shared" si="181"/>
        <v>0</v>
      </c>
      <c r="L273" s="204">
        <f t="shared" si="181"/>
        <v>-4500000</v>
      </c>
      <c r="M273" s="204">
        <f t="shared" si="181"/>
        <v>0</v>
      </c>
      <c r="N273" s="204">
        <f t="shared" si="181"/>
        <v>-4500000</v>
      </c>
      <c r="O273" s="164"/>
    </row>
    <row r="274">
      <c r="A274" s="203" t="s">
        <v>427</v>
      </c>
      <c r="B274" s="200"/>
      <c r="C274" s="204">
        <f t="shared" ref="C274:M274" si="182">-D275</f>
        <v>0</v>
      </c>
      <c r="D274" s="204">
        <f t="shared" si="182"/>
        <v>0</v>
      </c>
      <c r="E274" s="204">
        <f t="shared" si="182"/>
        <v>0</v>
      </c>
      <c r="F274" s="204">
        <f t="shared" si="182"/>
        <v>3600000</v>
      </c>
      <c r="G274" s="204">
        <f t="shared" si="182"/>
        <v>3600000</v>
      </c>
      <c r="H274" s="204">
        <f t="shared" si="182"/>
        <v>3600000</v>
      </c>
      <c r="I274" s="204">
        <f t="shared" si="182"/>
        <v>3600000</v>
      </c>
      <c r="J274" s="204">
        <f t="shared" si="182"/>
        <v>3600000</v>
      </c>
      <c r="K274" s="204">
        <f t="shared" si="182"/>
        <v>0</v>
      </c>
      <c r="L274" s="204">
        <f t="shared" si="182"/>
        <v>3600000</v>
      </c>
      <c r="M274" s="204">
        <f t="shared" si="182"/>
        <v>0</v>
      </c>
      <c r="N274" s="204">
        <f>-C275</f>
        <v>3600000</v>
      </c>
      <c r="O274" s="164"/>
    </row>
    <row r="275">
      <c r="A275" s="203" t="s">
        <v>428</v>
      </c>
      <c r="B275" s="200"/>
      <c r="C275" s="204">
        <f t="shared" ref="C275:N275" si="183">-C40*C43*$B$267</f>
        <v>-3600000</v>
      </c>
      <c r="D275" s="204">
        <f t="shared" si="183"/>
        <v>0</v>
      </c>
      <c r="E275" s="204">
        <f t="shared" si="183"/>
        <v>0</v>
      </c>
      <c r="F275" s="204">
        <f t="shared" si="183"/>
        <v>0</v>
      </c>
      <c r="G275" s="204">
        <f t="shared" si="183"/>
        <v>-3600000</v>
      </c>
      <c r="H275" s="204">
        <f t="shared" si="183"/>
        <v>-3600000</v>
      </c>
      <c r="I275" s="204">
        <f t="shared" si="183"/>
        <v>-3600000</v>
      </c>
      <c r="J275" s="204">
        <f t="shared" si="183"/>
        <v>-3600000</v>
      </c>
      <c r="K275" s="204">
        <f t="shared" si="183"/>
        <v>-3600000</v>
      </c>
      <c r="L275" s="204">
        <f t="shared" si="183"/>
        <v>0</v>
      </c>
      <c r="M275" s="204">
        <f t="shared" si="183"/>
        <v>-3600000</v>
      </c>
      <c r="N275" s="204">
        <f t="shared" si="183"/>
        <v>0</v>
      </c>
      <c r="O275" s="164"/>
    </row>
    <row r="276">
      <c r="A276" s="203" t="s">
        <v>429</v>
      </c>
      <c r="B276" s="200"/>
      <c r="C276" s="204">
        <f t="shared" ref="C276:N276" si="184">-E277</f>
        <v>7500000</v>
      </c>
      <c r="D276" s="204">
        <f t="shared" si="184"/>
        <v>0</v>
      </c>
      <c r="E276" s="204">
        <f t="shared" si="184"/>
        <v>0</v>
      </c>
      <c r="F276" s="204">
        <f t="shared" si="184"/>
        <v>0</v>
      </c>
      <c r="G276" s="204">
        <f t="shared" si="184"/>
        <v>7500000</v>
      </c>
      <c r="H276" s="204">
        <f t="shared" si="184"/>
        <v>7500000</v>
      </c>
      <c r="I276" s="204">
        <f t="shared" si="184"/>
        <v>7500000</v>
      </c>
      <c r="J276" s="204">
        <f t="shared" si="184"/>
        <v>7500000</v>
      </c>
      <c r="K276" s="204">
        <f t="shared" si="184"/>
        <v>7500000</v>
      </c>
      <c r="L276" s="204">
        <f t="shared" si="184"/>
        <v>0</v>
      </c>
      <c r="M276" s="204">
        <f t="shared" si="184"/>
        <v>0</v>
      </c>
      <c r="N276" s="204">
        <f t="shared" si="184"/>
        <v>0</v>
      </c>
      <c r="O276" s="164"/>
    </row>
    <row r="277">
      <c r="A277" s="203" t="s">
        <v>430</v>
      </c>
      <c r="B277" s="200"/>
      <c r="C277" s="204">
        <f t="shared" ref="C277:N277" si="185">-C47*C50*$B$267</f>
        <v>0</v>
      </c>
      <c r="D277" s="204">
        <f t="shared" si="185"/>
        <v>0</v>
      </c>
      <c r="E277" s="204">
        <f t="shared" si="185"/>
        <v>-7500000</v>
      </c>
      <c r="F277" s="204">
        <f t="shared" si="185"/>
        <v>0</v>
      </c>
      <c r="G277" s="204">
        <f t="shared" si="185"/>
        <v>0</v>
      </c>
      <c r="H277" s="204">
        <f t="shared" si="185"/>
        <v>0</v>
      </c>
      <c r="I277" s="204">
        <f t="shared" si="185"/>
        <v>-7500000</v>
      </c>
      <c r="J277" s="204">
        <f t="shared" si="185"/>
        <v>-7500000</v>
      </c>
      <c r="K277" s="204">
        <f t="shared" si="185"/>
        <v>-7500000</v>
      </c>
      <c r="L277" s="204">
        <f t="shared" si="185"/>
        <v>-7500000</v>
      </c>
      <c r="M277" s="204">
        <f t="shared" si="185"/>
        <v>-7500000</v>
      </c>
      <c r="N277" s="204">
        <f t="shared" si="185"/>
        <v>0</v>
      </c>
      <c r="O277" s="164"/>
    </row>
    <row r="278">
      <c r="A278" s="203" t="s">
        <v>431</v>
      </c>
      <c r="B278" s="200"/>
      <c r="C278" s="204">
        <f t="shared" ref="C278:M278" si="186">-E279</f>
        <v>0</v>
      </c>
      <c r="D278" s="204">
        <f t="shared" si="186"/>
        <v>0</v>
      </c>
      <c r="E278" s="204">
        <f t="shared" si="186"/>
        <v>9000000</v>
      </c>
      <c r="F278" s="204">
        <f t="shared" si="186"/>
        <v>0</v>
      </c>
      <c r="G278" s="204">
        <f t="shared" si="186"/>
        <v>0</v>
      </c>
      <c r="H278" s="204">
        <f t="shared" si="186"/>
        <v>0</v>
      </c>
      <c r="I278" s="204">
        <f t="shared" si="186"/>
        <v>9000000</v>
      </c>
      <c r="J278" s="204">
        <f t="shared" si="186"/>
        <v>9000000</v>
      </c>
      <c r="K278" s="204">
        <f t="shared" si="186"/>
        <v>9000000</v>
      </c>
      <c r="L278" s="204">
        <f t="shared" si="186"/>
        <v>9000000</v>
      </c>
      <c r="M278" s="204">
        <f t="shared" si="186"/>
        <v>0</v>
      </c>
      <c r="N278" s="204">
        <f>-D279</f>
        <v>9000000</v>
      </c>
      <c r="O278" s="164"/>
    </row>
    <row r="279">
      <c r="A279" s="203" t="s">
        <v>432</v>
      </c>
      <c r="B279" s="200"/>
      <c r="C279" s="204">
        <f t="shared" ref="C279:N279" si="187">-C54*C57*$B$267</f>
        <v>0</v>
      </c>
      <c r="D279" s="204">
        <f t="shared" si="187"/>
        <v>-9000000</v>
      </c>
      <c r="E279" s="204">
        <f t="shared" si="187"/>
        <v>0</v>
      </c>
      <c r="F279" s="204">
        <f t="shared" si="187"/>
        <v>0</v>
      </c>
      <c r="G279" s="204">
        <f t="shared" si="187"/>
        <v>-9000000</v>
      </c>
      <c r="H279" s="204">
        <f t="shared" si="187"/>
        <v>0</v>
      </c>
      <c r="I279" s="204">
        <f t="shared" si="187"/>
        <v>0</v>
      </c>
      <c r="J279" s="204">
        <f t="shared" si="187"/>
        <v>0</v>
      </c>
      <c r="K279" s="204">
        <f t="shared" si="187"/>
        <v>-9000000</v>
      </c>
      <c r="L279" s="204">
        <f t="shared" si="187"/>
        <v>-9000000</v>
      </c>
      <c r="M279" s="204">
        <f t="shared" si="187"/>
        <v>-9000000</v>
      </c>
      <c r="N279" s="204">
        <f t="shared" si="187"/>
        <v>-9000000</v>
      </c>
      <c r="O279" s="164"/>
    </row>
    <row r="280">
      <c r="A280" s="183" t="s">
        <v>433</v>
      </c>
      <c r="B280" s="187">
        <v>1.2E8</v>
      </c>
      <c r="C280" s="166">
        <f t="shared" ref="C280:N280" si="188">SUM(C269:C279)</f>
        <v>128400000</v>
      </c>
      <c r="D280" s="166">
        <f t="shared" si="188"/>
        <v>123900000</v>
      </c>
      <c r="E280" s="166">
        <f t="shared" si="188"/>
        <v>134400000</v>
      </c>
      <c r="F280" s="166">
        <f t="shared" si="188"/>
        <v>142500000</v>
      </c>
      <c r="G280" s="166">
        <f t="shared" si="188"/>
        <v>145500000</v>
      </c>
      <c r="H280" s="166">
        <f t="shared" si="188"/>
        <v>153000000</v>
      </c>
      <c r="I280" s="166">
        <f t="shared" si="188"/>
        <v>162000000</v>
      </c>
      <c r="J280" s="166">
        <f t="shared" si="188"/>
        <v>166500000</v>
      </c>
      <c r="K280" s="166">
        <f t="shared" si="188"/>
        <v>167400000</v>
      </c>
      <c r="L280" s="166">
        <f t="shared" si="188"/>
        <v>159000000</v>
      </c>
      <c r="M280" s="166">
        <f t="shared" si="188"/>
        <v>143400000</v>
      </c>
      <c r="N280" s="166">
        <f t="shared" si="188"/>
        <v>142500000</v>
      </c>
      <c r="O280" s="164"/>
    </row>
    <row r="281">
      <c r="A281" s="183" t="s">
        <v>58</v>
      </c>
      <c r="B281" s="178"/>
      <c r="C281" s="166">
        <f t="shared" ref="C281:N281" si="189">C280-C269</f>
        <v>8400000</v>
      </c>
      <c r="D281" s="166">
        <f t="shared" si="189"/>
        <v>-4500000</v>
      </c>
      <c r="E281" s="166">
        <f t="shared" si="189"/>
        <v>10500000</v>
      </c>
      <c r="F281" s="166">
        <f t="shared" si="189"/>
        <v>8100000</v>
      </c>
      <c r="G281" s="166">
        <f t="shared" si="189"/>
        <v>3000000</v>
      </c>
      <c r="H281" s="166">
        <f t="shared" si="189"/>
        <v>7500000</v>
      </c>
      <c r="I281" s="166">
        <f t="shared" si="189"/>
        <v>9000000</v>
      </c>
      <c r="J281" s="166">
        <f t="shared" si="189"/>
        <v>4500000</v>
      </c>
      <c r="K281" s="166">
        <f t="shared" si="189"/>
        <v>900000</v>
      </c>
      <c r="L281" s="166">
        <f t="shared" si="189"/>
        <v>-8400000</v>
      </c>
      <c r="M281" s="166">
        <f t="shared" si="189"/>
        <v>-15600000</v>
      </c>
      <c r="N281" s="166">
        <f t="shared" si="189"/>
        <v>-900000</v>
      </c>
      <c r="O281" s="164"/>
    </row>
    <row r="282">
      <c r="A282" s="164"/>
      <c r="B282" s="178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</row>
    <row r="283">
      <c r="A283" s="183" t="s">
        <v>434</v>
      </c>
      <c r="B283" s="188">
        <v>0.4</v>
      </c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</row>
    <row r="284">
      <c r="A284" s="183" t="s">
        <v>435</v>
      </c>
      <c r="B284" s="185">
        <v>30.0</v>
      </c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</row>
    <row r="285">
      <c r="A285" s="183" t="s">
        <v>436</v>
      </c>
      <c r="B285" s="178"/>
      <c r="C285" s="166">
        <f t="shared" ref="C285:N285" si="190">B288</f>
        <v>23000000</v>
      </c>
      <c r="D285" s="166">
        <f t="shared" si="190"/>
        <v>4800000</v>
      </c>
      <c r="E285" s="166">
        <f t="shared" si="190"/>
        <v>12000000</v>
      </c>
      <c r="F285" s="166">
        <f t="shared" si="190"/>
        <v>10000000</v>
      </c>
      <c r="G285" s="166">
        <f t="shared" si="190"/>
        <v>6000000</v>
      </c>
      <c r="H285" s="166">
        <f t="shared" si="190"/>
        <v>22800000</v>
      </c>
      <c r="I285" s="166">
        <f t="shared" si="190"/>
        <v>10800000</v>
      </c>
      <c r="J285" s="166">
        <f t="shared" si="190"/>
        <v>20800000</v>
      </c>
      <c r="K285" s="166">
        <f t="shared" si="190"/>
        <v>20800000</v>
      </c>
      <c r="L285" s="166">
        <f t="shared" si="190"/>
        <v>26800000</v>
      </c>
      <c r="M285" s="166">
        <f t="shared" si="190"/>
        <v>28000000</v>
      </c>
      <c r="N285" s="166">
        <f t="shared" si="190"/>
        <v>26800000</v>
      </c>
      <c r="O285" s="164"/>
    </row>
    <row r="286">
      <c r="A286" s="203" t="s">
        <v>437</v>
      </c>
      <c r="B286" s="200"/>
      <c r="C286" s="204">
        <f t="shared" ref="C286:N286" si="191">(C38+C45+C52+C59)*$B$283</f>
        <v>4800000</v>
      </c>
      <c r="D286" s="204">
        <f t="shared" si="191"/>
        <v>12000000</v>
      </c>
      <c r="E286" s="204">
        <f t="shared" si="191"/>
        <v>10000000</v>
      </c>
      <c r="F286" s="204">
        <f t="shared" si="191"/>
        <v>6000000</v>
      </c>
      <c r="G286" s="204">
        <f t="shared" si="191"/>
        <v>22800000</v>
      </c>
      <c r="H286" s="204">
        <f t="shared" si="191"/>
        <v>10800000</v>
      </c>
      <c r="I286" s="204">
        <f t="shared" si="191"/>
        <v>20800000</v>
      </c>
      <c r="J286" s="204">
        <f t="shared" si="191"/>
        <v>20800000</v>
      </c>
      <c r="K286" s="204">
        <f t="shared" si="191"/>
        <v>26800000</v>
      </c>
      <c r="L286" s="204">
        <f t="shared" si="191"/>
        <v>28000000</v>
      </c>
      <c r="M286" s="204">
        <f t="shared" si="191"/>
        <v>26800000</v>
      </c>
      <c r="N286" s="204">
        <f t="shared" si="191"/>
        <v>18000000</v>
      </c>
      <c r="O286" s="164"/>
    </row>
    <row r="287">
      <c r="A287" s="203" t="s">
        <v>438</v>
      </c>
      <c r="B287" s="200"/>
      <c r="C287" s="204">
        <f>B288</f>
        <v>23000000</v>
      </c>
      <c r="D287" s="204">
        <f t="shared" ref="D287:N287" si="192">C286</f>
        <v>4800000</v>
      </c>
      <c r="E287" s="204">
        <f t="shared" si="192"/>
        <v>12000000</v>
      </c>
      <c r="F287" s="204">
        <f t="shared" si="192"/>
        <v>10000000</v>
      </c>
      <c r="G287" s="204">
        <f t="shared" si="192"/>
        <v>6000000</v>
      </c>
      <c r="H287" s="204">
        <f t="shared" si="192"/>
        <v>22800000</v>
      </c>
      <c r="I287" s="204">
        <f t="shared" si="192"/>
        <v>10800000</v>
      </c>
      <c r="J287" s="204">
        <f t="shared" si="192"/>
        <v>20800000</v>
      </c>
      <c r="K287" s="204">
        <f t="shared" si="192"/>
        <v>20800000</v>
      </c>
      <c r="L287" s="204">
        <f t="shared" si="192"/>
        <v>26800000</v>
      </c>
      <c r="M287" s="204">
        <f t="shared" si="192"/>
        <v>28000000</v>
      </c>
      <c r="N287" s="204">
        <f t="shared" si="192"/>
        <v>26800000</v>
      </c>
      <c r="O287" s="164"/>
    </row>
    <row r="288">
      <c r="A288" s="183" t="s">
        <v>439</v>
      </c>
      <c r="B288" s="187">
        <v>2.3E7</v>
      </c>
      <c r="C288" s="166">
        <f t="shared" ref="C288:N288" si="193">C285+C286-C287</f>
        <v>4800000</v>
      </c>
      <c r="D288" s="166">
        <f t="shared" si="193"/>
        <v>12000000</v>
      </c>
      <c r="E288" s="166">
        <f t="shared" si="193"/>
        <v>10000000</v>
      </c>
      <c r="F288" s="166">
        <f t="shared" si="193"/>
        <v>6000000</v>
      </c>
      <c r="G288" s="166">
        <f t="shared" si="193"/>
        <v>22800000</v>
      </c>
      <c r="H288" s="166">
        <f t="shared" si="193"/>
        <v>10800000</v>
      </c>
      <c r="I288" s="166">
        <f t="shared" si="193"/>
        <v>20800000</v>
      </c>
      <c r="J288" s="166">
        <f t="shared" si="193"/>
        <v>20800000</v>
      </c>
      <c r="K288" s="166">
        <f t="shared" si="193"/>
        <v>26800000</v>
      </c>
      <c r="L288" s="166">
        <f t="shared" si="193"/>
        <v>28000000</v>
      </c>
      <c r="M288" s="166">
        <f t="shared" si="193"/>
        <v>26800000</v>
      </c>
      <c r="N288" s="166">
        <f t="shared" si="193"/>
        <v>18000000</v>
      </c>
      <c r="O288" s="164"/>
    </row>
    <row r="289">
      <c r="A289" s="183" t="s">
        <v>106</v>
      </c>
      <c r="B289" s="178"/>
      <c r="C289" s="166">
        <f t="shared" ref="C289:N289" si="194">C288-C285</f>
        <v>-18200000</v>
      </c>
      <c r="D289" s="166">
        <f t="shared" si="194"/>
        <v>7200000</v>
      </c>
      <c r="E289" s="166">
        <f t="shared" si="194"/>
        <v>-2000000</v>
      </c>
      <c r="F289" s="166">
        <f t="shared" si="194"/>
        <v>-4000000</v>
      </c>
      <c r="G289" s="166">
        <f t="shared" si="194"/>
        <v>16800000</v>
      </c>
      <c r="H289" s="166">
        <f t="shared" si="194"/>
        <v>-12000000</v>
      </c>
      <c r="I289" s="166">
        <f t="shared" si="194"/>
        <v>10000000</v>
      </c>
      <c r="J289" s="166">
        <f t="shared" si="194"/>
        <v>0</v>
      </c>
      <c r="K289" s="166">
        <f t="shared" si="194"/>
        <v>6000000</v>
      </c>
      <c r="L289" s="166">
        <f t="shared" si="194"/>
        <v>1200000</v>
      </c>
      <c r="M289" s="166">
        <f t="shared" si="194"/>
        <v>-1200000</v>
      </c>
      <c r="N289" s="166">
        <f t="shared" si="194"/>
        <v>-8800000</v>
      </c>
      <c r="O289" s="164"/>
    </row>
    <row r="290">
      <c r="A290" s="164"/>
      <c r="B290" s="178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</row>
    <row r="291">
      <c r="A291" s="183" t="s">
        <v>440</v>
      </c>
      <c r="B291" s="178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</row>
    <row r="292">
      <c r="A292" s="183" t="s">
        <v>421</v>
      </c>
      <c r="B292" s="185">
        <v>60.0</v>
      </c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</row>
    <row r="293">
      <c r="A293" s="183" t="s">
        <v>422</v>
      </c>
      <c r="B293" s="178"/>
      <c r="C293" s="166">
        <f t="shared" ref="C293:N293" si="195">B294</f>
        <v>25000000</v>
      </c>
      <c r="D293" s="166">
        <f t="shared" si="195"/>
        <v>1800000</v>
      </c>
      <c r="E293" s="166">
        <f t="shared" si="195"/>
        <v>18000000</v>
      </c>
      <c r="F293" s="166">
        <f t="shared" si="195"/>
        <v>9500000</v>
      </c>
      <c r="G293" s="166">
        <f t="shared" si="195"/>
        <v>6450000</v>
      </c>
      <c r="H293" s="166">
        <f t="shared" si="195"/>
        <v>26250000</v>
      </c>
      <c r="I293" s="166">
        <f t="shared" si="195"/>
        <v>8250000</v>
      </c>
      <c r="J293" s="166">
        <f t="shared" si="195"/>
        <v>17750000</v>
      </c>
      <c r="K293" s="166">
        <f t="shared" si="195"/>
        <v>17750000</v>
      </c>
      <c r="L293" s="166">
        <f t="shared" si="195"/>
        <v>29300000</v>
      </c>
      <c r="M293" s="166">
        <f t="shared" si="195"/>
        <v>33950000</v>
      </c>
      <c r="N293" s="166">
        <f t="shared" si="195"/>
        <v>29300000</v>
      </c>
      <c r="O293" s="164"/>
    </row>
    <row r="294">
      <c r="A294" s="183" t="s">
        <v>433</v>
      </c>
      <c r="B294" s="187">
        <f>25000000</f>
        <v>25000000</v>
      </c>
      <c r="C294" s="166">
        <f t="shared" ref="C294:N294" si="196">-(C73+C68+C78+C83)/$B292*30*2</f>
        <v>1800000</v>
      </c>
      <c r="D294" s="166">
        <f t="shared" si="196"/>
        <v>18000000</v>
      </c>
      <c r="E294" s="166">
        <f t="shared" si="196"/>
        <v>9500000</v>
      </c>
      <c r="F294" s="166">
        <f t="shared" si="196"/>
        <v>6450000</v>
      </c>
      <c r="G294" s="166">
        <f t="shared" si="196"/>
        <v>26250000</v>
      </c>
      <c r="H294" s="166">
        <f t="shared" si="196"/>
        <v>8250000</v>
      </c>
      <c r="I294" s="166">
        <f t="shared" si="196"/>
        <v>17750000</v>
      </c>
      <c r="J294" s="166">
        <f t="shared" si="196"/>
        <v>17750000</v>
      </c>
      <c r="K294" s="166">
        <f t="shared" si="196"/>
        <v>29300000</v>
      </c>
      <c r="L294" s="166">
        <f t="shared" si="196"/>
        <v>33950000</v>
      </c>
      <c r="M294" s="166">
        <f t="shared" si="196"/>
        <v>29300000</v>
      </c>
      <c r="N294" s="166">
        <f t="shared" si="196"/>
        <v>24450000</v>
      </c>
      <c r="O294" s="164"/>
    </row>
    <row r="295">
      <c r="A295" s="183" t="s">
        <v>58</v>
      </c>
      <c r="B295" s="178"/>
      <c r="C295" s="166">
        <f t="shared" ref="C295:N295" si="197">C294-C293</f>
        <v>-23200000</v>
      </c>
      <c r="D295" s="166">
        <f t="shared" si="197"/>
        <v>16200000</v>
      </c>
      <c r="E295" s="166">
        <f t="shared" si="197"/>
        <v>-8500000</v>
      </c>
      <c r="F295" s="166">
        <f t="shared" si="197"/>
        <v>-3050000</v>
      </c>
      <c r="G295" s="166">
        <f t="shared" si="197"/>
        <v>19800000</v>
      </c>
      <c r="H295" s="166">
        <f t="shared" si="197"/>
        <v>-18000000</v>
      </c>
      <c r="I295" s="166">
        <f t="shared" si="197"/>
        <v>9500000</v>
      </c>
      <c r="J295" s="166">
        <f t="shared" si="197"/>
        <v>0</v>
      </c>
      <c r="K295" s="166">
        <f t="shared" si="197"/>
        <v>11550000</v>
      </c>
      <c r="L295" s="166">
        <f t="shared" si="197"/>
        <v>4650000</v>
      </c>
      <c r="M295" s="166">
        <f t="shared" si="197"/>
        <v>-4650000</v>
      </c>
      <c r="N295" s="166">
        <f t="shared" si="197"/>
        <v>-4850000</v>
      </c>
      <c r="O295" s="164"/>
    </row>
    <row r="296">
      <c r="A296" s="164"/>
      <c r="B296" s="178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</row>
    <row r="297">
      <c r="A297" s="175" t="s">
        <v>59</v>
      </c>
      <c r="B297" s="176"/>
      <c r="C297" s="168">
        <f t="shared" ref="C297:N297" si="198">C308-C314+C321-C328</f>
        <v>4099000</v>
      </c>
      <c r="D297" s="168">
        <f t="shared" si="198"/>
        <v>3729000</v>
      </c>
      <c r="E297" s="168">
        <f t="shared" si="198"/>
        <v>3359000</v>
      </c>
      <c r="F297" s="168">
        <f t="shared" si="198"/>
        <v>2989000</v>
      </c>
      <c r="G297" s="168">
        <f t="shared" si="198"/>
        <v>2619000</v>
      </c>
      <c r="H297" s="168">
        <f t="shared" si="198"/>
        <v>2249000</v>
      </c>
      <c r="I297" s="168">
        <f t="shared" si="198"/>
        <v>1879000</v>
      </c>
      <c r="J297" s="168">
        <f t="shared" si="198"/>
        <v>1509000</v>
      </c>
      <c r="K297" s="168">
        <f t="shared" si="198"/>
        <v>1139000</v>
      </c>
      <c r="L297" s="168">
        <f t="shared" si="198"/>
        <v>950000</v>
      </c>
      <c r="M297" s="168">
        <f t="shared" si="198"/>
        <v>810000</v>
      </c>
      <c r="N297" s="168">
        <f t="shared" si="198"/>
        <v>670000</v>
      </c>
      <c r="O297" s="176"/>
    </row>
    <row r="298">
      <c r="A298" s="164"/>
      <c r="B298" s="178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</row>
    <row r="299">
      <c r="A299" s="205" t="s">
        <v>441</v>
      </c>
      <c r="B299" s="178"/>
      <c r="C299" s="206">
        <f t="shared" ref="C299:N299" si="199">B304</f>
        <v>10000000</v>
      </c>
      <c r="D299" s="206">
        <f t="shared" si="199"/>
        <v>-6707367.667</v>
      </c>
      <c r="E299" s="206">
        <f t="shared" si="199"/>
        <v>-7474735.333</v>
      </c>
      <c r="F299" s="206">
        <f t="shared" si="199"/>
        <v>-9029603</v>
      </c>
      <c r="G299" s="206">
        <f t="shared" si="199"/>
        <v>-17236970.67</v>
      </c>
      <c r="H299" s="206">
        <f t="shared" si="199"/>
        <v>-4784338.333</v>
      </c>
      <c r="I299" s="206">
        <f t="shared" si="199"/>
        <v>-10872522.07</v>
      </c>
      <c r="J299" s="206">
        <f t="shared" si="199"/>
        <v>11389294.2</v>
      </c>
      <c r="K299" s="206">
        <f t="shared" si="199"/>
        <v>5013610.467</v>
      </c>
      <c r="L299" s="206">
        <f t="shared" si="199"/>
        <v>12602926.73</v>
      </c>
      <c r="M299" s="206">
        <f t="shared" si="199"/>
        <v>15570243</v>
      </c>
      <c r="N299" s="206">
        <f t="shared" si="199"/>
        <v>16400059.27</v>
      </c>
      <c r="O299" s="164"/>
    </row>
    <row r="300">
      <c r="A300" s="183" t="s">
        <v>442</v>
      </c>
      <c r="B300" s="178"/>
      <c r="C300" s="166">
        <f t="shared" ref="C300:N300" si="200">C176+C179+C180-C249</f>
        <v>-14837367.67</v>
      </c>
      <c r="D300" s="166">
        <f t="shared" si="200"/>
        <v>3102632.333</v>
      </c>
      <c r="E300" s="166">
        <f t="shared" si="200"/>
        <v>315132.3333</v>
      </c>
      <c r="F300" s="166">
        <f t="shared" si="200"/>
        <v>-6262367.667</v>
      </c>
      <c r="G300" s="166">
        <f t="shared" si="200"/>
        <v>14322632.33</v>
      </c>
      <c r="H300" s="166">
        <f t="shared" si="200"/>
        <v>-353034.1333</v>
      </c>
      <c r="I300" s="166">
        <f t="shared" si="200"/>
        <v>14046965.87</v>
      </c>
      <c r="J300" s="166">
        <f t="shared" si="200"/>
        <v>2159465.867</v>
      </c>
      <c r="K300" s="166">
        <f t="shared" si="200"/>
        <v>12824465.87</v>
      </c>
      <c r="L300" s="166">
        <f t="shared" si="200"/>
        <v>7723465.867</v>
      </c>
      <c r="M300" s="166">
        <f t="shared" si="200"/>
        <v>5845465.867</v>
      </c>
      <c r="N300" s="166">
        <f t="shared" si="200"/>
        <v>13594465.87</v>
      </c>
      <c r="O300" s="164"/>
    </row>
    <row r="301">
      <c r="A301" s="183" t="s">
        <v>443</v>
      </c>
      <c r="B301" s="178"/>
      <c r="C301" s="166">
        <f t="shared" ref="C301:N301" si="201">C188</f>
        <v>-1870000</v>
      </c>
      <c r="D301" s="166">
        <f t="shared" si="201"/>
        <v>-1870000</v>
      </c>
      <c r="E301" s="166">
        <f t="shared" si="201"/>
        <v>-1870000</v>
      </c>
      <c r="F301" s="166">
        <f t="shared" si="201"/>
        <v>-1870000</v>
      </c>
      <c r="G301" s="166">
        <f t="shared" si="201"/>
        <v>-1870000</v>
      </c>
      <c r="H301" s="166">
        <f t="shared" si="201"/>
        <v>-5335149.6</v>
      </c>
      <c r="I301" s="166">
        <f t="shared" si="201"/>
        <v>-8785149.6</v>
      </c>
      <c r="J301" s="166">
        <f t="shared" si="201"/>
        <v>-8535149.6</v>
      </c>
      <c r="K301" s="166">
        <f t="shared" si="201"/>
        <v>-5235149.6</v>
      </c>
      <c r="L301" s="166">
        <f t="shared" si="201"/>
        <v>-4756149.6</v>
      </c>
      <c r="M301" s="166">
        <f t="shared" si="201"/>
        <v>-5015649.6</v>
      </c>
      <c r="N301" s="166">
        <f t="shared" si="201"/>
        <v>-1640000</v>
      </c>
      <c r="O301" s="164"/>
    </row>
    <row r="302">
      <c r="A302" s="183" t="s">
        <v>444</v>
      </c>
      <c r="B302" s="178"/>
      <c r="C302" s="166">
        <f t="shared" ref="C302:N302" si="202">C222</f>
        <v>0</v>
      </c>
      <c r="D302" s="166">
        <f t="shared" si="202"/>
        <v>-2000000</v>
      </c>
      <c r="E302" s="166">
        <f t="shared" si="202"/>
        <v>0</v>
      </c>
      <c r="F302" s="166">
        <f t="shared" si="202"/>
        <v>-75000</v>
      </c>
      <c r="G302" s="166">
        <f t="shared" si="202"/>
        <v>0</v>
      </c>
      <c r="H302" s="166">
        <f t="shared" si="202"/>
        <v>-400000</v>
      </c>
      <c r="I302" s="166">
        <f t="shared" si="202"/>
        <v>17000000</v>
      </c>
      <c r="J302" s="166">
        <f t="shared" si="202"/>
        <v>0</v>
      </c>
      <c r="K302" s="166">
        <f t="shared" si="202"/>
        <v>0</v>
      </c>
      <c r="L302" s="166">
        <f t="shared" si="202"/>
        <v>0</v>
      </c>
      <c r="M302" s="166">
        <f t="shared" si="202"/>
        <v>0</v>
      </c>
      <c r="N302" s="166">
        <f t="shared" si="202"/>
        <v>0</v>
      </c>
      <c r="O302" s="164"/>
    </row>
    <row r="303">
      <c r="A303" s="183" t="s">
        <v>445</v>
      </c>
      <c r="B303" s="178"/>
      <c r="C303" s="166">
        <f t="shared" ref="C303:N303" si="203">SUM(C300:C302)</f>
        <v>-16707367.67</v>
      </c>
      <c r="D303" s="166">
        <f t="shared" si="203"/>
        <v>-767367.6667</v>
      </c>
      <c r="E303" s="166">
        <f t="shared" si="203"/>
        <v>-1554867.667</v>
      </c>
      <c r="F303" s="166">
        <f t="shared" si="203"/>
        <v>-8207367.667</v>
      </c>
      <c r="G303" s="166">
        <f t="shared" si="203"/>
        <v>12452632.33</v>
      </c>
      <c r="H303" s="166">
        <f t="shared" si="203"/>
        <v>-6088183.733</v>
      </c>
      <c r="I303" s="166">
        <f t="shared" si="203"/>
        <v>22261816.27</v>
      </c>
      <c r="J303" s="166">
        <f t="shared" si="203"/>
        <v>-6375683.733</v>
      </c>
      <c r="K303" s="166">
        <f t="shared" si="203"/>
        <v>7589316.267</v>
      </c>
      <c r="L303" s="166">
        <f t="shared" si="203"/>
        <v>2967316.267</v>
      </c>
      <c r="M303" s="166">
        <f t="shared" si="203"/>
        <v>829816.2667</v>
      </c>
      <c r="N303" s="166">
        <f t="shared" si="203"/>
        <v>11954465.87</v>
      </c>
      <c r="O303" s="164"/>
    </row>
    <row r="304">
      <c r="A304" s="207" t="s">
        <v>446</v>
      </c>
      <c r="B304" s="208">
        <v>1.0E7</v>
      </c>
      <c r="C304" s="199">
        <f t="shared" ref="C304:N304" si="204">C299+C303</f>
        <v>-6707367.667</v>
      </c>
      <c r="D304" s="199">
        <f t="shared" si="204"/>
        <v>-7474735.333</v>
      </c>
      <c r="E304" s="199">
        <f t="shared" si="204"/>
        <v>-9029603</v>
      </c>
      <c r="F304" s="199">
        <f t="shared" si="204"/>
        <v>-17236970.67</v>
      </c>
      <c r="G304" s="199">
        <f t="shared" si="204"/>
        <v>-4784338.333</v>
      </c>
      <c r="H304" s="199">
        <f t="shared" si="204"/>
        <v>-10872522.07</v>
      </c>
      <c r="I304" s="168">
        <f t="shared" si="204"/>
        <v>11389294.2</v>
      </c>
      <c r="J304" s="168">
        <f t="shared" si="204"/>
        <v>5013610.467</v>
      </c>
      <c r="K304" s="168">
        <f t="shared" si="204"/>
        <v>12602926.73</v>
      </c>
      <c r="L304" s="168">
        <f t="shared" si="204"/>
        <v>15570243</v>
      </c>
      <c r="M304" s="168">
        <f t="shared" si="204"/>
        <v>16400059.27</v>
      </c>
      <c r="N304" s="168">
        <f t="shared" si="204"/>
        <v>28354525.13</v>
      </c>
      <c r="O304" s="164"/>
    </row>
    <row r="305">
      <c r="A305" s="164"/>
      <c r="B305" s="178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</row>
    <row r="306">
      <c r="A306" s="175" t="s">
        <v>447</v>
      </c>
      <c r="B306" s="168">
        <f t="shared" ref="B306:N306" si="205">B308-B314</f>
        <v>0</v>
      </c>
      <c r="C306" s="168">
        <f t="shared" si="205"/>
        <v>-0.00000001490116119</v>
      </c>
      <c r="D306" s="168">
        <f t="shared" si="205"/>
        <v>-0.00000001490116119</v>
      </c>
      <c r="E306" s="168">
        <f t="shared" si="205"/>
        <v>0</v>
      </c>
      <c r="F306" s="168">
        <f t="shared" si="205"/>
        <v>-0.00000001490116119</v>
      </c>
      <c r="G306" s="168">
        <f t="shared" si="205"/>
        <v>-0.00000001490116119</v>
      </c>
      <c r="H306" s="168">
        <f t="shared" si="205"/>
        <v>-0.00000001490116119</v>
      </c>
      <c r="I306" s="168">
        <f t="shared" si="205"/>
        <v>-0.00000001490116119</v>
      </c>
      <c r="J306" s="168">
        <f t="shared" si="205"/>
        <v>0</v>
      </c>
      <c r="K306" s="168">
        <f t="shared" si="205"/>
        <v>-0.00000001490116119</v>
      </c>
      <c r="L306" s="168">
        <f t="shared" si="205"/>
        <v>-0.00000001490116119</v>
      </c>
      <c r="M306" s="168">
        <f t="shared" si="205"/>
        <v>0</v>
      </c>
      <c r="N306" s="168">
        <f t="shared" si="205"/>
        <v>-0.00000001490116119</v>
      </c>
      <c r="O306" s="176"/>
    </row>
    <row r="307">
      <c r="A307" s="164"/>
      <c r="B307" s="178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</row>
    <row r="308">
      <c r="A308" s="179" t="s">
        <v>268</v>
      </c>
      <c r="B308" s="181">
        <f t="shared" ref="B308:N308" si="206">SUM(B309:B313)</f>
        <v>107000000</v>
      </c>
      <c r="C308" s="181">
        <f t="shared" si="206"/>
        <v>84585965.67</v>
      </c>
      <c r="D308" s="181">
        <f t="shared" si="206"/>
        <v>79051931.33</v>
      </c>
      <c r="E308" s="181">
        <f t="shared" si="206"/>
        <v>75892897</v>
      </c>
      <c r="F308" s="181">
        <f t="shared" si="206"/>
        <v>72583862.67</v>
      </c>
      <c r="G308" s="181">
        <f t="shared" si="206"/>
        <v>87869828.33</v>
      </c>
      <c r="H308" s="181">
        <f t="shared" si="206"/>
        <v>78964977.93</v>
      </c>
      <c r="I308" s="181">
        <f t="shared" si="206"/>
        <v>102510127.5</v>
      </c>
      <c r="J308" s="181">
        <f t="shared" si="206"/>
        <v>111805277.1</v>
      </c>
      <c r="K308" s="181">
        <f t="shared" si="206"/>
        <v>125750426.7</v>
      </c>
      <c r="L308" s="181">
        <f t="shared" si="206"/>
        <v>123378576.3</v>
      </c>
      <c r="M308" s="181">
        <f t="shared" si="206"/>
        <v>104864225.9</v>
      </c>
      <c r="N308" s="181">
        <f t="shared" si="206"/>
        <v>97229525.13</v>
      </c>
      <c r="O308" s="180"/>
    </row>
    <row r="309">
      <c r="A309" s="183" t="s">
        <v>448</v>
      </c>
      <c r="B309" s="166">
        <f t="shared" ref="B309:N309" si="207">B228+B234+B240+B246</f>
        <v>73000000</v>
      </c>
      <c r="C309" s="166">
        <f t="shared" si="207"/>
        <v>72283333.33</v>
      </c>
      <c r="D309" s="166">
        <f t="shared" si="207"/>
        <v>73566666.67</v>
      </c>
      <c r="E309" s="166">
        <f t="shared" si="207"/>
        <v>72850000</v>
      </c>
      <c r="F309" s="166">
        <f t="shared" si="207"/>
        <v>72208333.33</v>
      </c>
      <c r="G309" s="166">
        <f t="shared" si="207"/>
        <v>71491666.67</v>
      </c>
      <c r="H309" s="166">
        <f t="shared" si="207"/>
        <v>71175000</v>
      </c>
      <c r="I309" s="166">
        <f t="shared" si="207"/>
        <v>53458333.33</v>
      </c>
      <c r="J309" s="166">
        <f t="shared" si="207"/>
        <v>52741666.67</v>
      </c>
      <c r="K309" s="166">
        <f t="shared" si="207"/>
        <v>52025000</v>
      </c>
      <c r="L309" s="166">
        <f t="shared" si="207"/>
        <v>51308333.33</v>
      </c>
      <c r="M309" s="166">
        <f t="shared" si="207"/>
        <v>50591666.67</v>
      </c>
      <c r="N309" s="166">
        <f t="shared" si="207"/>
        <v>49875000</v>
      </c>
      <c r="O309" s="164"/>
    </row>
    <row r="310">
      <c r="A310" s="183" t="s">
        <v>49</v>
      </c>
      <c r="B310" s="166">
        <f t="shared" ref="B310:N310" si="208">B264</f>
        <v>1000000</v>
      </c>
      <c r="C310" s="166">
        <f t="shared" si="208"/>
        <v>14210000</v>
      </c>
      <c r="D310" s="166">
        <f t="shared" si="208"/>
        <v>960000</v>
      </c>
      <c r="E310" s="166">
        <f t="shared" si="208"/>
        <v>2072500</v>
      </c>
      <c r="F310" s="166">
        <f t="shared" si="208"/>
        <v>11612500</v>
      </c>
      <c r="G310" s="166">
        <f t="shared" si="208"/>
        <v>-1637500</v>
      </c>
      <c r="H310" s="166">
        <f t="shared" si="208"/>
        <v>7862500</v>
      </c>
      <c r="I310" s="166">
        <f t="shared" si="208"/>
        <v>16862500</v>
      </c>
      <c r="J310" s="166">
        <f t="shared" si="208"/>
        <v>33250000</v>
      </c>
      <c r="K310" s="166">
        <f t="shared" si="208"/>
        <v>34322500</v>
      </c>
      <c r="L310" s="166">
        <f t="shared" si="208"/>
        <v>28500000</v>
      </c>
      <c r="M310" s="166">
        <f t="shared" si="208"/>
        <v>11072500</v>
      </c>
      <c r="N310" s="166">
        <f t="shared" si="208"/>
        <v>1000000</v>
      </c>
      <c r="O310" s="164"/>
    </row>
    <row r="311">
      <c r="A311" s="183" t="s">
        <v>449</v>
      </c>
      <c r="B311" s="166">
        <f t="shared" ref="B311:N311" si="209">B288</f>
        <v>23000000</v>
      </c>
      <c r="C311" s="166">
        <f t="shared" si="209"/>
        <v>4800000</v>
      </c>
      <c r="D311" s="166">
        <f t="shared" si="209"/>
        <v>12000000</v>
      </c>
      <c r="E311" s="166">
        <f t="shared" si="209"/>
        <v>10000000</v>
      </c>
      <c r="F311" s="166">
        <f t="shared" si="209"/>
        <v>6000000</v>
      </c>
      <c r="G311" s="166">
        <f t="shared" si="209"/>
        <v>22800000</v>
      </c>
      <c r="H311" s="166">
        <f t="shared" si="209"/>
        <v>10800000</v>
      </c>
      <c r="I311" s="166">
        <f t="shared" si="209"/>
        <v>20800000</v>
      </c>
      <c r="J311" s="166">
        <f t="shared" si="209"/>
        <v>20800000</v>
      </c>
      <c r="K311" s="166">
        <f t="shared" si="209"/>
        <v>26800000</v>
      </c>
      <c r="L311" s="166">
        <f t="shared" si="209"/>
        <v>28000000</v>
      </c>
      <c r="M311" s="166">
        <f t="shared" si="209"/>
        <v>26800000</v>
      </c>
      <c r="N311" s="166">
        <f t="shared" si="209"/>
        <v>18000000</v>
      </c>
      <c r="O311" s="164"/>
    </row>
    <row r="312">
      <c r="A312" s="183" t="s">
        <v>191</v>
      </c>
      <c r="B312" s="166">
        <f t="shared" ref="B312:N312" si="210">B304</f>
        <v>10000000</v>
      </c>
      <c r="C312" s="166">
        <f t="shared" si="210"/>
        <v>-6707367.667</v>
      </c>
      <c r="D312" s="166">
        <f t="shared" si="210"/>
        <v>-7474735.333</v>
      </c>
      <c r="E312" s="166">
        <f t="shared" si="210"/>
        <v>-9029603</v>
      </c>
      <c r="F312" s="166">
        <f t="shared" si="210"/>
        <v>-17236970.67</v>
      </c>
      <c r="G312" s="166">
        <f t="shared" si="210"/>
        <v>-4784338.333</v>
      </c>
      <c r="H312" s="166">
        <f t="shared" si="210"/>
        <v>-10872522.07</v>
      </c>
      <c r="I312" s="166">
        <f t="shared" si="210"/>
        <v>11389294.2</v>
      </c>
      <c r="J312" s="166">
        <f t="shared" si="210"/>
        <v>5013610.467</v>
      </c>
      <c r="K312" s="166">
        <f t="shared" si="210"/>
        <v>12602926.73</v>
      </c>
      <c r="L312" s="166">
        <f t="shared" si="210"/>
        <v>15570243</v>
      </c>
      <c r="M312" s="166">
        <f t="shared" si="210"/>
        <v>16400059.27</v>
      </c>
      <c r="N312" s="166">
        <f t="shared" si="210"/>
        <v>28354525.13</v>
      </c>
      <c r="O312" s="164"/>
    </row>
    <row r="313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</row>
    <row r="314">
      <c r="A314" s="179" t="s">
        <v>270</v>
      </c>
      <c r="B314" s="181">
        <f t="shared" ref="B314:N314" si="211">B315+B320</f>
        <v>107000000</v>
      </c>
      <c r="C314" s="181">
        <f t="shared" si="211"/>
        <v>84585965.67</v>
      </c>
      <c r="D314" s="181">
        <f t="shared" si="211"/>
        <v>79051931.33</v>
      </c>
      <c r="E314" s="181">
        <f t="shared" si="211"/>
        <v>75892897</v>
      </c>
      <c r="F314" s="181">
        <f t="shared" si="211"/>
        <v>72583862.67</v>
      </c>
      <c r="G314" s="181">
        <f t="shared" si="211"/>
        <v>87869828.33</v>
      </c>
      <c r="H314" s="181">
        <f t="shared" si="211"/>
        <v>78964977.93</v>
      </c>
      <c r="I314" s="181">
        <f t="shared" si="211"/>
        <v>102510127.5</v>
      </c>
      <c r="J314" s="181">
        <f t="shared" si="211"/>
        <v>111805277.1</v>
      </c>
      <c r="K314" s="181">
        <f t="shared" si="211"/>
        <v>125750426.7</v>
      </c>
      <c r="L314" s="181">
        <f t="shared" si="211"/>
        <v>123378576.3</v>
      </c>
      <c r="M314" s="181">
        <f t="shared" si="211"/>
        <v>104864225.9</v>
      </c>
      <c r="N314" s="181">
        <f t="shared" si="211"/>
        <v>97229525.13</v>
      </c>
      <c r="O314" s="180"/>
    </row>
    <row r="315">
      <c r="A315" s="209" t="s">
        <v>271</v>
      </c>
      <c r="B315" s="210">
        <f t="shared" ref="B315:N315" si="212">SUM(B316:B318)</f>
        <v>-86469000</v>
      </c>
      <c r="C315" s="210">
        <f t="shared" si="212"/>
        <v>-92213034.33</v>
      </c>
      <c r="D315" s="210">
        <f t="shared" si="212"/>
        <v>-107577068.7</v>
      </c>
      <c r="E315" s="210">
        <f t="shared" si="212"/>
        <v>-110866103</v>
      </c>
      <c r="F315" s="210">
        <f t="shared" si="212"/>
        <v>-117355137.3</v>
      </c>
      <c r="G315" s="210">
        <f t="shared" si="212"/>
        <v>-122999171.7</v>
      </c>
      <c r="H315" s="210">
        <f t="shared" si="212"/>
        <v>-119534022.1</v>
      </c>
      <c r="I315" s="210">
        <f t="shared" si="212"/>
        <v>-112618872.5</v>
      </c>
      <c r="J315" s="210">
        <f t="shared" si="212"/>
        <v>-105953722.9</v>
      </c>
      <c r="K315" s="210">
        <f t="shared" si="212"/>
        <v>-102588573.3</v>
      </c>
      <c r="L315" s="210">
        <f t="shared" si="212"/>
        <v>-99521423.67</v>
      </c>
      <c r="M315" s="210">
        <f t="shared" si="212"/>
        <v>-96145774.07</v>
      </c>
      <c r="N315" s="210">
        <f t="shared" si="212"/>
        <v>-96390474.87</v>
      </c>
      <c r="O315" s="211"/>
    </row>
    <row r="316">
      <c r="A316" s="183" t="s">
        <v>272</v>
      </c>
      <c r="B316" s="166">
        <v>-8.6469E7</v>
      </c>
      <c r="C316" s="166">
        <f t="shared" ref="C316:N316" si="213">$B316</f>
        <v>-86469000</v>
      </c>
      <c r="D316" s="166">
        <f t="shared" si="213"/>
        <v>-86469000</v>
      </c>
      <c r="E316" s="166">
        <f t="shared" si="213"/>
        <v>-86469000</v>
      </c>
      <c r="F316" s="166">
        <f t="shared" si="213"/>
        <v>-86469000</v>
      </c>
      <c r="G316" s="166">
        <f t="shared" si="213"/>
        <v>-86469000</v>
      </c>
      <c r="H316" s="166">
        <f t="shared" si="213"/>
        <v>-86469000</v>
      </c>
      <c r="I316" s="166">
        <f t="shared" si="213"/>
        <v>-86469000</v>
      </c>
      <c r="J316" s="166">
        <f t="shared" si="213"/>
        <v>-86469000</v>
      </c>
      <c r="K316" s="166">
        <f t="shared" si="213"/>
        <v>-86469000</v>
      </c>
      <c r="L316" s="166">
        <f t="shared" si="213"/>
        <v>-86469000</v>
      </c>
      <c r="M316" s="166">
        <f t="shared" si="213"/>
        <v>-86469000</v>
      </c>
      <c r="N316" s="166">
        <f t="shared" si="213"/>
        <v>-86469000</v>
      </c>
      <c r="O316" s="164"/>
    </row>
    <row r="317">
      <c r="A317" s="183" t="s">
        <v>450</v>
      </c>
      <c r="B317" s="164"/>
      <c r="C317" s="166">
        <f t="shared" ref="C317:N317" si="214">C186</f>
        <v>-5744034.333</v>
      </c>
      <c r="D317" s="166">
        <f t="shared" si="214"/>
        <v>-21108068.67</v>
      </c>
      <c r="E317" s="166">
        <f t="shared" si="214"/>
        <v>-24397103</v>
      </c>
      <c r="F317" s="166">
        <f t="shared" si="214"/>
        <v>-30886137.33</v>
      </c>
      <c r="G317" s="166">
        <f t="shared" si="214"/>
        <v>-36530171.67</v>
      </c>
      <c r="H317" s="166">
        <f t="shared" si="214"/>
        <v>-29599872.47</v>
      </c>
      <c r="I317" s="166">
        <f t="shared" si="214"/>
        <v>-15769573.27</v>
      </c>
      <c r="J317" s="166">
        <f t="shared" si="214"/>
        <v>-2439274.067</v>
      </c>
      <c r="K317" s="166">
        <f t="shared" si="214"/>
        <v>4291025.133</v>
      </c>
      <c r="L317" s="166">
        <f t="shared" si="214"/>
        <v>10425324.33</v>
      </c>
      <c r="M317" s="166">
        <f t="shared" si="214"/>
        <v>17176623.53</v>
      </c>
      <c r="N317" s="166">
        <f t="shared" si="214"/>
        <v>16931922.73</v>
      </c>
      <c r="O317" s="164"/>
    </row>
    <row r="318">
      <c r="A318" s="183" t="s">
        <v>451</v>
      </c>
      <c r="B318" s="164"/>
      <c r="C318" s="166">
        <f t="shared" ref="C318:N318" si="215">C220</f>
        <v>0</v>
      </c>
      <c r="D318" s="166">
        <f t="shared" si="215"/>
        <v>0</v>
      </c>
      <c r="E318" s="166">
        <f t="shared" si="215"/>
        <v>0</v>
      </c>
      <c r="F318" s="166">
        <f t="shared" si="215"/>
        <v>0</v>
      </c>
      <c r="G318" s="166">
        <f t="shared" si="215"/>
        <v>0</v>
      </c>
      <c r="H318" s="166">
        <f t="shared" si="215"/>
        <v>-3465149.6</v>
      </c>
      <c r="I318" s="166">
        <f t="shared" si="215"/>
        <v>-10380299.2</v>
      </c>
      <c r="J318" s="166">
        <f t="shared" si="215"/>
        <v>-17045448.8</v>
      </c>
      <c r="K318" s="166">
        <f t="shared" si="215"/>
        <v>-20410598.4</v>
      </c>
      <c r="L318" s="166">
        <f t="shared" si="215"/>
        <v>-23477748</v>
      </c>
      <c r="M318" s="166">
        <f t="shared" si="215"/>
        <v>-26853397.6</v>
      </c>
      <c r="N318" s="166">
        <f t="shared" si="215"/>
        <v>-26853397.6</v>
      </c>
      <c r="O318" s="164"/>
    </row>
    <row r="319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</row>
    <row r="320">
      <c r="A320" s="209" t="s">
        <v>452</v>
      </c>
      <c r="B320" s="210">
        <f t="shared" ref="B320:N320" si="216">SUM(B321:B324)</f>
        <v>193469000</v>
      </c>
      <c r="C320" s="210">
        <f t="shared" si="216"/>
        <v>176799000</v>
      </c>
      <c r="D320" s="210">
        <f t="shared" si="216"/>
        <v>186629000</v>
      </c>
      <c r="E320" s="210">
        <f t="shared" si="216"/>
        <v>186759000</v>
      </c>
      <c r="F320" s="210">
        <f t="shared" si="216"/>
        <v>189939000</v>
      </c>
      <c r="G320" s="210">
        <f t="shared" si="216"/>
        <v>210869000</v>
      </c>
      <c r="H320" s="210">
        <f t="shared" si="216"/>
        <v>198499000</v>
      </c>
      <c r="I320" s="210">
        <f t="shared" si="216"/>
        <v>215129000</v>
      </c>
      <c r="J320" s="210">
        <f t="shared" si="216"/>
        <v>217759000</v>
      </c>
      <c r="K320" s="210">
        <f t="shared" si="216"/>
        <v>228339000</v>
      </c>
      <c r="L320" s="210">
        <f t="shared" si="216"/>
        <v>222900000</v>
      </c>
      <c r="M320" s="210">
        <f t="shared" si="216"/>
        <v>201010000</v>
      </c>
      <c r="N320" s="210">
        <f t="shared" si="216"/>
        <v>193620000</v>
      </c>
      <c r="O320" s="211"/>
    </row>
    <row r="321">
      <c r="A321" s="183" t="s">
        <v>276</v>
      </c>
      <c r="B321" s="166">
        <f t="shared" ref="B321:N321" si="217">B195+B202+B209</f>
        <v>4469000</v>
      </c>
      <c r="C321" s="166">
        <f t="shared" si="217"/>
        <v>4099000</v>
      </c>
      <c r="D321" s="166">
        <f t="shared" si="217"/>
        <v>3729000</v>
      </c>
      <c r="E321" s="166">
        <f t="shared" si="217"/>
        <v>3359000</v>
      </c>
      <c r="F321" s="166">
        <f t="shared" si="217"/>
        <v>2989000</v>
      </c>
      <c r="G321" s="166">
        <f t="shared" si="217"/>
        <v>2619000</v>
      </c>
      <c r="H321" s="166">
        <f t="shared" si="217"/>
        <v>2249000</v>
      </c>
      <c r="I321" s="166">
        <f t="shared" si="217"/>
        <v>1879000</v>
      </c>
      <c r="J321" s="166">
        <f t="shared" si="217"/>
        <v>1509000</v>
      </c>
      <c r="K321" s="166">
        <f t="shared" si="217"/>
        <v>1139000</v>
      </c>
      <c r="L321" s="166">
        <f t="shared" si="217"/>
        <v>950000</v>
      </c>
      <c r="M321" s="166">
        <f t="shared" si="217"/>
        <v>810000</v>
      </c>
      <c r="N321" s="166">
        <f t="shared" si="217"/>
        <v>670000</v>
      </c>
      <c r="O321" s="164"/>
    </row>
    <row r="322">
      <c r="A322" s="183" t="s">
        <v>389</v>
      </c>
      <c r="B322" s="166">
        <f t="shared" ref="B322:N322" si="218">B214</f>
        <v>44000000</v>
      </c>
      <c r="C322" s="166">
        <f t="shared" si="218"/>
        <v>42500000</v>
      </c>
      <c r="D322" s="166">
        <f t="shared" si="218"/>
        <v>41000000</v>
      </c>
      <c r="E322" s="166">
        <f t="shared" si="218"/>
        <v>39500000</v>
      </c>
      <c r="F322" s="166">
        <f t="shared" si="218"/>
        <v>38000000</v>
      </c>
      <c r="G322" s="166">
        <f t="shared" si="218"/>
        <v>36500000</v>
      </c>
      <c r="H322" s="166">
        <f t="shared" si="218"/>
        <v>35000000</v>
      </c>
      <c r="I322" s="166">
        <f t="shared" si="218"/>
        <v>33500000</v>
      </c>
      <c r="J322" s="166">
        <f t="shared" si="218"/>
        <v>32000000</v>
      </c>
      <c r="K322" s="166">
        <f t="shared" si="218"/>
        <v>30500000</v>
      </c>
      <c r="L322" s="166">
        <f t="shared" si="218"/>
        <v>29000000</v>
      </c>
      <c r="M322" s="166">
        <f t="shared" si="218"/>
        <v>27500000</v>
      </c>
      <c r="N322" s="166">
        <f t="shared" si="218"/>
        <v>26000000</v>
      </c>
      <c r="O322" s="164"/>
    </row>
    <row r="323">
      <c r="A323" s="183" t="s">
        <v>453</v>
      </c>
      <c r="B323" s="166">
        <f t="shared" ref="B323:N323" si="219">B294+B280</f>
        <v>145000000</v>
      </c>
      <c r="C323" s="166">
        <f t="shared" si="219"/>
        <v>130200000</v>
      </c>
      <c r="D323" s="166">
        <f t="shared" si="219"/>
        <v>141900000</v>
      </c>
      <c r="E323" s="166">
        <f t="shared" si="219"/>
        <v>143900000</v>
      </c>
      <c r="F323" s="166">
        <f t="shared" si="219"/>
        <v>148950000</v>
      </c>
      <c r="G323" s="166">
        <f t="shared" si="219"/>
        <v>171750000</v>
      </c>
      <c r="H323" s="166">
        <f t="shared" si="219"/>
        <v>161250000</v>
      </c>
      <c r="I323" s="166">
        <f t="shared" si="219"/>
        <v>179750000</v>
      </c>
      <c r="J323" s="166">
        <f t="shared" si="219"/>
        <v>184250000</v>
      </c>
      <c r="K323" s="166">
        <f t="shared" si="219"/>
        <v>196700000</v>
      </c>
      <c r="L323" s="166">
        <f t="shared" si="219"/>
        <v>192950000</v>
      </c>
      <c r="M323" s="166">
        <f t="shared" si="219"/>
        <v>172700000</v>
      </c>
      <c r="N323" s="166">
        <f t="shared" si="219"/>
        <v>166950000</v>
      </c>
      <c r="O323" s="164"/>
    </row>
    <row r="324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</row>
    <row r="325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</row>
    <row r="326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</row>
    <row r="327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</row>
    <row r="328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</row>
    <row r="329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</row>
    <row r="330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</row>
    <row r="33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</row>
    <row r="332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</row>
    <row r="333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</row>
    <row r="334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</row>
    <row r="335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</row>
    <row r="336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</row>
    <row r="337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</row>
    <row r="338">
      <c r="A338" s="164"/>
      <c r="B338" s="178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</row>
    <row r="339">
      <c r="A339" s="164"/>
      <c r="B339" s="178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</row>
    <row r="340">
      <c r="A340" s="164"/>
      <c r="B340" s="178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</row>
    <row r="341">
      <c r="A341" s="164"/>
      <c r="B341" s="178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</row>
    <row r="342">
      <c r="A342" s="164"/>
      <c r="B342" s="178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</row>
    <row r="343">
      <c r="A343" s="164"/>
      <c r="B343" s="178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</row>
    <row r="344">
      <c r="A344" s="164"/>
      <c r="B344" s="178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</row>
    <row r="345">
      <c r="A345" s="164"/>
      <c r="B345" s="178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</row>
    <row r="346">
      <c r="A346" s="164"/>
      <c r="B346" s="178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</row>
    <row r="347">
      <c r="A347" s="164"/>
      <c r="B347" s="178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</row>
    <row r="348">
      <c r="A348" s="164"/>
      <c r="B348" s="178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</row>
    <row r="349">
      <c r="A349" s="164"/>
      <c r="B349" s="178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</row>
    <row r="350">
      <c r="A350" s="164"/>
      <c r="B350" s="178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</row>
    <row r="351">
      <c r="A351" s="164"/>
      <c r="B351" s="178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</row>
    <row r="352">
      <c r="A352" s="164"/>
      <c r="B352" s="178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</row>
    <row r="353">
      <c r="A353" s="164"/>
      <c r="B353" s="178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</row>
    <row r="354">
      <c r="A354" s="164"/>
      <c r="B354" s="178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</row>
    <row r="355">
      <c r="A355" s="164"/>
      <c r="B355" s="178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</row>
    <row r="356">
      <c r="A356" s="164"/>
      <c r="B356" s="178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</row>
    <row r="357">
      <c r="A357" s="164"/>
      <c r="B357" s="178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</row>
    <row r="358">
      <c r="A358" s="164"/>
      <c r="B358" s="178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</row>
    <row r="359">
      <c r="A359" s="164"/>
      <c r="B359" s="178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</row>
    <row r="360">
      <c r="A360" s="164"/>
      <c r="B360" s="178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</row>
    <row r="361">
      <c r="A361" s="164"/>
      <c r="B361" s="178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</row>
    <row r="362">
      <c r="A362" s="164"/>
      <c r="B362" s="178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</row>
    <row r="363">
      <c r="A363" s="164"/>
      <c r="B363" s="178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</row>
    <row r="364">
      <c r="A364" s="164"/>
      <c r="B364" s="178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</row>
    <row r="365">
      <c r="A365" s="164"/>
      <c r="B365" s="178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</row>
    <row r="366">
      <c r="A366" s="164"/>
      <c r="B366" s="178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</row>
    <row r="367">
      <c r="A367" s="164"/>
      <c r="B367" s="178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</row>
    <row r="368">
      <c r="A368" s="164"/>
      <c r="B368" s="178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</row>
    <row r="369">
      <c r="A369" s="164"/>
      <c r="B369" s="178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</row>
    <row r="370">
      <c r="A370" s="164"/>
      <c r="B370" s="178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</row>
    <row r="371">
      <c r="A371" s="164"/>
      <c r="B371" s="178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</row>
    <row r="372">
      <c r="A372" s="164"/>
      <c r="B372" s="178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</row>
    <row r="373">
      <c r="A373" s="164"/>
      <c r="B373" s="178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</row>
    <row r="374">
      <c r="A374" s="164"/>
      <c r="B374" s="178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</row>
    <row r="375">
      <c r="A375" s="164"/>
      <c r="B375" s="178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</row>
    <row r="376">
      <c r="A376" s="164"/>
      <c r="B376" s="178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</row>
    <row r="377">
      <c r="A377" s="164"/>
      <c r="B377" s="178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</row>
    <row r="378">
      <c r="A378" s="164"/>
      <c r="B378" s="178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</row>
    <row r="379">
      <c r="A379" s="164"/>
      <c r="B379" s="178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</row>
    <row r="380">
      <c r="A380" s="164"/>
      <c r="B380" s="178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</row>
    <row r="381">
      <c r="A381" s="164"/>
      <c r="B381" s="178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</row>
    <row r="382">
      <c r="A382" s="164"/>
      <c r="B382" s="178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</row>
    <row r="383">
      <c r="A383" s="164"/>
      <c r="B383" s="178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</row>
    <row r="384">
      <c r="A384" s="164"/>
      <c r="B384" s="178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</row>
    <row r="385">
      <c r="A385" s="164"/>
      <c r="B385" s="178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</row>
    <row r="386">
      <c r="A386" s="164"/>
      <c r="B386" s="178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</row>
    <row r="387">
      <c r="A387" s="164"/>
      <c r="B387" s="178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</row>
    <row r="388">
      <c r="A388" s="164"/>
      <c r="B388" s="178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</row>
    <row r="389">
      <c r="A389" s="164"/>
      <c r="B389" s="178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</row>
    <row r="390">
      <c r="A390" s="164"/>
      <c r="B390" s="178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</row>
    <row r="391">
      <c r="A391" s="164"/>
      <c r="B391" s="178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</row>
    <row r="392">
      <c r="A392" s="164"/>
      <c r="B392" s="178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</row>
    <row r="393">
      <c r="A393" s="164"/>
      <c r="B393" s="178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</row>
    <row r="394">
      <c r="A394" s="164"/>
      <c r="B394" s="178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</row>
    <row r="395">
      <c r="A395" s="164"/>
      <c r="B395" s="178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</row>
    <row r="396">
      <c r="A396" s="164"/>
      <c r="B396" s="178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</row>
    <row r="397">
      <c r="A397" s="164"/>
      <c r="B397" s="178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</row>
    <row r="398">
      <c r="A398" s="164"/>
      <c r="B398" s="178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</row>
    <row r="399">
      <c r="A399" s="164"/>
      <c r="B399" s="178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</row>
    <row r="400">
      <c r="A400" s="164"/>
      <c r="B400" s="178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</row>
    <row r="401">
      <c r="A401" s="164"/>
      <c r="B401" s="178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</row>
    <row r="402">
      <c r="A402" s="164"/>
      <c r="B402" s="178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</row>
    <row r="403">
      <c r="A403" s="164"/>
      <c r="B403" s="178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</row>
    <row r="404">
      <c r="A404" s="164"/>
      <c r="B404" s="178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</row>
    <row r="405">
      <c r="A405" s="164"/>
      <c r="B405" s="178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</row>
    <row r="406">
      <c r="A406" s="164"/>
      <c r="B406" s="178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</row>
    <row r="407">
      <c r="A407" s="164"/>
      <c r="B407" s="178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</row>
    <row r="408">
      <c r="A408" s="164"/>
      <c r="B408" s="178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</row>
    <row r="409">
      <c r="A409" s="164"/>
      <c r="B409" s="178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</row>
    <row r="410">
      <c r="A410" s="164"/>
      <c r="B410" s="178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</row>
    <row r="411">
      <c r="A411" s="164"/>
      <c r="B411" s="178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</row>
    <row r="412">
      <c r="A412" s="164"/>
      <c r="B412" s="178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</row>
    <row r="413">
      <c r="A413" s="164"/>
      <c r="B413" s="178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</row>
    <row r="414">
      <c r="A414" s="164"/>
      <c r="B414" s="178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</row>
    <row r="415">
      <c r="A415" s="164"/>
      <c r="B415" s="178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</row>
    <row r="416">
      <c r="A416" s="164"/>
      <c r="B416" s="178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</row>
    <row r="417">
      <c r="A417" s="164"/>
      <c r="B417" s="178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</row>
    <row r="418">
      <c r="A418" s="164"/>
      <c r="B418" s="178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</row>
    <row r="419">
      <c r="A419" s="164"/>
      <c r="B419" s="178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</row>
    <row r="420">
      <c r="A420" s="164"/>
      <c r="B420" s="178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</row>
    <row r="421">
      <c r="A421" s="164"/>
      <c r="B421" s="178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</row>
    <row r="422">
      <c r="A422" s="164"/>
      <c r="B422" s="178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</row>
    <row r="423">
      <c r="A423" s="164"/>
      <c r="B423" s="178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</row>
    <row r="424">
      <c r="A424" s="164"/>
      <c r="B424" s="178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</row>
    <row r="425">
      <c r="A425" s="164"/>
      <c r="B425" s="178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</row>
    <row r="426">
      <c r="A426" s="164"/>
      <c r="B426" s="178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</row>
    <row r="427">
      <c r="A427" s="164"/>
      <c r="B427" s="178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</row>
    <row r="428">
      <c r="A428" s="164"/>
      <c r="B428" s="178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</row>
    <row r="429">
      <c r="A429" s="164"/>
      <c r="B429" s="178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</row>
    <row r="430">
      <c r="A430" s="164"/>
      <c r="B430" s="178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</row>
    <row r="431">
      <c r="A431" s="164"/>
      <c r="B431" s="178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</row>
    <row r="432">
      <c r="A432" s="164"/>
      <c r="B432" s="178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</row>
    <row r="433">
      <c r="A433" s="164"/>
      <c r="B433" s="178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</row>
    <row r="434">
      <c r="A434" s="164"/>
      <c r="B434" s="178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</row>
    <row r="435">
      <c r="A435" s="164"/>
      <c r="B435" s="178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</row>
    <row r="436">
      <c r="A436" s="164"/>
      <c r="B436" s="178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</row>
    <row r="437">
      <c r="A437" s="164"/>
      <c r="B437" s="178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</row>
    <row r="438">
      <c r="A438" s="164"/>
      <c r="B438" s="178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</row>
    <row r="439">
      <c r="A439" s="164"/>
      <c r="B439" s="178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</row>
    <row r="440">
      <c r="A440" s="164"/>
      <c r="B440" s="178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</row>
    <row r="441">
      <c r="A441" s="164"/>
      <c r="B441" s="178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</row>
    <row r="442">
      <c r="A442" s="164"/>
      <c r="B442" s="178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</row>
    <row r="443">
      <c r="A443" s="164"/>
      <c r="B443" s="178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</row>
    <row r="444">
      <c r="A444" s="164"/>
      <c r="B444" s="178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</row>
    <row r="445">
      <c r="A445" s="164"/>
      <c r="B445" s="178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</row>
    <row r="446">
      <c r="A446" s="164"/>
      <c r="B446" s="178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</row>
    <row r="447">
      <c r="A447" s="164"/>
      <c r="B447" s="178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</row>
    <row r="448">
      <c r="A448" s="164"/>
      <c r="B448" s="178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</row>
    <row r="449">
      <c r="A449" s="164"/>
      <c r="B449" s="178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</row>
    <row r="450">
      <c r="A450" s="164"/>
      <c r="B450" s="178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</row>
    <row r="451">
      <c r="A451" s="164"/>
      <c r="B451" s="178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</row>
    <row r="452">
      <c r="A452" s="164"/>
      <c r="B452" s="178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</row>
    <row r="453">
      <c r="A453" s="164"/>
      <c r="B453" s="178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</row>
    <row r="454">
      <c r="A454" s="164"/>
      <c r="B454" s="178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</row>
    <row r="455">
      <c r="A455" s="164"/>
      <c r="B455" s="178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</row>
    <row r="456">
      <c r="A456" s="164"/>
      <c r="B456" s="178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</row>
    <row r="457">
      <c r="A457" s="164"/>
      <c r="B457" s="178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</row>
    <row r="458">
      <c r="A458" s="164"/>
      <c r="B458" s="178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</row>
    <row r="459">
      <c r="A459" s="164"/>
      <c r="B459" s="178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</row>
    <row r="460">
      <c r="A460" s="164"/>
      <c r="B460" s="178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</row>
    <row r="461">
      <c r="A461" s="164"/>
      <c r="B461" s="178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</row>
    <row r="462">
      <c r="A462" s="164"/>
      <c r="B462" s="178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</row>
    <row r="463">
      <c r="A463" s="164"/>
      <c r="B463" s="178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</row>
    <row r="464">
      <c r="A464" s="164"/>
      <c r="B464" s="178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</row>
    <row r="465">
      <c r="A465" s="164"/>
      <c r="B465" s="178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</row>
    <row r="466">
      <c r="A466" s="164"/>
      <c r="B466" s="178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</row>
    <row r="467">
      <c r="A467" s="164"/>
      <c r="B467" s="178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</row>
    <row r="468">
      <c r="A468" s="164"/>
      <c r="B468" s="178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</row>
    <row r="469">
      <c r="A469" s="164"/>
      <c r="B469" s="178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</row>
    <row r="470">
      <c r="A470" s="164"/>
      <c r="B470" s="178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</row>
    <row r="471">
      <c r="A471" s="164"/>
      <c r="B471" s="178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</row>
    <row r="472">
      <c r="A472" s="164"/>
      <c r="B472" s="178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</row>
    <row r="473">
      <c r="A473" s="164"/>
      <c r="B473" s="178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</row>
    <row r="474">
      <c r="A474" s="164"/>
      <c r="B474" s="178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</row>
    <row r="475">
      <c r="A475" s="164"/>
      <c r="B475" s="178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</row>
    <row r="476">
      <c r="A476" s="164"/>
      <c r="B476" s="178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</row>
    <row r="477">
      <c r="A477" s="164"/>
      <c r="B477" s="178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</row>
    <row r="478">
      <c r="A478" s="164"/>
      <c r="B478" s="178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</row>
    <row r="479">
      <c r="A479" s="164"/>
      <c r="B479" s="178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</row>
    <row r="480">
      <c r="A480" s="164"/>
      <c r="B480" s="178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</row>
    <row r="481">
      <c r="A481" s="164"/>
      <c r="B481" s="178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</row>
    <row r="482">
      <c r="A482" s="164"/>
      <c r="B482" s="178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</row>
    <row r="483">
      <c r="A483" s="164"/>
      <c r="B483" s="178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</row>
    <row r="484">
      <c r="A484" s="164"/>
      <c r="B484" s="178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</row>
    <row r="485">
      <c r="A485" s="164"/>
      <c r="B485" s="178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</row>
    <row r="486">
      <c r="A486" s="164"/>
      <c r="B486" s="178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</row>
    <row r="487">
      <c r="A487" s="164"/>
      <c r="B487" s="178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</row>
    <row r="488">
      <c r="A488" s="164"/>
      <c r="B488" s="178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</row>
    <row r="489">
      <c r="A489" s="164"/>
      <c r="B489" s="178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</row>
    <row r="490">
      <c r="A490" s="164"/>
      <c r="B490" s="178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</row>
    <row r="491">
      <c r="A491" s="164"/>
      <c r="B491" s="178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</row>
    <row r="492">
      <c r="A492" s="164"/>
      <c r="B492" s="178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</row>
    <row r="493">
      <c r="A493" s="164"/>
      <c r="B493" s="178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</row>
    <row r="494">
      <c r="A494" s="164"/>
      <c r="B494" s="178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</row>
    <row r="495">
      <c r="A495" s="164"/>
      <c r="B495" s="178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</row>
    <row r="496">
      <c r="A496" s="164"/>
      <c r="B496" s="178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</row>
    <row r="497">
      <c r="A497" s="164"/>
      <c r="B497" s="178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</row>
    <row r="498">
      <c r="A498" s="164"/>
      <c r="B498" s="178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</row>
    <row r="499">
      <c r="A499" s="164"/>
      <c r="B499" s="178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</row>
    <row r="500">
      <c r="A500" s="164"/>
      <c r="B500" s="178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</row>
    <row r="501">
      <c r="A501" s="164"/>
      <c r="B501" s="178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</row>
    <row r="502">
      <c r="A502" s="164"/>
      <c r="B502" s="178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</row>
    <row r="503">
      <c r="A503" s="164"/>
      <c r="B503" s="178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</row>
    <row r="504">
      <c r="A504" s="164"/>
      <c r="B504" s="178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</row>
    <row r="505">
      <c r="A505" s="164"/>
      <c r="B505" s="178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</row>
    <row r="506">
      <c r="A506" s="164"/>
      <c r="B506" s="178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</row>
    <row r="507">
      <c r="A507" s="164"/>
      <c r="B507" s="178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</row>
    <row r="508">
      <c r="A508" s="164"/>
      <c r="B508" s="178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</row>
    <row r="509">
      <c r="A509" s="164"/>
      <c r="B509" s="178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</row>
    <row r="510">
      <c r="A510" s="164"/>
      <c r="B510" s="178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</row>
    <row r="511">
      <c r="A511" s="164"/>
      <c r="B511" s="178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</row>
    <row r="512">
      <c r="A512" s="164"/>
      <c r="B512" s="178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</row>
    <row r="513">
      <c r="A513" s="164"/>
      <c r="B513" s="178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</row>
    <row r="514">
      <c r="A514" s="164"/>
      <c r="B514" s="178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</row>
    <row r="515">
      <c r="A515" s="164"/>
      <c r="B515" s="178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</row>
    <row r="516">
      <c r="A516" s="164"/>
      <c r="B516" s="178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</row>
    <row r="517">
      <c r="A517" s="164"/>
      <c r="B517" s="178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</row>
    <row r="518">
      <c r="A518" s="164"/>
      <c r="B518" s="178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</row>
    <row r="519">
      <c r="A519" s="164"/>
      <c r="B519" s="178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</row>
    <row r="520">
      <c r="A520" s="164"/>
      <c r="B520" s="178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</row>
    <row r="521">
      <c r="A521" s="164"/>
      <c r="B521" s="178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</row>
    <row r="522">
      <c r="A522" s="164"/>
      <c r="B522" s="178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</row>
    <row r="523">
      <c r="A523" s="164"/>
      <c r="B523" s="178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</row>
    <row r="524">
      <c r="A524" s="164"/>
      <c r="B524" s="178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</row>
    <row r="525">
      <c r="A525" s="164"/>
      <c r="B525" s="178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</row>
    <row r="526">
      <c r="A526" s="164"/>
      <c r="B526" s="178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</row>
    <row r="527">
      <c r="A527" s="164"/>
      <c r="B527" s="178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</row>
    <row r="528">
      <c r="A528" s="164"/>
      <c r="B528" s="178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</row>
    <row r="529">
      <c r="A529" s="164"/>
      <c r="B529" s="178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</row>
    <row r="530">
      <c r="A530" s="164"/>
      <c r="B530" s="178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</row>
    <row r="531">
      <c r="A531" s="164"/>
      <c r="B531" s="178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</row>
    <row r="532">
      <c r="A532" s="164"/>
      <c r="B532" s="178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</row>
    <row r="533">
      <c r="A533" s="164"/>
      <c r="B533" s="178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</row>
    <row r="534">
      <c r="A534" s="164"/>
      <c r="B534" s="178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</row>
    <row r="535">
      <c r="A535" s="164"/>
      <c r="B535" s="178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</row>
    <row r="536">
      <c r="A536" s="164"/>
      <c r="B536" s="178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</row>
    <row r="537">
      <c r="A537" s="164"/>
      <c r="B537" s="178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</row>
    <row r="538">
      <c r="A538" s="164"/>
      <c r="B538" s="178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</row>
    <row r="539">
      <c r="A539" s="164"/>
      <c r="B539" s="178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</row>
    <row r="540">
      <c r="A540" s="164"/>
      <c r="B540" s="178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</row>
    <row r="541">
      <c r="A541" s="164"/>
      <c r="B541" s="178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</row>
    <row r="542">
      <c r="A542" s="164"/>
      <c r="B542" s="178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</row>
    <row r="543">
      <c r="A543" s="164"/>
      <c r="B543" s="178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</row>
    <row r="544">
      <c r="A544" s="164"/>
      <c r="B544" s="178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</row>
    <row r="545">
      <c r="A545" s="164"/>
      <c r="B545" s="178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</row>
    <row r="546">
      <c r="A546" s="164"/>
      <c r="B546" s="178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</row>
    <row r="547">
      <c r="A547" s="164"/>
      <c r="B547" s="178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</row>
    <row r="548">
      <c r="A548" s="164"/>
      <c r="B548" s="178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</row>
    <row r="549">
      <c r="A549" s="164"/>
      <c r="B549" s="178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</row>
    <row r="550">
      <c r="A550" s="164"/>
      <c r="B550" s="178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</row>
    <row r="551">
      <c r="A551" s="164"/>
      <c r="B551" s="178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</row>
    <row r="552">
      <c r="A552" s="164"/>
      <c r="B552" s="178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</row>
    <row r="553">
      <c r="A553" s="164"/>
      <c r="B553" s="178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</row>
    <row r="554">
      <c r="A554" s="164"/>
      <c r="B554" s="178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</row>
    <row r="555">
      <c r="A555" s="164"/>
      <c r="B555" s="178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</row>
    <row r="556">
      <c r="A556" s="164"/>
      <c r="B556" s="178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</row>
    <row r="557">
      <c r="A557" s="164"/>
      <c r="B557" s="178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</row>
    <row r="558">
      <c r="A558" s="164"/>
      <c r="B558" s="178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</row>
    <row r="559">
      <c r="A559" s="164"/>
      <c r="B559" s="178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</row>
    <row r="560">
      <c r="A560" s="164"/>
      <c r="B560" s="178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</row>
    <row r="561">
      <c r="A561" s="164"/>
      <c r="B561" s="178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</row>
    <row r="562">
      <c r="A562" s="164"/>
      <c r="B562" s="178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</row>
    <row r="563">
      <c r="A563" s="164"/>
      <c r="B563" s="178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</row>
    <row r="564">
      <c r="A564" s="164"/>
      <c r="B564" s="178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</row>
    <row r="565">
      <c r="A565" s="164"/>
      <c r="B565" s="178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</row>
    <row r="566">
      <c r="A566" s="164"/>
      <c r="B566" s="178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</row>
    <row r="567">
      <c r="A567" s="164"/>
      <c r="B567" s="178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</row>
    <row r="568">
      <c r="A568" s="164"/>
      <c r="B568" s="178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</row>
    <row r="569">
      <c r="A569" s="164"/>
      <c r="B569" s="178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</row>
    <row r="570">
      <c r="A570" s="164"/>
      <c r="B570" s="178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</row>
    <row r="571">
      <c r="A571" s="164"/>
      <c r="B571" s="178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</row>
    <row r="572">
      <c r="A572" s="164"/>
      <c r="B572" s="178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</row>
    <row r="573">
      <c r="A573" s="164"/>
      <c r="B573" s="178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</row>
    <row r="574">
      <c r="A574" s="164"/>
      <c r="B574" s="178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</row>
    <row r="575">
      <c r="A575" s="164"/>
      <c r="B575" s="178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</row>
    <row r="576">
      <c r="A576" s="164"/>
      <c r="B576" s="178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</row>
    <row r="577">
      <c r="A577" s="164"/>
      <c r="B577" s="178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</row>
    <row r="578">
      <c r="A578" s="164"/>
      <c r="B578" s="178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</row>
    <row r="579">
      <c r="A579" s="164"/>
      <c r="B579" s="178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</row>
    <row r="580">
      <c r="A580" s="164"/>
      <c r="B580" s="178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</row>
    <row r="581">
      <c r="A581" s="164"/>
      <c r="B581" s="178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</row>
    <row r="582">
      <c r="A582" s="164"/>
      <c r="B582" s="178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</row>
    <row r="583">
      <c r="A583" s="164"/>
      <c r="B583" s="178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</row>
    <row r="584">
      <c r="A584" s="164"/>
      <c r="B584" s="178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</row>
    <row r="585">
      <c r="A585" s="164"/>
      <c r="B585" s="178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</row>
    <row r="586">
      <c r="A586" s="164"/>
      <c r="B586" s="178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</row>
    <row r="587">
      <c r="A587" s="164"/>
      <c r="B587" s="178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</row>
    <row r="588">
      <c r="A588" s="164"/>
      <c r="B588" s="178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</row>
    <row r="589">
      <c r="A589" s="164"/>
      <c r="B589" s="178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</row>
    <row r="590">
      <c r="A590" s="164"/>
      <c r="B590" s="178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</row>
    <row r="591">
      <c r="A591" s="164"/>
      <c r="B591" s="178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</row>
    <row r="592">
      <c r="A592" s="164"/>
      <c r="B592" s="178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</row>
    <row r="593">
      <c r="A593" s="164"/>
      <c r="B593" s="178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</row>
    <row r="594">
      <c r="A594" s="164"/>
      <c r="B594" s="178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</row>
    <row r="595">
      <c r="A595" s="164"/>
      <c r="B595" s="178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</row>
    <row r="596">
      <c r="A596" s="164"/>
      <c r="B596" s="178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</row>
    <row r="597">
      <c r="A597" s="164"/>
      <c r="B597" s="178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</row>
    <row r="598">
      <c r="A598" s="164"/>
      <c r="B598" s="178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</row>
    <row r="599">
      <c r="A599" s="164"/>
      <c r="B599" s="178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</row>
    <row r="600">
      <c r="A600" s="164"/>
      <c r="B600" s="178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</row>
    <row r="601">
      <c r="A601" s="164"/>
      <c r="B601" s="178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</row>
    <row r="602">
      <c r="A602" s="164"/>
      <c r="B602" s="178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</row>
    <row r="603">
      <c r="A603" s="164"/>
      <c r="B603" s="178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</row>
    <row r="604">
      <c r="A604" s="164"/>
      <c r="B604" s="178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</row>
    <row r="605">
      <c r="A605" s="164"/>
      <c r="B605" s="178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</row>
    <row r="606">
      <c r="A606" s="164"/>
      <c r="B606" s="178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</row>
    <row r="607">
      <c r="A607" s="164"/>
      <c r="B607" s="178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</row>
    <row r="608">
      <c r="A608" s="164"/>
      <c r="B608" s="178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</row>
    <row r="609">
      <c r="A609" s="164"/>
      <c r="B609" s="178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</row>
    <row r="610">
      <c r="A610" s="164"/>
      <c r="B610" s="178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</row>
    <row r="611">
      <c r="A611" s="164"/>
      <c r="B611" s="178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</row>
    <row r="612">
      <c r="A612" s="164"/>
      <c r="B612" s="178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</row>
    <row r="613">
      <c r="A613" s="164"/>
      <c r="B613" s="178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</row>
    <row r="614">
      <c r="A614" s="164"/>
      <c r="B614" s="178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</row>
    <row r="615">
      <c r="A615" s="164"/>
      <c r="B615" s="178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</row>
    <row r="616">
      <c r="A616" s="164"/>
      <c r="B616" s="178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</row>
    <row r="617">
      <c r="A617" s="164"/>
      <c r="B617" s="178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</row>
    <row r="618">
      <c r="A618" s="164"/>
      <c r="B618" s="178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</row>
    <row r="619">
      <c r="A619" s="164"/>
      <c r="B619" s="178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</row>
    <row r="620">
      <c r="A620" s="164"/>
      <c r="B620" s="178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</row>
    <row r="621">
      <c r="A621" s="164"/>
      <c r="B621" s="178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</row>
    <row r="622">
      <c r="A622" s="164"/>
      <c r="B622" s="178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</row>
    <row r="623">
      <c r="A623" s="164"/>
      <c r="B623" s="178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</row>
    <row r="624">
      <c r="A624" s="164"/>
      <c r="B624" s="178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</row>
    <row r="625">
      <c r="A625" s="164"/>
      <c r="B625" s="178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</row>
    <row r="626">
      <c r="A626" s="164"/>
      <c r="B626" s="178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</row>
    <row r="627">
      <c r="A627" s="164"/>
      <c r="B627" s="178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</row>
    <row r="628">
      <c r="A628" s="164"/>
      <c r="B628" s="178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</row>
    <row r="629">
      <c r="A629" s="164"/>
      <c r="B629" s="178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</row>
    <row r="630">
      <c r="A630" s="164"/>
      <c r="B630" s="178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</row>
    <row r="631">
      <c r="A631" s="164"/>
      <c r="B631" s="178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</row>
    <row r="632">
      <c r="A632" s="164"/>
      <c r="B632" s="178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</row>
    <row r="633">
      <c r="A633" s="164"/>
      <c r="B633" s="178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</row>
    <row r="634">
      <c r="A634" s="164"/>
      <c r="B634" s="178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</row>
    <row r="635">
      <c r="A635" s="164"/>
      <c r="B635" s="178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</row>
    <row r="636">
      <c r="A636" s="164"/>
      <c r="B636" s="178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</row>
    <row r="637">
      <c r="A637" s="164"/>
      <c r="B637" s="178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</row>
    <row r="638">
      <c r="A638" s="164"/>
      <c r="B638" s="178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</row>
    <row r="639">
      <c r="A639" s="164"/>
      <c r="B639" s="178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</row>
    <row r="640">
      <c r="A640" s="164"/>
      <c r="B640" s="178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</row>
    <row r="641">
      <c r="A641" s="164"/>
      <c r="B641" s="178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</row>
    <row r="642">
      <c r="A642" s="164"/>
      <c r="B642" s="178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</row>
    <row r="643">
      <c r="A643" s="164"/>
      <c r="B643" s="178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</row>
    <row r="644">
      <c r="A644" s="164"/>
      <c r="B644" s="178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</row>
    <row r="645">
      <c r="A645" s="164"/>
      <c r="B645" s="178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</row>
    <row r="646">
      <c r="A646" s="164"/>
      <c r="B646" s="178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</row>
    <row r="647">
      <c r="A647" s="164"/>
      <c r="B647" s="178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</row>
    <row r="648">
      <c r="A648" s="164"/>
      <c r="B648" s="178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</row>
    <row r="649">
      <c r="A649" s="164"/>
      <c r="B649" s="178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</row>
    <row r="650">
      <c r="A650" s="164"/>
      <c r="B650" s="178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</row>
    <row r="651">
      <c r="A651" s="164"/>
      <c r="B651" s="178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</row>
    <row r="652">
      <c r="A652" s="164"/>
      <c r="B652" s="178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</row>
    <row r="653">
      <c r="A653" s="164"/>
      <c r="B653" s="178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</row>
    <row r="654">
      <c r="A654" s="164"/>
      <c r="B654" s="178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</row>
    <row r="655">
      <c r="A655" s="164"/>
      <c r="B655" s="178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</row>
    <row r="656">
      <c r="A656" s="164"/>
      <c r="B656" s="178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</row>
    <row r="657">
      <c r="A657" s="164"/>
      <c r="B657" s="178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</row>
    <row r="658">
      <c r="A658" s="164"/>
      <c r="B658" s="178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</row>
    <row r="659">
      <c r="A659" s="164"/>
      <c r="B659" s="178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</row>
    <row r="660">
      <c r="A660" s="164"/>
      <c r="B660" s="178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</row>
    <row r="661">
      <c r="A661" s="164"/>
      <c r="B661" s="178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</row>
    <row r="662">
      <c r="A662" s="164"/>
      <c r="B662" s="178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</row>
    <row r="663">
      <c r="A663" s="164"/>
      <c r="B663" s="178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</row>
    <row r="664">
      <c r="A664" s="164"/>
      <c r="B664" s="178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</row>
    <row r="665">
      <c r="A665" s="164"/>
      <c r="B665" s="178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</row>
    <row r="666">
      <c r="A666" s="164"/>
      <c r="B666" s="178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</row>
    <row r="667">
      <c r="A667" s="164"/>
      <c r="B667" s="178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</row>
    <row r="668">
      <c r="A668" s="164"/>
      <c r="B668" s="178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</row>
    <row r="669">
      <c r="A669" s="164"/>
      <c r="B669" s="178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</row>
    <row r="670">
      <c r="A670" s="164"/>
      <c r="B670" s="178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</row>
    <row r="671">
      <c r="A671" s="164"/>
      <c r="B671" s="178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</row>
    <row r="672">
      <c r="A672" s="164"/>
      <c r="B672" s="178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</row>
    <row r="673">
      <c r="A673" s="164"/>
      <c r="B673" s="178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</row>
    <row r="674">
      <c r="A674" s="164"/>
      <c r="B674" s="178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</row>
    <row r="675">
      <c r="A675" s="164"/>
      <c r="B675" s="178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</row>
    <row r="676">
      <c r="A676" s="164"/>
      <c r="B676" s="178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</row>
    <row r="677">
      <c r="A677" s="164"/>
      <c r="B677" s="178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</row>
    <row r="678">
      <c r="A678" s="164"/>
      <c r="B678" s="178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</row>
    <row r="679">
      <c r="A679" s="164"/>
      <c r="B679" s="178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</row>
    <row r="680">
      <c r="A680" s="164"/>
      <c r="B680" s="178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</row>
    <row r="681">
      <c r="A681" s="164"/>
      <c r="B681" s="178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</row>
    <row r="682">
      <c r="A682" s="164"/>
      <c r="B682" s="178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</row>
    <row r="683">
      <c r="A683" s="164"/>
      <c r="B683" s="178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</row>
    <row r="684">
      <c r="A684" s="164"/>
      <c r="B684" s="178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</row>
    <row r="685">
      <c r="A685" s="164"/>
      <c r="B685" s="178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</row>
    <row r="686">
      <c r="A686" s="164"/>
      <c r="B686" s="178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</row>
    <row r="687">
      <c r="A687" s="164"/>
      <c r="B687" s="178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</row>
    <row r="688">
      <c r="A688" s="164"/>
      <c r="B688" s="178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</row>
    <row r="689">
      <c r="A689" s="164"/>
      <c r="B689" s="178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</row>
    <row r="690">
      <c r="A690" s="164"/>
      <c r="B690" s="178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</row>
    <row r="691">
      <c r="A691" s="164"/>
      <c r="B691" s="178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</row>
    <row r="692">
      <c r="A692" s="164"/>
      <c r="B692" s="178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</row>
    <row r="693">
      <c r="A693" s="164"/>
      <c r="B693" s="178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</row>
    <row r="694">
      <c r="A694" s="164"/>
      <c r="B694" s="178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</row>
    <row r="695">
      <c r="A695" s="164"/>
      <c r="B695" s="178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</row>
    <row r="696">
      <c r="A696" s="164"/>
      <c r="B696" s="178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</row>
    <row r="697">
      <c r="A697" s="164"/>
      <c r="B697" s="178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</row>
    <row r="698">
      <c r="A698" s="164"/>
      <c r="B698" s="178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</row>
    <row r="699">
      <c r="A699" s="164"/>
      <c r="B699" s="178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</row>
    <row r="700">
      <c r="A700" s="164"/>
      <c r="B700" s="178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</row>
    <row r="701">
      <c r="A701" s="164"/>
      <c r="B701" s="178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</row>
    <row r="702">
      <c r="A702" s="164"/>
      <c r="B702" s="178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</row>
    <row r="703">
      <c r="A703" s="164"/>
      <c r="B703" s="178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</row>
    <row r="704">
      <c r="A704" s="164"/>
      <c r="B704" s="178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</row>
    <row r="705">
      <c r="A705" s="164"/>
      <c r="B705" s="178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</row>
    <row r="706">
      <c r="A706" s="164"/>
      <c r="B706" s="178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</row>
    <row r="707">
      <c r="A707" s="164"/>
      <c r="B707" s="178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</row>
    <row r="708">
      <c r="A708" s="164"/>
      <c r="B708" s="178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</row>
    <row r="709">
      <c r="A709" s="164"/>
      <c r="B709" s="178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</row>
    <row r="710">
      <c r="A710" s="164"/>
      <c r="B710" s="178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</row>
    <row r="711">
      <c r="A711" s="164"/>
      <c r="B711" s="178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</row>
    <row r="712">
      <c r="A712" s="164"/>
      <c r="B712" s="178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</row>
    <row r="713">
      <c r="A713" s="164"/>
      <c r="B713" s="178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</row>
    <row r="714">
      <c r="A714" s="164"/>
      <c r="B714" s="178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</row>
    <row r="715">
      <c r="A715" s="164"/>
      <c r="B715" s="178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</row>
    <row r="716">
      <c r="A716" s="164"/>
      <c r="B716" s="178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</row>
    <row r="717">
      <c r="A717" s="164"/>
      <c r="B717" s="178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</row>
    <row r="718">
      <c r="A718" s="164"/>
      <c r="B718" s="178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</row>
    <row r="719">
      <c r="A719" s="164"/>
      <c r="B719" s="178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</row>
    <row r="720">
      <c r="A720" s="164"/>
      <c r="B720" s="178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</row>
    <row r="721">
      <c r="A721" s="164"/>
      <c r="B721" s="178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</row>
    <row r="722">
      <c r="A722" s="164"/>
      <c r="B722" s="178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</row>
    <row r="723">
      <c r="A723" s="164"/>
      <c r="B723" s="178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</row>
    <row r="724">
      <c r="A724" s="164"/>
      <c r="B724" s="178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</row>
    <row r="725">
      <c r="A725" s="164"/>
      <c r="B725" s="178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</row>
    <row r="726">
      <c r="A726" s="164"/>
      <c r="B726" s="178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</row>
    <row r="727">
      <c r="A727" s="164"/>
      <c r="B727" s="178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</row>
    <row r="728">
      <c r="A728" s="164"/>
      <c r="B728" s="178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</row>
    <row r="729">
      <c r="A729" s="164"/>
      <c r="B729" s="178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</row>
    <row r="730">
      <c r="A730" s="164"/>
      <c r="B730" s="178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</row>
    <row r="731">
      <c r="A731" s="164"/>
      <c r="B731" s="178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</row>
    <row r="732">
      <c r="A732" s="164"/>
      <c r="B732" s="178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</row>
    <row r="733">
      <c r="A733" s="164"/>
      <c r="B733" s="178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</row>
    <row r="734">
      <c r="A734" s="164"/>
      <c r="B734" s="178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</row>
    <row r="735">
      <c r="A735" s="164"/>
      <c r="B735" s="178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</row>
    <row r="736">
      <c r="A736" s="164"/>
      <c r="B736" s="178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</row>
    <row r="737">
      <c r="A737" s="164"/>
      <c r="B737" s="178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</row>
    <row r="738">
      <c r="A738" s="164"/>
      <c r="B738" s="178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</row>
    <row r="739">
      <c r="A739" s="164"/>
      <c r="B739" s="178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</row>
    <row r="740">
      <c r="A740" s="164"/>
      <c r="B740" s="178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</row>
    <row r="741">
      <c r="A741" s="164"/>
      <c r="B741" s="178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</row>
    <row r="742">
      <c r="A742" s="164"/>
      <c r="B742" s="178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</row>
    <row r="743">
      <c r="A743" s="164"/>
      <c r="B743" s="178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</row>
    <row r="744">
      <c r="A744" s="164"/>
      <c r="B744" s="178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</row>
    <row r="745">
      <c r="A745" s="164"/>
      <c r="B745" s="178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</row>
    <row r="746">
      <c r="A746" s="164"/>
      <c r="B746" s="178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</row>
    <row r="747">
      <c r="A747" s="164"/>
      <c r="B747" s="178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</row>
    <row r="748">
      <c r="A748" s="164"/>
      <c r="B748" s="178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</row>
    <row r="749">
      <c r="A749" s="164"/>
      <c r="B749" s="178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</row>
    <row r="750">
      <c r="A750" s="164"/>
      <c r="B750" s="178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</row>
    <row r="751">
      <c r="A751" s="164"/>
      <c r="B751" s="178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</row>
    <row r="752">
      <c r="A752" s="164"/>
      <c r="B752" s="178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</row>
    <row r="753">
      <c r="A753" s="164"/>
      <c r="B753" s="178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</row>
    <row r="754">
      <c r="A754" s="164"/>
      <c r="B754" s="178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</row>
    <row r="755">
      <c r="A755" s="164"/>
      <c r="B755" s="178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</row>
    <row r="756">
      <c r="A756" s="164"/>
      <c r="B756" s="178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</row>
    <row r="757">
      <c r="A757" s="164"/>
      <c r="B757" s="178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</row>
    <row r="758">
      <c r="A758" s="164"/>
      <c r="B758" s="178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</row>
    <row r="759">
      <c r="A759" s="164"/>
      <c r="B759" s="178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</row>
    <row r="760">
      <c r="A760" s="164"/>
      <c r="B760" s="178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</row>
    <row r="761">
      <c r="A761" s="164"/>
      <c r="B761" s="178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</row>
    <row r="762">
      <c r="A762" s="164"/>
      <c r="B762" s="178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</row>
    <row r="763">
      <c r="A763" s="164"/>
      <c r="B763" s="178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</row>
    <row r="764">
      <c r="A764" s="164"/>
      <c r="B764" s="178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</row>
    <row r="765">
      <c r="A765" s="164"/>
      <c r="B765" s="178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</row>
    <row r="766">
      <c r="A766" s="164"/>
      <c r="B766" s="178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</row>
    <row r="767">
      <c r="A767" s="164"/>
      <c r="B767" s="178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</row>
    <row r="768">
      <c r="A768" s="164"/>
      <c r="B768" s="178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</row>
    <row r="769">
      <c r="A769" s="164"/>
      <c r="B769" s="178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</row>
    <row r="770">
      <c r="A770" s="164"/>
      <c r="B770" s="178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</row>
    <row r="771">
      <c r="A771" s="164"/>
      <c r="B771" s="178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</row>
    <row r="772">
      <c r="A772" s="164"/>
      <c r="B772" s="178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</row>
    <row r="773">
      <c r="A773" s="164"/>
      <c r="B773" s="178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</row>
    <row r="774">
      <c r="A774" s="164"/>
      <c r="B774" s="178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</row>
    <row r="775">
      <c r="A775" s="164"/>
      <c r="B775" s="178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</row>
    <row r="776">
      <c r="A776" s="164"/>
      <c r="B776" s="178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</row>
    <row r="777">
      <c r="A777" s="164"/>
      <c r="B777" s="178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</row>
    <row r="778">
      <c r="A778" s="164"/>
      <c r="B778" s="178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</row>
    <row r="779">
      <c r="A779" s="164"/>
      <c r="B779" s="178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</row>
    <row r="780">
      <c r="A780" s="164"/>
      <c r="B780" s="178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</row>
    <row r="781">
      <c r="A781" s="164"/>
      <c r="B781" s="178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</row>
    <row r="782">
      <c r="A782" s="164"/>
      <c r="B782" s="178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</row>
    <row r="783">
      <c r="A783" s="164"/>
      <c r="B783" s="178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</row>
    <row r="784">
      <c r="A784" s="164"/>
      <c r="B784" s="178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</row>
    <row r="785">
      <c r="A785" s="164"/>
      <c r="B785" s="178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</row>
    <row r="786">
      <c r="A786" s="164"/>
      <c r="B786" s="178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</row>
    <row r="787">
      <c r="A787" s="164"/>
      <c r="B787" s="178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</row>
    <row r="788">
      <c r="A788" s="164"/>
      <c r="B788" s="178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</row>
    <row r="789">
      <c r="A789" s="164"/>
      <c r="B789" s="178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</row>
    <row r="790">
      <c r="A790" s="164"/>
      <c r="B790" s="178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</row>
    <row r="791">
      <c r="A791" s="164"/>
      <c r="B791" s="178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</row>
    <row r="792">
      <c r="A792" s="164"/>
      <c r="B792" s="178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</row>
    <row r="793">
      <c r="A793" s="164"/>
      <c r="B793" s="178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</row>
    <row r="794">
      <c r="A794" s="164"/>
      <c r="B794" s="178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</row>
    <row r="795">
      <c r="A795" s="164"/>
      <c r="B795" s="178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</row>
    <row r="796">
      <c r="A796" s="164"/>
      <c r="B796" s="178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</row>
    <row r="797">
      <c r="A797" s="164"/>
      <c r="B797" s="178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</row>
    <row r="798">
      <c r="A798" s="164"/>
      <c r="B798" s="178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</row>
    <row r="799">
      <c r="A799" s="164"/>
      <c r="B799" s="178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</row>
    <row r="800">
      <c r="A800" s="164"/>
      <c r="B800" s="178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</row>
    <row r="801">
      <c r="A801" s="164"/>
      <c r="B801" s="178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</row>
    <row r="802">
      <c r="A802" s="164"/>
      <c r="B802" s="178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</row>
    <row r="803">
      <c r="A803" s="164"/>
      <c r="B803" s="178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</row>
    <row r="804">
      <c r="A804" s="164"/>
      <c r="B804" s="178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</row>
    <row r="805">
      <c r="A805" s="164"/>
      <c r="B805" s="178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</row>
    <row r="806">
      <c r="A806" s="164"/>
      <c r="B806" s="178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</row>
    <row r="807">
      <c r="A807" s="164"/>
      <c r="B807" s="178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</row>
    <row r="808">
      <c r="A808" s="164"/>
      <c r="B808" s="178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</row>
    <row r="809">
      <c r="A809" s="164"/>
      <c r="B809" s="178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</row>
    <row r="810">
      <c r="A810" s="164"/>
      <c r="B810" s="178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</row>
    <row r="811">
      <c r="A811" s="164"/>
      <c r="B811" s="178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</row>
    <row r="812">
      <c r="A812" s="164"/>
      <c r="B812" s="178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</row>
    <row r="813">
      <c r="A813" s="164"/>
      <c r="B813" s="178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</row>
    <row r="814">
      <c r="A814" s="164"/>
      <c r="B814" s="178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</row>
    <row r="815">
      <c r="A815" s="164"/>
      <c r="B815" s="178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</row>
    <row r="816">
      <c r="A816" s="164"/>
      <c r="B816" s="178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</row>
    <row r="817">
      <c r="A817" s="164"/>
      <c r="B817" s="178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</row>
    <row r="818">
      <c r="A818" s="164"/>
      <c r="B818" s="178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</row>
    <row r="819">
      <c r="A819" s="164"/>
      <c r="B819" s="178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</row>
    <row r="820">
      <c r="A820" s="164"/>
      <c r="B820" s="178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</row>
    <row r="821">
      <c r="A821" s="164"/>
      <c r="B821" s="178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</row>
    <row r="822">
      <c r="A822" s="164"/>
      <c r="B822" s="178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</row>
    <row r="823">
      <c r="A823" s="164"/>
      <c r="B823" s="178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</row>
    <row r="824">
      <c r="A824" s="164"/>
      <c r="B824" s="178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</row>
    <row r="825">
      <c r="A825" s="164"/>
      <c r="B825" s="178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</row>
    <row r="826">
      <c r="A826" s="164"/>
      <c r="B826" s="178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</row>
    <row r="827">
      <c r="A827" s="164"/>
      <c r="B827" s="178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</row>
    <row r="828">
      <c r="A828" s="164"/>
      <c r="B828" s="178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</row>
    <row r="829">
      <c r="A829" s="164"/>
      <c r="B829" s="178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</row>
    <row r="830">
      <c r="A830" s="164"/>
      <c r="B830" s="178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</row>
    <row r="831">
      <c r="A831" s="164"/>
      <c r="B831" s="178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</row>
    <row r="832">
      <c r="A832" s="164"/>
      <c r="B832" s="178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</row>
    <row r="833">
      <c r="A833" s="164"/>
      <c r="B833" s="178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</row>
    <row r="834">
      <c r="A834" s="164"/>
      <c r="B834" s="178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</row>
    <row r="835">
      <c r="A835" s="164"/>
      <c r="B835" s="178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</row>
    <row r="836">
      <c r="A836" s="164"/>
      <c r="B836" s="178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</row>
    <row r="837">
      <c r="A837" s="164"/>
      <c r="B837" s="178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</row>
    <row r="838">
      <c r="A838" s="164"/>
      <c r="B838" s="178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</row>
    <row r="839">
      <c r="A839" s="164"/>
      <c r="B839" s="178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</row>
    <row r="840">
      <c r="A840" s="164"/>
      <c r="B840" s="178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</row>
    <row r="841">
      <c r="A841" s="164"/>
      <c r="B841" s="178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</row>
    <row r="842">
      <c r="A842" s="164"/>
      <c r="B842" s="178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</row>
    <row r="843">
      <c r="A843" s="164"/>
      <c r="B843" s="178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</row>
    <row r="844">
      <c r="A844" s="164"/>
      <c r="B844" s="178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</row>
    <row r="845">
      <c r="A845" s="164"/>
      <c r="B845" s="178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</row>
    <row r="846">
      <c r="A846" s="164"/>
      <c r="B846" s="178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</row>
    <row r="847">
      <c r="A847" s="164"/>
      <c r="B847" s="178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</row>
    <row r="848">
      <c r="A848" s="164"/>
      <c r="B848" s="178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</row>
    <row r="849">
      <c r="A849" s="164"/>
      <c r="B849" s="178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</row>
    <row r="850">
      <c r="A850" s="164"/>
      <c r="B850" s="178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</row>
    <row r="851">
      <c r="A851" s="164"/>
      <c r="B851" s="178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</row>
    <row r="852">
      <c r="A852" s="164"/>
      <c r="B852" s="178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</row>
    <row r="853">
      <c r="A853" s="164"/>
      <c r="B853" s="178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</row>
    <row r="854">
      <c r="A854" s="164"/>
      <c r="B854" s="178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</row>
    <row r="855">
      <c r="A855" s="164"/>
      <c r="B855" s="178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</row>
    <row r="856">
      <c r="A856" s="164"/>
      <c r="B856" s="178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</row>
    <row r="857">
      <c r="A857" s="164"/>
      <c r="B857" s="178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</row>
    <row r="858">
      <c r="A858" s="164"/>
      <c r="B858" s="178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</row>
    <row r="859">
      <c r="A859" s="164"/>
      <c r="B859" s="178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</row>
    <row r="860">
      <c r="A860" s="164"/>
      <c r="B860" s="178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</row>
    <row r="861">
      <c r="A861" s="164"/>
      <c r="B861" s="178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</row>
    <row r="862">
      <c r="A862" s="164"/>
      <c r="B862" s="178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</row>
    <row r="863">
      <c r="A863" s="164"/>
      <c r="B863" s="178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</row>
    <row r="864">
      <c r="A864" s="164"/>
      <c r="B864" s="178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</row>
    <row r="865">
      <c r="A865" s="164"/>
      <c r="B865" s="178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</row>
    <row r="866">
      <c r="A866" s="164"/>
      <c r="B866" s="178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</row>
    <row r="867">
      <c r="A867" s="164"/>
      <c r="B867" s="178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</row>
    <row r="868">
      <c r="A868" s="164"/>
      <c r="B868" s="178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</row>
    <row r="869">
      <c r="A869" s="164"/>
      <c r="B869" s="178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</row>
    <row r="870">
      <c r="A870" s="164"/>
      <c r="B870" s="178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</row>
    <row r="871">
      <c r="A871" s="164"/>
      <c r="B871" s="178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</row>
    <row r="872">
      <c r="A872" s="164"/>
      <c r="B872" s="178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</row>
    <row r="873">
      <c r="A873" s="164"/>
      <c r="B873" s="178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</row>
    <row r="874">
      <c r="A874" s="164"/>
      <c r="B874" s="178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</row>
    <row r="875">
      <c r="A875" s="164"/>
      <c r="B875" s="178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</row>
    <row r="876">
      <c r="A876" s="164"/>
      <c r="B876" s="178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</row>
    <row r="877">
      <c r="A877" s="164"/>
      <c r="B877" s="178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</row>
    <row r="878">
      <c r="A878" s="164"/>
      <c r="B878" s="178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</row>
    <row r="879">
      <c r="A879" s="164"/>
      <c r="B879" s="178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</row>
    <row r="880">
      <c r="A880" s="164"/>
      <c r="B880" s="178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</row>
    <row r="881">
      <c r="A881" s="164"/>
      <c r="B881" s="178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</row>
    <row r="882">
      <c r="A882" s="164"/>
      <c r="B882" s="178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</row>
    <row r="883">
      <c r="A883" s="164"/>
      <c r="B883" s="178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</row>
    <row r="884">
      <c r="A884" s="164"/>
      <c r="B884" s="178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</row>
    <row r="885">
      <c r="A885" s="164"/>
      <c r="B885" s="178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</row>
    <row r="886">
      <c r="A886" s="164"/>
      <c r="B886" s="178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</row>
    <row r="887">
      <c r="A887" s="164"/>
      <c r="B887" s="178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</row>
    <row r="888">
      <c r="A888" s="164"/>
      <c r="B888" s="178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</row>
    <row r="889">
      <c r="A889" s="164"/>
      <c r="B889" s="178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</row>
    <row r="890">
      <c r="A890" s="164"/>
      <c r="B890" s="178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</row>
    <row r="891">
      <c r="A891" s="164"/>
      <c r="B891" s="178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</row>
    <row r="892">
      <c r="A892" s="164"/>
      <c r="B892" s="178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</row>
    <row r="893">
      <c r="A893" s="164"/>
      <c r="B893" s="178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</row>
    <row r="894">
      <c r="A894" s="164"/>
      <c r="B894" s="178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</row>
    <row r="895">
      <c r="A895" s="164"/>
      <c r="B895" s="178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</row>
    <row r="896">
      <c r="A896" s="164"/>
      <c r="B896" s="178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</row>
    <row r="897">
      <c r="A897" s="164"/>
      <c r="B897" s="178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</row>
    <row r="898">
      <c r="A898" s="164"/>
      <c r="B898" s="178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</row>
    <row r="899">
      <c r="A899" s="164"/>
      <c r="B899" s="178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</row>
    <row r="900">
      <c r="A900" s="164"/>
      <c r="B900" s="178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</row>
    <row r="901">
      <c r="A901" s="164"/>
      <c r="B901" s="178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</row>
    <row r="902">
      <c r="A902" s="164"/>
      <c r="B902" s="178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</row>
    <row r="903">
      <c r="A903" s="164"/>
      <c r="B903" s="178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</row>
    <row r="904">
      <c r="A904" s="164"/>
      <c r="B904" s="178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</row>
    <row r="905">
      <c r="A905" s="164"/>
      <c r="B905" s="178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</row>
    <row r="906">
      <c r="A906" s="164"/>
      <c r="B906" s="178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</row>
    <row r="907">
      <c r="A907" s="164"/>
      <c r="B907" s="178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</row>
    <row r="908">
      <c r="A908" s="164"/>
      <c r="B908" s="178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</row>
    <row r="909">
      <c r="A909" s="164"/>
      <c r="B909" s="178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</row>
    <row r="910">
      <c r="A910" s="164"/>
      <c r="B910" s="178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</row>
    <row r="911">
      <c r="A911" s="164"/>
      <c r="B911" s="178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</row>
    <row r="912">
      <c r="A912" s="164"/>
      <c r="B912" s="178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</row>
    <row r="913">
      <c r="A913" s="164"/>
      <c r="B913" s="178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</row>
    <row r="914">
      <c r="A914" s="164"/>
      <c r="B914" s="178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</row>
    <row r="915">
      <c r="A915" s="164"/>
      <c r="B915" s="178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</row>
    <row r="916">
      <c r="A916" s="164"/>
      <c r="B916" s="178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</row>
    <row r="917">
      <c r="A917" s="164"/>
      <c r="B917" s="178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</row>
    <row r="918">
      <c r="A918" s="164"/>
      <c r="B918" s="178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</row>
    <row r="919">
      <c r="A919" s="164"/>
      <c r="B919" s="178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</row>
    <row r="920">
      <c r="A920" s="164"/>
      <c r="B920" s="178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</row>
    <row r="921">
      <c r="A921" s="164"/>
      <c r="B921" s="178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</row>
    <row r="922">
      <c r="A922" s="164"/>
      <c r="B922" s="178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</row>
    <row r="923">
      <c r="A923" s="164"/>
      <c r="B923" s="178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</row>
    <row r="924">
      <c r="A924" s="164"/>
      <c r="B924" s="178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</row>
    <row r="925">
      <c r="A925" s="164"/>
      <c r="B925" s="178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</row>
    <row r="926">
      <c r="A926" s="164"/>
      <c r="B926" s="178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</row>
    <row r="927">
      <c r="A927" s="164"/>
      <c r="B927" s="178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</row>
    <row r="928">
      <c r="A928" s="164"/>
      <c r="B928" s="178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</row>
    <row r="929">
      <c r="A929" s="164"/>
      <c r="B929" s="178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</row>
    <row r="930">
      <c r="A930" s="164"/>
      <c r="B930" s="178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</row>
    <row r="931">
      <c r="A931" s="164"/>
      <c r="B931" s="178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</row>
    <row r="932">
      <c r="A932" s="164"/>
      <c r="B932" s="178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</row>
    <row r="933">
      <c r="A933" s="164"/>
      <c r="B933" s="178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</row>
    <row r="934">
      <c r="A934" s="164"/>
      <c r="B934" s="178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</row>
    <row r="935">
      <c r="A935" s="164"/>
      <c r="B935" s="178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</row>
    <row r="936">
      <c r="A936" s="164"/>
      <c r="B936" s="178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</row>
    <row r="937">
      <c r="A937" s="164"/>
      <c r="B937" s="178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</row>
    <row r="938">
      <c r="A938" s="164"/>
      <c r="B938" s="178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</row>
    <row r="939">
      <c r="A939" s="164"/>
      <c r="B939" s="178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</row>
    <row r="940">
      <c r="A940" s="164"/>
      <c r="B940" s="178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</row>
    <row r="941">
      <c r="A941" s="164"/>
      <c r="B941" s="178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</row>
    <row r="942">
      <c r="A942" s="164"/>
      <c r="B942" s="178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</row>
    <row r="943">
      <c r="A943" s="164"/>
      <c r="B943" s="178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</row>
    <row r="944">
      <c r="A944" s="164"/>
      <c r="B944" s="178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</row>
    <row r="945">
      <c r="A945" s="164"/>
      <c r="B945" s="178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</row>
    <row r="946">
      <c r="A946" s="164"/>
      <c r="B946" s="178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</row>
    <row r="947">
      <c r="A947" s="164"/>
      <c r="B947" s="178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</row>
    <row r="948">
      <c r="A948" s="164"/>
      <c r="B948" s="178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</row>
    <row r="949">
      <c r="A949" s="164"/>
      <c r="B949" s="178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</row>
    <row r="950">
      <c r="A950" s="164"/>
      <c r="B950" s="178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</row>
    <row r="951">
      <c r="A951" s="164"/>
      <c r="B951" s="178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</row>
    <row r="952">
      <c r="A952" s="164"/>
      <c r="B952" s="178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</row>
    <row r="953">
      <c r="A953" s="164"/>
      <c r="B953" s="178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</row>
    <row r="954">
      <c r="A954" s="164"/>
      <c r="B954" s="178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</row>
    <row r="955">
      <c r="A955" s="164"/>
      <c r="B955" s="178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</row>
    <row r="956">
      <c r="A956" s="164"/>
      <c r="B956" s="178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</row>
    <row r="957">
      <c r="A957" s="164"/>
      <c r="B957" s="178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</row>
    <row r="958">
      <c r="A958" s="164"/>
      <c r="B958" s="178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</row>
    <row r="959">
      <c r="A959" s="164"/>
      <c r="B959" s="178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</row>
    <row r="960">
      <c r="A960" s="164"/>
      <c r="B960" s="178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</row>
    <row r="961">
      <c r="A961" s="164"/>
      <c r="B961" s="178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</row>
    <row r="962">
      <c r="A962" s="164"/>
      <c r="B962" s="178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</row>
    <row r="963">
      <c r="A963" s="164"/>
      <c r="B963" s="178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</row>
    <row r="964">
      <c r="A964" s="164"/>
      <c r="B964" s="178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</row>
    <row r="965">
      <c r="A965" s="164"/>
      <c r="B965" s="178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</row>
    <row r="966">
      <c r="A966" s="164"/>
      <c r="B966" s="178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</row>
    <row r="967">
      <c r="A967" s="164"/>
      <c r="B967" s="178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</row>
    <row r="968">
      <c r="A968" s="164"/>
      <c r="B968" s="178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</row>
    <row r="969">
      <c r="A969" s="164"/>
      <c r="B969" s="178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</row>
    <row r="970">
      <c r="A970" s="164"/>
      <c r="B970" s="178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</row>
    <row r="971">
      <c r="A971" s="164"/>
      <c r="B971" s="178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</row>
    <row r="972">
      <c r="A972" s="164"/>
      <c r="B972" s="178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</row>
    <row r="973">
      <c r="A973" s="164"/>
      <c r="B973" s="178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</row>
    <row r="974">
      <c r="A974" s="164"/>
      <c r="B974" s="178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</row>
    <row r="975">
      <c r="A975" s="164"/>
      <c r="B975" s="178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</row>
    <row r="976">
      <c r="A976" s="164"/>
      <c r="B976" s="178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</row>
    <row r="977">
      <c r="A977" s="164"/>
      <c r="B977" s="178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</row>
    <row r="978">
      <c r="A978" s="164"/>
      <c r="B978" s="178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</row>
    <row r="979">
      <c r="A979" s="164"/>
      <c r="B979" s="178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</row>
    <row r="980">
      <c r="A980" s="164"/>
      <c r="B980" s="178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</row>
    <row r="981">
      <c r="A981" s="164"/>
      <c r="B981" s="178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</row>
    <row r="982">
      <c r="A982" s="164"/>
      <c r="B982" s="178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</row>
    <row r="983">
      <c r="A983" s="164"/>
      <c r="B983" s="178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</row>
    <row r="984">
      <c r="A984" s="164"/>
      <c r="B984" s="178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</row>
    <row r="985">
      <c r="A985" s="164"/>
      <c r="B985" s="178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</row>
    <row r="986">
      <c r="A986" s="164"/>
      <c r="B986" s="178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</row>
    <row r="987">
      <c r="A987" s="164"/>
      <c r="B987" s="178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</row>
    <row r="988">
      <c r="A988" s="164"/>
      <c r="B988" s="178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</row>
    <row r="989">
      <c r="A989" s="164"/>
      <c r="B989" s="178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</row>
    <row r="990">
      <c r="A990" s="164"/>
      <c r="B990" s="178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</row>
    <row r="991">
      <c r="A991" s="164"/>
      <c r="B991" s="178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</row>
    <row r="992">
      <c r="A992" s="164"/>
      <c r="B992" s="178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</row>
    <row r="993">
      <c r="A993" s="164"/>
      <c r="B993" s="178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</row>
    <row r="994">
      <c r="A994" s="164"/>
      <c r="B994" s="178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</row>
    <row r="995">
      <c r="A995" s="164"/>
      <c r="B995" s="178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</row>
    <row r="996">
      <c r="A996" s="164"/>
      <c r="B996" s="178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</row>
    <row r="997">
      <c r="A997" s="164"/>
      <c r="B997" s="178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</row>
    <row r="998">
      <c r="A998" s="164"/>
      <c r="B998" s="178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</row>
    <row r="999">
      <c r="A999" s="164"/>
      <c r="B999" s="178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</row>
    <row r="1000">
      <c r="A1000" s="164"/>
      <c r="B1000" s="178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</row>
    <row r="1001">
      <c r="A1001" s="164"/>
      <c r="B1001" s="178"/>
      <c r="C1001" s="164"/>
      <c r="D1001" s="164"/>
      <c r="E1001" s="164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</row>
    <row r="1002">
      <c r="A1002" s="164"/>
      <c r="B1002" s="178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</row>
    <row r="1003">
      <c r="A1003" s="164"/>
      <c r="B1003" s="178"/>
      <c r="C1003" s="164"/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</row>
    <row r="1004">
      <c r="A1004" s="164"/>
      <c r="B1004" s="178"/>
      <c r="C1004" s="164"/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</row>
    <row r="1005">
      <c r="A1005" s="164"/>
      <c r="B1005" s="178"/>
      <c r="C1005" s="164"/>
      <c r="D1005" s="164"/>
      <c r="E1005" s="164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</row>
    <row r="1006">
      <c r="A1006" s="164"/>
      <c r="B1006" s="178"/>
      <c r="C1006" s="164"/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</row>
    <row r="1007">
      <c r="A1007" s="164"/>
      <c r="B1007" s="178"/>
      <c r="C1007" s="164"/>
      <c r="D1007" s="164"/>
      <c r="E1007" s="164"/>
      <c r="F1007" s="164"/>
      <c r="G1007" s="164"/>
      <c r="H1007" s="164"/>
      <c r="I1007" s="164"/>
      <c r="J1007" s="164"/>
      <c r="K1007" s="164"/>
      <c r="L1007" s="164"/>
      <c r="M1007" s="164"/>
      <c r="N1007" s="164"/>
      <c r="O1007" s="164"/>
    </row>
    <row r="1008">
      <c r="A1008" s="164"/>
      <c r="B1008" s="178"/>
      <c r="C1008" s="164"/>
      <c r="D1008" s="164"/>
      <c r="E1008" s="164"/>
      <c r="F1008" s="164"/>
      <c r="G1008" s="164"/>
      <c r="H1008" s="164"/>
      <c r="I1008" s="164"/>
      <c r="J1008" s="164"/>
      <c r="K1008" s="164"/>
      <c r="L1008" s="164"/>
      <c r="M1008" s="164"/>
      <c r="N1008" s="164"/>
      <c r="O1008" s="164"/>
    </row>
    <row r="1009">
      <c r="A1009" s="164"/>
      <c r="B1009" s="178"/>
      <c r="C1009" s="164"/>
      <c r="D1009" s="164"/>
      <c r="E1009" s="164"/>
      <c r="F1009" s="164"/>
      <c r="G1009" s="164"/>
      <c r="H1009" s="164"/>
      <c r="I1009" s="164"/>
      <c r="J1009" s="164"/>
      <c r="K1009" s="164"/>
      <c r="L1009" s="164"/>
      <c r="M1009" s="164"/>
      <c r="N1009" s="164"/>
      <c r="O1009" s="164"/>
    </row>
    <row r="1010">
      <c r="A1010" s="164"/>
      <c r="B1010" s="178"/>
      <c r="C1010" s="164"/>
      <c r="D1010" s="164"/>
      <c r="E1010" s="164"/>
      <c r="F1010" s="164"/>
      <c r="G1010" s="164"/>
      <c r="H1010" s="164"/>
      <c r="I1010" s="164"/>
      <c r="J1010" s="164"/>
      <c r="K1010" s="164"/>
      <c r="L1010" s="164"/>
      <c r="M1010" s="164"/>
      <c r="N1010" s="164"/>
      <c r="O1010" s="164"/>
    </row>
    <row r="1011">
      <c r="A1011" s="164"/>
      <c r="B1011" s="178"/>
      <c r="C1011" s="164"/>
      <c r="D1011" s="164"/>
      <c r="E1011" s="164"/>
      <c r="F1011" s="164"/>
      <c r="G1011" s="164"/>
      <c r="H1011" s="164"/>
      <c r="I1011" s="164"/>
      <c r="J1011" s="164"/>
      <c r="K1011" s="164"/>
      <c r="L1011" s="164"/>
      <c r="M1011" s="164"/>
      <c r="N1011" s="164"/>
      <c r="O1011" s="164"/>
    </row>
    <row r="1012">
      <c r="A1012" s="164"/>
      <c r="B1012" s="178"/>
      <c r="C1012" s="164"/>
      <c r="D1012" s="164"/>
      <c r="E1012" s="164"/>
      <c r="F1012" s="164"/>
      <c r="G1012" s="164"/>
      <c r="H1012" s="164"/>
      <c r="I1012" s="164"/>
      <c r="J1012" s="164"/>
      <c r="K1012" s="164"/>
      <c r="L1012" s="164"/>
      <c r="M1012" s="164"/>
      <c r="N1012" s="164"/>
      <c r="O1012" s="164"/>
    </row>
    <row r="1013">
      <c r="A1013" s="164"/>
      <c r="B1013" s="178"/>
      <c r="C1013" s="164"/>
      <c r="D1013" s="164"/>
      <c r="E1013" s="164"/>
      <c r="F1013" s="164"/>
      <c r="G1013" s="164"/>
      <c r="H1013" s="164"/>
      <c r="I1013" s="164"/>
      <c r="J1013" s="164"/>
      <c r="K1013" s="164"/>
      <c r="L1013" s="164"/>
      <c r="M1013" s="164"/>
      <c r="N1013" s="164"/>
      <c r="O1013" s="164"/>
    </row>
    <row r="1014">
      <c r="A1014" s="164"/>
      <c r="B1014" s="178"/>
      <c r="C1014" s="164"/>
      <c r="D1014" s="164"/>
      <c r="E1014" s="164"/>
      <c r="F1014" s="164"/>
      <c r="G1014" s="164"/>
      <c r="H1014" s="164"/>
      <c r="I1014" s="164"/>
      <c r="J1014" s="164"/>
      <c r="K1014" s="164"/>
      <c r="L1014" s="164"/>
      <c r="M1014" s="164"/>
      <c r="N1014" s="164"/>
      <c r="O1014" s="164"/>
    </row>
    <row r="1015">
      <c r="A1015" s="164"/>
      <c r="B1015" s="178"/>
      <c r="C1015" s="164"/>
      <c r="D1015" s="164"/>
      <c r="E1015" s="164"/>
      <c r="F1015" s="164"/>
      <c r="G1015" s="164"/>
      <c r="H1015" s="164"/>
      <c r="I1015" s="164"/>
      <c r="J1015" s="164"/>
      <c r="K1015" s="164"/>
      <c r="L1015" s="164"/>
      <c r="M1015" s="164"/>
      <c r="N1015" s="164"/>
      <c r="O1015" s="164"/>
    </row>
    <row r="1016">
      <c r="A1016" s="164"/>
      <c r="B1016" s="178"/>
      <c r="C1016" s="164"/>
      <c r="D1016" s="164"/>
      <c r="E1016" s="164"/>
      <c r="F1016" s="164"/>
      <c r="G1016" s="164"/>
      <c r="H1016" s="164"/>
      <c r="I1016" s="164"/>
      <c r="J1016" s="164"/>
      <c r="K1016" s="164"/>
      <c r="L1016" s="164"/>
      <c r="M1016" s="164"/>
      <c r="N1016" s="164"/>
      <c r="O1016" s="164"/>
    </row>
    <row r="1017">
      <c r="A1017" s="164"/>
      <c r="B1017" s="178"/>
      <c r="C1017" s="164"/>
      <c r="D1017" s="164"/>
      <c r="E1017" s="164"/>
      <c r="F1017" s="164"/>
      <c r="G1017" s="164"/>
      <c r="H1017" s="164"/>
      <c r="I1017" s="164"/>
      <c r="J1017" s="164"/>
      <c r="K1017" s="164"/>
      <c r="L1017" s="164"/>
      <c r="M1017" s="164"/>
      <c r="N1017" s="164"/>
      <c r="O1017" s="164"/>
    </row>
    <row r="1018">
      <c r="A1018" s="164"/>
      <c r="B1018" s="178"/>
      <c r="C1018" s="164"/>
      <c r="D1018" s="164"/>
      <c r="E1018" s="164"/>
      <c r="F1018" s="164"/>
      <c r="G1018" s="164"/>
      <c r="H1018" s="164"/>
      <c r="I1018" s="164"/>
      <c r="J1018" s="164"/>
      <c r="K1018" s="164"/>
      <c r="L1018" s="164"/>
      <c r="M1018" s="164"/>
      <c r="N1018" s="164"/>
      <c r="O1018" s="164"/>
    </row>
    <row r="1019">
      <c r="A1019" s="164"/>
      <c r="B1019" s="178"/>
      <c r="C1019" s="164"/>
      <c r="D1019" s="164"/>
      <c r="E1019" s="164"/>
      <c r="F1019" s="164"/>
      <c r="G1019" s="164"/>
      <c r="H1019" s="164"/>
      <c r="I1019" s="164"/>
      <c r="J1019" s="164"/>
      <c r="K1019" s="164"/>
      <c r="L1019" s="164"/>
      <c r="M1019" s="164"/>
      <c r="N1019" s="164"/>
      <c r="O1019" s="164"/>
    </row>
    <row r="1020">
      <c r="A1020" s="164"/>
      <c r="B1020" s="178"/>
      <c r="C1020" s="164"/>
      <c r="D1020" s="164"/>
      <c r="E1020" s="164"/>
      <c r="F1020" s="164"/>
      <c r="G1020" s="164"/>
      <c r="H1020" s="164"/>
      <c r="I1020" s="164"/>
      <c r="J1020" s="164"/>
      <c r="K1020" s="164"/>
      <c r="L1020" s="164"/>
      <c r="M1020" s="164"/>
      <c r="N1020" s="164"/>
      <c r="O1020" s="164"/>
    </row>
    <row r="1021">
      <c r="A1021" s="164"/>
      <c r="B1021" s="178"/>
      <c r="C1021" s="164"/>
      <c r="D1021" s="164"/>
      <c r="E1021" s="164"/>
      <c r="F1021" s="164"/>
      <c r="G1021" s="164"/>
      <c r="H1021" s="164"/>
      <c r="I1021" s="164"/>
      <c r="J1021" s="164"/>
      <c r="K1021" s="164"/>
      <c r="L1021" s="164"/>
      <c r="M1021" s="164"/>
      <c r="N1021" s="164"/>
      <c r="O1021" s="164"/>
    </row>
    <row r="1022">
      <c r="A1022" s="164"/>
      <c r="B1022" s="178"/>
      <c r="C1022" s="164"/>
      <c r="D1022" s="164"/>
      <c r="E1022" s="164"/>
      <c r="F1022" s="164"/>
      <c r="G1022" s="164"/>
      <c r="H1022" s="164"/>
      <c r="I1022" s="164"/>
      <c r="J1022" s="164"/>
      <c r="K1022" s="164"/>
      <c r="L1022" s="164"/>
      <c r="M1022" s="164"/>
      <c r="N1022" s="164"/>
      <c r="O1022" s="164"/>
    </row>
    <row r="1023">
      <c r="A1023" s="164"/>
      <c r="B1023" s="178"/>
      <c r="C1023" s="164"/>
      <c r="D1023" s="164"/>
      <c r="E1023" s="164"/>
      <c r="F1023" s="164"/>
      <c r="G1023" s="164"/>
      <c r="H1023" s="164"/>
      <c r="I1023" s="164"/>
      <c r="J1023" s="164"/>
      <c r="K1023" s="164"/>
      <c r="L1023" s="164"/>
      <c r="M1023" s="164"/>
      <c r="N1023" s="164"/>
      <c r="O1023" s="164"/>
    </row>
    <row r="1024">
      <c r="A1024" s="164"/>
      <c r="B1024" s="178"/>
      <c r="C1024" s="164"/>
      <c r="D1024" s="164"/>
      <c r="E1024" s="164"/>
      <c r="F1024" s="164"/>
      <c r="G1024" s="164"/>
      <c r="H1024" s="164"/>
      <c r="I1024" s="164"/>
      <c r="J1024" s="164"/>
      <c r="K1024" s="164"/>
      <c r="L1024" s="164"/>
      <c r="M1024" s="164"/>
      <c r="N1024" s="164"/>
      <c r="O1024" s="164"/>
    </row>
    <row r="1025">
      <c r="A1025" s="164"/>
      <c r="B1025" s="178"/>
      <c r="C1025" s="164"/>
      <c r="D1025" s="164"/>
      <c r="E1025" s="164"/>
      <c r="F1025" s="164"/>
      <c r="G1025" s="164"/>
      <c r="H1025" s="164"/>
      <c r="I1025" s="164"/>
      <c r="J1025" s="164"/>
      <c r="K1025" s="164"/>
      <c r="L1025" s="164"/>
      <c r="M1025" s="164"/>
      <c r="N1025" s="164"/>
      <c r="O1025" s="164"/>
    </row>
    <row r="1026">
      <c r="A1026" s="164"/>
      <c r="B1026" s="178"/>
      <c r="C1026" s="164"/>
      <c r="D1026" s="164"/>
      <c r="E1026" s="164"/>
      <c r="F1026" s="164"/>
      <c r="G1026" s="164"/>
      <c r="H1026" s="164"/>
      <c r="I1026" s="164"/>
      <c r="J1026" s="164"/>
      <c r="K1026" s="164"/>
      <c r="L1026" s="164"/>
      <c r="M1026" s="164"/>
      <c r="N1026" s="164"/>
      <c r="O1026" s="164"/>
    </row>
    <row r="1027">
      <c r="A1027" s="164"/>
      <c r="B1027" s="178"/>
      <c r="C1027" s="164"/>
      <c r="D1027" s="164"/>
      <c r="E1027" s="164"/>
      <c r="F1027" s="164"/>
      <c r="G1027" s="164"/>
      <c r="H1027" s="164"/>
      <c r="I1027" s="164"/>
      <c r="J1027" s="164"/>
      <c r="K1027" s="164"/>
      <c r="L1027" s="164"/>
      <c r="M1027" s="164"/>
      <c r="N1027" s="164"/>
      <c r="O1027" s="164"/>
    </row>
    <row r="1028">
      <c r="A1028" s="164"/>
      <c r="B1028" s="178"/>
      <c r="C1028" s="164"/>
      <c r="D1028" s="164"/>
      <c r="E1028" s="164"/>
      <c r="F1028" s="164"/>
      <c r="G1028" s="164"/>
      <c r="H1028" s="164"/>
      <c r="I1028" s="164"/>
      <c r="J1028" s="164"/>
      <c r="K1028" s="164"/>
      <c r="L1028" s="164"/>
      <c r="M1028" s="164"/>
      <c r="N1028" s="164"/>
      <c r="O1028" s="164"/>
    </row>
    <row r="1029">
      <c r="A1029" s="164"/>
      <c r="B1029" s="178"/>
      <c r="C1029" s="164"/>
      <c r="D1029" s="164"/>
      <c r="E1029" s="164"/>
      <c r="F1029" s="164"/>
      <c r="G1029" s="164"/>
      <c r="H1029" s="164"/>
      <c r="I1029" s="164"/>
      <c r="J1029" s="164"/>
      <c r="K1029" s="164"/>
      <c r="L1029" s="164"/>
      <c r="M1029" s="164"/>
      <c r="N1029" s="164"/>
      <c r="O1029" s="164"/>
    </row>
    <row r="1030">
      <c r="A1030" s="164"/>
      <c r="B1030" s="178"/>
      <c r="C1030" s="164"/>
      <c r="D1030" s="164"/>
      <c r="E1030" s="164"/>
      <c r="F1030" s="164"/>
      <c r="G1030" s="164"/>
      <c r="H1030" s="164"/>
      <c r="I1030" s="164"/>
      <c r="J1030" s="164"/>
      <c r="K1030" s="164"/>
      <c r="L1030" s="164"/>
      <c r="M1030" s="164"/>
      <c r="N1030" s="164"/>
      <c r="O1030" s="164"/>
    </row>
    <row r="1031">
      <c r="A1031" s="164"/>
      <c r="B1031" s="178"/>
      <c r="C1031" s="164"/>
      <c r="D1031" s="164"/>
      <c r="E1031" s="164"/>
      <c r="F1031" s="164"/>
      <c r="G1031" s="164"/>
      <c r="H1031" s="164"/>
      <c r="I1031" s="164"/>
      <c r="J1031" s="164"/>
      <c r="K1031" s="164"/>
      <c r="L1031" s="164"/>
      <c r="M1031" s="164"/>
      <c r="N1031" s="164"/>
      <c r="O1031" s="164"/>
    </row>
    <row r="1032">
      <c r="A1032" s="164"/>
      <c r="B1032" s="178"/>
      <c r="C1032" s="164"/>
      <c r="D1032" s="164"/>
      <c r="E1032" s="164"/>
      <c r="F1032" s="164"/>
      <c r="G1032" s="164"/>
      <c r="H1032" s="164"/>
      <c r="I1032" s="164"/>
      <c r="J1032" s="164"/>
      <c r="K1032" s="164"/>
      <c r="L1032" s="164"/>
      <c r="M1032" s="164"/>
      <c r="N1032" s="164"/>
      <c r="O1032" s="164"/>
    </row>
    <row r="1033">
      <c r="A1033" s="164"/>
      <c r="B1033" s="178"/>
      <c r="C1033" s="164"/>
      <c r="D1033" s="164"/>
      <c r="E1033" s="164"/>
      <c r="F1033" s="164"/>
      <c r="G1033" s="164"/>
      <c r="H1033" s="164"/>
      <c r="I1033" s="164"/>
      <c r="J1033" s="164"/>
      <c r="K1033" s="164"/>
      <c r="L1033" s="164"/>
      <c r="M1033" s="164"/>
      <c r="N1033" s="164"/>
      <c r="O1033" s="164"/>
    </row>
    <row r="1034">
      <c r="A1034" s="164"/>
      <c r="B1034" s="178"/>
      <c r="C1034" s="164"/>
      <c r="D1034" s="164"/>
      <c r="E1034" s="164"/>
      <c r="F1034" s="164"/>
      <c r="G1034" s="164"/>
      <c r="H1034" s="164"/>
      <c r="I1034" s="164"/>
      <c r="J1034" s="164"/>
      <c r="K1034" s="164"/>
      <c r="L1034" s="164"/>
      <c r="M1034" s="164"/>
      <c r="N1034" s="164"/>
      <c r="O1034" s="164"/>
    </row>
    <row r="1035">
      <c r="A1035" s="164"/>
      <c r="B1035" s="178"/>
      <c r="C1035" s="164"/>
      <c r="D1035" s="164"/>
      <c r="E1035" s="164"/>
      <c r="F1035" s="164"/>
      <c r="G1035" s="164"/>
      <c r="H1035" s="164"/>
      <c r="I1035" s="164"/>
      <c r="J1035" s="164"/>
      <c r="K1035" s="164"/>
      <c r="L1035" s="164"/>
      <c r="M1035" s="164"/>
      <c r="N1035" s="164"/>
      <c r="O1035" s="164"/>
    </row>
    <row r="1036">
      <c r="A1036" s="164"/>
      <c r="B1036" s="178"/>
      <c r="C1036" s="164"/>
      <c r="D1036" s="164"/>
      <c r="E1036" s="164"/>
      <c r="F1036" s="164"/>
      <c r="G1036" s="164"/>
      <c r="H1036" s="164"/>
      <c r="I1036" s="164"/>
      <c r="J1036" s="164"/>
      <c r="K1036" s="164"/>
      <c r="L1036" s="164"/>
      <c r="M1036" s="164"/>
      <c r="N1036" s="164"/>
      <c r="O1036" s="164"/>
    </row>
    <row r="1037">
      <c r="A1037" s="164"/>
      <c r="B1037" s="178"/>
      <c r="C1037" s="164"/>
      <c r="D1037" s="164"/>
      <c r="E1037" s="164"/>
      <c r="F1037" s="164"/>
      <c r="G1037" s="164"/>
      <c r="H1037" s="164"/>
      <c r="I1037" s="164"/>
      <c r="J1037" s="164"/>
      <c r="K1037" s="164"/>
      <c r="L1037" s="164"/>
      <c r="M1037" s="164"/>
      <c r="N1037" s="164"/>
      <c r="O1037" s="164"/>
    </row>
    <row r="1038">
      <c r="A1038" s="164"/>
      <c r="B1038" s="178"/>
      <c r="C1038" s="164"/>
      <c r="D1038" s="164"/>
      <c r="E1038" s="164"/>
      <c r="F1038" s="164"/>
      <c r="G1038" s="164"/>
      <c r="H1038" s="164"/>
      <c r="I1038" s="164"/>
      <c r="J1038" s="164"/>
      <c r="K1038" s="164"/>
      <c r="L1038" s="164"/>
      <c r="M1038" s="164"/>
      <c r="N1038" s="164"/>
      <c r="O1038" s="164"/>
    </row>
    <row r="1039">
      <c r="A1039" s="164"/>
      <c r="B1039" s="178"/>
      <c r="C1039" s="164"/>
      <c r="D1039" s="164"/>
      <c r="E1039" s="164"/>
      <c r="F1039" s="164"/>
      <c r="G1039" s="164"/>
      <c r="H1039" s="164"/>
      <c r="I1039" s="164"/>
      <c r="J1039" s="164"/>
      <c r="K1039" s="164"/>
      <c r="L1039" s="164"/>
      <c r="M1039" s="164"/>
      <c r="N1039" s="164"/>
      <c r="O1039" s="164"/>
    </row>
    <row r="1040">
      <c r="A1040" s="164"/>
      <c r="B1040" s="178"/>
      <c r="C1040" s="164"/>
      <c r="D1040" s="164"/>
      <c r="E1040" s="164"/>
      <c r="F1040" s="164"/>
      <c r="G1040" s="164"/>
      <c r="H1040" s="164"/>
      <c r="I1040" s="164"/>
      <c r="J1040" s="164"/>
      <c r="K1040" s="164"/>
      <c r="L1040" s="164"/>
      <c r="M1040" s="164"/>
      <c r="N1040" s="164"/>
      <c r="O1040" s="164"/>
    </row>
    <row r="1041">
      <c r="A1041" s="164"/>
      <c r="B1041" s="178"/>
      <c r="C1041" s="164"/>
      <c r="D1041" s="164"/>
      <c r="E1041" s="164"/>
      <c r="F1041" s="164"/>
      <c r="G1041" s="164"/>
      <c r="H1041" s="164"/>
      <c r="I1041" s="164"/>
      <c r="J1041" s="164"/>
      <c r="K1041" s="164"/>
      <c r="L1041" s="164"/>
      <c r="M1041" s="164"/>
      <c r="N1041" s="164"/>
      <c r="O1041" s="164"/>
    </row>
    <row r="1042">
      <c r="A1042" s="164"/>
      <c r="B1042" s="178"/>
      <c r="C1042" s="164"/>
      <c r="D1042" s="164"/>
      <c r="E1042" s="164"/>
      <c r="F1042" s="164"/>
      <c r="G1042" s="164"/>
      <c r="H1042" s="164"/>
      <c r="I1042" s="164"/>
      <c r="J1042" s="164"/>
      <c r="K1042" s="164"/>
      <c r="L1042" s="164"/>
      <c r="M1042" s="164"/>
      <c r="N1042" s="164"/>
      <c r="O1042" s="164"/>
    </row>
    <row r="1043">
      <c r="A1043" s="164"/>
      <c r="B1043" s="178"/>
      <c r="C1043" s="164"/>
      <c r="D1043" s="164"/>
      <c r="E1043" s="164"/>
      <c r="F1043" s="164"/>
      <c r="G1043" s="164"/>
      <c r="H1043" s="164"/>
      <c r="I1043" s="164"/>
      <c r="J1043" s="164"/>
      <c r="K1043" s="164"/>
      <c r="L1043" s="164"/>
      <c r="M1043" s="164"/>
      <c r="N1043" s="164"/>
      <c r="O1043" s="164"/>
    </row>
    <row r="1044">
      <c r="A1044" s="164"/>
      <c r="B1044" s="178"/>
      <c r="C1044" s="164"/>
      <c r="D1044" s="164"/>
      <c r="E1044" s="164"/>
      <c r="F1044" s="164"/>
      <c r="G1044" s="164"/>
      <c r="H1044" s="164"/>
      <c r="I1044" s="164"/>
      <c r="J1044" s="164"/>
      <c r="K1044" s="164"/>
      <c r="L1044" s="164"/>
      <c r="M1044" s="164"/>
      <c r="N1044" s="164"/>
      <c r="O1044" s="164"/>
    </row>
    <row r="1045">
      <c r="A1045" s="164"/>
      <c r="B1045" s="178"/>
      <c r="C1045" s="164"/>
      <c r="D1045" s="164"/>
      <c r="E1045" s="164"/>
      <c r="F1045" s="164"/>
      <c r="G1045" s="164"/>
      <c r="H1045" s="164"/>
      <c r="I1045" s="164"/>
      <c r="J1045" s="164"/>
      <c r="K1045" s="164"/>
      <c r="L1045" s="164"/>
      <c r="M1045" s="164"/>
      <c r="N1045" s="164"/>
      <c r="O1045" s="164"/>
    </row>
    <row r="1046">
      <c r="A1046" s="164"/>
      <c r="B1046" s="178"/>
      <c r="C1046" s="164"/>
      <c r="D1046" s="164"/>
      <c r="E1046" s="164"/>
      <c r="F1046" s="164"/>
      <c r="G1046" s="164"/>
      <c r="H1046" s="164"/>
      <c r="I1046" s="164"/>
      <c r="J1046" s="164"/>
      <c r="K1046" s="164"/>
      <c r="L1046" s="164"/>
      <c r="M1046" s="164"/>
      <c r="N1046" s="164"/>
      <c r="O1046" s="164"/>
    </row>
    <row r="1047">
      <c r="A1047" s="164"/>
      <c r="B1047" s="178"/>
      <c r="C1047" s="164"/>
      <c r="D1047" s="164"/>
      <c r="E1047" s="164"/>
      <c r="F1047" s="164"/>
      <c r="G1047" s="164"/>
      <c r="H1047" s="164"/>
      <c r="I1047" s="164"/>
      <c r="J1047" s="164"/>
      <c r="K1047" s="164"/>
      <c r="L1047" s="164"/>
      <c r="M1047" s="164"/>
      <c r="N1047" s="164"/>
      <c r="O1047" s="164"/>
    </row>
    <row r="1048">
      <c r="A1048" s="164"/>
      <c r="B1048" s="178"/>
      <c r="C1048" s="164"/>
      <c r="D1048" s="164"/>
      <c r="E1048" s="164"/>
      <c r="F1048" s="164"/>
      <c r="G1048" s="164"/>
      <c r="H1048" s="164"/>
      <c r="I1048" s="164"/>
      <c r="J1048" s="164"/>
      <c r="K1048" s="164"/>
      <c r="L1048" s="164"/>
      <c r="M1048" s="164"/>
      <c r="N1048" s="164"/>
      <c r="O1048" s="164"/>
    </row>
    <row r="1049">
      <c r="A1049" s="164"/>
      <c r="B1049" s="178"/>
      <c r="C1049" s="164"/>
      <c r="D1049" s="164"/>
      <c r="E1049" s="164"/>
      <c r="F1049" s="164"/>
      <c r="G1049" s="164"/>
      <c r="H1049" s="164"/>
      <c r="I1049" s="164"/>
      <c r="J1049" s="164"/>
      <c r="K1049" s="164"/>
      <c r="L1049" s="164"/>
      <c r="M1049" s="164"/>
      <c r="N1049" s="164"/>
      <c r="O1049" s="164"/>
    </row>
    <row r="1050">
      <c r="A1050" s="164"/>
      <c r="B1050" s="178"/>
      <c r="C1050" s="164"/>
      <c r="D1050" s="164"/>
      <c r="E1050" s="164"/>
      <c r="F1050" s="164"/>
      <c r="G1050" s="164"/>
      <c r="H1050" s="164"/>
      <c r="I1050" s="164"/>
      <c r="J1050" s="164"/>
      <c r="K1050" s="164"/>
      <c r="L1050" s="164"/>
      <c r="M1050" s="164"/>
      <c r="N1050" s="164"/>
      <c r="O1050" s="164"/>
    </row>
    <row r="1051">
      <c r="A1051" s="164"/>
      <c r="B1051" s="178"/>
      <c r="C1051" s="164"/>
      <c r="D1051" s="164"/>
      <c r="E1051" s="164"/>
      <c r="F1051" s="164"/>
      <c r="G1051" s="164"/>
      <c r="H1051" s="164"/>
      <c r="I1051" s="164"/>
      <c r="J1051" s="164"/>
      <c r="K1051" s="164"/>
      <c r="L1051" s="164"/>
      <c r="M1051" s="164"/>
      <c r="N1051" s="164"/>
      <c r="O1051" s="164"/>
    </row>
    <row r="1052">
      <c r="A1052" s="164"/>
      <c r="B1052" s="178"/>
      <c r="C1052" s="164"/>
      <c r="D1052" s="164"/>
      <c r="E1052" s="164"/>
      <c r="F1052" s="164"/>
      <c r="G1052" s="164"/>
      <c r="H1052" s="164"/>
      <c r="I1052" s="164"/>
      <c r="J1052" s="164"/>
      <c r="K1052" s="164"/>
      <c r="L1052" s="164"/>
      <c r="M1052" s="164"/>
      <c r="N1052" s="164"/>
      <c r="O1052" s="164"/>
    </row>
    <row r="1053">
      <c r="A1053" s="164"/>
      <c r="B1053" s="178"/>
      <c r="C1053" s="164"/>
      <c r="D1053" s="164"/>
      <c r="E1053" s="164"/>
      <c r="F1053" s="164"/>
      <c r="G1053" s="164"/>
      <c r="H1053" s="164"/>
      <c r="I1053" s="164"/>
      <c r="J1053" s="164"/>
      <c r="K1053" s="164"/>
      <c r="L1053" s="164"/>
      <c r="M1053" s="164"/>
      <c r="N1053" s="164"/>
      <c r="O1053" s="164"/>
    </row>
    <row r="1054">
      <c r="A1054" s="164"/>
      <c r="B1054" s="178"/>
      <c r="C1054" s="164"/>
      <c r="D1054" s="164"/>
      <c r="E1054" s="164"/>
      <c r="F1054" s="164"/>
      <c r="G1054" s="164"/>
      <c r="H1054" s="164"/>
      <c r="I1054" s="164"/>
      <c r="J1054" s="164"/>
      <c r="K1054" s="164"/>
      <c r="L1054" s="164"/>
      <c r="M1054" s="164"/>
      <c r="N1054" s="164"/>
      <c r="O1054" s="164"/>
    </row>
    <row r="1055">
      <c r="A1055" s="164"/>
      <c r="B1055" s="178"/>
      <c r="C1055" s="164"/>
      <c r="D1055" s="164"/>
      <c r="E1055" s="164"/>
      <c r="F1055" s="164"/>
      <c r="G1055" s="164"/>
      <c r="H1055" s="164"/>
      <c r="I1055" s="164"/>
      <c r="J1055" s="164"/>
      <c r="K1055" s="164"/>
      <c r="L1055" s="164"/>
      <c r="M1055" s="164"/>
      <c r="N1055" s="164"/>
      <c r="O1055" s="16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35.25"/>
    <col customWidth="1" min="2" max="2" width="37.13"/>
    <col customWidth="1" min="3" max="3" width="19.25"/>
    <col customWidth="1" min="5" max="5" width="17.88"/>
    <col customWidth="1" min="6" max="6" width="21.38"/>
  </cols>
  <sheetData>
    <row r="1">
      <c r="A1" s="212" t="s">
        <v>454</v>
      </c>
      <c r="C1" s="213" t="s">
        <v>455</v>
      </c>
      <c r="D1" s="213">
        <v>1.0</v>
      </c>
      <c r="E1" s="213">
        <v>2.0</v>
      </c>
      <c r="F1" s="213">
        <v>3.0</v>
      </c>
      <c r="G1" s="213">
        <v>4.0</v>
      </c>
      <c r="H1" s="213">
        <v>5.0</v>
      </c>
      <c r="I1" s="213">
        <v>6.0</v>
      </c>
      <c r="J1" s="213">
        <v>7.0</v>
      </c>
      <c r="K1" s="213">
        <v>8.0</v>
      </c>
      <c r="L1" s="213">
        <v>9.0</v>
      </c>
      <c r="M1" s="213">
        <v>10.0</v>
      </c>
      <c r="N1" s="213">
        <v>11.0</v>
      </c>
      <c r="O1" s="213">
        <v>12.0</v>
      </c>
    </row>
    <row r="2">
      <c r="A2" s="165"/>
      <c r="B2" s="214" t="s">
        <v>456</v>
      </c>
      <c r="D2" s="215"/>
      <c r="E2" s="216" t="s">
        <v>187</v>
      </c>
      <c r="F2" s="216" t="s">
        <v>188</v>
      </c>
      <c r="G2" s="217"/>
      <c r="H2" s="218"/>
      <c r="I2" s="217"/>
      <c r="J2" s="217"/>
      <c r="K2" s="217"/>
      <c r="L2" s="217"/>
      <c r="M2" s="217"/>
      <c r="N2" s="217"/>
      <c r="O2" s="217"/>
    </row>
    <row r="3">
      <c r="A3" s="165"/>
      <c r="B3" s="219" t="s">
        <v>189</v>
      </c>
      <c r="C3" s="220">
        <f>SUM(D11:O11)</f>
        <v>117521025.6</v>
      </c>
      <c r="D3" s="221"/>
      <c r="E3" s="222">
        <f t="shared" ref="E3:E5" si="1">C3-D3</f>
        <v>117521025.6</v>
      </c>
      <c r="F3" s="223">
        <f>IFERROR(E3/D3,0)</f>
        <v>0</v>
      </c>
      <c r="G3" s="217"/>
      <c r="H3" s="224"/>
      <c r="I3" s="217"/>
      <c r="J3" s="217"/>
      <c r="K3" s="217"/>
      <c r="L3" s="217"/>
      <c r="M3" s="217"/>
      <c r="N3" s="217"/>
      <c r="O3" s="217"/>
    </row>
    <row r="4">
      <c r="A4" s="165"/>
      <c r="B4" s="219" t="s">
        <v>278</v>
      </c>
      <c r="C4" s="220">
        <f>O142</f>
        <v>41154099.21</v>
      </c>
      <c r="D4" s="221"/>
      <c r="E4" s="222">
        <f t="shared" si="1"/>
        <v>41154099.21</v>
      </c>
      <c r="F4" s="223">
        <f t="shared" ref="F4:F5" si="2">E4/C4</f>
        <v>1</v>
      </c>
      <c r="G4" s="217"/>
      <c r="H4" s="217"/>
      <c r="I4" s="217"/>
      <c r="J4" s="217"/>
      <c r="K4" s="217"/>
      <c r="L4" s="217"/>
      <c r="M4" s="217"/>
      <c r="N4" s="217"/>
      <c r="O4" s="217"/>
    </row>
    <row r="5">
      <c r="A5" s="218"/>
      <c r="B5" s="219" t="s">
        <v>191</v>
      </c>
      <c r="C5" s="220">
        <f>O212</f>
        <v>15139633.11</v>
      </c>
      <c r="D5" s="225"/>
      <c r="E5" s="222">
        <f t="shared" si="1"/>
        <v>15139633.11</v>
      </c>
      <c r="F5" s="223">
        <f t="shared" si="2"/>
        <v>1</v>
      </c>
      <c r="G5" s="217"/>
      <c r="H5" s="217"/>
      <c r="I5" s="217"/>
      <c r="J5" s="217"/>
      <c r="K5" s="217"/>
      <c r="L5" s="215"/>
      <c r="M5" s="217"/>
      <c r="N5" s="217"/>
      <c r="O5" s="217"/>
    </row>
    <row r="6">
      <c r="A6" s="218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</row>
    <row r="7">
      <c r="A7" s="218"/>
      <c r="B7" s="226" t="s">
        <v>277</v>
      </c>
      <c r="C7" s="227">
        <f t="array" ref="C7">C4/ AVERAGE(INDIRECT("D"&amp;MATCH("Собственный капитал",$B:$B,0)&amp;":O"&amp;MATCH("Собственный капитал",$B:$B,0)))</f>
        <v>1.551080273</v>
      </c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</row>
    <row r="8">
      <c r="A8" s="229"/>
      <c r="B8" s="217"/>
      <c r="C8" s="228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</row>
    <row r="9">
      <c r="A9" s="229"/>
      <c r="B9" s="217"/>
      <c r="C9" s="217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</row>
    <row r="10">
      <c r="A10" s="230" t="s">
        <v>457</v>
      </c>
      <c r="B10" s="231" t="s">
        <v>1</v>
      </c>
      <c r="C10" s="165"/>
      <c r="D10" s="231" t="s">
        <v>458</v>
      </c>
      <c r="E10" s="231" t="s">
        <v>459</v>
      </c>
      <c r="F10" s="231" t="s">
        <v>460</v>
      </c>
      <c r="G10" s="231" t="s">
        <v>461</v>
      </c>
      <c r="H10" s="231" t="s">
        <v>462</v>
      </c>
      <c r="I10" s="231" t="s">
        <v>463</v>
      </c>
      <c r="J10" s="231" t="s">
        <v>464</v>
      </c>
      <c r="K10" s="231" t="s">
        <v>465</v>
      </c>
      <c r="L10" s="231" t="s">
        <v>466</v>
      </c>
      <c r="M10" s="231" t="s">
        <v>467</v>
      </c>
      <c r="N10" s="231" t="s">
        <v>468</v>
      </c>
      <c r="O10" s="231" t="s">
        <v>469</v>
      </c>
    </row>
    <row r="11">
      <c r="A11" s="229"/>
      <c r="B11" s="232" t="s">
        <v>198</v>
      </c>
      <c r="C11" s="233"/>
      <c r="D11" s="220">
        <f t="shared" ref="D11:O11" si="3">D16</f>
        <v>7950000</v>
      </c>
      <c r="E11" s="220">
        <f t="shared" si="3"/>
        <v>8142820.513</v>
      </c>
      <c r="F11" s="220">
        <f t="shared" si="3"/>
        <v>10142820.51</v>
      </c>
      <c r="G11" s="220">
        <f t="shared" si="3"/>
        <v>10142820.51</v>
      </c>
      <c r="H11" s="220">
        <f t="shared" si="3"/>
        <v>10142820.51</v>
      </c>
      <c r="I11" s="220">
        <f t="shared" si="3"/>
        <v>10142820.51</v>
      </c>
      <c r="J11" s="220">
        <f t="shared" si="3"/>
        <v>10142820.51</v>
      </c>
      <c r="K11" s="220">
        <f t="shared" si="3"/>
        <v>10142820.51</v>
      </c>
      <c r="L11" s="220">
        <f t="shared" si="3"/>
        <v>10142820.51</v>
      </c>
      <c r="M11" s="220">
        <f t="shared" si="3"/>
        <v>10142820.51</v>
      </c>
      <c r="N11" s="220">
        <f t="shared" si="3"/>
        <v>10142820.51</v>
      </c>
      <c r="O11" s="234">
        <f t="shared" si="3"/>
        <v>10142820.51</v>
      </c>
    </row>
    <row r="12">
      <c r="A12" s="229"/>
      <c r="B12" s="232" t="s">
        <v>470</v>
      </c>
      <c r="C12" s="233"/>
      <c r="D12" s="220">
        <f t="shared" ref="D12:O12" si="4">IFERROR(-(D92+D78)/D76,0)</f>
        <v>3593884.069</v>
      </c>
      <c r="E12" s="220">
        <f t="shared" si="4"/>
        <v>3519715.43</v>
      </c>
      <c r="F12" s="220">
        <f t="shared" si="4"/>
        <v>3417786.232</v>
      </c>
      <c r="G12" s="220">
        <f t="shared" si="4"/>
        <v>3417786.232</v>
      </c>
      <c r="H12" s="220">
        <f t="shared" si="4"/>
        <v>3417786.232</v>
      </c>
      <c r="I12" s="220">
        <f t="shared" si="4"/>
        <v>3417786.232</v>
      </c>
      <c r="J12" s="220">
        <f t="shared" si="4"/>
        <v>3417786.232</v>
      </c>
      <c r="K12" s="220">
        <f t="shared" si="4"/>
        <v>3417786.232</v>
      </c>
      <c r="L12" s="220">
        <f t="shared" si="4"/>
        <v>3417786.232</v>
      </c>
      <c r="M12" s="220">
        <f t="shared" si="4"/>
        <v>3417786.232</v>
      </c>
      <c r="N12" s="220">
        <f t="shared" si="4"/>
        <v>3417786.232</v>
      </c>
      <c r="O12" s="234">
        <f t="shared" si="4"/>
        <v>3417786.232</v>
      </c>
    </row>
    <row r="13">
      <c r="A13" s="229"/>
      <c r="B13" s="232" t="s">
        <v>471</v>
      </c>
      <c r="C13" s="233"/>
      <c r="D13" s="220">
        <f t="shared" ref="D13:O13" si="5">D139</f>
        <v>2202034.87</v>
      </c>
      <c r="E13" s="220">
        <f t="shared" si="5"/>
        <v>2368369.485</v>
      </c>
      <c r="F13" s="220">
        <f t="shared" si="5"/>
        <v>3658369.485</v>
      </c>
      <c r="G13" s="220">
        <f t="shared" si="5"/>
        <v>3658369.485</v>
      </c>
      <c r="H13" s="220">
        <f t="shared" si="5"/>
        <v>3658369.485</v>
      </c>
      <c r="I13" s="220">
        <f t="shared" si="5"/>
        <v>3658369.485</v>
      </c>
      <c r="J13" s="220">
        <f t="shared" si="5"/>
        <v>3658369.485</v>
      </c>
      <c r="K13" s="220">
        <f t="shared" si="5"/>
        <v>3658369.485</v>
      </c>
      <c r="L13" s="220">
        <f t="shared" si="5"/>
        <v>3658369.485</v>
      </c>
      <c r="M13" s="220">
        <f t="shared" si="5"/>
        <v>3658369.485</v>
      </c>
      <c r="N13" s="220">
        <f t="shared" si="5"/>
        <v>3658369.485</v>
      </c>
      <c r="O13" s="234">
        <f t="shared" si="5"/>
        <v>3658369.485</v>
      </c>
    </row>
    <row r="14">
      <c r="A14" s="235"/>
      <c r="B14" s="232" t="s">
        <v>472</v>
      </c>
      <c r="C14" s="233"/>
      <c r="D14" s="220">
        <f t="shared" ref="D14:O14" si="6">D212</f>
        <v>3819483.896</v>
      </c>
      <c r="E14" s="220">
        <f t="shared" si="6"/>
        <v>4497857.989</v>
      </c>
      <c r="F14" s="220">
        <f t="shared" si="6"/>
        <v>5262035.502</v>
      </c>
      <c r="G14" s="220">
        <f t="shared" si="6"/>
        <v>6359546.347</v>
      </c>
      <c r="H14" s="220">
        <f t="shared" si="6"/>
        <v>7457057.193</v>
      </c>
      <c r="I14" s="220">
        <f t="shared" si="6"/>
        <v>8554568.039</v>
      </c>
      <c r="J14" s="220">
        <f t="shared" si="6"/>
        <v>9652078.884</v>
      </c>
      <c r="K14" s="220">
        <f t="shared" si="6"/>
        <v>10749589.73</v>
      </c>
      <c r="L14" s="220">
        <f t="shared" si="6"/>
        <v>11847100.58</v>
      </c>
      <c r="M14" s="220">
        <f t="shared" si="6"/>
        <v>12944611.42</v>
      </c>
      <c r="N14" s="220">
        <f t="shared" si="6"/>
        <v>14042122.27</v>
      </c>
      <c r="O14" s="234">
        <f t="shared" si="6"/>
        <v>15139633.11</v>
      </c>
    </row>
    <row r="15">
      <c r="A15" s="229"/>
      <c r="B15" s="165"/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36"/>
    </row>
    <row r="16">
      <c r="A16" s="235"/>
      <c r="B16" s="232" t="s">
        <v>14</v>
      </c>
      <c r="C16" s="233"/>
      <c r="D16" s="220">
        <f t="shared" ref="D16:O16" si="7">SUM(D17,D31,D41,D45,D53,D67)</f>
        <v>7950000</v>
      </c>
      <c r="E16" s="220">
        <f t="shared" si="7"/>
        <v>8142820.513</v>
      </c>
      <c r="F16" s="220">
        <f t="shared" si="7"/>
        <v>10142820.51</v>
      </c>
      <c r="G16" s="220">
        <f t="shared" si="7"/>
        <v>10142820.51</v>
      </c>
      <c r="H16" s="220">
        <f t="shared" si="7"/>
        <v>10142820.51</v>
      </c>
      <c r="I16" s="220">
        <f t="shared" si="7"/>
        <v>10142820.51</v>
      </c>
      <c r="J16" s="220">
        <f t="shared" si="7"/>
        <v>10142820.51</v>
      </c>
      <c r="K16" s="220">
        <f t="shared" si="7"/>
        <v>10142820.51</v>
      </c>
      <c r="L16" s="220">
        <f t="shared" si="7"/>
        <v>10142820.51</v>
      </c>
      <c r="M16" s="220">
        <f t="shared" si="7"/>
        <v>10142820.51</v>
      </c>
      <c r="N16" s="220">
        <f t="shared" si="7"/>
        <v>10142820.51</v>
      </c>
      <c r="O16" s="234">
        <f t="shared" si="7"/>
        <v>10142820.51</v>
      </c>
    </row>
    <row r="17">
      <c r="A17" s="235"/>
      <c r="B17" s="237" t="s">
        <v>473</v>
      </c>
      <c r="C17" s="238"/>
      <c r="D17" s="239">
        <f>4700000</f>
        <v>4700000</v>
      </c>
      <c r="E17" s="239">
        <f t="shared" ref="E17:O17" si="8">$C$24*$C$25*(100%+$C$29)</f>
        <v>4892820.513</v>
      </c>
      <c r="F17" s="239">
        <f t="shared" si="8"/>
        <v>4892820.513</v>
      </c>
      <c r="G17" s="239">
        <f t="shared" si="8"/>
        <v>4892820.513</v>
      </c>
      <c r="H17" s="239">
        <f t="shared" si="8"/>
        <v>4892820.513</v>
      </c>
      <c r="I17" s="239">
        <f t="shared" si="8"/>
        <v>4892820.513</v>
      </c>
      <c r="J17" s="239">
        <f t="shared" si="8"/>
        <v>4892820.513</v>
      </c>
      <c r="K17" s="239">
        <f t="shared" si="8"/>
        <v>4892820.513</v>
      </c>
      <c r="L17" s="239">
        <f t="shared" si="8"/>
        <v>4892820.513</v>
      </c>
      <c r="M17" s="239">
        <f t="shared" si="8"/>
        <v>4892820.513</v>
      </c>
      <c r="N17" s="239">
        <f t="shared" si="8"/>
        <v>4892820.513</v>
      </c>
      <c r="O17" s="239">
        <f t="shared" si="8"/>
        <v>4892820.513</v>
      </c>
    </row>
    <row r="18">
      <c r="A18" s="229"/>
      <c r="B18" s="240" t="s">
        <v>474</v>
      </c>
      <c r="C18" s="241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2"/>
    </row>
    <row r="19">
      <c r="A19" s="229"/>
      <c r="B19" s="243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44"/>
    </row>
    <row r="20">
      <c r="A20" s="229"/>
      <c r="B20" s="245" t="s">
        <v>475</v>
      </c>
      <c r="C20" s="246">
        <v>188000.0</v>
      </c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44"/>
    </row>
    <row r="21">
      <c r="A21" s="229"/>
      <c r="B21" s="245" t="s">
        <v>476</v>
      </c>
      <c r="C21" s="247">
        <v>0.014</v>
      </c>
      <c r="D21" s="248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44"/>
    </row>
    <row r="22">
      <c r="A22" s="229"/>
      <c r="B22" s="245" t="s">
        <v>477</v>
      </c>
      <c r="C22" s="249">
        <f>ROUND(C20*C21,0)</f>
        <v>2632</v>
      </c>
      <c r="D22" s="224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44"/>
    </row>
    <row r="23">
      <c r="A23" s="229"/>
      <c r="B23" s="226" t="s">
        <v>478</v>
      </c>
      <c r="C23" s="250">
        <v>0.145</v>
      </c>
      <c r="D23" s="251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44"/>
    </row>
    <row r="24">
      <c r="A24" s="229"/>
      <c r="B24" s="245" t="s">
        <v>22</v>
      </c>
      <c r="C24" s="252">
        <f>C22*C23</f>
        <v>381.64</v>
      </c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44"/>
    </row>
    <row r="25">
      <c r="A25" s="235"/>
      <c r="B25" s="226" t="s">
        <v>66</v>
      </c>
      <c r="C25" s="252">
        <f>5000000/390</f>
        <v>12820.51282</v>
      </c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44"/>
    </row>
    <row r="26">
      <c r="A26" s="235"/>
      <c r="B26" s="226" t="s">
        <v>479</v>
      </c>
      <c r="C26" s="246">
        <f>C27/C24</f>
        <v>419.2432659</v>
      </c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44"/>
    </row>
    <row r="27">
      <c r="A27" s="218"/>
      <c r="B27" s="226" t="s">
        <v>82</v>
      </c>
      <c r="C27" s="246">
        <v>160000.0</v>
      </c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44"/>
    </row>
    <row r="28">
      <c r="A28" s="218"/>
      <c r="B28" s="217"/>
      <c r="C28" s="221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44"/>
    </row>
    <row r="29">
      <c r="A29" s="218"/>
      <c r="B29" s="226" t="s">
        <v>480</v>
      </c>
      <c r="C29" s="250">
        <v>0.0</v>
      </c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44"/>
    </row>
    <row r="30">
      <c r="A30" s="235"/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44"/>
    </row>
    <row r="31">
      <c r="A31" s="235"/>
      <c r="B31" s="237" t="s">
        <v>481</v>
      </c>
      <c r="C31" s="239">
        <f t="shared" ref="C31:O31" si="9">$C$38*C37</f>
        <v>250000</v>
      </c>
      <c r="D31" s="239">
        <f t="shared" si="9"/>
        <v>250000</v>
      </c>
      <c r="E31" s="239">
        <f t="shared" si="9"/>
        <v>250000</v>
      </c>
      <c r="F31" s="239">
        <f t="shared" si="9"/>
        <v>250000</v>
      </c>
      <c r="G31" s="239">
        <f t="shared" si="9"/>
        <v>250000</v>
      </c>
      <c r="H31" s="239">
        <f t="shared" si="9"/>
        <v>250000</v>
      </c>
      <c r="I31" s="239">
        <f t="shared" si="9"/>
        <v>250000</v>
      </c>
      <c r="J31" s="239">
        <f t="shared" si="9"/>
        <v>250000</v>
      </c>
      <c r="K31" s="239">
        <f t="shared" si="9"/>
        <v>250000</v>
      </c>
      <c r="L31" s="239">
        <f t="shared" si="9"/>
        <v>250000</v>
      </c>
      <c r="M31" s="239">
        <f t="shared" si="9"/>
        <v>250000</v>
      </c>
      <c r="N31" s="239">
        <f t="shared" si="9"/>
        <v>250000</v>
      </c>
      <c r="O31" s="239">
        <f t="shared" si="9"/>
        <v>250000</v>
      </c>
    </row>
    <row r="32">
      <c r="A32" s="229"/>
      <c r="B32" s="240" t="s">
        <v>482</v>
      </c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2"/>
    </row>
    <row r="33">
      <c r="A33" s="235"/>
      <c r="B33" s="217"/>
      <c r="C33" s="221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44"/>
    </row>
    <row r="34">
      <c r="A34" s="235"/>
      <c r="B34" s="226" t="s">
        <v>483</v>
      </c>
      <c r="C34" s="246">
        <v>5.0</v>
      </c>
      <c r="D34" s="253">
        <f t="shared" ref="D34:O34" si="10">C37</f>
        <v>5</v>
      </c>
      <c r="E34" s="253">
        <f t="shared" si="10"/>
        <v>5</v>
      </c>
      <c r="F34" s="253">
        <f t="shared" si="10"/>
        <v>5</v>
      </c>
      <c r="G34" s="253">
        <f t="shared" si="10"/>
        <v>5</v>
      </c>
      <c r="H34" s="253">
        <f t="shared" si="10"/>
        <v>5</v>
      </c>
      <c r="I34" s="253">
        <f t="shared" si="10"/>
        <v>5</v>
      </c>
      <c r="J34" s="253">
        <f t="shared" si="10"/>
        <v>5</v>
      </c>
      <c r="K34" s="253">
        <f t="shared" si="10"/>
        <v>5</v>
      </c>
      <c r="L34" s="253">
        <f t="shared" si="10"/>
        <v>5</v>
      </c>
      <c r="M34" s="253">
        <f t="shared" si="10"/>
        <v>5</v>
      </c>
      <c r="N34" s="253">
        <f t="shared" si="10"/>
        <v>5</v>
      </c>
      <c r="O34" s="254">
        <f t="shared" si="10"/>
        <v>5</v>
      </c>
    </row>
    <row r="35">
      <c r="A35" s="235"/>
      <c r="B35" s="226" t="s">
        <v>484</v>
      </c>
      <c r="C35" s="246">
        <v>0.0</v>
      </c>
      <c r="D35" s="253">
        <f t="shared" ref="D35:O35" si="11">$C$35</f>
        <v>0</v>
      </c>
      <c r="E35" s="253">
        <f t="shared" si="11"/>
        <v>0</v>
      </c>
      <c r="F35" s="253">
        <f t="shared" si="11"/>
        <v>0</v>
      </c>
      <c r="G35" s="253">
        <f t="shared" si="11"/>
        <v>0</v>
      </c>
      <c r="H35" s="253">
        <f t="shared" si="11"/>
        <v>0</v>
      </c>
      <c r="I35" s="253">
        <f t="shared" si="11"/>
        <v>0</v>
      </c>
      <c r="J35" s="253">
        <f t="shared" si="11"/>
        <v>0</v>
      </c>
      <c r="K35" s="253">
        <f t="shared" si="11"/>
        <v>0</v>
      </c>
      <c r="L35" s="253">
        <f t="shared" si="11"/>
        <v>0</v>
      </c>
      <c r="M35" s="253">
        <f t="shared" si="11"/>
        <v>0</v>
      </c>
      <c r="N35" s="253">
        <f t="shared" si="11"/>
        <v>0</v>
      </c>
      <c r="O35" s="254">
        <f t="shared" si="11"/>
        <v>0</v>
      </c>
    </row>
    <row r="36">
      <c r="A36" s="229"/>
      <c r="B36" s="226" t="s">
        <v>485</v>
      </c>
      <c r="C36" s="246">
        <v>0.0</v>
      </c>
      <c r="D36" s="253">
        <f t="shared" ref="D36:O36" si="12">$C$36</f>
        <v>0</v>
      </c>
      <c r="E36" s="253">
        <f t="shared" si="12"/>
        <v>0</v>
      </c>
      <c r="F36" s="253">
        <f t="shared" si="12"/>
        <v>0</v>
      </c>
      <c r="G36" s="253">
        <f t="shared" si="12"/>
        <v>0</v>
      </c>
      <c r="H36" s="253">
        <f t="shared" si="12"/>
        <v>0</v>
      </c>
      <c r="I36" s="253">
        <f t="shared" si="12"/>
        <v>0</v>
      </c>
      <c r="J36" s="253">
        <f t="shared" si="12"/>
        <v>0</v>
      </c>
      <c r="K36" s="253">
        <f t="shared" si="12"/>
        <v>0</v>
      </c>
      <c r="L36" s="253">
        <f t="shared" si="12"/>
        <v>0</v>
      </c>
      <c r="M36" s="253">
        <f t="shared" si="12"/>
        <v>0</v>
      </c>
      <c r="N36" s="253">
        <f t="shared" si="12"/>
        <v>0</v>
      </c>
      <c r="O36" s="254">
        <f t="shared" si="12"/>
        <v>0</v>
      </c>
    </row>
    <row r="37">
      <c r="A37" s="235"/>
      <c r="B37" s="226" t="s">
        <v>486</v>
      </c>
      <c r="C37" s="246">
        <f t="shared" ref="C37:O37" si="13">C34+C35-C36</f>
        <v>5</v>
      </c>
      <c r="D37" s="253">
        <f t="shared" si="13"/>
        <v>5</v>
      </c>
      <c r="E37" s="253">
        <f t="shared" si="13"/>
        <v>5</v>
      </c>
      <c r="F37" s="253">
        <f t="shared" si="13"/>
        <v>5</v>
      </c>
      <c r="G37" s="253">
        <f t="shared" si="13"/>
        <v>5</v>
      </c>
      <c r="H37" s="253">
        <f t="shared" si="13"/>
        <v>5</v>
      </c>
      <c r="I37" s="253">
        <f t="shared" si="13"/>
        <v>5</v>
      </c>
      <c r="J37" s="253">
        <f t="shared" si="13"/>
        <v>5</v>
      </c>
      <c r="K37" s="253">
        <f t="shared" si="13"/>
        <v>5</v>
      </c>
      <c r="L37" s="253">
        <f t="shared" si="13"/>
        <v>5</v>
      </c>
      <c r="M37" s="253">
        <f t="shared" si="13"/>
        <v>5</v>
      </c>
      <c r="N37" s="253">
        <f t="shared" si="13"/>
        <v>5</v>
      </c>
      <c r="O37" s="254">
        <f t="shared" si="13"/>
        <v>5</v>
      </c>
    </row>
    <row r="38">
      <c r="A38" s="235"/>
      <c r="B38" s="255" t="s">
        <v>487</v>
      </c>
      <c r="C38" s="246">
        <v>50000.0</v>
      </c>
      <c r="D38" s="217"/>
    </row>
    <row r="39">
      <c r="A39" s="235"/>
      <c r="B39" s="226" t="s">
        <v>488</v>
      </c>
      <c r="C39" s="246">
        <v>10.0</v>
      </c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44"/>
    </row>
    <row r="40">
      <c r="A40" s="229"/>
      <c r="B40" s="217"/>
      <c r="C40" s="218"/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44"/>
    </row>
    <row r="41">
      <c r="A41" s="235"/>
      <c r="B41" s="237" t="s">
        <v>489</v>
      </c>
      <c r="C41" s="239" t="b">
        <v>0</v>
      </c>
      <c r="D41" s="239">
        <v>0.0</v>
      </c>
      <c r="E41" s="239">
        <v>0.0</v>
      </c>
      <c r="F41" s="239">
        <f t="shared" ref="F41:O41" si="14">IF($C$41=TRUE,$C$42*$C$43,0)</f>
        <v>0</v>
      </c>
      <c r="G41" s="239">
        <f t="shared" si="14"/>
        <v>0</v>
      </c>
      <c r="H41" s="239">
        <f t="shared" si="14"/>
        <v>0</v>
      </c>
      <c r="I41" s="239">
        <f t="shared" si="14"/>
        <v>0</v>
      </c>
      <c r="J41" s="239">
        <f t="shared" si="14"/>
        <v>0</v>
      </c>
      <c r="K41" s="239">
        <f t="shared" si="14"/>
        <v>0</v>
      </c>
      <c r="L41" s="239">
        <f t="shared" si="14"/>
        <v>0</v>
      </c>
      <c r="M41" s="239">
        <f t="shared" si="14"/>
        <v>0</v>
      </c>
      <c r="N41" s="239">
        <f t="shared" si="14"/>
        <v>0</v>
      </c>
      <c r="O41" s="239">
        <f t="shared" si="14"/>
        <v>0</v>
      </c>
    </row>
    <row r="42">
      <c r="A42" s="235"/>
      <c r="B42" s="255" t="s">
        <v>490</v>
      </c>
      <c r="C42" s="246">
        <f>1206000/5.5</f>
        <v>219272.7273</v>
      </c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44"/>
    </row>
    <row r="43">
      <c r="A43" s="235"/>
      <c r="B43" s="226" t="s">
        <v>491</v>
      </c>
      <c r="C43" s="246">
        <v>4.0</v>
      </c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44"/>
    </row>
    <row r="44">
      <c r="A44" s="229"/>
      <c r="B44" s="217"/>
      <c r="C44" s="221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44"/>
    </row>
    <row r="45">
      <c r="A45" s="229"/>
      <c r="B45" s="237" t="s">
        <v>492</v>
      </c>
      <c r="C45" s="239" t="b">
        <v>0</v>
      </c>
      <c r="D45" s="239">
        <v>0.0</v>
      </c>
      <c r="E45" s="239">
        <v>0.0</v>
      </c>
      <c r="F45" s="239">
        <f t="shared" ref="F45:O45" si="15">IF($C$45=TRUE,$C$46*$C$47,0)</f>
        <v>0</v>
      </c>
      <c r="G45" s="239">
        <f t="shared" si="15"/>
        <v>0</v>
      </c>
      <c r="H45" s="239">
        <f t="shared" si="15"/>
        <v>0</v>
      </c>
      <c r="I45" s="239">
        <f t="shared" si="15"/>
        <v>0</v>
      </c>
      <c r="J45" s="239">
        <f t="shared" si="15"/>
        <v>0</v>
      </c>
      <c r="K45" s="239">
        <f t="shared" si="15"/>
        <v>0</v>
      </c>
      <c r="L45" s="239">
        <f t="shared" si="15"/>
        <v>0</v>
      </c>
      <c r="M45" s="239">
        <f t="shared" si="15"/>
        <v>0</v>
      </c>
      <c r="N45" s="239">
        <f t="shared" si="15"/>
        <v>0</v>
      </c>
      <c r="O45" s="239">
        <f t="shared" si="15"/>
        <v>0</v>
      </c>
    </row>
    <row r="46">
      <c r="A46" s="235"/>
      <c r="B46" s="226" t="s">
        <v>490</v>
      </c>
      <c r="C46" s="221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</row>
    <row r="47">
      <c r="A47" s="235"/>
      <c r="B47" s="226" t="s">
        <v>491</v>
      </c>
      <c r="C47" s="246">
        <v>1.5</v>
      </c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</row>
    <row r="48">
      <c r="A48" s="235"/>
      <c r="B48" s="251"/>
      <c r="C48" s="221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44"/>
    </row>
    <row r="49">
      <c r="A49" s="235"/>
      <c r="B49" s="237" t="s">
        <v>493</v>
      </c>
      <c r="C49" s="239" t="b">
        <v>0</v>
      </c>
      <c r="D49" s="239">
        <v>0.0</v>
      </c>
      <c r="E49" s="239">
        <v>0.0</v>
      </c>
      <c r="F49" s="239">
        <f t="shared" ref="F49:O49" si="16">IF($C$49=TRUE,$C$50*$C$51,0)</f>
        <v>0</v>
      </c>
      <c r="G49" s="239">
        <f t="shared" si="16"/>
        <v>0</v>
      </c>
      <c r="H49" s="239">
        <f t="shared" si="16"/>
        <v>0</v>
      </c>
      <c r="I49" s="239">
        <f t="shared" si="16"/>
        <v>0</v>
      </c>
      <c r="J49" s="239">
        <f t="shared" si="16"/>
        <v>0</v>
      </c>
      <c r="K49" s="239">
        <f t="shared" si="16"/>
        <v>0</v>
      </c>
      <c r="L49" s="239">
        <f t="shared" si="16"/>
        <v>0</v>
      </c>
      <c r="M49" s="239">
        <f t="shared" si="16"/>
        <v>0</v>
      </c>
      <c r="N49" s="239">
        <f t="shared" si="16"/>
        <v>0</v>
      </c>
      <c r="O49" s="239">
        <f t="shared" si="16"/>
        <v>0</v>
      </c>
    </row>
    <row r="50">
      <c r="A50" s="235"/>
      <c r="B50" s="226" t="s">
        <v>490</v>
      </c>
      <c r="C50" s="221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</row>
    <row r="51">
      <c r="A51" s="235"/>
      <c r="B51" s="226" t="s">
        <v>491</v>
      </c>
      <c r="C51" s="246">
        <v>1.3</v>
      </c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</row>
    <row r="52">
      <c r="A52" s="235"/>
      <c r="B52" s="251"/>
      <c r="C52" s="218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44"/>
    </row>
    <row r="53">
      <c r="A53" s="235"/>
      <c r="B53" s="237" t="s">
        <v>494</v>
      </c>
      <c r="C53" s="238"/>
      <c r="D53" s="239">
        <f t="shared" ref="D53:E53" si="17">3000000</f>
        <v>3000000</v>
      </c>
      <c r="E53" s="239">
        <f t="shared" si="17"/>
        <v>3000000</v>
      </c>
      <c r="F53" s="239">
        <f t="shared" ref="F53:O53" si="18">E53</f>
        <v>3000000</v>
      </c>
      <c r="G53" s="239">
        <f t="shared" si="18"/>
        <v>3000000</v>
      </c>
      <c r="H53" s="239">
        <f t="shared" si="18"/>
        <v>3000000</v>
      </c>
      <c r="I53" s="239">
        <f t="shared" si="18"/>
        <v>3000000</v>
      </c>
      <c r="J53" s="239">
        <f t="shared" si="18"/>
        <v>3000000</v>
      </c>
      <c r="K53" s="239">
        <f t="shared" si="18"/>
        <v>3000000</v>
      </c>
      <c r="L53" s="239">
        <f t="shared" si="18"/>
        <v>3000000</v>
      </c>
      <c r="M53" s="239">
        <f t="shared" si="18"/>
        <v>3000000</v>
      </c>
      <c r="N53" s="239">
        <f t="shared" si="18"/>
        <v>3000000</v>
      </c>
      <c r="O53" s="256">
        <f t="shared" si="18"/>
        <v>3000000</v>
      </c>
    </row>
    <row r="54">
      <c r="A54" s="235"/>
      <c r="B54" s="240" t="s">
        <v>495</v>
      </c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2"/>
    </row>
    <row r="55">
      <c r="A55" s="235"/>
      <c r="B55" s="217"/>
      <c r="C55" s="221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44"/>
    </row>
    <row r="56">
      <c r="A56" s="235"/>
      <c r="B56" s="226" t="s">
        <v>496</v>
      </c>
      <c r="C56" s="221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44"/>
    </row>
    <row r="57">
      <c r="A57" s="235"/>
      <c r="B57" s="226" t="s">
        <v>497</v>
      </c>
      <c r="C57" s="25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44"/>
    </row>
    <row r="58">
      <c r="A58" s="229"/>
      <c r="B58" s="226" t="s">
        <v>22</v>
      </c>
      <c r="C58" s="221"/>
      <c r="D58" s="253">
        <v>114.0</v>
      </c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44"/>
    </row>
    <row r="59">
      <c r="A59" s="235"/>
      <c r="B59" s="226" t="s">
        <v>24</v>
      </c>
      <c r="C59" s="246">
        <f>C25</f>
        <v>12820.51282</v>
      </c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44"/>
    </row>
    <row r="60">
      <c r="A60" s="218"/>
      <c r="B60" s="226" t="s">
        <v>28</v>
      </c>
      <c r="C60" s="221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44"/>
    </row>
    <row r="61">
      <c r="A61" s="218"/>
      <c r="B61" s="226" t="s">
        <v>498</v>
      </c>
      <c r="C61" s="250">
        <v>0.2</v>
      </c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44"/>
    </row>
    <row r="62">
      <c r="A62" s="218"/>
      <c r="B62" s="258" t="s">
        <v>82</v>
      </c>
      <c r="C62" s="246">
        <f>C58*C59*$C$61</f>
        <v>0</v>
      </c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44"/>
    </row>
    <row r="63">
      <c r="A63" s="218"/>
      <c r="B63" s="226" t="s">
        <v>499</v>
      </c>
      <c r="C63" s="246">
        <v>0.0</v>
      </c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44"/>
    </row>
    <row r="64">
      <c r="A64" s="218"/>
      <c r="B64" s="226" t="s">
        <v>500</v>
      </c>
      <c r="C64" s="246">
        <f>C63*C59</f>
        <v>0</v>
      </c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44"/>
    </row>
    <row r="65">
      <c r="A65" s="235"/>
      <c r="B65" s="259"/>
      <c r="C65" s="221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44"/>
    </row>
    <row r="66">
      <c r="A66" s="218"/>
      <c r="B66" s="217"/>
      <c r="C66" s="218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44"/>
    </row>
    <row r="67">
      <c r="A67" s="218"/>
      <c r="B67" s="237" t="s">
        <v>501</v>
      </c>
      <c r="C67" s="239">
        <v>2000000.0</v>
      </c>
      <c r="D67" s="238"/>
      <c r="E67" s="238"/>
      <c r="F67" s="239">
        <f t="shared" ref="F67:O67" si="19">$C$67</f>
        <v>2000000</v>
      </c>
      <c r="G67" s="239">
        <f t="shared" si="19"/>
        <v>2000000</v>
      </c>
      <c r="H67" s="239">
        <f t="shared" si="19"/>
        <v>2000000</v>
      </c>
      <c r="I67" s="239">
        <f t="shared" si="19"/>
        <v>2000000</v>
      </c>
      <c r="J67" s="239">
        <f t="shared" si="19"/>
        <v>2000000</v>
      </c>
      <c r="K67" s="239">
        <f t="shared" si="19"/>
        <v>2000000</v>
      </c>
      <c r="L67" s="239">
        <f t="shared" si="19"/>
        <v>2000000</v>
      </c>
      <c r="M67" s="239">
        <f t="shared" si="19"/>
        <v>2000000</v>
      </c>
      <c r="N67" s="239">
        <f t="shared" si="19"/>
        <v>2000000</v>
      </c>
      <c r="O67" s="256">
        <f t="shared" si="19"/>
        <v>2000000</v>
      </c>
    </row>
    <row r="68">
      <c r="A68" s="235"/>
      <c r="B68" s="259"/>
      <c r="C68" s="218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44"/>
    </row>
    <row r="69">
      <c r="A69" s="218"/>
      <c r="B69" s="260" t="s">
        <v>32</v>
      </c>
      <c r="C69" s="233"/>
      <c r="D69" s="261">
        <f t="shared" ref="D69:N69" si="20">SUM(D70:D73)</f>
        <v>-3530000</v>
      </c>
      <c r="E69" s="261">
        <f t="shared" si="20"/>
        <v>-3580701.282</v>
      </c>
      <c r="F69" s="261">
        <f t="shared" si="20"/>
        <v>-4290701.282</v>
      </c>
      <c r="G69" s="261">
        <f t="shared" si="20"/>
        <v>-4290701.282</v>
      </c>
      <c r="H69" s="261">
        <f t="shared" si="20"/>
        <v>-4290701.282</v>
      </c>
      <c r="I69" s="261">
        <f t="shared" si="20"/>
        <v>-4290701.282</v>
      </c>
      <c r="J69" s="261">
        <f t="shared" si="20"/>
        <v>-4290701.282</v>
      </c>
      <c r="K69" s="261">
        <f t="shared" si="20"/>
        <v>-4290701.282</v>
      </c>
      <c r="L69" s="261">
        <f t="shared" si="20"/>
        <v>-4290701.282</v>
      </c>
      <c r="M69" s="261">
        <f t="shared" si="20"/>
        <v>-4290701.282</v>
      </c>
      <c r="N69" s="261">
        <f t="shared" si="20"/>
        <v>-4290701.282</v>
      </c>
      <c r="O69" s="262">
        <f>SUM(O70:O72)</f>
        <v>-4290701.282</v>
      </c>
    </row>
    <row r="70">
      <c r="A70" s="235"/>
      <c r="B70" s="263" t="s">
        <v>91</v>
      </c>
      <c r="C70" s="264">
        <f>-400000-170000-100000</f>
        <v>-670000</v>
      </c>
      <c r="D70" s="253">
        <f t="shared" ref="D70:O70" si="21">$C$70</f>
        <v>-670000</v>
      </c>
      <c r="E70" s="253">
        <f t="shared" si="21"/>
        <v>-670000</v>
      </c>
      <c r="F70" s="253">
        <f t="shared" si="21"/>
        <v>-670000</v>
      </c>
      <c r="G70" s="253">
        <f t="shared" si="21"/>
        <v>-670000</v>
      </c>
      <c r="H70" s="253">
        <f t="shared" si="21"/>
        <v>-670000</v>
      </c>
      <c r="I70" s="253">
        <f t="shared" si="21"/>
        <v>-670000</v>
      </c>
      <c r="J70" s="253">
        <f t="shared" si="21"/>
        <v>-670000</v>
      </c>
      <c r="K70" s="253">
        <f t="shared" si="21"/>
        <v>-670000</v>
      </c>
      <c r="L70" s="253">
        <f t="shared" si="21"/>
        <v>-670000</v>
      </c>
      <c r="M70" s="253">
        <f t="shared" si="21"/>
        <v>-670000</v>
      </c>
      <c r="N70" s="253">
        <f t="shared" si="21"/>
        <v>-670000</v>
      </c>
      <c r="O70" s="253">
        <f t="shared" si="21"/>
        <v>-670000</v>
      </c>
    </row>
    <row r="71">
      <c r="A71" s="235"/>
      <c r="B71" s="263" t="s">
        <v>502</v>
      </c>
      <c r="C71" s="265">
        <v>0.355</v>
      </c>
      <c r="D71" s="266">
        <f>-$C$71*8000000</f>
        <v>-2840000</v>
      </c>
      <c r="E71" s="253">
        <f t="shared" ref="E71:O71" si="22">IF(C29&gt;0,(C24*C25+E31+E53+E67)*-$C$71,E16*-$C$71)</f>
        <v>-2890701.282</v>
      </c>
      <c r="F71" s="253">
        <f t="shared" si="22"/>
        <v>-3600701.282</v>
      </c>
      <c r="G71" s="253">
        <f t="shared" si="22"/>
        <v>-3600701.282</v>
      </c>
      <c r="H71" s="253">
        <f t="shared" si="22"/>
        <v>-3600701.282</v>
      </c>
      <c r="I71" s="253">
        <f t="shared" si="22"/>
        <v>-3600701.282</v>
      </c>
      <c r="J71" s="253">
        <f t="shared" si="22"/>
        <v>-3600701.282</v>
      </c>
      <c r="K71" s="253">
        <f t="shared" si="22"/>
        <v>-3600701.282</v>
      </c>
      <c r="L71" s="253">
        <f t="shared" si="22"/>
        <v>-3600701.282</v>
      </c>
      <c r="M71" s="253">
        <f t="shared" si="22"/>
        <v>-3600701.282</v>
      </c>
      <c r="N71" s="253">
        <f t="shared" si="22"/>
        <v>-3600701.282</v>
      </c>
      <c r="O71" s="253">
        <f t="shared" si="22"/>
        <v>-3600701.282</v>
      </c>
    </row>
    <row r="72">
      <c r="A72" s="235"/>
      <c r="B72" s="263" t="s">
        <v>41</v>
      </c>
      <c r="C72" s="264">
        <v>-20000.0</v>
      </c>
      <c r="D72" s="253">
        <f t="shared" ref="D72:O72" si="23">C72</f>
        <v>-20000</v>
      </c>
      <c r="E72" s="253">
        <f t="shared" si="23"/>
        <v>-20000</v>
      </c>
      <c r="F72" s="253">
        <f t="shared" si="23"/>
        <v>-20000</v>
      </c>
      <c r="G72" s="253">
        <f t="shared" si="23"/>
        <v>-20000</v>
      </c>
      <c r="H72" s="253">
        <f t="shared" si="23"/>
        <v>-20000</v>
      </c>
      <c r="I72" s="253">
        <f t="shared" si="23"/>
        <v>-20000</v>
      </c>
      <c r="J72" s="253">
        <f t="shared" si="23"/>
        <v>-20000</v>
      </c>
      <c r="K72" s="253">
        <f t="shared" si="23"/>
        <v>-20000</v>
      </c>
      <c r="L72" s="253">
        <f t="shared" si="23"/>
        <v>-20000</v>
      </c>
      <c r="M72" s="253">
        <f t="shared" si="23"/>
        <v>-20000</v>
      </c>
      <c r="N72" s="253">
        <f t="shared" si="23"/>
        <v>-20000</v>
      </c>
      <c r="O72" s="253">
        <f t="shared" si="23"/>
        <v>-20000</v>
      </c>
    </row>
    <row r="73">
      <c r="A73" s="235"/>
      <c r="B73" s="217"/>
      <c r="C73" s="221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</row>
    <row r="74">
      <c r="A74" s="235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</row>
    <row r="75">
      <c r="A75" s="235"/>
      <c r="B75" s="232" t="s">
        <v>219</v>
      </c>
      <c r="C75" s="233"/>
      <c r="D75" s="220">
        <f t="shared" ref="D75:O75" si="24">D16+D69</f>
        <v>4420000</v>
      </c>
      <c r="E75" s="220">
        <f t="shared" si="24"/>
        <v>4562119.231</v>
      </c>
      <c r="F75" s="220">
        <f t="shared" si="24"/>
        <v>5852119.231</v>
      </c>
      <c r="G75" s="220">
        <f t="shared" si="24"/>
        <v>5852119.231</v>
      </c>
      <c r="H75" s="220">
        <f t="shared" si="24"/>
        <v>5852119.231</v>
      </c>
      <c r="I75" s="220">
        <f t="shared" si="24"/>
        <v>5852119.231</v>
      </c>
      <c r="J75" s="220">
        <f t="shared" si="24"/>
        <v>5852119.231</v>
      </c>
      <c r="K75" s="220">
        <f t="shared" si="24"/>
        <v>5852119.231</v>
      </c>
      <c r="L75" s="220">
        <f t="shared" si="24"/>
        <v>5852119.231</v>
      </c>
      <c r="M75" s="220">
        <f t="shared" si="24"/>
        <v>5852119.231</v>
      </c>
      <c r="N75" s="220">
        <f t="shared" si="24"/>
        <v>5852119.231</v>
      </c>
      <c r="O75" s="234">
        <f t="shared" si="24"/>
        <v>5852119.231</v>
      </c>
    </row>
    <row r="76">
      <c r="A76" s="218"/>
      <c r="B76" s="267" t="s">
        <v>220</v>
      </c>
      <c r="C76" s="217"/>
      <c r="D76" s="268">
        <f t="shared" ref="D76:O76" si="25">IFERROR(D75/D$16,0)</f>
        <v>0.5559748428</v>
      </c>
      <c r="E76" s="268">
        <f t="shared" si="25"/>
        <v>0.5602627767</v>
      </c>
      <c r="F76" s="268">
        <f t="shared" si="25"/>
        <v>0.5769715853</v>
      </c>
      <c r="G76" s="268">
        <f t="shared" si="25"/>
        <v>0.5769715853</v>
      </c>
      <c r="H76" s="268">
        <f t="shared" si="25"/>
        <v>0.5769715853</v>
      </c>
      <c r="I76" s="268">
        <f t="shared" si="25"/>
        <v>0.5769715853</v>
      </c>
      <c r="J76" s="268">
        <f t="shared" si="25"/>
        <v>0.5769715853</v>
      </c>
      <c r="K76" s="268">
        <f t="shared" si="25"/>
        <v>0.5769715853</v>
      </c>
      <c r="L76" s="268">
        <f t="shared" si="25"/>
        <v>0.5769715853</v>
      </c>
      <c r="M76" s="268">
        <f t="shared" si="25"/>
        <v>0.5769715853</v>
      </c>
      <c r="N76" s="268">
        <f t="shared" si="25"/>
        <v>0.5769715853</v>
      </c>
      <c r="O76" s="269">
        <f t="shared" si="25"/>
        <v>0.5769715853</v>
      </c>
    </row>
    <row r="77">
      <c r="A77" s="235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44"/>
    </row>
    <row r="78">
      <c r="A78" s="235"/>
      <c r="B78" s="232" t="s">
        <v>225</v>
      </c>
      <c r="C78" s="233"/>
      <c r="D78" s="220">
        <f t="shared" ref="D78:O78" si="26">SUM(D79:D88)</f>
        <v>-1123521.63</v>
      </c>
      <c r="E78" s="220">
        <f t="shared" si="26"/>
        <v>-1128521.63</v>
      </c>
      <c r="F78" s="220">
        <f t="shared" si="26"/>
        <v>-1128521.63</v>
      </c>
      <c r="G78" s="220">
        <f t="shared" si="26"/>
        <v>-1128521.63</v>
      </c>
      <c r="H78" s="220">
        <f t="shared" si="26"/>
        <v>-1128521.63</v>
      </c>
      <c r="I78" s="220">
        <f t="shared" si="26"/>
        <v>-1128521.63</v>
      </c>
      <c r="J78" s="220">
        <f t="shared" si="26"/>
        <v>-1128521.63</v>
      </c>
      <c r="K78" s="220">
        <f t="shared" si="26"/>
        <v>-1128521.63</v>
      </c>
      <c r="L78" s="220">
        <f t="shared" si="26"/>
        <v>-1128521.63</v>
      </c>
      <c r="M78" s="220">
        <f t="shared" si="26"/>
        <v>-1128521.63</v>
      </c>
      <c r="N78" s="220">
        <f t="shared" si="26"/>
        <v>-1128521.63</v>
      </c>
      <c r="O78" s="234">
        <f t="shared" si="26"/>
        <v>-1128521.63</v>
      </c>
    </row>
    <row r="79">
      <c r="A79" s="235"/>
      <c r="B79" s="255" t="s">
        <v>503</v>
      </c>
      <c r="C79" s="246">
        <v>6.0</v>
      </c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44"/>
    </row>
    <row r="80">
      <c r="A80" s="218"/>
      <c r="B80" s="226" t="s">
        <v>504</v>
      </c>
      <c r="C80" s="246">
        <f>-50000</f>
        <v>-50000</v>
      </c>
      <c r="D80" s="253">
        <f t="shared" ref="D80:O80" si="27">$C$80*$C$79</f>
        <v>-300000</v>
      </c>
      <c r="E80" s="253">
        <f t="shared" si="27"/>
        <v>-300000</v>
      </c>
      <c r="F80" s="253">
        <f t="shared" si="27"/>
        <v>-300000</v>
      </c>
      <c r="G80" s="253">
        <f t="shared" si="27"/>
        <v>-300000</v>
      </c>
      <c r="H80" s="253">
        <f t="shared" si="27"/>
        <v>-300000</v>
      </c>
      <c r="I80" s="253">
        <f t="shared" si="27"/>
        <v>-300000</v>
      </c>
      <c r="J80" s="253">
        <f t="shared" si="27"/>
        <v>-300000</v>
      </c>
      <c r="K80" s="253">
        <f t="shared" si="27"/>
        <v>-300000</v>
      </c>
      <c r="L80" s="253">
        <f t="shared" si="27"/>
        <v>-300000</v>
      </c>
      <c r="M80" s="253">
        <f t="shared" si="27"/>
        <v>-300000</v>
      </c>
      <c r="N80" s="253">
        <f t="shared" si="27"/>
        <v>-300000</v>
      </c>
      <c r="O80" s="254">
        <f t="shared" si="27"/>
        <v>-300000</v>
      </c>
    </row>
    <row r="81">
      <c r="A81" s="165"/>
      <c r="B81" s="226" t="s">
        <v>505</v>
      </c>
      <c r="C81" s="246">
        <f>-215000-45000</f>
        <v>-260000</v>
      </c>
      <c r="D81" s="253">
        <f t="shared" ref="D81:O81" si="28">$C$81</f>
        <v>-260000</v>
      </c>
      <c r="E81" s="253">
        <f t="shared" si="28"/>
        <v>-260000</v>
      </c>
      <c r="F81" s="253">
        <f t="shared" si="28"/>
        <v>-260000</v>
      </c>
      <c r="G81" s="253">
        <f t="shared" si="28"/>
        <v>-260000</v>
      </c>
      <c r="H81" s="253">
        <f t="shared" si="28"/>
        <v>-260000</v>
      </c>
      <c r="I81" s="253">
        <f t="shared" si="28"/>
        <v>-260000</v>
      </c>
      <c r="J81" s="253">
        <f t="shared" si="28"/>
        <v>-260000</v>
      </c>
      <c r="K81" s="253">
        <f t="shared" si="28"/>
        <v>-260000</v>
      </c>
      <c r="L81" s="253">
        <f t="shared" si="28"/>
        <v>-260000</v>
      </c>
      <c r="M81" s="253">
        <f t="shared" si="28"/>
        <v>-260000</v>
      </c>
      <c r="N81" s="253">
        <f t="shared" si="28"/>
        <v>-260000</v>
      </c>
      <c r="O81" s="253">
        <f t="shared" si="28"/>
        <v>-260000</v>
      </c>
    </row>
    <row r="82">
      <c r="A82" s="235"/>
      <c r="B82" s="255" t="s">
        <v>506</v>
      </c>
      <c r="C82" s="246">
        <v>-50000.0</v>
      </c>
      <c r="D82" s="253">
        <f t="shared" ref="D82:O82" si="29">$C$82</f>
        <v>-50000</v>
      </c>
      <c r="E82" s="253">
        <f t="shared" si="29"/>
        <v>-50000</v>
      </c>
      <c r="F82" s="253">
        <f t="shared" si="29"/>
        <v>-50000</v>
      </c>
      <c r="G82" s="253">
        <f t="shared" si="29"/>
        <v>-50000</v>
      </c>
      <c r="H82" s="253">
        <f t="shared" si="29"/>
        <v>-50000</v>
      </c>
      <c r="I82" s="253">
        <f t="shared" si="29"/>
        <v>-50000</v>
      </c>
      <c r="J82" s="253">
        <f t="shared" si="29"/>
        <v>-50000</v>
      </c>
      <c r="K82" s="253">
        <f t="shared" si="29"/>
        <v>-50000</v>
      </c>
      <c r="L82" s="253">
        <f t="shared" si="29"/>
        <v>-50000</v>
      </c>
      <c r="M82" s="253">
        <f t="shared" si="29"/>
        <v>-50000</v>
      </c>
      <c r="N82" s="253">
        <f t="shared" si="29"/>
        <v>-50000</v>
      </c>
      <c r="O82" s="253">
        <f t="shared" si="29"/>
        <v>-50000</v>
      </c>
    </row>
    <row r="83">
      <c r="A83" s="218"/>
      <c r="B83" s="226" t="s">
        <v>507</v>
      </c>
      <c r="C83" s="246">
        <v>-35000.0</v>
      </c>
      <c r="D83" s="253">
        <f t="shared" ref="D83:O83" si="30">$C$83</f>
        <v>-35000</v>
      </c>
      <c r="E83" s="253">
        <f t="shared" si="30"/>
        <v>-35000</v>
      </c>
      <c r="F83" s="253">
        <f t="shared" si="30"/>
        <v>-35000</v>
      </c>
      <c r="G83" s="253">
        <f t="shared" si="30"/>
        <v>-35000</v>
      </c>
      <c r="H83" s="253">
        <f t="shared" si="30"/>
        <v>-35000</v>
      </c>
      <c r="I83" s="253">
        <f t="shared" si="30"/>
        <v>-35000</v>
      </c>
      <c r="J83" s="253">
        <f t="shared" si="30"/>
        <v>-35000</v>
      </c>
      <c r="K83" s="253">
        <f t="shared" si="30"/>
        <v>-35000</v>
      </c>
      <c r="L83" s="253">
        <f t="shared" si="30"/>
        <v>-35000</v>
      </c>
      <c r="M83" s="253">
        <f t="shared" si="30"/>
        <v>-35000</v>
      </c>
      <c r="N83" s="253">
        <f t="shared" si="30"/>
        <v>-35000</v>
      </c>
      <c r="O83" s="253">
        <f t="shared" si="30"/>
        <v>-35000</v>
      </c>
    </row>
    <row r="84">
      <c r="A84" s="229"/>
      <c r="B84" s="226" t="s">
        <v>508</v>
      </c>
      <c r="C84" s="246">
        <v>-150000.0</v>
      </c>
      <c r="D84" s="253">
        <f t="shared" ref="D84:O84" si="31">$C$84</f>
        <v>-150000</v>
      </c>
      <c r="E84" s="253">
        <f t="shared" si="31"/>
        <v>-150000</v>
      </c>
      <c r="F84" s="253">
        <f t="shared" si="31"/>
        <v>-150000</v>
      </c>
      <c r="G84" s="253">
        <f t="shared" si="31"/>
        <v>-150000</v>
      </c>
      <c r="H84" s="253">
        <f t="shared" si="31"/>
        <v>-150000</v>
      </c>
      <c r="I84" s="253">
        <f t="shared" si="31"/>
        <v>-150000</v>
      </c>
      <c r="J84" s="253">
        <f t="shared" si="31"/>
        <v>-150000</v>
      </c>
      <c r="K84" s="253">
        <f t="shared" si="31"/>
        <v>-150000</v>
      </c>
      <c r="L84" s="253">
        <f t="shared" si="31"/>
        <v>-150000</v>
      </c>
      <c r="M84" s="253">
        <f t="shared" si="31"/>
        <v>-150000</v>
      </c>
      <c r="N84" s="253">
        <f t="shared" si="31"/>
        <v>-150000</v>
      </c>
      <c r="O84" s="253">
        <f t="shared" si="31"/>
        <v>-150000</v>
      </c>
    </row>
    <row r="85">
      <c r="A85" s="235"/>
      <c r="B85" s="226" t="s">
        <v>509</v>
      </c>
      <c r="C85" s="246">
        <v>-50000.0</v>
      </c>
      <c r="D85" s="253">
        <f t="shared" ref="D85:O85" si="32">$C$85</f>
        <v>-50000</v>
      </c>
      <c r="E85" s="253">
        <f t="shared" si="32"/>
        <v>-50000</v>
      </c>
      <c r="F85" s="253">
        <f t="shared" si="32"/>
        <v>-50000</v>
      </c>
      <c r="G85" s="253">
        <f t="shared" si="32"/>
        <v>-50000</v>
      </c>
      <c r="H85" s="253">
        <f t="shared" si="32"/>
        <v>-50000</v>
      </c>
      <c r="I85" s="253">
        <f t="shared" si="32"/>
        <v>-50000</v>
      </c>
      <c r="J85" s="253">
        <f t="shared" si="32"/>
        <v>-50000</v>
      </c>
      <c r="K85" s="253">
        <f t="shared" si="32"/>
        <v>-50000</v>
      </c>
      <c r="L85" s="253">
        <f t="shared" si="32"/>
        <v>-50000</v>
      </c>
      <c r="M85" s="253">
        <f t="shared" si="32"/>
        <v>-50000</v>
      </c>
      <c r="N85" s="253">
        <f t="shared" si="32"/>
        <v>-50000</v>
      </c>
      <c r="O85" s="253">
        <f t="shared" si="32"/>
        <v>-50000</v>
      </c>
    </row>
    <row r="86">
      <c r="A86" s="235"/>
      <c r="B86" s="226" t="s">
        <v>510</v>
      </c>
      <c r="C86" s="246">
        <v>-183521.63</v>
      </c>
      <c r="D86" s="253">
        <f t="shared" ref="D86:O86" si="33">$C$86</f>
        <v>-183521.63</v>
      </c>
      <c r="E86" s="253">
        <f t="shared" si="33"/>
        <v>-183521.63</v>
      </c>
      <c r="F86" s="253">
        <f t="shared" si="33"/>
        <v>-183521.63</v>
      </c>
      <c r="G86" s="253">
        <f t="shared" si="33"/>
        <v>-183521.63</v>
      </c>
      <c r="H86" s="253">
        <f t="shared" si="33"/>
        <v>-183521.63</v>
      </c>
      <c r="I86" s="253">
        <f t="shared" si="33"/>
        <v>-183521.63</v>
      </c>
      <c r="J86" s="253">
        <f t="shared" si="33"/>
        <v>-183521.63</v>
      </c>
      <c r="K86" s="253">
        <f t="shared" si="33"/>
        <v>-183521.63</v>
      </c>
      <c r="L86" s="253">
        <f t="shared" si="33"/>
        <v>-183521.63</v>
      </c>
      <c r="M86" s="253">
        <f t="shared" si="33"/>
        <v>-183521.63</v>
      </c>
      <c r="N86" s="253">
        <f t="shared" si="33"/>
        <v>-183521.63</v>
      </c>
      <c r="O86" s="253">
        <f t="shared" si="33"/>
        <v>-183521.63</v>
      </c>
    </row>
    <row r="87">
      <c r="A87" s="235"/>
      <c r="B87" s="226" t="s">
        <v>511</v>
      </c>
      <c r="C87" s="246">
        <f>-100000</f>
        <v>-100000</v>
      </c>
      <c r="D87" s="253">
        <v>-95000.0</v>
      </c>
      <c r="E87" s="253">
        <f t="shared" ref="E87:O87" si="34">$C$87</f>
        <v>-100000</v>
      </c>
      <c r="F87" s="253">
        <f t="shared" si="34"/>
        <v>-100000</v>
      </c>
      <c r="G87" s="253">
        <f t="shared" si="34"/>
        <v>-100000</v>
      </c>
      <c r="H87" s="253">
        <f t="shared" si="34"/>
        <v>-100000</v>
      </c>
      <c r="I87" s="253">
        <f t="shared" si="34"/>
        <v>-100000</v>
      </c>
      <c r="J87" s="253">
        <f t="shared" si="34"/>
        <v>-100000</v>
      </c>
      <c r="K87" s="253">
        <f t="shared" si="34"/>
        <v>-100000</v>
      </c>
      <c r="L87" s="253">
        <f t="shared" si="34"/>
        <v>-100000</v>
      </c>
      <c r="M87" s="253">
        <f t="shared" si="34"/>
        <v>-100000</v>
      </c>
      <c r="N87" s="253">
        <f t="shared" si="34"/>
        <v>-100000</v>
      </c>
      <c r="O87" s="254">
        <f t="shared" si="34"/>
        <v>-100000</v>
      </c>
    </row>
    <row r="88">
      <c r="A88" s="235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44"/>
    </row>
    <row r="89">
      <c r="A89" s="235"/>
      <c r="B89" s="232" t="s">
        <v>36</v>
      </c>
      <c r="C89" s="233"/>
      <c r="D89" s="220">
        <f t="shared" ref="D89:O89" si="35">D75+D78</f>
        <v>3296478.37</v>
      </c>
      <c r="E89" s="220">
        <f t="shared" si="35"/>
        <v>3433597.601</v>
      </c>
      <c r="F89" s="220">
        <f t="shared" si="35"/>
        <v>4723597.601</v>
      </c>
      <c r="G89" s="220">
        <f t="shared" si="35"/>
        <v>4723597.601</v>
      </c>
      <c r="H89" s="220">
        <f t="shared" si="35"/>
        <v>4723597.601</v>
      </c>
      <c r="I89" s="220">
        <f t="shared" si="35"/>
        <v>4723597.601</v>
      </c>
      <c r="J89" s="220">
        <f t="shared" si="35"/>
        <v>4723597.601</v>
      </c>
      <c r="K89" s="220">
        <f t="shared" si="35"/>
        <v>4723597.601</v>
      </c>
      <c r="L89" s="220">
        <f t="shared" si="35"/>
        <v>4723597.601</v>
      </c>
      <c r="M89" s="220">
        <f t="shared" si="35"/>
        <v>4723597.601</v>
      </c>
      <c r="N89" s="220">
        <f t="shared" si="35"/>
        <v>4723597.601</v>
      </c>
      <c r="O89" s="234">
        <f t="shared" si="35"/>
        <v>4723597.601</v>
      </c>
    </row>
    <row r="90">
      <c r="A90" s="218"/>
      <c r="B90" s="267" t="s">
        <v>37</v>
      </c>
      <c r="C90" s="217"/>
      <c r="D90" s="268">
        <f t="shared" ref="D90:O90" si="36">IFERROR(D89/D$16,0)</f>
        <v>0.4146513673</v>
      </c>
      <c r="E90" s="268">
        <f t="shared" si="36"/>
        <v>0.4216717777</v>
      </c>
      <c r="F90" s="268">
        <f t="shared" si="36"/>
        <v>0.4657084876</v>
      </c>
      <c r="G90" s="268">
        <f t="shared" si="36"/>
        <v>0.4657084876</v>
      </c>
      <c r="H90" s="268">
        <f t="shared" si="36"/>
        <v>0.4657084876</v>
      </c>
      <c r="I90" s="268">
        <f t="shared" si="36"/>
        <v>0.4657084876</v>
      </c>
      <c r="J90" s="268">
        <f t="shared" si="36"/>
        <v>0.4657084876</v>
      </c>
      <c r="K90" s="268">
        <f t="shared" si="36"/>
        <v>0.4657084876</v>
      </c>
      <c r="L90" s="268">
        <f t="shared" si="36"/>
        <v>0.4657084876</v>
      </c>
      <c r="M90" s="268">
        <f t="shared" si="36"/>
        <v>0.4657084876</v>
      </c>
      <c r="N90" s="268">
        <f t="shared" si="36"/>
        <v>0.4657084876</v>
      </c>
      <c r="O90" s="269">
        <f t="shared" si="36"/>
        <v>0.4657084876</v>
      </c>
    </row>
    <row r="91">
      <c r="A91" s="235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44"/>
    </row>
    <row r="92">
      <c r="A92" s="235"/>
      <c r="B92" s="232" t="s">
        <v>38</v>
      </c>
      <c r="C92" s="233"/>
      <c r="D92" s="220">
        <f t="shared" ref="D92:O92" si="37">D93+D105+D119</f>
        <v>-874587.5</v>
      </c>
      <c r="E92" s="220">
        <f t="shared" si="37"/>
        <v>-843443.9103</v>
      </c>
      <c r="F92" s="220">
        <f t="shared" si="37"/>
        <v>-843443.9103</v>
      </c>
      <c r="G92" s="220">
        <f t="shared" si="37"/>
        <v>-843443.9103</v>
      </c>
      <c r="H92" s="220">
        <f t="shared" si="37"/>
        <v>-843443.9103</v>
      </c>
      <c r="I92" s="220">
        <f t="shared" si="37"/>
        <v>-843443.9103</v>
      </c>
      <c r="J92" s="220">
        <f t="shared" si="37"/>
        <v>-843443.9103</v>
      </c>
      <c r="K92" s="220">
        <f t="shared" si="37"/>
        <v>-843443.9103</v>
      </c>
      <c r="L92" s="220">
        <f t="shared" si="37"/>
        <v>-843443.9103</v>
      </c>
      <c r="M92" s="220">
        <f t="shared" si="37"/>
        <v>-843443.9103</v>
      </c>
      <c r="N92" s="220">
        <f t="shared" si="37"/>
        <v>-843443.9103</v>
      </c>
      <c r="O92" s="234">
        <f t="shared" si="37"/>
        <v>-843443.9103</v>
      </c>
    </row>
    <row r="93">
      <c r="A93" s="235"/>
      <c r="B93" s="237" t="s">
        <v>512</v>
      </c>
      <c r="C93" s="238"/>
      <c r="D93" s="239">
        <f t="shared" ref="D93:O93" si="38">SUM($C$94:$C$103)</f>
        <v>-455587.5</v>
      </c>
      <c r="E93" s="239">
        <f t="shared" si="38"/>
        <v>-455587.5</v>
      </c>
      <c r="F93" s="239">
        <f t="shared" si="38"/>
        <v>-455587.5</v>
      </c>
      <c r="G93" s="239">
        <f t="shared" si="38"/>
        <v>-455587.5</v>
      </c>
      <c r="H93" s="239">
        <f t="shared" si="38"/>
        <v>-455587.5</v>
      </c>
      <c r="I93" s="239">
        <f t="shared" si="38"/>
        <v>-455587.5</v>
      </c>
      <c r="J93" s="239">
        <f t="shared" si="38"/>
        <v>-455587.5</v>
      </c>
      <c r="K93" s="239">
        <f t="shared" si="38"/>
        <v>-455587.5</v>
      </c>
      <c r="L93" s="239">
        <f t="shared" si="38"/>
        <v>-455587.5</v>
      </c>
      <c r="M93" s="239">
        <f t="shared" si="38"/>
        <v>-455587.5</v>
      </c>
      <c r="N93" s="239">
        <f t="shared" si="38"/>
        <v>-455587.5</v>
      </c>
      <c r="O93" s="256">
        <f t="shared" si="38"/>
        <v>-455587.5</v>
      </c>
    </row>
    <row r="94">
      <c r="A94" s="235"/>
      <c r="B94" s="226" t="s">
        <v>95</v>
      </c>
      <c r="C94" s="246">
        <f>-300000</f>
        <v>-300000</v>
      </c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44"/>
    </row>
    <row r="95">
      <c r="A95" s="235"/>
      <c r="B95" s="226" t="s">
        <v>513</v>
      </c>
      <c r="C95" s="246">
        <v>-80000.0</v>
      </c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44"/>
    </row>
    <row r="96">
      <c r="A96" s="229"/>
      <c r="B96" s="226" t="s">
        <v>514</v>
      </c>
      <c r="C96" s="246">
        <v>-35000.0</v>
      </c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44"/>
    </row>
    <row r="97">
      <c r="A97" s="235"/>
      <c r="B97" s="226" t="s">
        <v>515</v>
      </c>
      <c r="C97" s="246">
        <v>-35000.0</v>
      </c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44"/>
    </row>
    <row r="98">
      <c r="A98" s="235"/>
      <c r="B98" s="226" t="s">
        <v>94</v>
      </c>
      <c r="C98" s="246">
        <v>-6000.0</v>
      </c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44"/>
    </row>
    <row r="99">
      <c r="A99" s="235"/>
      <c r="B99" s="226" t="s">
        <v>516</v>
      </c>
      <c r="C99" s="246">
        <v>0.0</v>
      </c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44"/>
    </row>
    <row r="100">
      <c r="A100" s="235"/>
      <c r="B100" s="226" t="s">
        <v>99</v>
      </c>
      <c r="C100" s="246">
        <f>2992.5+2120+4800</f>
        <v>9912.5</v>
      </c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44"/>
    </row>
    <row r="101">
      <c r="A101" s="235"/>
      <c r="B101" s="226" t="s">
        <v>96</v>
      </c>
      <c r="C101" s="246">
        <f>-8000</f>
        <v>-8000</v>
      </c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44"/>
    </row>
    <row r="102">
      <c r="A102" s="235"/>
      <c r="B102" s="226" t="s">
        <v>517</v>
      </c>
      <c r="C102" s="246">
        <f>-18000/12</f>
        <v>-1500</v>
      </c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44"/>
    </row>
    <row r="103">
      <c r="A103" s="235"/>
      <c r="B103" s="226" t="s">
        <v>100</v>
      </c>
      <c r="C103" s="246">
        <v>0.0</v>
      </c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44"/>
    </row>
    <row r="104">
      <c r="A104" s="235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44"/>
    </row>
    <row r="105">
      <c r="A105" s="235"/>
      <c r="B105" s="237" t="s">
        <v>518</v>
      </c>
      <c r="C105" s="239" t="b">
        <v>0</v>
      </c>
      <c r="D105" s="238"/>
      <c r="E105" s="239">
        <f>IF($C$105=TRUE,SUM(E$112:E$118),0)</f>
        <v>0</v>
      </c>
      <c r="F105" s="239">
        <f t="shared" ref="F105:O105" si="39">IF($C$105=TRUE,SUM($C$106:$C$111))+IF($C$105=TRUE,SUM(F$112:F$118))</f>
        <v>0</v>
      </c>
      <c r="G105" s="239">
        <f t="shared" si="39"/>
        <v>0</v>
      </c>
      <c r="H105" s="239">
        <f t="shared" si="39"/>
        <v>0</v>
      </c>
      <c r="I105" s="239">
        <f t="shared" si="39"/>
        <v>0</v>
      </c>
      <c r="J105" s="239">
        <f t="shared" si="39"/>
        <v>0</v>
      </c>
      <c r="K105" s="239">
        <f t="shared" si="39"/>
        <v>0</v>
      </c>
      <c r="L105" s="239">
        <f t="shared" si="39"/>
        <v>0</v>
      </c>
      <c r="M105" s="239">
        <f t="shared" si="39"/>
        <v>0</v>
      </c>
      <c r="N105" s="239">
        <f t="shared" si="39"/>
        <v>0</v>
      </c>
      <c r="O105" s="256">
        <f t="shared" si="39"/>
        <v>0</v>
      </c>
    </row>
    <row r="106">
      <c r="A106" s="235"/>
      <c r="B106" s="270" t="s">
        <v>519</v>
      </c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44"/>
    </row>
    <row r="107">
      <c r="A107" s="235"/>
      <c r="B107" s="226" t="s">
        <v>520</v>
      </c>
      <c r="C107" s="246">
        <v>-30000.0</v>
      </c>
      <c r="D107" s="217"/>
      <c r="E107" s="217"/>
      <c r="F107" s="253">
        <v>-25000.0</v>
      </c>
      <c r="G107" s="253">
        <v>-25000.0</v>
      </c>
      <c r="H107" s="253">
        <v>-25000.0</v>
      </c>
      <c r="I107" s="253">
        <v>-25000.0</v>
      </c>
      <c r="J107" s="253">
        <v>-25000.0</v>
      </c>
      <c r="K107" s="253">
        <v>-25000.0</v>
      </c>
      <c r="L107" s="253">
        <v>-25000.0</v>
      </c>
      <c r="M107" s="253">
        <v>-25000.0</v>
      </c>
      <c r="N107" s="253">
        <v>-25000.0</v>
      </c>
      <c r="O107" s="254">
        <v>-25000.0</v>
      </c>
    </row>
    <row r="108">
      <c r="A108" s="235"/>
      <c r="B108" s="226" t="s">
        <v>521</v>
      </c>
      <c r="C108" s="246">
        <v>-35000.0</v>
      </c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44"/>
    </row>
    <row r="109">
      <c r="A109" s="235"/>
      <c r="B109" s="226" t="s">
        <v>522</v>
      </c>
      <c r="C109" s="246">
        <v>-400.0</v>
      </c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44"/>
    </row>
    <row r="110">
      <c r="A110" s="229"/>
      <c r="B110" s="226" t="s">
        <v>523</v>
      </c>
      <c r="C110" s="246">
        <v>0.0</v>
      </c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44"/>
    </row>
    <row r="111">
      <c r="A111" s="218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44"/>
    </row>
    <row r="112">
      <c r="A112" s="218"/>
      <c r="B112" s="271" t="s">
        <v>524</v>
      </c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44"/>
    </row>
    <row r="113">
      <c r="A113" s="235"/>
      <c r="B113" s="226" t="s">
        <v>525</v>
      </c>
      <c r="C113" s="217"/>
      <c r="D113" s="217"/>
      <c r="E113" s="246">
        <v>0.0</v>
      </c>
      <c r="F113" s="253">
        <v>-30000.0</v>
      </c>
      <c r="G113" s="217"/>
      <c r="H113" s="217"/>
      <c r="I113" s="217"/>
      <c r="J113" s="217"/>
      <c r="K113" s="217"/>
      <c r="L113" s="217"/>
      <c r="M113" s="217"/>
      <c r="N113" s="217"/>
      <c r="O113" s="244"/>
    </row>
    <row r="114">
      <c r="A114" s="218"/>
      <c r="B114" s="226" t="s">
        <v>526</v>
      </c>
      <c r="C114" s="217"/>
      <c r="D114" s="217"/>
      <c r="E114" s="246">
        <v>0.0</v>
      </c>
      <c r="F114" s="253">
        <v>-25000.0</v>
      </c>
      <c r="G114" s="217"/>
      <c r="H114" s="217"/>
      <c r="I114" s="217"/>
      <c r="J114" s="217"/>
      <c r="K114" s="217"/>
      <c r="L114" s="217"/>
      <c r="M114" s="217"/>
      <c r="N114" s="217"/>
      <c r="O114" s="244"/>
    </row>
    <row r="115">
      <c r="A115" s="235"/>
      <c r="B115" s="226" t="s">
        <v>527</v>
      </c>
      <c r="C115" s="217"/>
      <c r="D115" s="217"/>
      <c r="E115" s="246">
        <v>-2200.0</v>
      </c>
      <c r="F115" s="217"/>
      <c r="G115" s="217"/>
      <c r="H115" s="246">
        <v>0.0</v>
      </c>
      <c r="I115" s="217"/>
      <c r="J115" s="217"/>
      <c r="K115" s="246">
        <v>0.0</v>
      </c>
      <c r="L115" s="217"/>
      <c r="M115" s="217"/>
      <c r="N115" s="246">
        <v>0.0</v>
      </c>
      <c r="O115" s="244"/>
    </row>
    <row r="116">
      <c r="A116" s="218"/>
      <c r="B116" s="226" t="s">
        <v>528</v>
      </c>
      <c r="C116" s="217"/>
      <c r="D116" s="217"/>
      <c r="E116" s="246">
        <v>-44700.0</v>
      </c>
      <c r="F116" s="217"/>
      <c r="G116" s="217"/>
      <c r="H116" s="221"/>
      <c r="I116" s="217"/>
      <c r="J116" s="217"/>
      <c r="K116" s="221"/>
      <c r="L116" s="217"/>
      <c r="M116" s="217"/>
      <c r="N116" s="221"/>
      <c r="O116" s="244"/>
    </row>
    <row r="117">
      <c r="A117" s="218"/>
      <c r="B117" s="226" t="s">
        <v>523</v>
      </c>
      <c r="C117" s="217"/>
      <c r="D117" s="217"/>
      <c r="E117" s="246">
        <v>0.0</v>
      </c>
      <c r="F117" s="217"/>
      <c r="G117" s="217"/>
      <c r="H117" s="246">
        <v>0.0</v>
      </c>
      <c r="I117" s="217"/>
      <c r="J117" s="217"/>
      <c r="K117" s="246">
        <v>0.0</v>
      </c>
      <c r="L117" s="217"/>
      <c r="M117" s="217"/>
      <c r="N117" s="246">
        <v>0.0</v>
      </c>
      <c r="O117" s="244"/>
    </row>
    <row r="118">
      <c r="A118" s="235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44"/>
    </row>
    <row r="119">
      <c r="A119" s="235"/>
      <c r="B119" s="237" t="s">
        <v>529</v>
      </c>
      <c r="C119" s="238"/>
      <c r="D119" s="239">
        <f t="shared" ref="D119:O119" si="40">SUM(D122:D128)</f>
        <v>-419000</v>
      </c>
      <c r="E119" s="239">
        <f t="shared" si="40"/>
        <v>-387856.4103</v>
      </c>
      <c r="F119" s="239">
        <f t="shared" si="40"/>
        <v>-387856.4103</v>
      </c>
      <c r="G119" s="239">
        <f t="shared" si="40"/>
        <v>-387856.4103</v>
      </c>
      <c r="H119" s="239">
        <f t="shared" si="40"/>
        <v>-387856.4103</v>
      </c>
      <c r="I119" s="239">
        <f t="shared" si="40"/>
        <v>-387856.4103</v>
      </c>
      <c r="J119" s="239">
        <f t="shared" si="40"/>
        <v>-387856.4103</v>
      </c>
      <c r="K119" s="239">
        <f t="shared" si="40"/>
        <v>-387856.4103</v>
      </c>
      <c r="L119" s="239">
        <f t="shared" si="40"/>
        <v>-387856.4103</v>
      </c>
      <c r="M119" s="239">
        <f t="shared" si="40"/>
        <v>-387856.4103</v>
      </c>
      <c r="N119" s="239">
        <f t="shared" si="40"/>
        <v>-387856.4103</v>
      </c>
      <c r="O119" s="256">
        <f t="shared" si="40"/>
        <v>-387856.4103</v>
      </c>
    </row>
    <row r="120">
      <c r="A120" s="218"/>
      <c r="B120" s="226" t="s">
        <v>530</v>
      </c>
      <c r="C120" s="246">
        <v>3.0</v>
      </c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44"/>
    </row>
    <row r="121">
      <c r="A121" s="218"/>
      <c r="B121" s="226" t="s">
        <v>531</v>
      </c>
      <c r="C121" s="272">
        <v>0.02</v>
      </c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44"/>
    </row>
    <row r="122">
      <c r="A122" s="218"/>
      <c r="B122" s="226" t="s">
        <v>532</v>
      </c>
      <c r="C122" s="246">
        <f t="shared" ref="C122:O122" si="41">-20000*$C$120</f>
        <v>-60000</v>
      </c>
      <c r="D122" s="253">
        <f t="shared" si="41"/>
        <v>-60000</v>
      </c>
      <c r="E122" s="253">
        <f t="shared" si="41"/>
        <v>-60000</v>
      </c>
      <c r="F122" s="253">
        <f t="shared" si="41"/>
        <v>-60000</v>
      </c>
      <c r="G122" s="253">
        <f t="shared" si="41"/>
        <v>-60000</v>
      </c>
      <c r="H122" s="253">
        <f t="shared" si="41"/>
        <v>-60000</v>
      </c>
      <c r="I122" s="253">
        <f t="shared" si="41"/>
        <v>-60000</v>
      </c>
      <c r="J122" s="253">
        <f t="shared" si="41"/>
        <v>-60000</v>
      </c>
      <c r="K122" s="253">
        <f t="shared" si="41"/>
        <v>-60000</v>
      </c>
      <c r="L122" s="253">
        <f t="shared" si="41"/>
        <v>-60000</v>
      </c>
      <c r="M122" s="253">
        <f t="shared" si="41"/>
        <v>-60000</v>
      </c>
      <c r="N122" s="253">
        <f t="shared" si="41"/>
        <v>-60000</v>
      </c>
      <c r="O122" s="254">
        <f t="shared" si="41"/>
        <v>-60000</v>
      </c>
    </row>
    <row r="123">
      <c r="A123" s="218"/>
      <c r="B123" s="226" t="s">
        <v>533</v>
      </c>
      <c r="C123" s="246">
        <f>(-D17-D31)*C121</f>
        <v>-99000</v>
      </c>
      <c r="D123" s="253">
        <f t="shared" ref="D123:O123" si="42">(-D17-D31)*$C$121</f>
        <v>-99000</v>
      </c>
      <c r="E123" s="253">
        <f t="shared" si="42"/>
        <v>-102856.4103</v>
      </c>
      <c r="F123" s="253">
        <f t="shared" si="42"/>
        <v>-102856.4103</v>
      </c>
      <c r="G123" s="253">
        <f t="shared" si="42"/>
        <v>-102856.4103</v>
      </c>
      <c r="H123" s="253">
        <f t="shared" si="42"/>
        <v>-102856.4103</v>
      </c>
      <c r="I123" s="253">
        <f t="shared" si="42"/>
        <v>-102856.4103</v>
      </c>
      <c r="J123" s="253">
        <f t="shared" si="42"/>
        <v>-102856.4103</v>
      </c>
      <c r="K123" s="253">
        <f t="shared" si="42"/>
        <v>-102856.4103</v>
      </c>
      <c r="L123" s="253">
        <f t="shared" si="42"/>
        <v>-102856.4103</v>
      </c>
      <c r="M123" s="253">
        <f t="shared" si="42"/>
        <v>-102856.4103</v>
      </c>
      <c r="N123" s="253">
        <f t="shared" si="42"/>
        <v>-102856.4103</v>
      </c>
      <c r="O123" s="254">
        <f t="shared" si="42"/>
        <v>-102856.4103</v>
      </c>
    </row>
    <row r="124">
      <c r="A124" s="235"/>
      <c r="B124" s="226" t="s">
        <v>534</v>
      </c>
      <c r="C124" s="246">
        <v>-40000.0</v>
      </c>
      <c r="D124" s="253">
        <f t="shared" ref="D124:O124" si="43">$C$124</f>
        <v>-40000</v>
      </c>
      <c r="E124" s="253">
        <f t="shared" si="43"/>
        <v>-40000</v>
      </c>
      <c r="F124" s="253">
        <f t="shared" si="43"/>
        <v>-40000</v>
      </c>
      <c r="G124" s="253">
        <f t="shared" si="43"/>
        <v>-40000</v>
      </c>
      <c r="H124" s="253">
        <f t="shared" si="43"/>
        <v>-40000</v>
      </c>
      <c r="I124" s="253">
        <f t="shared" si="43"/>
        <v>-40000</v>
      </c>
      <c r="J124" s="253">
        <f t="shared" si="43"/>
        <v>-40000</v>
      </c>
      <c r="K124" s="253">
        <f t="shared" si="43"/>
        <v>-40000</v>
      </c>
      <c r="L124" s="253">
        <f t="shared" si="43"/>
        <v>-40000</v>
      </c>
      <c r="M124" s="253">
        <f t="shared" si="43"/>
        <v>-40000</v>
      </c>
      <c r="N124" s="253">
        <f t="shared" si="43"/>
        <v>-40000</v>
      </c>
      <c r="O124" s="254">
        <f t="shared" si="43"/>
        <v>-40000</v>
      </c>
    </row>
    <row r="125">
      <c r="A125" s="218"/>
      <c r="B125" s="226" t="s">
        <v>535</v>
      </c>
      <c r="C125" s="246">
        <v>-20000.0</v>
      </c>
      <c r="D125" s="253">
        <f t="shared" ref="D125:O125" si="44">$C$125</f>
        <v>-20000</v>
      </c>
      <c r="E125" s="253">
        <f t="shared" si="44"/>
        <v>-20000</v>
      </c>
      <c r="F125" s="253">
        <f t="shared" si="44"/>
        <v>-20000</v>
      </c>
      <c r="G125" s="253">
        <f t="shared" si="44"/>
        <v>-20000</v>
      </c>
      <c r="H125" s="253">
        <f t="shared" si="44"/>
        <v>-20000</v>
      </c>
      <c r="I125" s="253">
        <f t="shared" si="44"/>
        <v>-20000</v>
      </c>
      <c r="J125" s="253">
        <f t="shared" si="44"/>
        <v>-20000</v>
      </c>
      <c r="K125" s="253">
        <f t="shared" si="44"/>
        <v>-20000</v>
      </c>
      <c r="L125" s="253">
        <f t="shared" si="44"/>
        <v>-20000</v>
      </c>
      <c r="M125" s="253">
        <f t="shared" si="44"/>
        <v>-20000</v>
      </c>
      <c r="N125" s="253">
        <f t="shared" si="44"/>
        <v>-20000</v>
      </c>
      <c r="O125" s="254">
        <f t="shared" si="44"/>
        <v>-20000</v>
      </c>
    </row>
    <row r="126">
      <c r="A126" s="218"/>
      <c r="B126" s="226" t="s">
        <v>536</v>
      </c>
      <c r="C126" s="246">
        <f>-C27</f>
        <v>-160000</v>
      </c>
      <c r="D126" s="253">
        <v>-200000.0</v>
      </c>
      <c r="E126" s="253">
        <f t="shared" ref="E126:O126" si="45">$C$126</f>
        <v>-160000</v>
      </c>
      <c r="F126" s="253">
        <f t="shared" si="45"/>
        <v>-160000</v>
      </c>
      <c r="G126" s="253">
        <f t="shared" si="45"/>
        <v>-160000</v>
      </c>
      <c r="H126" s="253">
        <f t="shared" si="45"/>
        <v>-160000</v>
      </c>
      <c r="I126" s="253">
        <f t="shared" si="45"/>
        <v>-160000</v>
      </c>
      <c r="J126" s="253">
        <f t="shared" si="45"/>
        <v>-160000</v>
      </c>
      <c r="K126" s="253">
        <f t="shared" si="45"/>
        <v>-160000</v>
      </c>
      <c r="L126" s="253">
        <f t="shared" si="45"/>
        <v>-160000</v>
      </c>
      <c r="M126" s="253">
        <f t="shared" si="45"/>
        <v>-160000</v>
      </c>
      <c r="N126" s="253">
        <f t="shared" si="45"/>
        <v>-160000</v>
      </c>
      <c r="O126" s="254">
        <f t="shared" si="45"/>
        <v>-160000</v>
      </c>
    </row>
    <row r="127">
      <c r="A127" s="235"/>
      <c r="B127" s="226" t="s">
        <v>537</v>
      </c>
      <c r="C127" s="246">
        <f>-IF(D53&gt;0,D53*$C$61,0)</f>
        <v>-600000</v>
      </c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44"/>
    </row>
    <row r="128">
      <c r="A128" s="235"/>
      <c r="B128" s="226" t="s">
        <v>538</v>
      </c>
      <c r="C128" s="246">
        <v>-5000.0</v>
      </c>
      <c r="D128" s="217"/>
      <c r="E128" s="253">
        <f t="shared" ref="E128:O128" si="46">$C$128</f>
        <v>-5000</v>
      </c>
      <c r="F128" s="253">
        <f t="shared" si="46"/>
        <v>-5000</v>
      </c>
      <c r="G128" s="253">
        <f t="shared" si="46"/>
        <v>-5000</v>
      </c>
      <c r="H128" s="253">
        <f t="shared" si="46"/>
        <v>-5000</v>
      </c>
      <c r="I128" s="253">
        <f t="shared" si="46"/>
        <v>-5000</v>
      </c>
      <c r="J128" s="253">
        <f t="shared" si="46"/>
        <v>-5000</v>
      </c>
      <c r="K128" s="253">
        <f t="shared" si="46"/>
        <v>-5000</v>
      </c>
      <c r="L128" s="253">
        <f t="shared" si="46"/>
        <v>-5000</v>
      </c>
      <c r="M128" s="253">
        <f t="shared" si="46"/>
        <v>-5000</v>
      </c>
      <c r="N128" s="253">
        <f t="shared" si="46"/>
        <v>-5000</v>
      </c>
      <c r="O128" s="254">
        <f t="shared" si="46"/>
        <v>-5000</v>
      </c>
    </row>
    <row r="129">
      <c r="A129" s="235"/>
      <c r="B129" s="259"/>
      <c r="C129" s="228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44"/>
    </row>
    <row r="130">
      <c r="A130" s="218"/>
      <c r="B130" s="232" t="s">
        <v>39</v>
      </c>
      <c r="C130" s="233"/>
      <c r="D130" s="220">
        <f t="shared" ref="D130:O130" si="47">D89+D92</f>
        <v>2421890.87</v>
      </c>
      <c r="E130" s="220">
        <f t="shared" si="47"/>
        <v>2590153.691</v>
      </c>
      <c r="F130" s="220">
        <f t="shared" si="47"/>
        <v>3880153.691</v>
      </c>
      <c r="G130" s="220">
        <f t="shared" si="47"/>
        <v>3880153.691</v>
      </c>
      <c r="H130" s="220">
        <f t="shared" si="47"/>
        <v>3880153.691</v>
      </c>
      <c r="I130" s="220">
        <f t="shared" si="47"/>
        <v>3880153.691</v>
      </c>
      <c r="J130" s="220">
        <f t="shared" si="47"/>
        <v>3880153.691</v>
      </c>
      <c r="K130" s="220">
        <f t="shared" si="47"/>
        <v>3880153.691</v>
      </c>
      <c r="L130" s="220">
        <f t="shared" si="47"/>
        <v>3880153.691</v>
      </c>
      <c r="M130" s="220">
        <f t="shared" si="47"/>
        <v>3880153.691</v>
      </c>
      <c r="N130" s="220">
        <f t="shared" si="47"/>
        <v>3880153.691</v>
      </c>
      <c r="O130" s="234">
        <f t="shared" si="47"/>
        <v>3880153.691</v>
      </c>
    </row>
    <row r="131">
      <c r="A131" s="218"/>
      <c r="B131" s="267" t="s">
        <v>40</v>
      </c>
      <c r="D131" s="268">
        <f t="shared" ref="D131:O131" si="48">IFERROR(D130/D$16,0)</f>
        <v>0.304640361</v>
      </c>
      <c r="E131" s="268">
        <f t="shared" si="48"/>
        <v>0.3180904806</v>
      </c>
      <c r="F131" s="268">
        <f t="shared" si="48"/>
        <v>0.3825517454</v>
      </c>
      <c r="G131" s="268">
        <f t="shared" si="48"/>
        <v>0.3825517454</v>
      </c>
      <c r="H131" s="268">
        <f t="shared" si="48"/>
        <v>0.3825517454</v>
      </c>
      <c r="I131" s="268">
        <f t="shared" si="48"/>
        <v>0.3825517454</v>
      </c>
      <c r="J131" s="268">
        <f t="shared" si="48"/>
        <v>0.3825517454</v>
      </c>
      <c r="K131" s="268">
        <f t="shared" si="48"/>
        <v>0.3825517454</v>
      </c>
      <c r="L131" s="268">
        <f t="shared" si="48"/>
        <v>0.3825517454</v>
      </c>
      <c r="M131" s="268">
        <f t="shared" si="48"/>
        <v>0.3825517454</v>
      </c>
      <c r="N131" s="268">
        <f t="shared" si="48"/>
        <v>0.3825517454</v>
      </c>
      <c r="O131" s="269">
        <f t="shared" si="48"/>
        <v>0.3825517454</v>
      </c>
    </row>
    <row r="132">
      <c r="A132" s="235"/>
      <c r="B132" s="259"/>
      <c r="C132" s="224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44"/>
    </row>
    <row r="133">
      <c r="A133" s="218"/>
      <c r="B133" s="226" t="s">
        <v>539</v>
      </c>
      <c r="C133" s="221"/>
      <c r="D133" s="253">
        <f t="shared" ref="D133:O133" si="49">-(D17-1500000)*1%-D53*1%</f>
        <v>-62000</v>
      </c>
      <c r="E133" s="253">
        <f t="shared" si="49"/>
        <v>-63928.20513</v>
      </c>
      <c r="F133" s="253">
        <f t="shared" si="49"/>
        <v>-63928.20513</v>
      </c>
      <c r="G133" s="253">
        <f t="shared" si="49"/>
        <v>-63928.20513</v>
      </c>
      <c r="H133" s="253">
        <f t="shared" si="49"/>
        <v>-63928.20513</v>
      </c>
      <c r="I133" s="253">
        <f t="shared" si="49"/>
        <v>-63928.20513</v>
      </c>
      <c r="J133" s="253">
        <f t="shared" si="49"/>
        <v>-63928.20513</v>
      </c>
      <c r="K133" s="253">
        <f t="shared" si="49"/>
        <v>-63928.20513</v>
      </c>
      <c r="L133" s="253">
        <f t="shared" si="49"/>
        <v>-63928.20513</v>
      </c>
      <c r="M133" s="253">
        <f t="shared" si="49"/>
        <v>-63928.20513</v>
      </c>
      <c r="N133" s="253">
        <f t="shared" si="49"/>
        <v>-63928.20513</v>
      </c>
      <c r="O133" s="254">
        <f t="shared" si="49"/>
        <v>-63928.20513</v>
      </c>
    </row>
    <row r="134">
      <c r="A134" s="235"/>
      <c r="B134" s="255" t="s">
        <v>540</v>
      </c>
      <c r="C134" s="250">
        <v>0.0</v>
      </c>
      <c r="D134" s="217"/>
      <c r="E134" s="217" t="str">
        <f t="shared" ref="E134:O134" si="50">D134</f>
        <v/>
      </c>
      <c r="F134" s="217" t="str">
        <f t="shared" si="50"/>
        <v/>
      </c>
      <c r="G134" s="217" t="str">
        <f t="shared" si="50"/>
        <v/>
      </c>
      <c r="H134" s="217" t="str">
        <f t="shared" si="50"/>
        <v/>
      </c>
      <c r="I134" s="217" t="str">
        <f t="shared" si="50"/>
        <v/>
      </c>
      <c r="J134" s="217" t="str">
        <f t="shared" si="50"/>
        <v/>
      </c>
      <c r="K134" s="217" t="str">
        <f t="shared" si="50"/>
        <v/>
      </c>
      <c r="L134" s="217" t="str">
        <f t="shared" si="50"/>
        <v/>
      </c>
      <c r="M134" s="217" t="str">
        <f t="shared" si="50"/>
        <v/>
      </c>
      <c r="N134" s="217" t="str">
        <f t="shared" si="50"/>
        <v/>
      </c>
      <c r="O134" s="244" t="str">
        <f t="shared" si="50"/>
        <v/>
      </c>
    </row>
    <row r="135">
      <c r="A135" s="218"/>
      <c r="B135" s="226" t="s">
        <v>43</v>
      </c>
      <c r="C135" s="217"/>
      <c r="D135" s="273">
        <f t="shared" ref="D135:O135" si="51">SUM(D136:D137)</f>
        <v>-157856</v>
      </c>
      <c r="E135" s="273">
        <f t="shared" si="51"/>
        <v>-157856</v>
      </c>
      <c r="F135" s="273">
        <f t="shared" si="51"/>
        <v>-157856</v>
      </c>
      <c r="G135" s="273">
        <f t="shared" si="51"/>
        <v>-157856</v>
      </c>
      <c r="H135" s="273">
        <f t="shared" si="51"/>
        <v>-157856</v>
      </c>
      <c r="I135" s="273">
        <f t="shared" si="51"/>
        <v>-157856</v>
      </c>
      <c r="J135" s="273">
        <f t="shared" si="51"/>
        <v>-157856</v>
      </c>
      <c r="K135" s="273">
        <f t="shared" si="51"/>
        <v>-157856</v>
      </c>
      <c r="L135" s="273">
        <f t="shared" si="51"/>
        <v>-157856</v>
      </c>
      <c r="M135" s="273">
        <f t="shared" si="51"/>
        <v>-157856</v>
      </c>
      <c r="N135" s="273">
        <f t="shared" si="51"/>
        <v>-157856</v>
      </c>
      <c r="O135" s="274">
        <f t="shared" si="51"/>
        <v>-157856</v>
      </c>
    </row>
    <row r="136">
      <c r="A136" s="218"/>
      <c r="B136" s="226" t="s">
        <v>541</v>
      </c>
      <c r="C136" s="246">
        <v>-157856.0</v>
      </c>
      <c r="D136" s="253">
        <f t="shared" ref="D136:O136" si="52">$C$136</f>
        <v>-157856</v>
      </c>
      <c r="E136" s="253">
        <f t="shared" si="52"/>
        <v>-157856</v>
      </c>
      <c r="F136" s="253">
        <f t="shared" si="52"/>
        <v>-157856</v>
      </c>
      <c r="G136" s="253">
        <f t="shared" si="52"/>
        <v>-157856</v>
      </c>
      <c r="H136" s="253">
        <f t="shared" si="52"/>
        <v>-157856</v>
      </c>
      <c r="I136" s="253">
        <f t="shared" si="52"/>
        <v>-157856</v>
      </c>
      <c r="J136" s="253">
        <f t="shared" si="52"/>
        <v>-157856</v>
      </c>
      <c r="K136" s="253">
        <f t="shared" si="52"/>
        <v>-157856</v>
      </c>
      <c r="L136" s="253">
        <f t="shared" si="52"/>
        <v>-157856</v>
      </c>
      <c r="M136" s="253">
        <f t="shared" si="52"/>
        <v>-157856</v>
      </c>
      <c r="N136" s="253">
        <f t="shared" si="52"/>
        <v>-157856</v>
      </c>
      <c r="O136" s="254">
        <f t="shared" si="52"/>
        <v>-157856</v>
      </c>
    </row>
    <row r="137">
      <c r="A137" s="218"/>
      <c r="B137" s="275" t="s">
        <v>542</v>
      </c>
      <c r="C137" s="217"/>
      <c r="D137" s="253">
        <f t="shared" ref="D137:O137" si="53">-IF(OR(D177="",D177=0),0,-(D178-D177))</f>
        <v>0</v>
      </c>
      <c r="E137" s="253">
        <f t="shared" si="53"/>
        <v>0</v>
      </c>
      <c r="F137" s="253">
        <f t="shared" si="53"/>
        <v>0</v>
      </c>
      <c r="G137" s="253">
        <f t="shared" si="53"/>
        <v>0</v>
      </c>
      <c r="H137" s="253">
        <f t="shared" si="53"/>
        <v>0</v>
      </c>
      <c r="I137" s="253">
        <f t="shared" si="53"/>
        <v>0</v>
      </c>
      <c r="J137" s="253">
        <f t="shared" si="53"/>
        <v>0</v>
      </c>
      <c r="K137" s="253">
        <f t="shared" si="53"/>
        <v>0</v>
      </c>
      <c r="L137" s="253">
        <f t="shared" si="53"/>
        <v>0</v>
      </c>
      <c r="M137" s="253">
        <f t="shared" si="53"/>
        <v>0</v>
      </c>
      <c r="N137" s="253">
        <f t="shared" si="53"/>
        <v>0</v>
      </c>
      <c r="O137" s="254">
        <f t="shared" si="53"/>
        <v>0</v>
      </c>
    </row>
    <row r="138">
      <c r="A138" s="218"/>
      <c r="B138" s="217"/>
      <c r="D138" s="217"/>
    </row>
    <row r="139">
      <c r="A139" s="218"/>
      <c r="B139" s="232" t="s">
        <v>44</v>
      </c>
      <c r="C139" s="233"/>
      <c r="D139" s="220">
        <f t="shared" ref="D139:O139" si="54">D130+D133+D134+D135</f>
        <v>2202034.87</v>
      </c>
      <c r="E139" s="220">
        <f t="shared" si="54"/>
        <v>2368369.485</v>
      </c>
      <c r="F139" s="220">
        <f t="shared" si="54"/>
        <v>3658369.485</v>
      </c>
      <c r="G139" s="220">
        <f t="shared" si="54"/>
        <v>3658369.485</v>
      </c>
      <c r="H139" s="220">
        <f t="shared" si="54"/>
        <v>3658369.485</v>
      </c>
      <c r="I139" s="220">
        <f t="shared" si="54"/>
        <v>3658369.485</v>
      </c>
      <c r="J139" s="220">
        <f t="shared" si="54"/>
        <v>3658369.485</v>
      </c>
      <c r="K139" s="220">
        <f t="shared" si="54"/>
        <v>3658369.485</v>
      </c>
      <c r="L139" s="220">
        <f t="shared" si="54"/>
        <v>3658369.485</v>
      </c>
      <c r="M139" s="220">
        <f t="shared" si="54"/>
        <v>3658369.485</v>
      </c>
      <c r="N139" s="220">
        <f t="shared" si="54"/>
        <v>3658369.485</v>
      </c>
      <c r="O139" s="234">
        <f t="shared" si="54"/>
        <v>3658369.485</v>
      </c>
    </row>
    <row r="140">
      <c r="A140" s="218"/>
      <c r="B140" s="267" t="s">
        <v>45</v>
      </c>
      <c r="D140" s="268">
        <f t="shared" ref="D140:O140" si="55">IFERROR(D139/D$16,0)</f>
        <v>0.2769855182</v>
      </c>
      <c r="E140" s="268">
        <f t="shared" si="55"/>
        <v>0.2908537013</v>
      </c>
      <c r="F140" s="268">
        <f t="shared" si="55"/>
        <v>0.360685618</v>
      </c>
      <c r="G140" s="268">
        <f t="shared" si="55"/>
        <v>0.360685618</v>
      </c>
      <c r="H140" s="268">
        <f t="shared" si="55"/>
        <v>0.360685618</v>
      </c>
      <c r="I140" s="268">
        <f t="shared" si="55"/>
        <v>0.360685618</v>
      </c>
      <c r="J140" s="268">
        <f t="shared" si="55"/>
        <v>0.360685618</v>
      </c>
      <c r="K140" s="268">
        <f t="shared" si="55"/>
        <v>0.360685618</v>
      </c>
      <c r="L140" s="268">
        <f t="shared" si="55"/>
        <v>0.360685618</v>
      </c>
      <c r="M140" s="268">
        <f t="shared" si="55"/>
        <v>0.360685618</v>
      </c>
      <c r="N140" s="268">
        <f t="shared" si="55"/>
        <v>0.360685618</v>
      </c>
      <c r="O140" s="269">
        <f t="shared" si="55"/>
        <v>0.360685618</v>
      </c>
    </row>
    <row r="141">
      <c r="A141" s="218"/>
      <c r="B141" s="217"/>
      <c r="D141" s="217"/>
    </row>
    <row r="142">
      <c r="A142" s="218"/>
      <c r="B142" s="276" t="s">
        <v>249</v>
      </c>
      <c r="D142" s="277">
        <f t="shared" ref="D142:O142" si="56">C142+D139</f>
        <v>2202034.87</v>
      </c>
      <c r="E142" s="277">
        <f t="shared" si="56"/>
        <v>4570404.355</v>
      </c>
      <c r="F142" s="277">
        <f t="shared" si="56"/>
        <v>8228773.841</v>
      </c>
      <c r="G142" s="277">
        <f t="shared" si="56"/>
        <v>11887143.33</v>
      </c>
      <c r="H142" s="277">
        <f t="shared" si="56"/>
        <v>15545512.81</v>
      </c>
      <c r="I142" s="277">
        <f t="shared" si="56"/>
        <v>19203882.3</v>
      </c>
      <c r="J142" s="277">
        <f t="shared" si="56"/>
        <v>22862251.78</v>
      </c>
      <c r="K142" s="277">
        <f t="shared" si="56"/>
        <v>26520621.27</v>
      </c>
      <c r="L142" s="277">
        <f t="shared" si="56"/>
        <v>30178990.75</v>
      </c>
      <c r="M142" s="277">
        <f t="shared" si="56"/>
        <v>33837360.24</v>
      </c>
      <c r="N142" s="277">
        <f t="shared" si="56"/>
        <v>37495729.72</v>
      </c>
      <c r="O142" s="278">
        <f t="shared" si="56"/>
        <v>41154099.21</v>
      </c>
    </row>
    <row r="143">
      <c r="A143" s="235"/>
      <c r="B143" s="259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44"/>
    </row>
    <row r="144">
      <c r="A144" s="218"/>
      <c r="B144" s="232" t="s">
        <v>543</v>
      </c>
      <c r="C144" s="233"/>
      <c r="D144" s="233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79"/>
    </row>
    <row r="145">
      <c r="A145" s="218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280"/>
    </row>
    <row r="146">
      <c r="A146" s="218"/>
      <c r="B146" s="281" t="s">
        <v>544</v>
      </c>
      <c r="C146" s="282">
        <v>0.0</v>
      </c>
      <c r="D146" s="283"/>
      <c r="E146" s="284">
        <f t="shared" ref="E146:O146" si="57">IF(E139&gt;0,$E$135,0)</f>
        <v>-157856</v>
      </c>
      <c r="F146" s="284">
        <f t="shared" si="57"/>
        <v>-157856</v>
      </c>
      <c r="G146" s="284">
        <f t="shared" si="57"/>
        <v>-157856</v>
      </c>
      <c r="H146" s="284">
        <f t="shared" si="57"/>
        <v>-157856</v>
      </c>
      <c r="I146" s="284">
        <f t="shared" si="57"/>
        <v>-157856</v>
      </c>
      <c r="J146" s="284">
        <f t="shared" si="57"/>
        <v>-157856</v>
      </c>
      <c r="K146" s="284">
        <f t="shared" si="57"/>
        <v>-157856</v>
      </c>
      <c r="L146" s="284">
        <f t="shared" si="57"/>
        <v>-157856</v>
      </c>
      <c r="M146" s="284">
        <f t="shared" si="57"/>
        <v>-157856</v>
      </c>
      <c r="N146" s="284">
        <f t="shared" si="57"/>
        <v>-157856</v>
      </c>
      <c r="O146" s="285">
        <f t="shared" si="57"/>
        <v>-157856</v>
      </c>
    </row>
    <row r="147">
      <c r="A147" s="218"/>
      <c r="B147" s="286" t="s">
        <v>545</v>
      </c>
      <c r="C147" s="165"/>
      <c r="D147" s="283"/>
      <c r="E147" s="284">
        <f>C147+E146</f>
        <v>-157856</v>
      </c>
      <c r="F147" s="284">
        <f t="shared" ref="F147:O147" si="58">E147+F146</f>
        <v>-315712</v>
      </c>
      <c r="G147" s="284">
        <f t="shared" si="58"/>
        <v>-473568</v>
      </c>
      <c r="H147" s="284">
        <f t="shared" si="58"/>
        <v>-631424</v>
      </c>
      <c r="I147" s="284">
        <f t="shared" si="58"/>
        <v>-789280</v>
      </c>
      <c r="J147" s="284">
        <f t="shared" si="58"/>
        <v>-947136</v>
      </c>
      <c r="K147" s="284">
        <f t="shared" si="58"/>
        <v>-1104992</v>
      </c>
      <c r="L147" s="284">
        <f t="shared" si="58"/>
        <v>-1262848</v>
      </c>
      <c r="M147" s="284">
        <f t="shared" si="58"/>
        <v>-1420704</v>
      </c>
      <c r="N147" s="284">
        <f t="shared" si="58"/>
        <v>-1578560</v>
      </c>
      <c r="O147" s="285">
        <f t="shared" si="58"/>
        <v>-1736416</v>
      </c>
    </row>
    <row r="148">
      <c r="A148" s="218"/>
      <c r="B148" s="165"/>
      <c r="C148" s="165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7"/>
    </row>
    <row r="149">
      <c r="A149" s="218"/>
      <c r="B149" s="281" t="s">
        <v>546</v>
      </c>
      <c r="C149" s="282">
        <v>0.1</v>
      </c>
      <c r="D149" s="283"/>
      <c r="E149" s="284">
        <f t="shared" ref="E149:O149" si="59">-IF(E139&gt;0,E139*$C$149,0)</f>
        <v>-236836.9485</v>
      </c>
      <c r="F149" s="284">
        <f t="shared" si="59"/>
        <v>-365836.9485</v>
      </c>
      <c r="G149" s="284">
        <f t="shared" si="59"/>
        <v>-365836.9485</v>
      </c>
      <c r="H149" s="284">
        <f t="shared" si="59"/>
        <v>-365836.9485</v>
      </c>
      <c r="I149" s="284">
        <f t="shared" si="59"/>
        <v>-365836.9485</v>
      </c>
      <c r="J149" s="284">
        <f t="shared" si="59"/>
        <v>-365836.9485</v>
      </c>
      <c r="K149" s="284">
        <f t="shared" si="59"/>
        <v>-365836.9485</v>
      </c>
      <c r="L149" s="284">
        <f t="shared" si="59"/>
        <v>-365836.9485</v>
      </c>
      <c r="M149" s="284">
        <f t="shared" si="59"/>
        <v>-365836.9485</v>
      </c>
      <c r="N149" s="284">
        <f t="shared" si="59"/>
        <v>-365836.9485</v>
      </c>
      <c r="O149" s="285">
        <f t="shared" si="59"/>
        <v>-365836.9485</v>
      </c>
    </row>
    <row r="150">
      <c r="A150" s="218"/>
      <c r="B150" s="286" t="s">
        <v>545</v>
      </c>
      <c r="C150" s="165"/>
      <c r="D150" s="283"/>
      <c r="E150" s="284">
        <f>C150+E149</f>
        <v>-236836.9485</v>
      </c>
      <c r="F150" s="284">
        <f t="shared" ref="F150:O150" si="60">E150+F149</f>
        <v>-602673.8971</v>
      </c>
      <c r="G150" s="284">
        <f t="shared" si="60"/>
        <v>-968510.8456</v>
      </c>
      <c r="H150" s="284">
        <f t="shared" si="60"/>
        <v>-1334347.794</v>
      </c>
      <c r="I150" s="284">
        <f t="shared" si="60"/>
        <v>-1700184.743</v>
      </c>
      <c r="J150" s="284">
        <f t="shared" si="60"/>
        <v>-2066021.691</v>
      </c>
      <c r="K150" s="284">
        <f t="shared" si="60"/>
        <v>-2431858.64</v>
      </c>
      <c r="L150" s="284">
        <f t="shared" si="60"/>
        <v>-2797695.588</v>
      </c>
      <c r="M150" s="284">
        <f t="shared" si="60"/>
        <v>-3163532.537</v>
      </c>
      <c r="N150" s="284">
        <f t="shared" si="60"/>
        <v>-3529369.485</v>
      </c>
      <c r="O150" s="285">
        <f t="shared" si="60"/>
        <v>-3895206.434</v>
      </c>
    </row>
    <row r="151">
      <c r="A151" s="218"/>
      <c r="B151" s="288" t="s">
        <v>547</v>
      </c>
      <c r="C151" s="289">
        <f>1000000/-O153</f>
        <v>0.6833645453</v>
      </c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</row>
    <row r="152">
      <c r="A152" s="235"/>
      <c r="B152" s="259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44"/>
    </row>
    <row r="153">
      <c r="A153" s="229"/>
      <c r="B153" s="281" t="s">
        <v>548</v>
      </c>
      <c r="C153" s="282">
        <v>0.4</v>
      </c>
      <c r="D153" s="283"/>
      <c r="E153" s="284">
        <f t="shared" ref="E153:O153" si="61">-IF(E139&gt;0,E139*$C$153,0)</f>
        <v>-947347.7942</v>
      </c>
      <c r="F153" s="284">
        <f t="shared" si="61"/>
        <v>-1463347.794</v>
      </c>
      <c r="G153" s="284">
        <f t="shared" si="61"/>
        <v>-1463347.794</v>
      </c>
      <c r="H153" s="284">
        <f t="shared" si="61"/>
        <v>-1463347.794</v>
      </c>
      <c r="I153" s="284">
        <f t="shared" si="61"/>
        <v>-1463347.794</v>
      </c>
      <c r="J153" s="284">
        <f t="shared" si="61"/>
        <v>-1463347.794</v>
      </c>
      <c r="K153" s="284">
        <f t="shared" si="61"/>
        <v>-1463347.794</v>
      </c>
      <c r="L153" s="284">
        <f t="shared" si="61"/>
        <v>-1463347.794</v>
      </c>
      <c r="M153" s="284">
        <f t="shared" si="61"/>
        <v>-1463347.794</v>
      </c>
      <c r="N153" s="284">
        <f t="shared" si="61"/>
        <v>-1463347.794</v>
      </c>
      <c r="O153" s="285">
        <f t="shared" si="61"/>
        <v>-1463347.794</v>
      </c>
    </row>
    <row r="154">
      <c r="A154" s="235"/>
      <c r="B154" s="286" t="s">
        <v>545</v>
      </c>
      <c r="C154" s="165"/>
      <c r="D154" s="283"/>
      <c r="E154" s="284">
        <f>C154+E153</f>
        <v>-947347.7942</v>
      </c>
      <c r="F154" s="284">
        <f t="shared" ref="F154:O154" si="62">E154+F153</f>
        <v>-2410695.588</v>
      </c>
      <c r="G154" s="284">
        <f t="shared" si="62"/>
        <v>-3874043.382</v>
      </c>
      <c r="H154" s="284">
        <f t="shared" si="62"/>
        <v>-5337391.177</v>
      </c>
      <c r="I154" s="284">
        <f t="shared" si="62"/>
        <v>-6800738.971</v>
      </c>
      <c r="J154" s="284">
        <f t="shared" si="62"/>
        <v>-8264086.765</v>
      </c>
      <c r="K154" s="284">
        <f t="shared" si="62"/>
        <v>-9727434.559</v>
      </c>
      <c r="L154" s="284">
        <f t="shared" si="62"/>
        <v>-11190782.35</v>
      </c>
      <c r="M154" s="284">
        <f t="shared" si="62"/>
        <v>-12654130.15</v>
      </c>
      <c r="N154" s="284">
        <f t="shared" si="62"/>
        <v>-14117477.94</v>
      </c>
      <c r="O154" s="285">
        <f t="shared" si="62"/>
        <v>-15580825.74</v>
      </c>
    </row>
    <row r="155">
      <c r="A155" s="235"/>
      <c r="B155" s="165"/>
      <c r="C155" s="165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7"/>
    </row>
    <row r="156">
      <c r="A156" s="235"/>
      <c r="B156" s="281" t="s">
        <v>549</v>
      </c>
      <c r="C156" s="282">
        <v>0.2</v>
      </c>
      <c r="D156" s="284">
        <f t="shared" ref="D156:O156" si="63">-IF(D139&gt;0,D139*$C$156,0)</f>
        <v>-440406.974</v>
      </c>
      <c r="E156" s="284">
        <f t="shared" si="63"/>
        <v>-473673.8971</v>
      </c>
      <c r="F156" s="284">
        <f t="shared" si="63"/>
        <v>-731673.8971</v>
      </c>
      <c r="G156" s="284">
        <f t="shared" si="63"/>
        <v>-731673.8971</v>
      </c>
      <c r="H156" s="284">
        <f t="shared" si="63"/>
        <v>-731673.8971</v>
      </c>
      <c r="I156" s="284">
        <f t="shared" si="63"/>
        <v>-731673.8971</v>
      </c>
      <c r="J156" s="284">
        <f t="shared" si="63"/>
        <v>-731673.8971</v>
      </c>
      <c r="K156" s="284">
        <f t="shared" si="63"/>
        <v>-731673.8971</v>
      </c>
      <c r="L156" s="284">
        <f t="shared" si="63"/>
        <v>-731673.8971</v>
      </c>
      <c r="M156" s="284">
        <f t="shared" si="63"/>
        <v>-731673.8971</v>
      </c>
      <c r="N156" s="284">
        <f t="shared" si="63"/>
        <v>-731673.8971</v>
      </c>
      <c r="O156" s="285">
        <f t="shared" si="63"/>
        <v>-731673.8971</v>
      </c>
    </row>
    <row r="157">
      <c r="A157" s="235"/>
      <c r="B157" s="286" t="s">
        <v>545</v>
      </c>
      <c r="C157" s="165"/>
      <c r="D157" s="284">
        <f>D156</f>
        <v>-440406.974</v>
      </c>
      <c r="E157" s="284">
        <f t="shared" ref="E157:O157" si="64">D157+E156</f>
        <v>-914080.8711</v>
      </c>
      <c r="F157" s="284">
        <f t="shared" si="64"/>
        <v>-1645754.768</v>
      </c>
      <c r="G157" s="284">
        <f t="shared" si="64"/>
        <v>-2377428.665</v>
      </c>
      <c r="H157" s="284">
        <f t="shared" si="64"/>
        <v>-3109102.562</v>
      </c>
      <c r="I157" s="284">
        <f t="shared" si="64"/>
        <v>-3840776.459</v>
      </c>
      <c r="J157" s="284">
        <f t="shared" si="64"/>
        <v>-4572450.356</v>
      </c>
      <c r="K157" s="284">
        <f t="shared" si="64"/>
        <v>-5304124.254</v>
      </c>
      <c r="L157" s="284">
        <f t="shared" si="64"/>
        <v>-6035798.151</v>
      </c>
      <c r="M157" s="284">
        <f t="shared" si="64"/>
        <v>-6767472.048</v>
      </c>
      <c r="N157" s="284">
        <f t="shared" si="64"/>
        <v>-7499145.945</v>
      </c>
      <c r="O157" s="285">
        <f t="shared" si="64"/>
        <v>-8230819.842</v>
      </c>
    </row>
    <row r="158">
      <c r="A158" s="235"/>
      <c r="B158" s="165"/>
      <c r="C158" s="165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7"/>
    </row>
    <row r="159">
      <c r="A159" s="218"/>
      <c r="B159" s="281" t="s">
        <v>550</v>
      </c>
      <c r="C159" s="282">
        <v>0.0</v>
      </c>
      <c r="D159" s="283"/>
      <c r="E159" s="284">
        <f t="shared" ref="E159:O159" si="65">-IF(E12&gt;0,E12*$C$159,0)</f>
        <v>0</v>
      </c>
      <c r="F159" s="284">
        <f t="shared" si="65"/>
        <v>0</v>
      </c>
      <c r="G159" s="284">
        <f t="shared" si="65"/>
        <v>0</v>
      </c>
      <c r="H159" s="284">
        <f t="shared" si="65"/>
        <v>0</v>
      </c>
      <c r="I159" s="284">
        <f t="shared" si="65"/>
        <v>0</v>
      </c>
      <c r="J159" s="284">
        <f t="shared" si="65"/>
        <v>0</v>
      </c>
      <c r="K159" s="284">
        <f t="shared" si="65"/>
        <v>0</v>
      </c>
      <c r="L159" s="284">
        <f t="shared" si="65"/>
        <v>0</v>
      </c>
      <c r="M159" s="284">
        <f t="shared" si="65"/>
        <v>0</v>
      </c>
      <c r="N159" s="284">
        <f t="shared" si="65"/>
        <v>0</v>
      </c>
      <c r="O159" s="285">
        <f t="shared" si="65"/>
        <v>0</v>
      </c>
    </row>
    <row r="160">
      <c r="A160" s="229"/>
      <c r="B160" s="286" t="s">
        <v>545</v>
      </c>
      <c r="C160" s="165"/>
      <c r="D160" s="283"/>
      <c r="E160" s="284">
        <f>C160+E159</f>
        <v>0</v>
      </c>
      <c r="F160" s="284">
        <f t="shared" ref="F160:O160" si="66">E160+F159</f>
        <v>0</v>
      </c>
      <c r="G160" s="284">
        <f t="shared" si="66"/>
        <v>0</v>
      </c>
      <c r="H160" s="284">
        <f t="shared" si="66"/>
        <v>0</v>
      </c>
      <c r="I160" s="284">
        <f t="shared" si="66"/>
        <v>0</v>
      </c>
      <c r="J160" s="284">
        <f t="shared" si="66"/>
        <v>0</v>
      </c>
      <c r="K160" s="284">
        <f t="shared" si="66"/>
        <v>0</v>
      </c>
      <c r="L160" s="284">
        <f t="shared" si="66"/>
        <v>0</v>
      </c>
      <c r="M160" s="284">
        <f t="shared" si="66"/>
        <v>0</v>
      </c>
      <c r="N160" s="284">
        <f t="shared" si="66"/>
        <v>0</v>
      </c>
      <c r="O160" s="285">
        <f t="shared" si="66"/>
        <v>0</v>
      </c>
    </row>
    <row r="161">
      <c r="A161" s="218"/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44"/>
    </row>
    <row r="162">
      <c r="A162" s="235"/>
      <c r="B162" s="237" t="s">
        <v>161</v>
      </c>
      <c r="C162" s="238"/>
      <c r="D162" s="239">
        <f t="shared" ref="D162:O162" si="67">SUM(D164:D167)</f>
        <v>-440406.974</v>
      </c>
      <c r="E162" s="239">
        <f t="shared" si="67"/>
        <v>-473673.8971</v>
      </c>
      <c r="F162" s="239">
        <f t="shared" si="67"/>
        <v>-731673.8971</v>
      </c>
      <c r="G162" s="239">
        <f t="shared" si="67"/>
        <v>-731673.8971</v>
      </c>
      <c r="H162" s="239">
        <f t="shared" si="67"/>
        <v>-731673.8971</v>
      </c>
      <c r="I162" s="239">
        <f t="shared" si="67"/>
        <v>-731673.8971</v>
      </c>
      <c r="J162" s="239">
        <f t="shared" si="67"/>
        <v>-731673.8971</v>
      </c>
      <c r="K162" s="239">
        <f t="shared" si="67"/>
        <v>-731673.8971</v>
      </c>
      <c r="L162" s="239">
        <f t="shared" si="67"/>
        <v>-731673.8971</v>
      </c>
      <c r="M162" s="239">
        <f t="shared" si="67"/>
        <v>-731673.8971</v>
      </c>
      <c r="N162" s="239">
        <f t="shared" si="67"/>
        <v>-731673.8971</v>
      </c>
      <c r="O162" s="256">
        <f t="shared" si="67"/>
        <v>-731673.8971</v>
      </c>
    </row>
    <row r="163">
      <c r="A163" s="235"/>
      <c r="B163" s="259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44"/>
    </row>
    <row r="164">
      <c r="A164" s="235"/>
      <c r="B164" s="255" t="s">
        <v>551</v>
      </c>
      <c r="C164" s="246">
        <v>0.0</v>
      </c>
      <c r="D164" s="253">
        <f t="shared" ref="D164:O164" si="68">$C$164</f>
        <v>0</v>
      </c>
      <c r="E164" s="253">
        <f t="shared" si="68"/>
        <v>0</v>
      </c>
      <c r="F164" s="253">
        <f t="shared" si="68"/>
        <v>0</v>
      </c>
      <c r="G164" s="253">
        <f t="shared" si="68"/>
        <v>0</v>
      </c>
      <c r="H164" s="253">
        <f t="shared" si="68"/>
        <v>0</v>
      </c>
      <c r="I164" s="253">
        <f t="shared" si="68"/>
        <v>0</v>
      </c>
      <c r="J164" s="253">
        <f t="shared" si="68"/>
        <v>0</v>
      </c>
      <c r="K164" s="253">
        <f t="shared" si="68"/>
        <v>0</v>
      </c>
      <c r="L164" s="253">
        <f t="shared" si="68"/>
        <v>0</v>
      </c>
      <c r="M164" s="253">
        <f t="shared" si="68"/>
        <v>0</v>
      </c>
      <c r="N164" s="253">
        <f t="shared" si="68"/>
        <v>0</v>
      </c>
      <c r="O164" s="254">
        <f t="shared" si="68"/>
        <v>0</v>
      </c>
    </row>
    <row r="165">
      <c r="A165" s="235"/>
      <c r="B165" s="255" t="s">
        <v>552</v>
      </c>
      <c r="C165" s="246">
        <v>0.0</v>
      </c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44"/>
    </row>
    <row r="166">
      <c r="A166" s="235"/>
      <c r="B166" s="226" t="s">
        <v>553</v>
      </c>
      <c r="C166" s="246">
        <v>0.0</v>
      </c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44"/>
    </row>
    <row r="167">
      <c r="A167" s="218"/>
      <c r="B167" s="226" t="s">
        <v>554</v>
      </c>
      <c r="C167" s="217"/>
      <c r="D167" s="253">
        <f t="shared" ref="D167:O167" si="69">D156</f>
        <v>-440406.974</v>
      </c>
      <c r="E167" s="253">
        <f t="shared" si="69"/>
        <v>-473673.8971</v>
      </c>
      <c r="F167" s="253">
        <f t="shared" si="69"/>
        <v>-731673.8971</v>
      </c>
      <c r="G167" s="253">
        <f t="shared" si="69"/>
        <v>-731673.8971</v>
      </c>
      <c r="H167" s="253">
        <f t="shared" si="69"/>
        <v>-731673.8971</v>
      </c>
      <c r="I167" s="253">
        <f t="shared" si="69"/>
        <v>-731673.8971</v>
      </c>
      <c r="J167" s="253">
        <f t="shared" si="69"/>
        <v>-731673.8971</v>
      </c>
      <c r="K167" s="253">
        <f t="shared" si="69"/>
        <v>-731673.8971</v>
      </c>
      <c r="L167" s="253">
        <f t="shared" si="69"/>
        <v>-731673.8971</v>
      </c>
      <c r="M167" s="253">
        <f t="shared" si="69"/>
        <v>-731673.8971</v>
      </c>
      <c r="N167" s="253">
        <f t="shared" si="69"/>
        <v>-731673.8971</v>
      </c>
      <c r="O167" s="254">
        <f t="shared" si="69"/>
        <v>-731673.8971</v>
      </c>
    </row>
    <row r="168">
      <c r="A168" s="165"/>
      <c r="B168" s="215"/>
      <c r="C168" s="215"/>
      <c r="D168" s="215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90"/>
    </row>
    <row r="169">
      <c r="A169" s="218"/>
      <c r="B169" s="237" t="s">
        <v>397</v>
      </c>
      <c r="C169" s="238"/>
      <c r="D169" s="239">
        <f t="shared" ref="D169:O169" si="70">SUM(D170:D176)</f>
        <v>0</v>
      </c>
      <c r="E169" s="239">
        <f t="shared" si="70"/>
        <v>-1342040.743</v>
      </c>
      <c r="F169" s="239">
        <f t="shared" si="70"/>
        <v>-1987040.743</v>
      </c>
      <c r="G169" s="239">
        <f t="shared" si="70"/>
        <v>-1987040.743</v>
      </c>
      <c r="H169" s="239">
        <f t="shared" si="70"/>
        <v>-1987040.743</v>
      </c>
      <c r="I169" s="239">
        <f t="shared" si="70"/>
        <v>-1987040.743</v>
      </c>
      <c r="J169" s="239">
        <f t="shared" si="70"/>
        <v>-1987040.743</v>
      </c>
      <c r="K169" s="239">
        <f t="shared" si="70"/>
        <v>-1987040.743</v>
      </c>
      <c r="L169" s="239">
        <f t="shared" si="70"/>
        <v>-1987040.743</v>
      </c>
      <c r="M169" s="239">
        <f t="shared" si="70"/>
        <v>-1987040.743</v>
      </c>
      <c r="N169" s="239">
        <f t="shared" si="70"/>
        <v>-1987040.743</v>
      </c>
      <c r="O169" s="256">
        <f t="shared" si="70"/>
        <v>-1987040.743</v>
      </c>
    </row>
    <row r="170">
      <c r="A170" s="165"/>
      <c r="B170" s="215"/>
      <c r="C170" s="215"/>
      <c r="D170" s="215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90"/>
    </row>
    <row r="171">
      <c r="A171" s="218"/>
      <c r="B171" s="291" t="s">
        <v>555</v>
      </c>
      <c r="C171" s="165"/>
      <c r="D171" s="292">
        <f t="shared" ref="D171:O171" si="71">D146+D149+D153</f>
        <v>0</v>
      </c>
      <c r="E171" s="292">
        <f t="shared" si="71"/>
        <v>-1342040.743</v>
      </c>
      <c r="F171" s="292">
        <f t="shared" si="71"/>
        <v>-1987040.743</v>
      </c>
      <c r="G171" s="292">
        <f t="shared" si="71"/>
        <v>-1987040.743</v>
      </c>
      <c r="H171" s="292">
        <f t="shared" si="71"/>
        <v>-1987040.743</v>
      </c>
      <c r="I171" s="292">
        <f t="shared" si="71"/>
        <v>-1987040.743</v>
      </c>
      <c r="J171" s="292">
        <f t="shared" si="71"/>
        <v>-1987040.743</v>
      </c>
      <c r="K171" s="292">
        <f t="shared" si="71"/>
        <v>-1987040.743</v>
      </c>
      <c r="L171" s="292">
        <f t="shared" si="71"/>
        <v>-1987040.743</v>
      </c>
      <c r="M171" s="292">
        <f t="shared" si="71"/>
        <v>-1987040.743</v>
      </c>
      <c r="N171" s="292">
        <f t="shared" si="71"/>
        <v>-1987040.743</v>
      </c>
      <c r="O171" s="292">
        <f t="shared" si="71"/>
        <v>-1987040.743</v>
      </c>
    </row>
    <row r="172">
      <c r="A172" s="218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44"/>
    </row>
    <row r="173">
      <c r="A173" s="218"/>
      <c r="B173" s="226" t="s">
        <v>259</v>
      </c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44"/>
    </row>
    <row r="174">
      <c r="A174" s="218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44"/>
    </row>
    <row r="175">
      <c r="A175" s="218"/>
      <c r="B175" s="291" t="s">
        <v>556</v>
      </c>
      <c r="C175" s="165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</row>
    <row r="176">
      <c r="A176" s="165"/>
      <c r="B176" s="291" t="s">
        <v>557</v>
      </c>
      <c r="C176" s="293" t="str">
        <f>IFERROR(SUM(D175:P175)/SUM(D179:P179),"")</f>
        <v/>
      </c>
      <c r="D176" s="165"/>
      <c r="E176" s="215"/>
      <c r="F176" s="215"/>
      <c r="G176" s="215"/>
      <c r="H176" s="215"/>
      <c r="I176" s="215"/>
      <c r="J176" s="215"/>
      <c r="K176" s="215"/>
      <c r="L176" s="215"/>
      <c r="M176" s="215"/>
      <c r="N176" s="215"/>
      <c r="O176" s="290"/>
    </row>
    <row r="177">
      <c r="A177" s="165"/>
      <c r="B177" s="291" t="s">
        <v>558</v>
      </c>
      <c r="C177" s="165"/>
      <c r="D177" s="165" t="str">
        <f t="shared" ref="D177:O177" si="72">IF(D175="",C178,D175)</f>
        <v/>
      </c>
      <c r="E177" s="294">
        <f t="shared" si="72"/>
        <v>0</v>
      </c>
      <c r="F177" s="294">
        <f t="shared" si="72"/>
        <v>0</v>
      </c>
      <c r="G177" s="294">
        <f t="shared" si="72"/>
        <v>0</v>
      </c>
      <c r="H177" s="294">
        <f t="shared" si="72"/>
        <v>0</v>
      </c>
      <c r="I177" s="294">
        <f t="shared" si="72"/>
        <v>0</v>
      </c>
      <c r="J177" s="294">
        <f t="shared" si="72"/>
        <v>0</v>
      </c>
      <c r="K177" s="294">
        <f t="shared" si="72"/>
        <v>0</v>
      </c>
      <c r="L177" s="294">
        <f t="shared" si="72"/>
        <v>0</v>
      </c>
      <c r="M177" s="294">
        <f t="shared" si="72"/>
        <v>0</v>
      </c>
      <c r="N177" s="294">
        <f t="shared" si="72"/>
        <v>0</v>
      </c>
      <c r="O177" s="295">
        <f t="shared" si="72"/>
        <v>0</v>
      </c>
    </row>
    <row r="178">
      <c r="A178" s="165"/>
      <c r="B178" s="291" t="s">
        <v>559</v>
      </c>
      <c r="C178" s="165"/>
      <c r="D178" s="294">
        <f t="shared" ref="D178:O178" si="73">IF(D177&gt;0,D177-$C$175,IF(D175="",0,D175-$C$175))</f>
        <v>0</v>
      </c>
      <c r="E178" s="294">
        <f t="shared" si="73"/>
        <v>0</v>
      </c>
      <c r="F178" s="294">
        <f t="shared" si="73"/>
        <v>0</v>
      </c>
      <c r="G178" s="294">
        <f t="shared" si="73"/>
        <v>0</v>
      </c>
      <c r="H178" s="294">
        <f t="shared" si="73"/>
        <v>0</v>
      </c>
      <c r="I178" s="294">
        <f t="shared" si="73"/>
        <v>0</v>
      </c>
      <c r="J178" s="294">
        <f t="shared" si="73"/>
        <v>0</v>
      </c>
      <c r="K178" s="294">
        <f t="shared" si="73"/>
        <v>0</v>
      </c>
      <c r="L178" s="294">
        <f t="shared" si="73"/>
        <v>0</v>
      </c>
      <c r="M178" s="294">
        <f t="shared" si="73"/>
        <v>0</v>
      </c>
      <c r="N178" s="294">
        <f t="shared" si="73"/>
        <v>0</v>
      </c>
      <c r="O178" s="295">
        <f t="shared" si="73"/>
        <v>0</v>
      </c>
    </row>
    <row r="179">
      <c r="A179" s="165"/>
      <c r="B179" s="291" t="s">
        <v>560</v>
      </c>
      <c r="C179" s="165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96"/>
    </row>
    <row r="180">
      <c r="A180" s="165"/>
      <c r="B180" s="215"/>
      <c r="C180" s="215"/>
      <c r="D180" s="215"/>
      <c r="E180" s="215"/>
      <c r="F180" s="215"/>
      <c r="G180" s="215"/>
      <c r="H180" s="215"/>
      <c r="I180" s="215"/>
      <c r="J180" s="215"/>
      <c r="K180" s="215"/>
      <c r="L180" s="215"/>
      <c r="M180" s="215"/>
      <c r="N180" s="215"/>
      <c r="O180" s="290"/>
    </row>
    <row r="181">
      <c r="A181" s="165"/>
      <c r="B181" s="291" t="s">
        <v>561</v>
      </c>
      <c r="C181" s="294">
        <v>9820966.0</v>
      </c>
      <c r="D181" s="294">
        <v>9663110.0</v>
      </c>
      <c r="E181" s="294">
        <v>9505254.0</v>
      </c>
      <c r="F181" s="294">
        <v>9347398.0</v>
      </c>
      <c r="G181" s="294">
        <v>9189542.0</v>
      </c>
      <c r="H181" s="294">
        <v>9031686.0</v>
      </c>
      <c r="I181" s="294">
        <v>8873830.0</v>
      </c>
      <c r="J181" s="294">
        <v>8715973.0</v>
      </c>
      <c r="K181" s="294">
        <v>8558117.0</v>
      </c>
      <c r="L181" s="294">
        <v>8400261.0</v>
      </c>
      <c r="M181" s="294">
        <v>8242405.0</v>
      </c>
      <c r="N181" s="294">
        <v>8084549.0</v>
      </c>
      <c r="O181" s="295">
        <v>7926693.0</v>
      </c>
    </row>
    <row r="182">
      <c r="A182" s="165"/>
      <c r="B182" s="215"/>
      <c r="C182" s="215"/>
      <c r="D182" s="215"/>
      <c r="E182" s="215"/>
      <c r="F182" s="215"/>
      <c r="G182" s="215"/>
      <c r="H182" s="215"/>
      <c r="I182" s="215"/>
      <c r="J182" s="215"/>
      <c r="K182" s="215"/>
      <c r="L182" s="215"/>
      <c r="M182" s="215"/>
      <c r="N182" s="215"/>
      <c r="O182" s="290"/>
    </row>
    <row r="183">
      <c r="A183" s="165"/>
      <c r="B183" s="215"/>
      <c r="C183" s="215"/>
      <c r="D183" s="215"/>
      <c r="E183" s="215"/>
      <c r="F183" s="215"/>
      <c r="G183" s="215"/>
      <c r="H183" s="215"/>
      <c r="I183" s="215"/>
      <c r="J183" s="215"/>
      <c r="K183" s="215"/>
      <c r="L183" s="215"/>
      <c r="M183" s="215"/>
      <c r="N183" s="215"/>
      <c r="O183" s="290"/>
    </row>
    <row r="184">
      <c r="A184" s="218"/>
      <c r="B184" s="297" t="s">
        <v>47</v>
      </c>
      <c r="C184" s="233"/>
      <c r="D184" s="220">
        <f t="shared" ref="D184:O184" si="74">D190+D196-D202</f>
        <v>8236594.333</v>
      </c>
      <c r="E184" s="220">
        <f t="shared" si="74"/>
        <v>8268731.085</v>
      </c>
      <c r="F184" s="220">
        <f t="shared" si="74"/>
        <v>8602064.419</v>
      </c>
      <c r="G184" s="220">
        <f t="shared" si="74"/>
        <v>8602064.419</v>
      </c>
      <c r="H184" s="220">
        <f t="shared" si="74"/>
        <v>8602064.419</v>
      </c>
      <c r="I184" s="220">
        <f t="shared" si="74"/>
        <v>8602064.419</v>
      </c>
      <c r="J184" s="220">
        <f t="shared" si="74"/>
        <v>8602064.419</v>
      </c>
      <c r="K184" s="220">
        <f t="shared" si="74"/>
        <v>8602064.419</v>
      </c>
      <c r="L184" s="220">
        <f t="shared" si="74"/>
        <v>8602064.419</v>
      </c>
      <c r="M184" s="220">
        <f t="shared" si="74"/>
        <v>8602064.419</v>
      </c>
      <c r="N184" s="220">
        <f t="shared" si="74"/>
        <v>8602064.419</v>
      </c>
      <c r="O184" s="234">
        <f t="shared" si="74"/>
        <v>8602064.419</v>
      </c>
    </row>
    <row r="185">
      <c r="A185" s="218"/>
      <c r="B185" s="226" t="s">
        <v>84</v>
      </c>
      <c r="D185" s="253">
        <f t="shared" ref="D185:O185" si="75">D191+D197-D203</f>
        <v>0</v>
      </c>
      <c r="E185" s="253">
        <f t="shared" si="75"/>
        <v>32136.75214</v>
      </c>
      <c r="F185" s="253">
        <f t="shared" si="75"/>
        <v>333333.3333</v>
      </c>
      <c r="G185" s="253">
        <f t="shared" si="75"/>
        <v>0</v>
      </c>
      <c r="H185" s="253">
        <f t="shared" si="75"/>
        <v>0</v>
      </c>
      <c r="I185" s="253">
        <f t="shared" si="75"/>
        <v>0</v>
      </c>
      <c r="J185" s="253">
        <f t="shared" si="75"/>
        <v>0</v>
      </c>
      <c r="K185" s="253">
        <f t="shared" si="75"/>
        <v>0</v>
      </c>
      <c r="L185" s="253">
        <f t="shared" si="75"/>
        <v>0</v>
      </c>
      <c r="M185" s="253">
        <f t="shared" si="75"/>
        <v>0</v>
      </c>
      <c r="N185" s="253">
        <f t="shared" si="75"/>
        <v>0</v>
      </c>
      <c r="O185" s="254">
        <f t="shared" si="75"/>
        <v>0</v>
      </c>
    </row>
    <row r="186">
      <c r="A186" s="218"/>
      <c r="B186" s="217"/>
      <c r="D186" s="217"/>
    </row>
    <row r="187">
      <c r="A187" s="218"/>
      <c r="B187" s="298" t="s">
        <v>562</v>
      </c>
      <c r="C187" s="241"/>
      <c r="D187" s="217"/>
    </row>
    <row r="188">
      <c r="A188" s="218"/>
      <c r="B188" s="226" t="s">
        <v>50</v>
      </c>
      <c r="C188" s="252">
        <v>83.0</v>
      </c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99"/>
    </row>
    <row r="189">
      <c r="A189" s="218"/>
      <c r="B189" s="226" t="s">
        <v>51</v>
      </c>
      <c r="C189" s="217"/>
      <c r="D189" s="253">
        <f t="shared" ref="D189:O189" si="76">C190</f>
        <v>7857333.333</v>
      </c>
      <c r="E189" s="253">
        <f t="shared" si="76"/>
        <v>7857333.333</v>
      </c>
      <c r="F189" s="253">
        <f t="shared" si="76"/>
        <v>7857333.333</v>
      </c>
      <c r="G189" s="253">
        <f t="shared" si="76"/>
        <v>7857333.333</v>
      </c>
      <c r="H189" s="253">
        <f t="shared" si="76"/>
        <v>7857333.333</v>
      </c>
      <c r="I189" s="253">
        <f t="shared" si="76"/>
        <v>7857333.333</v>
      </c>
      <c r="J189" s="253">
        <f t="shared" si="76"/>
        <v>7857333.333</v>
      </c>
      <c r="K189" s="253">
        <f t="shared" si="76"/>
        <v>7857333.333</v>
      </c>
      <c r="L189" s="253">
        <f t="shared" si="76"/>
        <v>7857333.333</v>
      </c>
      <c r="M189" s="253">
        <f t="shared" si="76"/>
        <v>7857333.333</v>
      </c>
      <c r="N189" s="253">
        <f t="shared" si="76"/>
        <v>7857333.333</v>
      </c>
      <c r="O189" s="254">
        <f t="shared" si="76"/>
        <v>7857333.333</v>
      </c>
    </row>
    <row r="190">
      <c r="A190" s="218"/>
      <c r="B190" s="226" t="s">
        <v>52</v>
      </c>
      <c r="C190" s="252">
        <f>-D71*$C$188/30</f>
        <v>7857333.333</v>
      </c>
      <c r="D190" s="253">
        <f t="shared" ref="D190:O190" si="77">$C$190</f>
        <v>7857333.333</v>
      </c>
      <c r="E190" s="253">
        <f t="shared" si="77"/>
        <v>7857333.333</v>
      </c>
      <c r="F190" s="253">
        <f t="shared" si="77"/>
        <v>7857333.333</v>
      </c>
      <c r="G190" s="253">
        <f t="shared" si="77"/>
        <v>7857333.333</v>
      </c>
      <c r="H190" s="253">
        <f t="shared" si="77"/>
        <v>7857333.333</v>
      </c>
      <c r="I190" s="253">
        <f t="shared" si="77"/>
        <v>7857333.333</v>
      </c>
      <c r="J190" s="253">
        <f t="shared" si="77"/>
        <v>7857333.333</v>
      </c>
      <c r="K190" s="253">
        <f t="shared" si="77"/>
        <v>7857333.333</v>
      </c>
      <c r="L190" s="253">
        <f t="shared" si="77"/>
        <v>7857333.333</v>
      </c>
      <c r="M190" s="253">
        <f t="shared" si="77"/>
        <v>7857333.333</v>
      </c>
      <c r="N190" s="253">
        <f t="shared" si="77"/>
        <v>7857333.333</v>
      </c>
      <c r="O190" s="254">
        <f t="shared" si="77"/>
        <v>7857333.333</v>
      </c>
    </row>
    <row r="191">
      <c r="A191" s="218"/>
      <c r="B191" s="226" t="s">
        <v>53</v>
      </c>
      <c r="D191" s="253">
        <f t="shared" ref="D191:O191" si="78">D190-D189</f>
        <v>0</v>
      </c>
      <c r="E191" s="253">
        <f t="shared" si="78"/>
        <v>0</v>
      </c>
      <c r="F191" s="253">
        <f t="shared" si="78"/>
        <v>0</v>
      </c>
      <c r="G191" s="253">
        <f t="shared" si="78"/>
        <v>0</v>
      </c>
      <c r="H191" s="253">
        <f t="shared" si="78"/>
        <v>0</v>
      </c>
      <c r="I191" s="253">
        <f t="shared" si="78"/>
        <v>0</v>
      </c>
      <c r="J191" s="253">
        <f t="shared" si="78"/>
        <v>0</v>
      </c>
      <c r="K191" s="253">
        <f t="shared" si="78"/>
        <v>0</v>
      </c>
      <c r="L191" s="253">
        <f t="shared" si="78"/>
        <v>0</v>
      </c>
      <c r="M191" s="253">
        <f t="shared" si="78"/>
        <v>0</v>
      </c>
      <c r="N191" s="253">
        <f t="shared" si="78"/>
        <v>0</v>
      </c>
      <c r="O191" s="254">
        <f t="shared" si="78"/>
        <v>0</v>
      </c>
    </row>
    <row r="192">
      <c r="A192" s="218"/>
      <c r="B192" s="217"/>
      <c r="C192" s="217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44"/>
    </row>
    <row r="193">
      <c r="A193" s="218"/>
      <c r="B193" s="300" t="s">
        <v>563</v>
      </c>
      <c r="D193" s="301" t="s">
        <v>564</v>
      </c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44"/>
    </row>
    <row r="194">
      <c r="A194" s="218"/>
      <c r="B194" s="226" t="s">
        <v>103</v>
      </c>
      <c r="C194" s="252">
        <v>5.0</v>
      </c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44"/>
    </row>
    <row r="195">
      <c r="A195" s="218"/>
      <c r="B195" s="226" t="s">
        <v>104</v>
      </c>
      <c r="C195" s="217"/>
      <c r="D195" s="253">
        <f t="shared" ref="D195:O195" si="79">C196</f>
        <v>1325000</v>
      </c>
      <c r="E195" s="253">
        <f t="shared" si="79"/>
        <v>1325000</v>
      </c>
      <c r="F195" s="253">
        <f t="shared" si="79"/>
        <v>1357136.752</v>
      </c>
      <c r="G195" s="253">
        <f t="shared" si="79"/>
        <v>1690470.085</v>
      </c>
      <c r="H195" s="253">
        <f t="shared" si="79"/>
        <v>1690470.085</v>
      </c>
      <c r="I195" s="253">
        <f t="shared" si="79"/>
        <v>1690470.085</v>
      </c>
      <c r="J195" s="253">
        <f t="shared" si="79"/>
        <v>1690470.085</v>
      </c>
      <c r="K195" s="253">
        <f t="shared" si="79"/>
        <v>1690470.085</v>
      </c>
      <c r="L195" s="253">
        <f t="shared" si="79"/>
        <v>1690470.085</v>
      </c>
      <c r="M195" s="253">
        <f t="shared" si="79"/>
        <v>1690470.085</v>
      </c>
      <c r="N195" s="253">
        <f t="shared" si="79"/>
        <v>1690470.085</v>
      </c>
      <c r="O195" s="254">
        <f t="shared" si="79"/>
        <v>1690470.085</v>
      </c>
    </row>
    <row r="196">
      <c r="A196" s="218"/>
      <c r="B196" s="226" t="s">
        <v>105</v>
      </c>
      <c r="C196" s="252">
        <f>D16*$C$194/30</f>
        <v>1325000</v>
      </c>
      <c r="D196" s="253">
        <f t="shared" ref="D196:O196" si="80">D16*$C$194/30</f>
        <v>1325000</v>
      </c>
      <c r="E196" s="253">
        <f t="shared" si="80"/>
        <v>1357136.752</v>
      </c>
      <c r="F196" s="253">
        <f t="shared" si="80"/>
        <v>1690470.085</v>
      </c>
      <c r="G196" s="253">
        <f t="shared" si="80"/>
        <v>1690470.085</v>
      </c>
      <c r="H196" s="253">
        <f t="shared" si="80"/>
        <v>1690470.085</v>
      </c>
      <c r="I196" s="253">
        <f t="shared" si="80"/>
        <v>1690470.085</v>
      </c>
      <c r="J196" s="253">
        <f t="shared" si="80"/>
        <v>1690470.085</v>
      </c>
      <c r="K196" s="253">
        <f t="shared" si="80"/>
        <v>1690470.085</v>
      </c>
      <c r="L196" s="253">
        <f t="shared" si="80"/>
        <v>1690470.085</v>
      </c>
      <c r="M196" s="253">
        <f t="shared" si="80"/>
        <v>1690470.085</v>
      </c>
      <c r="N196" s="253">
        <f t="shared" si="80"/>
        <v>1690470.085</v>
      </c>
      <c r="O196" s="254">
        <f t="shared" si="80"/>
        <v>1690470.085</v>
      </c>
    </row>
    <row r="197">
      <c r="A197" s="218"/>
      <c r="B197" s="226" t="s">
        <v>106</v>
      </c>
      <c r="D197" s="253">
        <f t="shared" ref="D197:O197" si="81">D196-D195</f>
        <v>0</v>
      </c>
      <c r="E197" s="253">
        <f t="shared" si="81"/>
        <v>32136.75214</v>
      </c>
      <c r="F197" s="253">
        <f t="shared" si="81"/>
        <v>333333.3333</v>
      </c>
      <c r="G197" s="253">
        <f t="shared" si="81"/>
        <v>0</v>
      </c>
      <c r="H197" s="253">
        <f t="shared" si="81"/>
        <v>0</v>
      </c>
      <c r="I197" s="253">
        <f t="shared" si="81"/>
        <v>0</v>
      </c>
      <c r="J197" s="253">
        <f t="shared" si="81"/>
        <v>0</v>
      </c>
      <c r="K197" s="253">
        <f t="shared" si="81"/>
        <v>0</v>
      </c>
      <c r="L197" s="253">
        <f t="shared" si="81"/>
        <v>0</v>
      </c>
      <c r="M197" s="253">
        <f t="shared" si="81"/>
        <v>0</v>
      </c>
      <c r="N197" s="253">
        <f t="shared" si="81"/>
        <v>0</v>
      </c>
      <c r="O197" s="254">
        <f t="shared" si="81"/>
        <v>0</v>
      </c>
    </row>
    <row r="198">
      <c r="A198" s="218"/>
      <c r="B198" s="217"/>
      <c r="D198" s="217"/>
    </row>
    <row r="199">
      <c r="A199" s="218"/>
      <c r="B199" s="300" t="s">
        <v>54</v>
      </c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44"/>
    </row>
    <row r="200">
      <c r="A200" s="218"/>
      <c r="B200" s="226" t="s">
        <v>55</v>
      </c>
      <c r="C200" s="252">
        <v>19.0</v>
      </c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44"/>
    </row>
    <row r="201">
      <c r="A201" s="218"/>
      <c r="B201" s="226" t="s">
        <v>56</v>
      </c>
      <c r="C201" s="217"/>
      <c r="D201" s="253">
        <f t="shared" ref="D201:O201" si="82">C202</f>
        <v>945739</v>
      </c>
      <c r="E201" s="253">
        <f t="shared" si="82"/>
        <v>945739</v>
      </c>
      <c r="F201" s="253">
        <f t="shared" si="82"/>
        <v>945739</v>
      </c>
      <c r="G201" s="253">
        <f t="shared" si="82"/>
        <v>945739</v>
      </c>
      <c r="H201" s="253">
        <f t="shared" si="82"/>
        <v>945739</v>
      </c>
      <c r="I201" s="253">
        <f t="shared" si="82"/>
        <v>945739</v>
      </c>
      <c r="J201" s="253">
        <f t="shared" si="82"/>
        <v>945739</v>
      </c>
      <c r="K201" s="253">
        <f t="shared" si="82"/>
        <v>945739</v>
      </c>
      <c r="L201" s="253">
        <f t="shared" si="82"/>
        <v>945739</v>
      </c>
      <c r="M201" s="253">
        <f t="shared" si="82"/>
        <v>945739</v>
      </c>
      <c r="N201" s="253">
        <f t="shared" si="82"/>
        <v>945739</v>
      </c>
      <c r="O201" s="254">
        <f t="shared" si="82"/>
        <v>945739</v>
      </c>
    </row>
    <row r="202">
      <c r="A202" s="218"/>
      <c r="B202" s="226" t="s">
        <v>57</v>
      </c>
      <c r="C202" s="252">
        <v>945739.0</v>
      </c>
      <c r="D202" s="253">
        <f t="shared" ref="D202:O202" si="83">C202</f>
        <v>945739</v>
      </c>
      <c r="E202" s="253">
        <f t="shared" si="83"/>
        <v>945739</v>
      </c>
      <c r="F202" s="253">
        <f t="shared" si="83"/>
        <v>945739</v>
      </c>
      <c r="G202" s="253">
        <f t="shared" si="83"/>
        <v>945739</v>
      </c>
      <c r="H202" s="253">
        <f t="shared" si="83"/>
        <v>945739</v>
      </c>
      <c r="I202" s="253">
        <f t="shared" si="83"/>
        <v>945739</v>
      </c>
      <c r="J202" s="253">
        <f t="shared" si="83"/>
        <v>945739</v>
      </c>
      <c r="K202" s="253">
        <f t="shared" si="83"/>
        <v>945739</v>
      </c>
      <c r="L202" s="253">
        <f t="shared" si="83"/>
        <v>945739</v>
      </c>
      <c r="M202" s="253">
        <f t="shared" si="83"/>
        <v>945739</v>
      </c>
      <c r="N202" s="253">
        <f t="shared" si="83"/>
        <v>945739</v>
      </c>
      <c r="O202" s="254">
        <f t="shared" si="83"/>
        <v>945739</v>
      </c>
    </row>
    <row r="203">
      <c r="A203" s="218"/>
      <c r="B203" s="226" t="s">
        <v>58</v>
      </c>
      <c r="D203" s="253">
        <f t="shared" ref="D203:O203" si="84">D202-D201</f>
        <v>0</v>
      </c>
      <c r="E203" s="253">
        <f t="shared" si="84"/>
        <v>0</v>
      </c>
      <c r="F203" s="253">
        <f t="shared" si="84"/>
        <v>0</v>
      </c>
      <c r="G203" s="253">
        <f t="shared" si="84"/>
        <v>0</v>
      </c>
      <c r="H203" s="253">
        <f t="shared" si="84"/>
        <v>0</v>
      </c>
      <c r="I203" s="253">
        <f t="shared" si="84"/>
        <v>0</v>
      </c>
      <c r="J203" s="253">
        <f t="shared" si="84"/>
        <v>0</v>
      </c>
      <c r="K203" s="253">
        <f t="shared" si="84"/>
        <v>0</v>
      </c>
      <c r="L203" s="253">
        <f t="shared" si="84"/>
        <v>0</v>
      </c>
      <c r="M203" s="253">
        <f t="shared" si="84"/>
        <v>0</v>
      </c>
      <c r="N203" s="253">
        <f t="shared" si="84"/>
        <v>0</v>
      </c>
      <c r="O203" s="254">
        <f t="shared" si="84"/>
        <v>0</v>
      </c>
    </row>
    <row r="204">
      <c r="A204" s="235"/>
      <c r="B204" s="228"/>
      <c r="C204" s="217"/>
      <c r="D204" s="217"/>
      <c r="E204" s="217"/>
      <c r="F204" s="217"/>
      <c r="G204" s="217"/>
      <c r="H204" s="217"/>
      <c r="I204" s="217"/>
      <c r="J204" s="217"/>
      <c r="K204" s="217"/>
      <c r="L204" s="217"/>
      <c r="M204" s="217"/>
      <c r="N204" s="217"/>
      <c r="O204" s="244"/>
    </row>
    <row r="205">
      <c r="A205" s="218"/>
      <c r="B205" s="232" t="s">
        <v>59</v>
      </c>
      <c r="C205" s="233"/>
      <c r="D205" s="233"/>
      <c r="E205" s="233"/>
      <c r="F205" s="233"/>
      <c r="G205" s="233"/>
      <c r="H205" s="233"/>
      <c r="I205" s="233"/>
      <c r="J205" s="233"/>
      <c r="K205" s="233"/>
      <c r="L205" s="233"/>
      <c r="M205" s="233"/>
      <c r="N205" s="233"/>
      <c r="O205" s="279"/>
    </row>
    <row r="206">
      <c r="A206" s="165"/>
      <c r="B206" s="215"/>
      <c r="C206" s="215"/>
      <c r="D206" s="215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90"/>
    </row>
    <row r="207">
      <c r="A207" s="218"/>
      <c r="B207" s="219" t="s">
        <v>265</v>
      </c>
      <c r="D207" s="231">
        <f t="shared" ref="D207:O207" si="85">C212</f>
        <v>1900000</v>
      </c>
      <c r="E207" s="231">
        <f t="shared" si="85"/>
        <v>3819483.896</v>
      </c>
      <c r="F207" s="231">
        <f t="shared" si="85"/>
        <v>4497857.989</v>
      </c>
      <c r="G207" s="231">
        <f t="shared" si="85"/>
        <v>5262035.502</v>
      </c>
      <c r="H207" s="231">
        <f t="shared" si="85"/>
        <v>6359546.347</v>
      </c>
      <c r="I207" s="231">
        <f t="shared" si="85"/>
        <v>7457057.193</v>
      </c>
      <c r="J207" s="231">
        <f t="shared" si="85"/>
        <v>8554568.039</v>
      </c>
      <c r="K207" s="231">
        <f t="shared" si="85"/>
        <v>9652078.884</v>
      </c>
      <c r="L207" s="231">
        <f t="shared" si="85"/>
        <v>10749589.73</v>
      </c>
      <c r="M207" s="231">
        <f t="shared" si="85"/>
        <v>11847100.58</v>
      </c>
      <c r="N207" s="231">
        <f t="shared" si="85"/>
        <v>12944611.42</v>
      </c>
      <c r="O207" s="302">
        <f t="shared" si="85"/>
        <v>14042122.27</v>
      </c>
    </row>
    <row r="208">
      <c r="A208" s="218"/>
      <c r="B208" s="226" t="s">
        <v>61</v>
      </c>
      <c r="D208" s="253">
        <f t="shared" ref="D208:O208" si="86">D130+D133+D134-D185</f>
        <v>2359890.87</v>
      </c>
      <c r="E208" s="253">
        <f t="shared" si="86"/>
        <v>2494088.733</v>
      </c>
      <c r="F208" s="253">
        <f t="shared" si="86"/>
        <v>3482892.152</v>
      </c>
      <c r="G208" s="253">
        <f t="shared" si="86"/>
        <v>3816225.485</v>
      </c>
      <c r="H208" s="253">
        <f t="shared" si="86"/>
        <v>3816225.485</v>
      </c>
      <c r="I208" s="253">
        <f t="shared" si="86"/>
        <v>3816225.485</v>
      </c>
      <c r="J208" s="253">
        <f t="shared" si="86"/>
        <v>3816225.485</v>
      </c>
      <c r="K208" s="253">
        <f t="shared" si="86"/>
        <v>3816225.485</v>
      </c>
      <c r="L208" s="253">
        <f t="shared" si="86"/>
        <v>3816225.485</v>
      </c>
      <c r="M208" s="253">
        <f t="shared" si="86"/>
        <v>3816225.485</v>
      </c>
      <c r="N208" s="253">
        <f t="shared" si="86"/>
        <v>3816225.485</v>
      </c>
      <c r="O208" s="254">
        <f t="shared" si="86"/>
        <v>3816225.485</v>
      </c>
    </row>
    <row r="209">
      <c r="A209" s="218"/>
      <c r="B209" s="226" t="s">
        <v>63</v>
      </c>
      <c r="D209" s="253">
        <f t="shared" ref="D209:O209" si="87">D162</f>
        <v>-440406.974</v>
      </c>
      <c r="E209" s="253">
        <f t="shared" si="87"/>
        <v>-473673.8971</v>
      </c>
      <c r="F209" s="253">
        <f t="shared" si="87"/>
        <v>-731673.8971</v>
      </c>
      <c r="G209" s="253">
        <f t="shared" si="87"/>
        <v>-731673.8971</v>
      </c>
      <c r="H209" s="253">
        <f t="shared" si="87"/>
        <v>-731673.8971</v>
      </c>
      <c r="I209" s="253">
        <f t="shared" si="87"/>
        <v>-731673.8971</v>
      </c>
      <c r="J209" s="253">
        <f t="shared" si="87"/>
        <v>-731673.8971</v>
      </c>
      <c r="K209" s="253">
        <f t="shared" si="87"/>
        <v>-731673.8971</v>
      </c>
      <c r="L209" s="253">
        <f t="shared" si="87"/>
        <v>-731673.8971</v>
      </c>
      <c r="M209" s="253">
        <f t="shared" si="87"/>
        <v>-731673.8971</v>
      </c>
      <c r="N209" s="253">
        <f t="shared" si="87"/>
        <v>-731673.8971</v>
      </c>
      <c r="O209" s="254">
        <f t="shared" si="87"/>
        <v>-731673.8971</v>
      </c>
    </row>
    <row r="210">
      <c r="A210" s="218"/>
      <c r="B210" s="226" t="s">
        <v>62</v>
      </c>
      <c r="D210" s="253">
        <f t="shared" ref="D210:O210" si="88">D169</f>
        <v>0</v>
      </c>
      <c r="E210" s="253">
        <f t="shared" si="88"/>
        <v>-1342040.743</v>
      </c>
      <c r="F210" s="253">
        <f t="shared" si="88"/>
        <v>-1987040.743</v>
      </c>
      <c r="G210" s="253">
        <f t="shared" si="88"/>
        <v>-1987040.743</v>
      </c>
      <c r="H210" s="253">
        <f t="shared" si="88"/>
        <v>-1987040.743</v>
      </c>
      <c r="I210" s="253">
        <f t="shared" si="88"/>
        <v>-1987040.743</v>
      </c>
      <c r="J210" s="253">
        <f t="shared" si="88"/>
        <v>-1987040.743</v>
      </c>
      <c r="K210" s="253">
        <f t="shared" si="88"/>
        <v>-1987040.743</v>
      </c>
      <c r="L210" s="253">
        <f t="shared" si="88"/>
        <v>-1987040.743</v>
      </c>
      <c r="M210" s="253">
        <f t="shared" si="88"/>
        <v>-1987040.743</v>
      </c>
      <c r="N210" s="253">
        <f t="shared" si="88"/>
        <v>-1987040.743</v>
      </c>
      <c r="O210" s="254">
        <f t="shared" si="88"/>
        <v>-1987040.743</v>
      </c>
    </row>
    <row r="211">
      <c r="A211" s="218"/>
      <c r="B211" s="226" t="s">
        <v>266</v>
      </c>
      <c r="D211" s="253">
        <f t="shared" ref="D211:O211" si="89">SUM(D208:D210)</f>
        <v>1919483.896</v>
      </c>
      <c r="E211" s="253">
        <f t="shared" si="89"/>
        <v>678374.0935</v>
      </c>
      <c r="F211" s="253">
        <f t="shared" si="89"/>
        <v>764177.5123</v>
      </c>
      <c r="G211" s="253">
        <f t="shared" si="89"/>
        <v>1097510.846</v>
      </c>
      <c r="H211" s="253">
        <f t="shared" si="89"/>
        <v>1097510.846</v>
      </c>
      <c r="I211" s="253">
        <f t="shared" si="89"/>
        <v>1097510.846</v>
      </c>
      <c r="J211" s="253">
        <f t="shared" si="89"/>
        <v>1097510.846</v>
      </c>
      <c r="K211" s="253">
        <f t="shared" si="89"/>
        <v>1097510.846</v>
      </c>
      <c r="L211" s="253">
        <f t="shared" si="89"/>
        <v>1097510.846</v>
      </c>
      <c r="M211" s="253">
        <f t="shared" si="89"/>
        <v>1097510.846</v>
      </c>
      <c r="N211" s="253">
        <f t="shared" si="89"/>
        <v>1097510.846</v>
      </c>
      <c r="O211" s="254">
        <f t="shared" si="89"/>
        <v>1097510.846</v>
      </c>
    </row>
    <row r="212">
      <c r="A212" s="218"/>
      <c r="B212" s="219" t="s">
        <v>195</v>
      </c>
      <c r="C212" s="252">
        <v>1900000.0</v>
      </c>
      <c r="D212" s="231">
        <f t="shared" ref="D212:O212" si="90">D207+D211</f>
        <v>3819483.896</v>
      </c>
      <c r="E212" s="231">
        <f t="shared" si="90"/>
        <v>4497857.989</v>
      </c>
      <c r="F212" s="231">
        <f t="shared" si="90"/>
        <v>5262035.502</v>
      </c>
      <c r="G212" s="231">
        <f t="shared" si="90"/>
        <v>6359546.347</v>
      </c>
      <c r="H212" s="231">
        <f t="shared" si="90"/>
        <v>7457057.193</v>
      </c>
      <c r="I212" s="231">
        <f t="shared" si="90"/>
        <v>8554568.039</v>
      </c>
      <c r="J212" s="231">
        <f t="shared" si="90"/>
        <v>9652078.884</v>
      </c>
      <c r="K212" s="231">
        <f t="shared" si="90"/>
        <v>10749589.73</v>
      </c>
      <c r="L212" s="231">
        <f t="shared" si="90"/>
        <v>11847100.58</v>
      </c>
      <c r="M212" s="231">
        <f t="shared" si="90"/>
        <v>12944611.42</v>
      </c>
      <c r="N212" s="231">
        <f t="shared" si="90"/>
        <v>14042122.27</v>
      </c>
      <c r="O212" s="302">
        <f t="shared" si="90"/>
        <v>15139633.11</v>
      </c>
    </row>
    <row r="213">
      <c r="A213" s="229"/>
      <c r="B213" s="217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99"/>
    </row>
    <row r="214">
      <c r="A214" s="218"/>
      <c r="B214" s="232" t="s">
        <v>447</v>
      </c>
      <c r="C214" s="220">
        <f t="shared" ref="C214:O214" si="91">C216-C222</f>
        <v>0</v>
      </c>
      <c r="D214" s="220">
        <f t="shared" si="91"/>
        <v>0</v>
      </c>
      <c r="E214" s="220">
        <f t="shared" si="91"/>
        <v>0</v>
      </c>
      <c r="F214" s="220">
        <f t="shared" si="91"/>
        <v>0</v>
      </c>
      <c r="G214" s="220">
        <f t="shared" si="91"/>
        <v>0</v>
      </c>
      <c r="H214" s="220">
        <f t="shared" si="91"/>
        <v>0</v>
      </c>
      <c r="I214" s="220">
        <f t="shared" si="91"/>
        <v>-0.000000003725290298</v>
      </c>
      <c r="J214" s="220">
        <f t="shared" si="91"/>
        <v>-0.9999999963</v>
      </c>
      <c r="K214" s="220">
        <f t="shared" si="91"/>
        <v>-0.9999999925</v>
      </c>
      <c r="L214" s="220">
        <f t="shared" si="91"/>
        <v>-0.9999999888</v>
      </c>
      <c r="M214" s="220">
        <f t="shared" si="91"/>
        <v>-0.9999999925</v>
      </c>
      <c r="N214" s="220">
        <f t="shared" si="91"/>
        <v>-0.9999999851</v>
      </c>
      <c r="O214" s="234">
        <f t="shared" si="91"/>
        <v>-0.9999999851</v>
      </c>
    </row>
    <row r="215">
      <c r="A215" s="165"/>
      <c r="B215" s="215"/>
      <c r="C215" s="215"/>
      <c r="D215" s="215"/>
      <c r="E215" s="215"/>
      <c r="F215" s="215"/>
      <c r="G215" s="215"/>
      <c r="H215" s="215"/>
      <c r="I215" s="215"/>
      <c r="J215" s="215"/>
      <c r="K215" s="215"/>
      <c r="L215" s="215"/>
      <c r="M215" s="215"/>
      <c r="N215" s="215"/>
      <c r="O215" s="290"/>
    </row>
    <row r="216">
      <c r="A216" s="218"/>
      <c r="B216" s="237" t="s">
        <v>268</v>
      </c>
      <c r="C216" s="239">
        <f t="shared" ref="C216:O216" si="92">SUM(C217:C220)</f>
        <v>0</v>
      </c>
      <c r="D216" s="239">
        <f t="shared" si="92"/>
        <v>22664927.23</v>
      </c>
      <c r="E216" s="239">
        <f t="shared" si="92"/>
        <v>23217582.07</v>
      </c>
      <c r="F216" s="239">
        <f t="shared" si="92"/>
        <v>24157236.92</v>
      </c>
      <c r="G216" s="239">
        <f t="shared" si="92"/>
        <v>25096891.77</v>
      </c>
      <c r="H216" s="239">
        <f t="shared" si="92"/>
        <v>26036546.61</v>
      </c>
      <c r="I216" s="239">
        <f t="shared" si="92"/>
        <v>26976201.46</v>
      </c>
      <c r="J216" s="239">
        <f t="shared" si="92"/>
        <v>27915855.3</v>
      </c>
      <c r="K216" s="239">
        <f t="shared" si="92"/>
        <v>28855510.15</v>
      </c>
      <c r="L216" s="239">
        <f t="shared" si="92"/>
        <v>29795164.99</v>
      </c>
      <c r="M216" s="239">
        <f t="shared" si="92"/>
        <v>30734819.84</v>
      </c>
      <c r="N216" s="239">
        <f t="shared" si="92"/>
        <v>31674474.69</v>
      </c>
      <c r="O216" s="256">
        <f t="shared" si="92"/>
        <v>32614129.53</v>
      </c>
    </row>
    <row r="217">
      <c r="A217" s="218"/>
      <c r="B217" s="303" t="s">
        <v>565</v>
      </c>
      <c r="C217" s="228"/>
      <c r="D217" s="304">
        <f t="shared" ref="D217:O217" si="93">D178+D181</f>
        <v>9663110</v>
      </c>
      <c r="E217" s="304">
        <f t="shared" si="93"/>
        <v>9505254</v>
      </c>
      <c r="F217" s="304">
        <f t="shared" si="93"/>
        <v>9347398</v>
      </c>
      <c r="G217" s="304">
        <f t="shared" si="93"/>
        <v>9189542</v>
      </c>
      <c r="H217" s="304">
        <f t="shared" si="93"/>
        <v>9031686</v>
      </c>
      <c r="I217" s="304">
        <f t="shared" si="93"/>
        <v>8873830</v>
      </c>
      <c r="J217" s="304">
        <f t="shared" si="93"/>
        <v>8715973</v>
      </c>
      <c r="K217" s="304">
        <f t="shared" si="93"/>
        <v>8558117</v>
      </c>
      <c r="L217" s="304">
        <f t="shared" si="93"/>
        <v>8400261</v>
      </c>
      <c r="M217" s="304">
        <f t="shared" si="93"/>
        <v>8242405</v>
      </c>
      <c r="N217" s="304">
        <f t="shared" si="93"/>
        <v>8084549</v>
      </c>
      <c r="O217" s="305">
        <f t="shared" si="93"/>
        <v>7926693</v>
      </c>
    </row>
    <row r="218">
      <c r="A218" s="218"/>
      <c r="B218" s="306" t="s">
        <v>191</v>
      </c>
      <c r="C218" s="228"/>
      <c r="D218" s="304">
        <f t="shared" ref="D218:O218" si="94">D212</f>
        <v>3819483.896</v>
      </c>
      <c r="E218" s="304">
        <f t="shared" si="94"/>
        <v>4497857.989</v>
      </c>
      <c r="F218" s="304">
        <f t="shared" si="94"/>
        <v>5262035.502</v>
      </c>
      <c r="G218" s="304">
        <f t="shared" si="94"/>
        <v>6359546.347</v>
      </c>
      <c r="H218" s="304">
        <f t="shared" si="94"/>
        <v>7457057.193</v>
      </c>
      <c r="I218" s="304">
        <f t="shared" si="94"/>
        <v>8554568.039</v>
      </c>
      <c r="J218" s="304">
        <f t="shared" si="94"/>
        <v>9652078.884</v>
      </c>
      <c r="K218" s="304">
        <f t="shared" si="94"/>
        <v>10749589.73</v>
      </c>
      <c r="L218" s="304">
        <f t="shared" si="94"/>
        <v>11847100.58</v>
      </c>
      <c r="M218" s="304">
        <f t="shared" si="94"/>
        <v>12944611.42</v>
      </c>
      <c r="N218" s="304">
        <f t="shared" si="94"/>
        <v>14042122.27</v>
      </c>
      <c r="O218" s="305">
        <f t="shared" si="94"/>
        <v>15139633.11</v>
      </c>
    </row>
    <row r="219">
      <c r="A219" s="218"/>
      <c r="B219" s="306" t="s">
        <v>49</v>
      </c>
      <c r="C219" s="228"/>
      <c r="D219" s="304">
        <f t="shared" ref="D219:O219" si="95">D190</f>
        <v>7857333.333</v>
      </c>
      <c r="E219" s="304">
        <f t="shared" si="95"/>
        <v>7857333.333</v>
      </c>
      <c r="F219" s="304">
        <f t="shared" si="95"/>
        <v>7857333.333</v>
      </c>
      <c r="G219" s="304">
        <f t="shared" si="95"/>
        <v>7857333.333</v>
      </c>
      <c r="H219" s="304">
        <f t="shared" si="95"/>
        <v>7857333.333</v>
      </c>
      <c r="I219" s="304">
        <f t="shared" si="95"/>
        <v>7857333.333</v>
      </c>
      <c r="J219" s="304">
        <f t="shared" si="95"/>
        <v>7857333.333</v>
      </c>
      <c r="K219" s="304">
        <f t="shared" si="95"/>
        <v>7857333.333</v>
      </c>
      <c r="L219" s="304">
        <f t="shared" si="95"/>
        <v>7857333.333</v>
      </c>
      <c r="M219" s="304">
        <f t="shared" si="95"/>
        <v>7857333.333</v>
      </c>
      <c r="N219" s="304">
        <f t="shared" si="95"/>
        <v>7857333.333</v>
      </c>
      <c r="O219" s="305">
        <f t="shared" si="95"/>
        <v>7857333.333</v>
      </c>
    </row>
    <row r="220">
      <c r="A220" s="218"/>
      <c r="B220" s="303" t="s">
        <v>102</v>
      </c>
      <c r="C220" s="228"/>
      <c r="D220" s="304">
        <f t="shared" ref="D220:O220" si="96">D196</f>
        <v>1325000</v>
      </c>
      <c r="E220" s="304">
        <f t="shared" si="96"/>
        <v>1357136.752</v>
      </c>
      <c r="F220" s="304">
        <f t="shared" si="96"/>
        <v>1690470.085</v>
      </c>
      <c r="G220" s="304">
        <f t="shared" si="96"/>
        <v>1690470.085</v>
      </c>
      <c r="H220" s="304">
        <f t="shared" si="96"/>
        <v>1690470.085</v>
      </c>
      <c r="I220" s="304">
        <f t="shared" si="96"/>
        <v>1690470.085</v>
      </c>
      <c r="J220" s="304">
        <f t="shared" si="96"/>
        <v>1690470.085</v>
      </c>
      <c r="K220" s="304">
        <f t="shared" si="96"/>
        <v>1690470.085</v>
      </c>
      <c r="L220" s="304">
        <f t="shared" si="96"/>
        <v>1690470.085</v>
      </c>
      <c r="M220" s="304">
        <f t="shared" si="96"/>
        <v>1690470.085</v>
      </c>
      <c r="N220" s="304">
        <f t="shared" si="96"/>
        <v>1690470.085</v>
      </c>
      <c r="O220" s="305">
        <f t="shared" si="96"/>
        <v>1690470.085</v>
      </c>
    </row>
    <row r="221">
      <c r="A221" s="307"/>
      <c r="B221" s="215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99"/>
    </row>
    <row r="222">
      <c r="A222" s="218"/>
      <c r="B222" s="237" t="s">
        <v>270</v>
      </c>
      <c r="C222" s="239">
        <f t="shared" ref="C222:O222" si="97">C224+C230</f>
        <v>0</v>
      </c>
      <c r="D222" s="239">
        <f t="shared" si="97"/>
        <v>22664927.23</v>
      </c>
      <c r="E222" s="239">
        <f t="shared" si="97"/>
        <v>23217582.07</v>
      </c>
      <c r="F222" s="239">
        <f t="shared" si="97"/>
        <v>24157236.92</v>
      </c>
      <c r="G222" s="239">
        <f t="shared" si="97"/>
        <v>25096891.77</v>
      </c>
      <c r="H222" s="239">
        <f t="shared" si="97"/>
        <v>26036546.61</v>
      </c>
      <c r="I222" s="239">
        <f t="shared" si="97"/>
        <v>26976201.46</v>
      </c>
      <c r="J222" s="239">
        <f t="shared" si="97"/>
        <v>27915856.3</v>
      </c>
      <c r="K222" s="239">
        <f t="shared" si="97"/>
        <v>28855511.15</v>
      </c>
      <c r="L222" s="239">
        <f t="shared" si="97"/>
        <v>29795165.99</v>
      </c>
      <c r="M222" s="239">
        <f t="shared" si="97"/>
        <v>30734820.84</v>
      </c>
      <c r="N222" s="239">
        <f t="shared" si="97"/>
        <v>31674475.69</v>
      </c>
      <c r="O222" s="256">
        <f t="shared" si="97"/>
        <v>32614130.53</v>
      </c>
    </row>
    <row r="223">
      <c r="A223" s="218"/>
      <c r="B223" s="215"/>
      <c r="C223" s="217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44"/>
    </row>
    <row r="224">
      <c r="A224" s="235"/>
      <c r="B224" s="308" t="s">
        <v>271</v>
      </c>
      <c r="C224" s="309">
        <f>SUM(C225:C227)</f>
        <v>0</v>
      </c>
      <c r="D224" s="309">
        <f t="shared" ref="D224:O224" si="98">SUM(D225:D226)</f>
        <v>21719188.23</v>
      </c>
      <c r="E224" s="309">
        <f t="shared" si="98"/>
        <v>22271843.07</v>
      </c>
      <c r="F224" s="309">
        <f t="shared" si="98"/>
        <v>23211497.92</v>
      </c>
      <c r="G224" s="309">
        <f t="shared" si="98"/>
        <v>24151152.77</v>
      </c>
      <c r="H224" s="309">
        <f t="shared" si="98"/>
        <v>25090807.61</v>
      </c>
      <c r="I224" s="309">
        <f t="shared" si="98"/>
        <v>26030462.46</v>
      </c>
      <c r="J224" s="309">
        <f t="shared" si="98"/>
        <v>26970117.3</v>
      </c>
      <c r="K224" s="309">
        <f t="shared" si="98"/>
        <v>27909772.15</v>
      </c>
      <c r="L224" s="309">
        <f t="shared" si="98"/>
        <v>28849426.99</v>
      </c>
      <c r="M224" s="309">
        <f t="shared" si="98"/>
        <v>29789081.84</v>
      </c>
      <c r="N224" s="309">
        <f t="shared" si="98"/>
        <v>30728736.69</v>
      </c>
      <c r="O224" s="310">
        <f t="shared" si="98"/>
        <v>31668391.53</v>
      </c>
    </row>
    <row r="225">
      <c r="A225" s="235"/>
      <c r="B225" s="306" t="s">
        <v>272</v>
      </c>
      <c r="C225" s="228"/>
      <c r="D225" s="311">
        <f>D216-D226-D230</f>
        <v>19957560.33</v>
      </c>
      <c r="E225" s="304">
        <f t="shared" ref="E225:O225" si="99">D225</f>
        <v>19957560.33</v>
      </c>
      <c r="F225" s="304">
        <f t="shared" si="99"/>
        <v>19957560.33</v>
      </c>
      <c r="G225" s="304">
        <f t="shared" si="99"/>
        <v>19957560.33</v>
      </c>
      <c r="H225" s="304">
        <f t="shared" si="99"/>
        <v>19957560.33</v>
      </c>
      <c r="I225" s="304">
        <f t="shared" si="99"/>
        <v>19957560.33</v>
      </c>
      <c r="J225" s="304">
        <f t="shared" si="99"/>
        <v>19957560.33</v>
      </c>
      <c r="K225" s="304">
        <f t="shared" si="99"/>
        <v>19957560.33</v>
      </c>
      <c r="L225" s="304">
        <f t="shared" si="99"/>
        <v>19957560.33</v>
      </c>
      <c r="M225" s="304">
        <f t="shared" si="99"/>
        <v>19957560.33</v>
      </c>
      <c r="N225" s="304">
        <f t="shared" si="99"/>
        <v>19957560.33</v>
      </c>
      <c r="O225" s="312">
        <f t="shared" si="99"/>
        <v>19957560.33</v>
      </c>
    </row>
    <row r="226">
      <c r="A226" s="235"/>
      <c r="B226" s="306" t="s">
        <v>273</v>
      </c>
      <c r="C226" s="228"/>
      <c r="D226" s="304">
        <f t="shared" ref="D226:O226" si="100">D142+D227+D228</f>
        <v>1761627.896</v>
      </c>
      <c r="E226" s="304">
        <f t="shared" si="100"/>
        <v>2314282.742</v>
      </c>
      <c r="F226" s="304">
        <f t="shared" si="100"/>
        <v>3253937.587</v>
      </c>
      <c r="G226" s="304">
        <f t="shared" si="100"/>
        <v>4193592.433</v>
      </c>
      <c r="H226" s="304">
        <f t="shared" si="100"/>
        <v>5133247.278</v>
      </c>
      <c r="I226" s="304">
        <f t="shared" si="100"/>
        <v>6072902.124</v>
      </c>
      <c r="J226" s="304">
        <f t="shared" si="100"/>
        <v>7012556.97</v>
      </c>
      <c r="K226" s="304">
        <f t="shared" si="100"/>
        <v>7952211.815</v>
      </c>
      <c r="L226" s="304">
        <f t="shared" si="100"/>
        <v>8891866.661</v>
      </c>
      <c r="M226" s="304">
        <f t="shared" si="100"/>
        <v>9831521.507</v>
      </c>
      <c r="N226" s="304">
        <f t="shared" si="100"/>
        <v>10771176.35</v>
      </c>
      <c r="O226" s="305">
        <f t="shared" si="100"/>
        <v>11710831.2</v>
      </c>
    </row>
    <row r="227">
      <c r="A227" s="235"/>
      <c r="B227" s="306" t="s">
        <v>549</v>
      </c>
      <c r="C227" s="228"/>
      <c r="D227" s="304">
        <f>D167</f>
        <v>-440406.974</v>
      </c>
      <c r="E227" s="304">
        <f t="shared" ref="E227:O227" si="101">E167+D227</f>
        <v>-914080.8711</v>
      </c>
      <c r="F227" s="304">
        <f t="shared" si="101"/>
        <v>-1645754.768</v>
      </c>
      <c r="G227" s="304">
        <f t="shared" si="101"/>
        <v>-2377428.665</v>
      </c>
      <c r="H227" s="304">
        <f t="shared" si="101"/>
        <v>-3109102.562</v>
      </c>
      <c r="I227" s="304">
        <f t="shared" si="101"/>
        <v>-3840776.459</v>
      </c>
      <c r="J227" s="304">
        <f t="shared" si="101"/>
        <v>-4572450.356</v>
      </c>
      <c r="K227" s="304">
        <f t="shared" si="101"/>
        <v>-5304124.254</v>
      </c>
      <c r="L227" s="304">
        <f t="shared" si="101"/>
        <v>-6035798.151</v>
      </c>
      <c r="M227" s="304">
        <f t="shared" si="101"/>
        <v>-6767472.048</v>
      </c>
      <c r="N227" s="304">
        <f t="shared" si="101"/>
        <v>-7499145.945</v>
      </c>
      <c r="O227" s="305">
        <f t="shared" si="101"/>
        <v>-8230819.842</v>
      </c>
    </row>
    <row r="228">
      <c r="A228" s="235"/>
      <c r="B228" s="306" t="s">
        <v>566</v>
      </c>
      <c r="C228" s="217"/>
      <c r="D228" s="304">
        <f t="shared" ref="D228:E228" si="102">D146+D149+D153+D159</f>
        <v>0</v>
      </c>
      <c r="E228" s="304">
        <f t="shared" si="102"/>
        <v>-1342040.743</v>
      </c>
      <c r="F228" s="304">
        <f t="shared" ref="F228:O228" si="103">E228+F146+F149+F153+F159</f>
        <v>-3329081.485</v>
      </c>
      <c r="G228" s="304">
        <f t="shared" si="103"/>
        <v>-5316122.228</v>
      </c>
      <c r="H228" s="304">
        <f t="shared" si="103"/>
        <v>-7303162.971</v>
      </c>
      <c r="I228" s="304">
        <f t="shared" si="103"/>
        <v>-9290203.713</v>
      </c>
      <c r="J228" s="304">
        <f t="shared" si="103"/>
        <v>-11277244.46</v>
      </c>
      <c r="K228" s="304">
        <f t="shared" si="103"/>
        <v>-13264285.2</v>
      </c>
      <c r="L228" s="304">
        <f t="shared" si="103"/>
        <v>-15251325.94</v>
      </c>
      <c r="M228" s="304">
        <f t="shared" si="103"/>
        <v>-17238366.68</v>
      </c>
      <c r="N228" s="304">
        <f t="shared" si="103"/>
        <v>-19225407.43</v>
      </c>
      <c r="O228" s="305">
        <f t="shared" si="103"/>
        <v>-21212448.17</v>
      </c>
    </row>
    <row r="229">
      <c r="A229" s="235"/>
      <c r="B229" s="215"/>
      <c r="C229" s="217"/>
      <c r="D229" s="217"/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244"/>
    </row>
    <row r="230">
      <c r="A230" s="235"/>
      <c r="B230" s="308" t="s">
        <v>275</v>
      </c>
      <c r="C230" s="309">
        <f t="shared" ref="C230:O230" si="104">SUM(C231:C232)</f>
        <v>0</v>
      </c>
      <c r="D230" s="309">
        <f t="shared" si="104"/>
        <v>945739</v>
      </c>
      <c r="E230" s="309">
        <f t="shared" si="104"/>
        <v>945739</v>
      </c>
      <c r="F230" s="309">
        <f t="shared" si="104"/>
        <v>945739</v>
      </c>
      <c r="G230" s="309">
        <f t="shared" si="104"/>
        <v>945739</v>
      </c>
      <c r="H230" s="309">
        <f t="shared" si="104"/>
        <v>945739</v>
      </c>
      <c r="I230" s="309">
        <f t="shared" si="104"/>
        <v>945739</v>
      </c>
      <c r="J230" s="309">
        <f t="shared" si="104"/>
        <v>945739</v>
      </c>
      <c r="K230" s="309">
        <f t="shared" si="104"/>
        <v>945739</v>
      </c>
      <c r="L230" s="309">
        <f t="shared" si="104"/>
        <v>945739</v>
      </c>
      <c r="M230" s="309">
        <f t="shared" si="104"/>
        <v>945739</v>
      </c>
      <c r="N230" s="309">
        <f t="shared" si="104"/>
        <v>945739</v>
      </c>
      <c r="O230" s="310">
        <f t="shared" si="104"/>
        <v>945739</v>
      </c>
    </row>
    <row r="231">
      <c r="A231" s="235"/>
      <c r="B231" s="306" t="s">
        <v>276</v>
      </c>
      <c r="C231" s="228"/>
      <c r="D231" s="304">
        <f>C165+D164</f>
        <v>0</v>
      </c>
      <c r="E231" s="304">
        <f t="shared" ref="E231:O231" si="105">D231+E164</f>
        <v>0</v>
      </c>
      <c r="F231" s="304">
        <f t="shared" si="105"/>
        <v>0</v>
      </c>
      <c r="G231" s="304">
        <f t="shared" si="105"/>
        <v>0</v>
      </c>
      <c r="H231" s="304">
        <f t="shared" si="105"/>
        <v>0</v>
      </c>
      <c r="I231" s="304">
        <f t="shared" si="105"/>
        <v>0</v>
      </c>
      <c r="J231" s="304">
        <f t="shared" si="105"/>
        <v>0</v>
      </c>
      <c r="K231" s="304">
        <f t="shared" si="105"/>
        <v>0</v>
      </c>
      <c r="L231" s="304">
        <f t="shared" si="105"/>
        <v>0</v>
      </c>
      <c r="M231" s="304">
        <f t="shared" si="105"/>
        <v>0</v>
      </c>
      <c r="N231" s="304">
        <f t="shared" si="105"/>
        <v>0</v>
      </c>
      <c r="O231" s="305">
        <f t="shared" si="105"/>
        <v>0</v>
      </c>
    </row>
    <row r="232">
      <c r="A232" s="235"/>
      <c r="B232" s="306" t="s">
        <v>54</v>
      </c>
      <c r="C232" s="228"/>
      <c r="D232" s="304">
        <f t="shared" ref="D232:O232" si="106">D202</f>
        <v>945739</v>
      </c>
      <c r="E232" s="304">
        <f t="shared" si="106"/>
        <v>945739</v>
      </c>
      <c r="F232" s="304">
        <f t="shared" si="106"/>
        <v>945739</v>
      </c>
      <c r="G232" s="304">
        <f t="shared" si="106"/>
        <v>945739</v>
      </c>
      <c r="H232" s="304">
        <f t="shared" si="106"/>
        <v>945739</v>
      </c>
      <c r="I232" s="304">
        <f t="shared" si="106"/>
        <v>945739</v>
      </c>
      <c r="J232" s="304">
        <f t="shared" si="106"/>
        <v>945739</v>
      </c>
      <c r="K232" s="304">
        <f t="shared" si="106"/>
        <v>945739</v>
      </c>
      <c r="L232" s="304">
        <f t="shared" si="106"/>
        <v>945739</v>
      </c>
      <c r="M232" s="304">
        <f t="shared" si="106"/>
        <v>945739</v>
      </c>
      <c r="N232" s="304">
        <f t="shared" si="106"/>
        <v>945739</v>
      </c>
      <c r="O232" s="305">
        <f t="shared" si="106"/>
        <v>945739</v>
      </c>
    </row>
    <row r="233">
      <c r="A233" s="235"/>
      <c r="B233" s="313"/>
      <c r="C233" s="228"/>
      <c r="D233" s="217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99"/>
    </row>
    <row r="234">
      <c r="A234" s="235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</row>
    <row r="235">
      <c r="A235" s="235"/>
      <c r="B235" s="314" t="s">
        <v>567</v>
      </c>
      <c r="C235" s="218"/>
      <c r="D235" s="315">
        <f t="shared" ref="D235:O235" si="107">D16/D184</f>
        <v>0.9652047531</v>
      </c>
      <c r="E235" s="315">
        <f t="shared" si="107"/>
        <v>0.984772685</v>
      </c>
      <c r="F235" s="315">
        <f t="shared" si="107"/>
        <v>1.179114689</v>
      </c>
      <c r="G235" s="315">
        <f t="shared" si="107"/>
        <v>1.179114689</v>
      </c>
      <c r="H235" s="315">
        <f t="shared" si="107"/>
        <v>1.179114689</v>
      </c>
      <c r="I235" s="315">
        <f t="shared" si="107"/>
        <v>1.179114689</v>
      </c>
      <c r="J235" s="315">
        <f t="shared" si="107"/>
        <v>1.179114689</v>
      </c>
      <c r="K235" s="315">
        <f t="shared" si="107"/>
        <v>1.179114689</v>
      </c>
      <c r="L235" s="315">
        <f t="shared" si="107"/>
        <v>1.179114689</v>
      </c>
      <c r="M235" s="315">
        <f t="shared" si="107"/>
        <v>1.179114689</v>
      </c>
      <c r="N235" s="315">
        <f t="shared" si="107"/>
        <v>1.179114689</v>
      </c>
      <c r="O235" s="315">
        <f t="shared" si="107"/>
        <v>1.179114689</v>
      </c>
    </row>
    <row r="236">
      <c r="A236" s="235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</row>
    <row r="237">
      <c r="A237" s="235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</row>
    <row r="238">
      <c r="A238" s="235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</row>
    <row r="239">
      <c r="A239" s="235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</row>
    <row r="240">
      <c r="A240" s="235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</row>
    <row r="241">
      <c r="A241" s="235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</row>
    <row r="242">
      <c r="A242" s="235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</row>
    <row r="243">
      <c r="A243" s="235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</row>
    <row r="244">
      <c r="A244" s="235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</row>
    <row r="245">
      <c r="A245" s="235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</row>
    <row r="246">
      <c r="A246" s="235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</row>
    <row r="247">
      <c r="A247" s="235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</row>
    <row r="248">
      <c r="A248" s="235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</row>
    <row r="249">
      <c r="A249" s="235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</row>
    <row r="250">
      <c r="A250" s="235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</row>
    <row r="251">
      <c r="A251" s="235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</row>
    <row r="252">
      <c r="A252" s="235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</row>
    <row r="253">
      <c r="A253" s="235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</row>
    <row r="254">
      <c r="A254" s="235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</row>
    <row r="255">
      <c r="A255" s="235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</row>
    <row r="256">
      <c r="A256" s="235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</row>
    <row r="257">
      <c r="A257" s="235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</row>
    <row r="258">
      <c r="A258" s="235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</row>
    <row r="259">
      <c r="A259" s="235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</row>
    <row r="260">
      <c r="A260" s="235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</row>
    <row r="261">
      <c r="A261" s="235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</row>
    <row r="262">
      <c r="A262" s="235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</row>
    <row r="263">
      <c r="A263" s="235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</row>
    <row r="264">
      <c r="A264" s="235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</row>
    <row r="265">
      <c r="A265" s="235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</row>
    <row r="266">
      <c r="A266" s="235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</row>
    <row r="267">
      <c r="A267" s="235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</row>
    <row r="268">
      <c r="A268" s="235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</row>
    <row r="269">
      <c r="A269" s="235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</row>
    <row r="270">
      <c r="A270" s="235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</row>
    <row r="271">
      <c r="A271" s="235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</row>
    <row r="272">
      <c r="A272" s="235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</row>
    <row r="273">
      <c r="A273" s="235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</row>
    <row r="274">
      <c r="A274" s="235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</row>
    <row r="275">
      <c r="A275" s="235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</row>
    <row r="276">
      <c r="A276" s="235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</row>
    <row r="277">
      <c r="A277" s="235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</row>
    <row r="278">
      <c r="A278" s="235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</row>
    <row r="279">
      <c r="A279" s="235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</row>
    <row r="280">
      <c r="A280" s="235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</row>
    <row r="281">
      <c r="A281" s="235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</row>
    <row r="282">
      <c r="A282" s="235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</row>
    <row r="283">
      <c r="A283" s="235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</row>
    <row r="284">
      <c r="A284" s="235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</row>
    <row r="285">
      <c r="A285" s="235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</row>
    <row r="286">
      <c r="A286" s="235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</row>
    <row r="287">
      <c r="A287" s="235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</row>
    <row r="288">
      <c r="A288" s="235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</row>
    <row r="289">
      <c r="A289" s="235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</row>
    <row r="290">
      <c r="A290" s="235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</row>
    <row r="291">
      <c r="A291" s="235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</row>
    <row r="292">
      <c r="A292" s="235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</row>
    <row r="293">
      <c r="A293" s="235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</row>
    <row r="294">
      <c r="A294" s="235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</row>
    <row r="295">
      <c r="A295" s="235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</row>
    <row r="296">
      <c r="A296" s="235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</row>
    <row r="297">
      <c r="A297" s="235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</row>
    <row r="298">
      <c r="A298" s="235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</row>
    <row r="299">
      <c r="A299" s="235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</row>
    <row r="300">
      <c r="A300" s="235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</row>
    <row r="301">
      <c r="A301" s="235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</row>
    <row r="302">
      <c r="A302" s="235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</row>
    <row r="303">
      <c r="A303" s="235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</row>
    <row r="304">
      <c r="A304" s="235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</row>
    <row r="305">
      <c r="A305" s="235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</row>
    <row r="306">
      <c r="A306" s="235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</row>
    <row r="307">
      <c r="A307" s="235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</row>
    <row r="308">
      <c r="A308" s="235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</row>
    <row r="309">
      <c r="A309" s="235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</row>
    <row r="310">
      <c r="A310" s="235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</row>
    <row r="311">
      <c r="A311" s="235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</row>
    <row r="312">
      <c r="A312" s="235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</row>
    <row r="313">
      <c r="A313" s="235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</row>
    <row r="314">
      <c r="A314" s="235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</row>
    <row r="315">
      <c r="A315" s="235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</row>
    <row r="316">
      <c r="A316" s="235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</row>
    <row r="317">
      <c r="A317" s="235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</row>
    <row r="318">
      <c r="A318" s="235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</row>
    <row r="319">
      <c r="A319" s="235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</row>
    <row r="320">
      <c r="A320" s="235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</row>
    <row r="321">
      <c r="A321" s="235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</row>
    <row r="322">
      <c r="A322" s="235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</row>
    <row r="323">
      <c r="A323" s="235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</row>
    <row r="324">
      <c r="A324" s="235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</row>
    <row r="325">
      <c r="A325" s="235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</row>
    <row r="326">
      <c r="A326" s="235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</row>
    <row r="327">
      <c r="A327" s="235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</row>
    <row r="328">
      <c r="A328" s="235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</row>
    <row r="329">
      <c r="A329" s="235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</row>
    <row r="330">
      <c r="A330" s="235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</row>
    <row r="331">
      <c r="A331" s="235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</row>
    <row r="332">
      <c r="A332" s="235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</row>
    <row r="333">
      <c r="A333" s="235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</row>
    <row r="334">
      <c r="A334" s="235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</row>
    <row r="335">
      <c r="A335" s="235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</row>
    <row r="336">
      <c r="A336" s="235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</row>
    <row r="337">
      <c r="A337" s="235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</row>
    <row r="338">
      <c r="A338" s="235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</row>
    <row r="339">
      <c r="A339" s="235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</row>
    <row r="340">
      <c r="A340" s="235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</row>
    <row r="341">
      <c r="A341" s="235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</row>
    <row r="342">
      <c r="A342" s="235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</row>
    <row r="343">
      <c r="A343" s="235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</row>
    <row r="344">
      <c r="A344" s="235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</row>
    <row r="345">
      <c r="A345" s="235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</row>
    <row r="346">
      <c r="A346" s="235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</row>
    <row r="347">
      <c r="A347" s="235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</row>
    <row r="348">
      <c r="A348" s="235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</row>
    <row r="349">
      <c r="A349" s="235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</row>
    <row r="350">
      <c r="A350" s="235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</row>
    <row r="351">
      <c r="A351" s="235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</row>
    <row r="352">
      <c r="A352" s="235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</row>
    <row r="353">
      <c r="A353" s="235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</row>
    <row r="354">
      <c r="A354" s="235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</row>
    <row r="355">
      <c r="A355" s="235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</row>
    <row r="356">
      <c r="A356" s="235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</row>
    <row r="357">
      <c r="A357" s="235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</row>
    <row r="358">
      <c r="A358" s="235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</row>
    <row r="359">
      <c r="A359" s="235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</row>
    <row r="360">
      <c r="A360" s="235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</row>
    <row r="361">
      <c r="A361" s="235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</row>
    <row r="362">
      <c r="A362" s="235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</row>
    <row r="363">
      <c r="A363" s="235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</row>
    <row r="364">
      <c r="A364" s="235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</row>
    <row r="365">
      <c r="A365" s="235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</row>
    <row r="366">
      <c r="A366" s="235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</row>
    <row r="367">
      <c r="A367" s="235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</row>
    <row r="368">
      <c r="A368" s="235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</row>
    <row r="369">
      <c r="A369" s="235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</row>
    <row r="370">
      <c r="A370" s="235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</row>
    <row r="371">
      <c r="A371" s="235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</row>
    <row r="372">
      <c r="A372" s="235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</row>
    <row r="373">
      <c r="A373" s="235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</row>
    <row r="374">
      <c r="A374" s="235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</row>
    <row r="375">
      <c r="A375" s="235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</row>
    <row r="376">
      <c r="A376" s="235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</row>
    <row r="377">
      <c r="A377" s="235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</row>
    <row r="378">
      <c r="A378" s="235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</row>
    <row r="379">
      <c r="A379" s="235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</row>
    <row r="380">
      <c r="A380" s="235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</row>
    <row r="381">
      <c r="A381" s="235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</row>
    <row r="382">
      <c r="A382" s="235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</row>
    <row r="383">
      <c r="A383" s="235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</row>
    <row r="384">
      <c r="A384" s="235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</row>
    <row r="385">
      <c r="A385" s="235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</row>
    <row r="386">
      <c r="A386" s="235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</row>
    <row r="387">
      <c r="A387" s="235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</row>
    <row r="388">
      <c r="A388" s="235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</row>
    <row r="389">
      <c r="A389" s="235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</row>
    <row r="390">
      <c r="A390" s="235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</row>
    <row r="391">
      <c r="A391" s="235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</row>
    <row r="392">
      <c r="A392" s="235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</row>
    <row r="393">
      <c r="A393" s="235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</row>
    <row r="394">
      <c r="A394" s="235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</row>
    <row r="395">
      <c r="A395" s="235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</row>
    <row r="396">
      <c r="A396" s="235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</row>
    <row r="397">
      <c r="A397" s="235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</row>
    <row r="398">
      <c r="A398" s="235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</row>
    <row r="399">
      <c r="A399" s="235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</row>
    <row r="400">
      <c r="A400" s="235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</row>
    <row r="401">
      <c r="A401" s="235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</row>
    <row r="402">
      <c r="A402" s="235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</row>
    <row r="403">
      <c r="A403" s="235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</row>
    <row r="404">
      <c r="A404" s="235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</row>
    <row r="405">
      <c r="A405" s="235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</row>
    <row r="406">
      <c r="A406" s="235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</row>
    <row r="407">
      <c r="A407" s="235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</row>
    <row r="408">
      <c r="A408" s="235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</row>
    <row r="409">
      <c r="A409" s="235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</row>
    <row r="410">
      <c r="A410" s="235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</row>
    <row r="411">
      <c r="A411" s="235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</row>
    <row r="412">
      <c r="A412" s="235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</row>
    <row r="413">
      <c r="A413" s="235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</row>
    <row r="414">
      <c r="A414" s="235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</row>
    <row r="415">
      <c r="A415" s="235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</row>
    <row r="416">
      <c r="A416" s="235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</row>
    <row r="417">
      <c r="A417" s="235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</row>
    <row r="418">
      <c r="A418" s="235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</row>
    <row r="419">
      <c r="A419" s="235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</row>
    <row r="420">
      <c r="A420" s="235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</row>
    <row r="421">
      <c r="A421" s="235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</row>
    <row r="422">
      <c r="A422" s="235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</row>
    <row r="423">
      <c r="A423" s="235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</row>
    <row r="424">
      <c r="A424" s="235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</row>
    <row r="425">
      <c r="A425" s="235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</row>
    <row r="426">
      <c r="A426" s="235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</row>
    <row r="427">
      <c r="A427" s="235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</row>
    <row r="428">
      <c r="A428" s="235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</row>
    <row r="429">
      <c r="A429" s="235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</row>
    <row r="430">
      <c r="A430" s="235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</row>
    <row r="431">
      <c r="A431" s="235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</row>
    <row r="432">
      <c r="A432" s="235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</row>
    <row r="433">
      <c r="A433" s="235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</row>
    <row r="434">
      <c r="A434" s="235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</row>
    <row r="435">
      <c r="A435" s="235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</row>
    <row r="436">
      <c r="A436" s="235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</row>
    <row r="437">
      <c r="A437" s="235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</row>
    <row r="438">
      <c r="A438" s="235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</row>
    <row r="439">
      <c r="A439" s="235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</row>
    <row r="440">
      <c r="A440" s="235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</row>
    <row r="441">
      <c r="A441" s="235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</row>
    <row r="442">
      <c r="A442" s="235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</row>
    <row r="443">
      <c r="A443" s="235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</row>
    <row r="444">
      <c r="A444" s="235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</row>
    <row r="445">
      <c r="A445" s="235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</row>
    <row r="446">
      <c r="A446" s="235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</row>
    <row r="447">
      <c r="A447" s="235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</row>
    <row r="448">
      <c r="A448" s="235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</row>
    <row r="449">
      <c r="A449" s="235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</row>
    <row r="450">
      <c r="A450" s="235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</row>
    <row r="451">
      <c r="A451" s="235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</row>
    <row r="452">
      <c r="A452" s="235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</row>
    <row r="453">
      <c r="A453" s="235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</row>
    <row r="454">
      <c r="A454" s="235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</row>
    <row r="455">
      <c r="A455" s="235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</row>
    <row r="456">
      <c r="A456" s="235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</row>
    <row r="457">
      <c r="A457" s="235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</row>
    <row r="458">
      <c r="A458" s="235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</row>
    <row r="459">
      <c r="A459" s="235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</row>
    <row r="460">
      <c r="A460" s="235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</row>
    <row r="461">
      <c r="A461" s="235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</row>
    <row r="462">
      <c r="A462" s="235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</row>
    <row r="463">
      <c r="A463" s="235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</row>
    <row r="464">
      <c r="A464" s="235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</row>
    <row r="465">
      <c r="A465" s="235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</row>
    <row r="466">
      <c r="A466" s="235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</row>
    <row r="467">
      <c r="A467" s="235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</row>
    <row r="468">
      <c r="A468" s="235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</row>
    <row r="469">
      <c r="A469" s="235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</row>
    <row r="470">
      <c r="A470" s="235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</row>
    <row r="471">
      <c r="A471" s="235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</row>
    <row r="472">
      <c r="A472" s="235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</row>
    <row r="473">
      <c r="A473" s="235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</row>
    <row r="474">
      <c r="A474" s="235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</row>
    <row r="475">
      <c r="A475" s="235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</row>
    <row r="476">
      <c r="A476" s="235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</row>
    <row r="477">
      <c r="A477" s="235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</row>
    <row r="478">
      <c r="A478" s="235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</row>
    <row r="479">
      <c r="A479" s="235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</row>
    <row r="480">
      <c r="A480" s="235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</row>
    <row r="481">
      <c r="A481" s="235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</row>
    <row r="482">
      <c r="A482" s="235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</row>
    <row r="483">
      <c r="A483" s="235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</row>
    <row r="484">
      <c r="A484" s="235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</row>
    <row r="485">
      <c r="A485" s="235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</row>
    <row r="486">
      <c r="A486" s="235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</row>
    <row r="487">
      <c r="A487" s="235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</row>
    <row r="488">
      <c r="A488" s="235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</row>
    <row r="489">
      <c r="A489" s="235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</row>
    <row r="490">
      <c r="A490" s="235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</row>
    <row r="491">
      <c r="A491" s="235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</row>
    <row r="492">
      <c r="A492" s="235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</row>
    <row r="493">
      <c r="A493" s="235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</row>
    <row r="494">
      <c r="A494" s="235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</row>
    <row r="495">
      <c r="A495" s="235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</row>
    <row r="496">
      <c r="A496" s="235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</row>
    <row r="497">
      <c r="A497" s="235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</row>
    <row r="498">
      <c r="A498" s="235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</row>
    <row r="499">
      <c r="A499" s="235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</row>
    <row r="500">
      <c r="A500" s="235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</row>
    <row r="501">
      <c r="A501" s="235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</row>
    <row r="502">
      <c r="A502" s="235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</row>
    <row r="503">
      <c r="A503" s="235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</row>
    <row r="504">
      <c r="A504" s="235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</row>
    <row r="505">
      <c r="A505" s="235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</row>
    <row r="506">
      <c r="A506" s="235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</row>
    <row r="507">
      <c r="A507" s="235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</row>
    <row r="508">
      <c r="A508" s="235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</row>
    <row r="509">
      <c r="A509" s="235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</row>
    <row r="510">
      <c r="A510" s="235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</row>
    <row r="511">
      <c r="A511" s="235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</row>
    <row r="512">
      <c r="A512" s="235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</row>
    <row r="513">
      <c r="A513" s="235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</row>
    <row r="514">
      <c r="A514" s="235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</row>
    <row r="515">
      <c r="A515" s="235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</row>
    <row r="516">
      <c r="A516" s="235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</row>
    <row r="517">
      <c r="A517" s="235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</row>
    <row r="518">
      <c r="A518" s="235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</row>
    <row r="519">
      <c r="A519" s="235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</row>
    <row r="520">
      <c r="A520" s="235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</row>
    <row r="521">
      <c r="A521" s="235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</row>
    <row r="522">
      <c r="A522" s="235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</row>
    <row r="523">
      <c r="A523" s="235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</row>
    <row r="524">
      <c r="A524" s="235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</row>
    <row r="525">
      <c r="A525" s="235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</row>
    <row r="526">
      <c r="A526" s="235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</row>
    <row r="527">
      <c r="A527" s="235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</row>
    <row r="528">
      <c r="A528" s="235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</row>
    <row r="529">
      <c r="A529" s="235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</row>
    <row r="530">
      <c r="A530" s="235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</row>
    <row r="531">
      <c r="A531" s="235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</row>
    <row r="532">
      <c r="A532" s="235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</row>
    <row r="533">
      <c r="A533" s="235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</row>
    <row r="534">
      <c r="A534" s="235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</row>
    <row r="535">
      <c r="A535" s="235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</row>
    <row r="536">
      <c r="A536" s="235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</row>
    <row r="537">
      <c r="A537" s="235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</row>
    <row r="538">
      <c r="A538" s="235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</row>
    <row r="539">
      <c r="A539" s="235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</row>
    <row r="540">
      <c r="A540" s="235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</row>
    <row r="541">
      <c r="A541" s="235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</row>
    <row r="542">
      <c r="A542" s="235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</row>
    <row r="543">
      <c r="A543" s="235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</row>
    <row r="544">
      <c r="A544" s="235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</row>
    <row r="545">
      <c r="A545" s="235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</row>
    <row r="546">
      <c r="A546" s="235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</row>
    <row r="547">
      <c r="A547" s="235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</row>
    <row r="548">
      <c r="A548" s="235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</row>
    <row r="549">
      <c r="A549" s="235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</row>
    <row r="550">
      <c r="A550" s="235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</row>
    <row r="551">
      <c r="A551" s="235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</row>
    <row r="552">
      <c r="A552" s="235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</row>
    <row r="553">
      <c r="A553" s="235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</row>
    <row r="554">
      <c r="A554" s="235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</row>
    <row r="555">
      <c r="A555" s="235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</row>
    <row r="556">
      <c r="A556" s="235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</row>
    <row r="557">
      <c r="A557" s="235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</row>
    <row r="558">
      <c r="A558" s="235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</row>
    <row r="559">
      <c r="A559" s="235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</row>
    <row r="560">
      <c r="A560" s="235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</row>
    <row r="561">
      <c r="A561" s="235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</row>
    <row r="562">
      <c r="A562" s="235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</row>
    <row r="563">
      <c r="A563" s="235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</row>
    <row r="564">
      <c r="A564" s="235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</row>
    <row r="565">
      <c r="A565" s="235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</row>
    <row r="566">
      <c r="A566" s="235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</row>
    <row r="567">
      <c r="A567" s="235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</row>
    <row r="568">
      <c r="A568" s="235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</row>
    <row r="569">
      <c r="A569" s="235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</row>
    <row r="570">
      <c r="A570" s="235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</row>
    <row r="571">
      <c r="A571" s="235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</row>
    <row r="572">
      <c r="A572" s="235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</row>
    <row r="573">
      <c r="A573" s="235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</row>
    <row r="574">
      <c r="A574" s="235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</row>
    <row r="575">
      <c r="A575" s="235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</row>
    <row r="576">
      <c r="A576" s="235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</row>
    <row r="577">
      <c r="A577" s="235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</row>
    <row r="578">
      <c r="A578" s="235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</row>
    <row r="579">
      <c r="A579" s="235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</row>
    <row r="580">
      <c r="A580" s="235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</row>
    <row r="581">
      <c r="A581" s="235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</row>
    <row r="582">
      <c r="A582" s="235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</row>
    <row r="583">
      <c r="A583" s="235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</row>
    <row r="584">
      <c r="A584" s="235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</row>
    <row r="585">
      <c r="A585" s="235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</row>
    <row r="586">
      <c r="A586" s="235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</row>
    <row r="587">
      <c r="A587" s="235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</row>
    <row r="588">
      <c r="A588" s="235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</row>
    <row r="589">
      <c r="A589" s="235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</row>
    <row r="590">
      <c r="A590" s="235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</row>
    <row r="591">
      <c r="A591" s="235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</row>
    <row r="592">
      <c r="A592" s="235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</row>
    <row r="593">
      <c r="A593" s="235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</row>
    <row r="594">
      <c r="A594" s="235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</row>
    <row r="595">
      <c r="A595" s="235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</row>
    <row r="596">
      <c r="A596" s="235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</row>
    <row r="597">
      <c r="A597" s="235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</row>
    <row r="598">
      <c r="A598" s="235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</row>
    <row r="599">
      <c r="A599" s="235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</row>
    <row r="600">
      <c r="A600" s="235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</row>
    <row r="601">
      <c r="A601" s="235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</row>
    <row r="602">
      <c r="A602" s="235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</row>
    <row r="603">
      <c r="A603" s="235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</row>
    <row r="604">
      <c r="A604" s="235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</row>
    <row r="605">
      <c r="A605" s="235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</row>
    <row r="606">
      <c r="A606" s="235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</row>
    <row r="607">
      <c r="A607" s="235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</row>
    <row r="608">
      <c r="A608" s="235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</row>
    <row r="609">
      <c r="A609" s="235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</row>
    <row r="610">
      <c r="A610" s="235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</row>
    <row r="611">
      <c r="A611" s="235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</row>
    <row r="612">
      <c r="A612" s="235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</row>
    <row r="613">
      <c r="A613" s="235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</row>
    <row r="614">
      <c r="A614" s="235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</row>
    <row r="615">
      <c r="A615" s="235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</row>
    <row r="616">
      <c r="A616" s="235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</row>
    <row r="617">
      <c r="A617" s="235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</row>
    <row r="618">
      <c r="A618" s="235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</row>
    <row r="619">
      <c r="A619" s="235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</row>
    <row r="620">
      <c r="A620" s="235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</row>
    <row r="621">
      <c r="A621" s="235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</row>
    <row r="622">
      <c r="A622" s="235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</row>
    <row r="623">
      <c r="A623" s="235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</row>
    <row r="624">
      <c r="A624" s="235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</row>
    <row r="625">
      <c r="A625" s="235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</row>
    <row r="626">
      <c r="A626" s="235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</row>
    <row r="627">
      <c r="A627" s="235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</row>
    <row r="628">
      <c r="A628" s="235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</row>
    <row r="629">
      <c r="A629" s="235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</row>
    <row r="630">
      <c r="A630" s="235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</row>
    <row r="631">
      <c r="A631" s="235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</row>
    <row r="632">
      <c r="A632" s="235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</row>
    <row r="633">
      <c r="A633" s="235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</row>
    <row r="634">
      <c r="A634" s="235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</row>
    <row r="635">
      <c r="A635" s="235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</row>
    <row r="636">
      <c r="A636" s="235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</row>
    <row r="637">
      <c r="A637" s="235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</row>
    <row r="638">
      <c r="A638" s="235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</row>
    <row r="639">
      <c r="A639" s="235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</row>
    <row r="640">
      <c r="A640" s="235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</row>
    <row r="641">
      <c r="A641" s="235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</row>
    <row r="642">
      <c r="A642" s="235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</row>
    <row r="643">
      <c r="A643" s="235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</row>
    <row r="644">
      <c r="A644" s="235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</row>
    <row r="645">
      <c r="A645" s="235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</row>
    <row r="646">
      <c r="A646" s="235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</row>
    <row r="647">
      <c r="A647" s="235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</row>
    <row r="648">
      <c r="A648" s="235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</row>
    <row r="649">
      <c r="A649" s="235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</row>
    <row r="650">
      <c r="A650" s="235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</row>
    <row r="651">
      <c r="A651" s="235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</row>
    <row r="652">
      <c r="A652" s="235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</row>
    <row r="653">
      <c r="A653" s="235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</row>
    <row r="654">
      <c r="A654" s="235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</row>
    <row r="655">
      <c r="A655" s="235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</row>
    <row r="656">
      <c r="A656" s="235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</row>
    <row r="657">
      <c r="A657" s="235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</row>
    <row r="658">
      <c r="A658" s="235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</row>
    <row r="659">
      <c r="A659" s="235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</row>
    <row r="660">
      <c r="A660" s="235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</row>
    <row r="661">
      <c r="A661" s="235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</row>
    <row r="662">
      <c r="A662" s="235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</row>
    <row r="663">
      <c r="A663" s="235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</row>
    <row r="664">
      <c r="A664" s="235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</row>
    <row r="665">
      <c r="A665" s="235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</row>
    <row r="666">
      <c r="A666" s="235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</row>
    <row r="667">
      <c r="A667" s="235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</row>
    <row r="668">
      <c r="A668" s="235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</row>
    <row r="669">
      <c r="A669" s="235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</row>
    <row r="670">
      <c r="A670" s="235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</row>
    <row r="671">
      <c r="A671" s="235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</row>
    <row r="672">
      <c r="A672" s="235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</row>
    <row r="673">
      <c r="A673" s="235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</row>
    <row r="674">
      <c r="A674" s="235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</row>
    <row r="675">
      <c r="A675" s="235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</row>
    <row r="676">
      <c r="A676" s="235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</row>
    <row r="677">
      <c r="A677" s="235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</row>
    <row r="678">
      <c r="A678" s="235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</row>
    <row r="679">
      <c r="A679" s="235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</row>
    <row r="680">
      <c r="A680" s="235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</row>
    <row r="681">
      <c r="A681" s="235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</row>
    <row r="682">
      <c r="A682" s="235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</row>
    <row r="683">
      <c r="A683" s="235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</row>
    <row r="684">
      <c r="A684" s="235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</row>
    <row r="685">
      <c r="A685" s="235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</row>
    <row r="686">
      <c r="A686" s="235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</row>
    <row r="687">
      <c r="A687" s="235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</row>
    <row r="688">
      <c r="A688" s="235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</row>
    <row r="689">
      <c r="A689" s="235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</row>
    <row r="690">
      <c r="A690" s="235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</row>
    <row r="691">
      <c r="A691" s="235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</row>
    <row r="692">
      <c r="A692" s="235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</row>
    <row r="693">
      <c r="A693" s="235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</row>
    <row r="694">
      <c r="A694" s="235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</row>
    <row r="695">
      <c r="A695" s="235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</row>
    <row r="696">
      <c r="A696" s="235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</row>
    <row r="697">
      <c r="A697" s="235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</row>
    <row r="698">
      <c r="A698" s="235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</row>
    <row r="699">
      <c r="A699" s="235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</row>
    <row r="700">
      <c r="A700" s="235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</row>
    <row r="701">
      <c r="A701" s="235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</row>
    <row r="702">
      <c r="A702" s="235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</row>
    <row r="703">
      <c r="A703" s="235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</row>
    <row r="704">
      <c r="A704" s="235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</row>
    <row r="705">
      <c r="A705" s="235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</row>
    <row r="706">
      <c r="A706" s="235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</row>
    <row r="707">
      <c r="A707" s="235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</row>
    <row r="708">
      <c r="A708" s="235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</row>
    <row r="709">
      <c r="A709" s="235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</row>
    <row r="710">
      <c r="A710" s="235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</row>
    <row r="711">
      <c r="A711" s="235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</row>
    <row r="712">
      <c r="A712" s="235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</row>
    <row r="713">
      <c r="A713" s="235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</row>
    <row r="714">
      <c r="A714" s="235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</row>
    <row r="715">
      <c r="A715" s="235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</row>
    <row r="716">
      <c r="A716" s="235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</row>
    <row r="717">
      <c r="A717" s="235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</row>
    <row r="718">
      <c r="A718" s="235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</row>
    <row r="719">
      <c r="A719" s="235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</row>
    <row r="720">
      <c r="A720" s="235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</row>
    <row r="721">
      <c r="A721" s="235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</row>
    <row r="722">
      <c r="A722" s="235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</row>
    <row r="723">
      <c r="A723" s="235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</row>
    <row r="724">
      <c r="A724" s="235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</row>
    <row r="725">
      <c r="A725" s="235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</row>
    <row r="726">
      <c r="A726" s="235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</row>
    <row r="727">
      <c r="A727" s="235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</row>
    <row r="728">
      <c r="A728" s="235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</row>
    <row r="729">
      <c r="A729" s="235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</row>
    <row r="730">
      <c r="A730" s="235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</row>
    <row r="731">
      <c r="A731" s="235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</row>
    <row r="732">
      <c r="A732" s="235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</row>
    <row r="733">
      <c r="A733" s="235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</row>
    <row r="734">
      <c r="A734" s="235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</row>
    <row r="735">
      <c r="A735" s="235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</row>
    <row r="736">
      <c r="A736" s="235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</row>
    <row r="737">
      <c r="A737" s="235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</row>
    <row r="738">
      <c r="A738" s="235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</row>
    <row r="739">
      <c r="A739" s="235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</row>
    <row r="740">
      <c r="A740" s="235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</row>
    <row r="741">
      <c r="A741" s="235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</row>
    <row r="742">
      <c r="A742" s="235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</row>
    <row r="743">
      <c r="A743" s="235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</row>
    <row r="744">
      <c r="A744" s="235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</row>
    <row r="745">
      <c r="A745" s="235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</row>
    <row r="746">
      <c r="A746" s="235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</row>
    <row r="747">
      <c r="A747" s="235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</row>
    <row r="748">
      <c r="A748" s="235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</row>
    <row r="749">
      <c r="A749" s="235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</row>
    <row r="750">
      <c r="A750" s="235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</row>
    <row r="751">
      <c r="A751" s="235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</row>
    <row r="752">
      <c r="A752" s="235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</row>
    <row r="753">
      <c r="A753" s="235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</row>
    <row r="754">
      <c r="A754" s="235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</row>
    <row r="755">
      <c r="A755" s="235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</row>
    <row r="756">
      <c r="A756" s="235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</row>
    <row r="757">
      <c r="A757" s="235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</row>
    <row r="758">
      <c r="A758" s="235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</row>
    <row r="759">
      <c r="A759" s="235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</row>
    <row r="760">
      <c r="A760" s="235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</row>
    <row r="761">
      <c r="A761" s="235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</row>
    <row r="762">
      <c r="A762" s="235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</row>
    <row r="763">
      <c r="A763" s="235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</row>
    <row r="764">
      <c r="A764" s="235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</row>
    <row r="765">
      <c r="A765" s="235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</row>
    <row r="766">
      <c r="A766" s="235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</row>
    <row r="767">
      <c r="A767" s="235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</row>
    <row r="768">
      <c r="A768" s="235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</row>
    <row r="769">
      <c r="A769" s="235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</row>
    <row r="770">
      <c r="A770" s="235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</row>
    <row r="771">
      <c r="A771" s="235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</row>
    <row r="772">
      <c r="A772" s="235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</row>
    <row r="773">
      <c r="A773" s="235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</row>
    <row r="774">
      <c r="A774" s="235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</row>
    <row r="775">
      <c r="A775" s="235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</row>
    <row r="776">
      <c r="A776" s="235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</row>
    <row r="777">
      <c r="A777" s="235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</row>
    <row r="778">
      <c r="A778" s="235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</row>
    <row r="779">
      <c r="A779" s="235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</row>
    <row r="780">
      <c r="A780" s="235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</row>
    <row r="781">
      <c r="A781" s="235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</row>
    <row r="782">
      <c r="A782" s="235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</row>
    <row r="783">
      <c r="A783" s="235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</row>
    <row r="784">
      <c r="A784" s="235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</row>
    <row r="785">
      <c r="A785" s="235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</row>
    <row r="786">
      <c r="A786" s="235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</row>
    <row r="787">
      <c r="A787" s="235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</row>
    <row r="788">
      <c r="A788" s="235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</row>
    <row r="789">
      <c r="A789" s="235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</row>
    <row r="790">
      <c r="A790" s="235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</row>
    <row r="791">
      <c r="A791" s="235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</row>
    <row r="792">
      <c r="A792" s="235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</row>
    <row r="793">
      <c r="A793" s="235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</row>
    <row r="794">
      <c r="A794" s="235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</row>
    <row r="795">
      <c r="A795" s="235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</row>
    <row r="796">
      <c r="A796" s="235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</row>
    <row r="797">
      <c r="A797" s="235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</row>
    <row r="798">
      <c r="A798" s="235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</row>
    <row r="799">
      <c r="A799" s="235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</row>
    <row r="800">
      <c r="A800" s="235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</row>
    <row r="801">
      <c r="A801" s="235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</row>
    <row r="802">
      <c r="A802" s="235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</row>
    <row r="803">
      <c r="A803" s="235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</row>
    <row r="804">
      <c r="A804" s="235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</row>
    <row r="805">
      <c r="A805" s="235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</row>
    <row r="806">
      <c r="A806" s="235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</row>
    <row r="807">
      <c r="A807" s="235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</row>
    <row r="808">
      <c r="A808" s="235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</row>
    <row r="809">
      <c r="A809" s="235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</row>
    <row r="810">
      <c r="A810" s="235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</row>
    <row r="811">
      <c r="A811" s="235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</row>
    <row r="812">
      <c r="A812" s="235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</row>
    <row r="813">
      <c r="A813" s="235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</row>
    <row r="814">
      <c r="A814" s="235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</row>
    <row r="815">
      <c r="A815" s="235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</row>
    <row r="816">
      <c r="A816" s="235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</row>
    <row r="817">
      <c r="A817" s="235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</row>
    <row r="818">
      <c r="A818" s="235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</row>
    <row r="819">
      <c r="A819" s="235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</row>
    <row r="820">
      <c r="A820" s="235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</row>
    <row r="821">
      <c r="A821" s="235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</row>
    <row r="822">
      <c r="A822" s="235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</row>
    <row r="823">
      <c r="A823" s="235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</row>
    <row r="824">
      <c r="A824" s="235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</row>
    <row r="825">
      <c r="A825" s="235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</row>
    <row r="826">
      <c r="A826" s="235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</row>
    <row r="827">
      <c r="A827" s="235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</row>
    <row r="828">
      <c r="A828" s="235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</row>
    <row r="829">
      <c r="A829" s="235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</row>
    <row r="830">
      <c r="A830" s="235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</row>
    <row r="831">
      <c r="A831" s="235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</row>
    <row r="832">
      <c r="A832" s="235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</row>
    <row r="833">
      <c r="A833" s="235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</row>
    <row r="834">
      <c r="A834" s="235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</row>
    <row r="835">
      <c r="A835" s="235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</row>
    <row r="836">
      <c r="A836" s="235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</row>
    <row r="837">
      <c r="A837" s="235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</row>
    <row r="838">
      <c r="A838" s="235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</row>
    <row r="839">
      <c r="A839" s="235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</row>
    <row r="840">
      <c r="A840" s="235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</row>
    <row r="841">
      <c r="A841" s="235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</row>
    <row r="842">
      <c r="A842" s="235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</row>
    <row r="843">
      <c r="A843" s="235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</row>
    <row r="844">
      <c r="A844" s="235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</row>
    <row r="845">
      <c r="A845" s="235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</row>
    <row r="846">
      <c r="A846" s="235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</row>
    <row r="847">
      <c r="A847" s="235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</row>
    <row r="848">
      <c r="A848" s="235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</row>
    <row r="849">
      <c r="A849" s="235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</row>
    <row r="850">
      <c r="A850" s="235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</row>
    <row r="851">
      <c r="A851" s="235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</row>
    <row r="852">
      <c r="A852" s="235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</row>
    <row r="853">
      <c r="A853" s="235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</row>
    <row r="854">
      <c r="A854" s="235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</row>
    <row r="855">
      <c r="A855" s="235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</row>
    <row r="856">
      <c r="A856" s="235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</row>
    <row r="857">
      <c r="A857" s="235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</row>
    <row r="858">
      <c r="A858" s="235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</row>
    <row r="859">
      <c r="A859" s="235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</row>
    <row r="860">
      <c r="A860" s="235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</row>
    <row r="861">
      <c r="A861" s="235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</row>
    <row r="862">
      <c r="A862" s="235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</row>
    <row r="863">
      <c r="A863" s="235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</row>
    <row r="864">
      <c r="A864" s="235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</row>
    <row r="865">
      <c r="A865" s="235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</row>
    <row r="866">
      <c r="A866" s="235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</row>
    <row r="867">
      <c r="A867" s="235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</row>
    <row r="868">
      <c r="A868" s="235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</row>
    <row r="869">
      <c r="A869" s="235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</row>
    <row r="870">
      <c r="A870" s="235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</row>
    <row r="871">
      <c r="A871" s="235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</row>
    <row r="872">
      <c r="A872" s="235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</row>
    <row r="873">
      <c r="A873" s="235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</row>
    <row r="874">
      <c r="A874" s="235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</row>
    <row r="875">
      <c r="A875" s="235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</row>
    <row r="876">
      <c r="A876" s="235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</row>
    <row r="877">
      <c r="A877" s="235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</row>
    <row r="878">
      <c r="A878" s="235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</row>
    <row r="879">
      <c r="A879" s="235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</row>
    <row r="880">
      <c r="A880" s="235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</row>
    <row r="881">
      <c r="A881" s="235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</row>
    <row r="882">
      <c r="A882" s="235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</row>
    <row r="883">
      <c r="A883" s="235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</row>
    <row r="884">
      <c r="A884" s="235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</row>
    <row r="885">
      <c r="A885" s="235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</row>
    <row r="886">
      <c r="A886" s="235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</row>
    <row r="887">
      <c r="A887" s="235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</row>
    <row r="888">
      <c r="A888" s="235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</row>
    <row r="889">
      <c r="A889" s="235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</row>
    <row r="890">
      <c r="A890" s="235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</row>
    <row r="891">
      <c r="A891" s="235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</row>
    <row r="892">
      <c r="A892" s="235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</row>
    <row r="893">
      <c r="A893" s="235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</row>
    <row r="894">
      <c r="A894" s="235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</row>
    <row r="895">
      <c r="A895" s="235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</row>
    <row r="896">
      <c r="A896" s="235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</row>
    <row r="897">
      <c r="A897" s="235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</row>
    <row r="898">
      <c r="A898" s="235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</row>
    <row r="899">
      <c r="A899" s="235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</row>
    <row r="900">
      <c r="A900" s="235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</row>
    <row r="901">
      <c r="A901" s="235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</row>
    <row r="902">
      <c r="A902" s="235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</row>
    <row r="903">
      <c r="A903" s="235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</row>
    <row r="904">
      <c r="A904" s="235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</row>
    <row r="905">
      <c r="A905" s="235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</row>
    <row r="906">
      <c r="A906" s="235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</row>
    <row r="907">
      <c r="A907" s="235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</row>
    <row r="908">
      <c r="A908" s="235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</row>
    <row r="909">
      <c r="A909" s="235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</row>
    <row r="910">
      <c r="A910" s="235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</row>
    <row r="911">
      <c r="A911" s="235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</row>
    <row r="912">
      <c r="A912" s="235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</row>
    <row r="913">
      <c r="A913" s="235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</row>
    <row r="914">
      <c r="A914" s="235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</row>
    <row r="915">
      <c r="A915" s="235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</row>
    <row r="916">
      <c r="A916" s="235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</row>
    <row r="917">
      <c r="A917" s="235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</row>
    <row r="918">
      <c r="A918" s="235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</row>
    <row r="919">
      <c r="A919" s="235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</row>
    <row r="920">
      <c r="A920" s="235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</row>
    <row r="921">
      <c r="A921" s="235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</row>
    <row r="922">
      <c r="A922" s="235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</row>
    <row r="923">
      <c r="A923" s="235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</row>
    <row r="924">
      <c r="A924" s="235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</row>
    <row r="925">
      <c r="A925" s="235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</row>
    <row r="926">
      <c r="A926" s="235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</row>
    <row r="927">
      <c r="A927" s="235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</row>
    <row r="928">
      <c r="A928" s="235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</row>
    <row r="929">
      <c r="A929" s="235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</row>
    <row r="930">
      <c r="A930" s="235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</row>
    <row r="931">
      <c r="A931" s="235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</row>
    <row r="932">
      <c r="A932" s="235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</row>
    <row r="933">
      <c r="A933" s="235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</row>
    <row r="934">
      <c r="A934" s="235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</row>
    <row r="935">
      <c r="A935" s="235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</row>
    <row r="936">
      <c r="A936" s="235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</row>
    <row r="937">
      <c r="A937" s="235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</row>
    <row r="938">
      <c r="A938" s="235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</row>
    <row r="939">
      <c r="A939" s="235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</row>
    <row r="940">
      <c r="A940" s="235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</row>
    <row r="941">
      <c r="A941" s="235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</row>
    <row r="942">
      <c r="A942" s="235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</row>
    <row r="943">
      <c r="A943" s="235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</row>
    <row r="944">
      <c r="A944" s="235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</row>
    <row r="945">
      <c r="A945" s="235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</row>
    <row r="946">
      <c r="A946" s="235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</row>
    <row r="947">
      <c r="A947" s="235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</row>
    <row r="948">
      <c r="A948" s="235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</row>
    <row r="949">
      <c r="A949" s="235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</row>
    <row r="950">
      <c r="A950" s="235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</row>
    <row r="951">
      <c r="A951" s="235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</row>
    <row r="952">
      <c r="A952" s="235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</row>
    <row r="953">
      <c r="A953" s="235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</row>
    <row r="954">
      <c r="A954" s="235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</row>
    <row r="955">
      <c r="A955" s="235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</row>
    <row r="956">
      <c r="A956" s="235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</row>
    <row r="957">
      <c r="A957" s="235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</row>
    <row r="958">
      <c r="A958" s="235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</row>
    <row r="959">
      <c r="A959" s="235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</row>
    <row r="960">
      <c r="A960" s="235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</row>
    <row r="961">
      <c r="A961" s="235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</row>
    <row r="962">
      <c r="A962" s="235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</row>
    <row r="963">
      <c r="A963" s="235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</row>
    <row r="964">
      <c r="A964" s="235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</row>
    <row r="965">
      <c r="A965" s="235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</row>
    <row r="966">
      <c r="A966" s="235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</row>
    <row r="967">
      <c r="A967" s="235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</row>
    <row r="968">
      <c r="A968" s="235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</row>
    <row r="969">
      <c r="A969" s="235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</row>
    <row r="970">
      <c r="A970" s="235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</row>
    <row r="971">
      <c r="A971" s="235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</row>
    <row r="972">
      <c r="A972" s="235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</row>
    <row r="973">
      <c r="A973" s="235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</row>
    <row r="974">
      <c r="A974" s="235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</row>
    <row r="975">
      <c r="A975" s="235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</row>
    <row r="976">
      <c r="A976" s="235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</row>
    <row r="977">
      <c r="A977" s="235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</row>
    <row r="978">
      <c r="A978" s="235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</row>
    <row r="979">
      <c r="A979" s="235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</row>
    <row r="980">
      <c r="A980" s="235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</row>
    <row r="981">
      <c r="A981" s="235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</row>
    <row r="982">
      <c r="A982" s="235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</row>
    <row r="983">
      <c r="A983" s="235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</row>
    <row r="984">
      <c r="A984" s="235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</row>
    <row r="985">
      <c r="A985" s="235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</row>
    <row r="986">
      <c r="A986" s="235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</row>
    <row r="987">
      <c r="A987" s="235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</row>
    <row r="988">
      <c r="A988" s="235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</row>
    <row r="989">
      <c r="A989" s="235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</row>
    <row r="990">
      <c r="A990" s="235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</row>
    <row r="991">
      <c r="A991" s="235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</row>
    <row r="992">
      <c r="A992" s="235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</row>
    <row r="993">
      <c r="A993" s="235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</row>
    <row r="994">
      <c r="A994" s="235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</row>
    <row r="995">
      <c r="A995" s="235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</row>
    <row r="996">
      <c r="A996" s="235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</row>
    <row r="997">
      <c r="A997" s="235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</row>
    <row r="998">
      <c r="A998" s="235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</row>
    <row r="999">
      <c r="A999" s="235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</row>
    <row r="1000">
      <c r="A1000" s="235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</row>
    <row r="1001">
      <c r="A1001" s="235"/>
      <c r="B1001" s="218"/>
      <c r="C1001" s="218"/>
      <c r="D1001" s="218"/>
      <c r="E1001" s="218"/>
      <c r="F1001" s="218"/>
      <c r="G1001" s="218"/>
      <c r="H1001" s="218"/>
      <c r="I1001" s="218"/>
      <c r="J1001" s="218"/>
      <c r="K1001" s="218"/>
      <c r="L1001" s="218"/>
      <c r="M1001" s="218"/>
      <c r="N1001" s="218"/>
      <c r="O1001" s="218"/>
    </row>
    <row r="1002">
      <c r="A1002" s="235"/>
      <c r="B1002" s="218"/>
      <c r="C1002" s="218"/>
      <c r="D1002" s="218"/>
      <c r="E1002" s="218"/>
      <c r="F1002" s="218"/>
      <c r="G1002" s="218"/>
      <c r="H1002" s="218"/>
      <c r="I1002" s="218"/>
      <c r="J1002" s="218"/>
      <c r="K1002" s="218"/>
      <c r="L1002" s="218"/>
      <c r="M1002" s="218"/>
      <c r="N1002" s="218"/>
      <c r="O1002" s="218"/>
    </row>
    <row r="1003">
      <c r="A1003" s="235"/>
      <c r="B1003" s="218"/>
      <c r="C1003" s="218"/>
      <c r="D1003" s="218"/>
      <c r="E1003" s="218"/>
      <c r="F1003" s="218"/>
      <c r="G1003" s="218"/>
      <c r="H1003" s="218"/>
      <c r="I1003" s="218"/>
      <c r="J1003" s="218"/>
      <c r="K1003" s="218"/>
      <c r="L1003" s="218"/>
      <c r="M1003" s="218"/>
      <c r="N1003" s="218"/>
      <c r="O1003" s="218"/>
    </row>
    <row r="1004">
      <c r="A1004" s="235"/>
      <c r="B1004" s="218"/>
      <c r="C1004" s="218"/>
      <c r="D1004" s="218"/>
      <c r="E1004" s="218"/>
      <c r="F1004" s="218"/>
      <c r="G1004" s="218"/>
      <c r="H1004" s="218"/>
      <c r="I1004" s="218"/>
      <c r="J1004" s="218"/>
      <c r="K1004" s="218"/>
      <c r="L1004" s="218"/>
      <c r="M1004" s="218"/>
      <c r="N1004" s="218"/>
      <c r="O1004" s="218"/>
    </row>
    <row r="1005">
      <c r="A1005" s="235"/>
      <c r="B1005" s="218"/>
      <c r="C1005" s="218"/>
      <c r="D1005" s="218"/>
      <c r="E1005" s="218"/>
      <c r="F1005" s="218"/>
      <c r="G1005" s="218"/>
      <c r="H1005" s="218"/>
      <c r="I1005" s="218"/>
      <c r="J1005" s="218"/>
      <c r="K1005" s="218"/>
      <c r="L1005" s="218"/>
      <c r="M1005" s="218"/>
      <c r="N1005" s="218"/>
      <c r="O1005" s="218"/>
    </row>
    <row r="1006">
      <c r="A1006" s="235"/>
      <c r="B1006" s="218"/>
      <c r="C1006" s="218"/>
      <c r="D1006" s="218"/>
      <c r="E1006" s="218"/>
      <c r="F1006" s="218"/>
      <c r="G1006" s="218"/>
      <c r="H1006" s="218"/>
      <c r="I1006" s="218"/>
      <c r="J1006" s="218"/>
      <c r="K1006" s="218"/>
      <c r="L1006" s="218"/>
      <c r="M1006" s="218"/>
      <c r="N1006" s="218"/>
      <c r="O1006" s="218"/>
    </row>
    <row r="1007">
      <c r="A1007" s="235"/>
      <c r="B1007" s="218"/>
      <c r="C1007" s="218"/>
      <c r="D1007" s="218"/>
      <c r="E1007" s="218"/>
      <c r="F1007" s="218"/>
      <c r="G1007" s="218"/>
      <c r="H1007" s="218"/>
      <c r="I1007" s="218"/>
      <c r="J1007" s="218"/>
      <c r="K1007" s="218"/>
      <c r="L1007" s="218"/>
      <c r="M1007" s="218"/>
      <c r="N1007" s="218"/>
      <c r="O1007" s="218"/>
    </row>
    <row r="1008">
      <c r="A1008" s="235"/>
      <c r="B1008" s="218"/>
      <c r="C1008" s="218"/>
      <c r="D1008" s="218"/>
      <c r="E1008" s="218"/>
      <c r="F1008" s="218"/>
      <c r="G1008" s="218"/>
      <c r="H1008" s="218"/>
      <c r="I1008" s="218"/>
      <c r="J1008" s="218"/>
      <c r="K1008" s="218"/>
      <c r="L1008" s="218"/>
      <c r="M1008" s="218"/>
      <c r="N1008" s="218"/>
      <c r="O1008" s="218"/>
    </row>
    <row r="1009">
      <c r="A1009" s="235"/>
      <c r="B1009" s="218"/>
      <c r="C1009" s="218"/>
      <c r="D1009" s="218"/>
      <c r="E1009" s="218"/>
      <c r="F1009" s="218"/>
      <c r="G1009" s="218"/>
      <c r="H1009" s="218"/>
      <c r="I1009" s="218"/>
      <c r="J1009" s="218"/>
      <c r="K1009" s="218"/>
      <c r="L1009" s="218"/>
      <c r="M1009" s="218"/>
      <c r="N1009" s="218"/>
      <c r="O1009" s="218"/>
    </row>
    <row r="1010">
      <c r="A1010" s="235"/>
      <c r="B1010" s="218"/>
      <c r="C1010" s="218"/>
      <c r="D1010" s="218"/>
      <c r="E1010" s="218"/>
      <c r="F1010" s="218"/>
      <c r="G1010" s="218"/>
      <c r="H1010" s="218"/>
      <c r="I1010" s="218"/>
      <c r="J1010" s="218"/>
      <c r="K1010" s="218"/>
      <c r="L1010" s="218"/>
      <c r="M1010" s="218"/>
      <c r="N1010" s="218"/>
      <c r="O1010" s="218"/>
    </row>
    <row r="1011">
      <c r="A1011" s="235"/>
      <c r="B1011" s="218"/>
      <c r="C1011" s="218"/>
      <c r="D1011" s="218"/>
      <c r="E1011" s="218"/>
      <c r="F1011" s="218"/>
      <c r="G1011" s="218"/>
      <c r="H1011" s="218"/>
      <c r="I1011" s="218"/>
      <c r="J1011" s="218"/>
      <c r="K1011" s="218"/>
      <c r="L1011" s="218"/>
      <c r="M1011" s="218"/>
      <c r="N1011" s="218"/>
      <c r="O1011" s="218"/>
    </row>
    <row r="1012">
      <c r="A1012" s="235"/>
      <c r="B1012" s="218"/>
      <c r="C1012" s="218"/>
      <c r="D1012" s="218"/>
      <c r="E1012" s="218"/>
      <c r="F1012" s="218"/>
      <c r="G1012" s="218"/>
      <c r="H1012" s="218"/>
      <c r="I1012" s="218"/>
      <c r="J1012" s="218"/>
      <c r="K1012" s="218"/>
      <c r="L1012" s="218"/>
      <c r="M1012" s="218"/>
      <c r="N1012" s="218"/>
      <c r="O1012" s="218"/>
    </row>
    <row r="1013">
      <c r="A1013" s="235"/>
      <c r="B1013" s="218"/>
      <c r="C1013" s="218"/>
      <c r="D1013" s="218"/>
      <c r="E1013" s="218"/>
      <c r="F1013" s="218"/>
      <c r="G1013" s="218"/>
      <c r="H1013" s="218"/>
      <c r="I1013" s="218"/>
      <c r="J1013" s="218"/>
      <c r="K1013" s="218"/>
      <c r="L1013" s="218"/>
      <c r="M1013" s="218"/>
      <c r="N1013" s="218"/>
      <c r="O1013" s="218"/>
    </row>
    <row r="1014">
      <c r="A1014" s="235"/>
      <c r="B1014" s="218"/>
      <c r="C1014" s="218"/>
      <c r="D1014" s="218"/>
      <c r="E1014" s="218"/>
      <c r="F1014" s="218"/>
      <c r="G1014" s="218"/>
      <c r="H1014" s="218"/>
      <c r="I1014" s="218"/>
      <c r="J1014" s="218"/>
      <c r="K1014" s="218"/>
      <c r="L1014" s="218"/>
      <c r="M1014" s="218"/>
      <c r="N1014" s="218"/>
      <c r="O1014" s="218"/>
    </row>
    <row r="1015">
      <c r="A1015" s="235"/>
      <c r="B1015" s="218"/>
      <c r="C1015" s="218"/>
      <c r="D1015" s="218"/>
      <c r="E1015" s="218"/>
      <c r="F1015" s="218"/>
      <c r="G1015" s="218"/>
      <c r="H1015" s="218"/>
      <c r="I1015" s="218"/>
      <c r="J1015" s="218"/>
      <c r="K1015" s="218"/>
      <c r="L1015" s="218"/>
      <c r="M1015" s="218"/>
      <c r="N1015" s="218"/>
      <c r="O1015" s="218"/>
    </row>
    <row r="1016">
      <c r="A1016" s="235"/>
      <c r="B1016" s="218"/>
      <c r="C1016" s="218"/>
      <c r="D1016" s="218"/>
      <c r="E1016" s="218"/>
      <c r="F1016" s="218"/>
      <c r="G1016" s="218"/>
      <c r="H1016" s="218"/>
      <c r="I1016" s="218"/>
      <c r="J1016" s="218"/>
      <c r="K1016" s="218"/>
      <c r="L1016" s="218"/>
      <c r="M1016" s="218"/>
      <c r="N1016" s="218"/>
      <c r="O1016" s="218"/>
    </row>
    <row r="1017">
      <c r="A1017" s="235"/>
      <c r="B1017" s="218"/>
      <c r="C1017" s="218"/>
      <c r="D1017" s="218"/>
      <c r="E1017" s="218"/>
      <c r="F1017" s="218"/>
      <c r="G1017" s="218"/>
      <c r="H1017" s="218"/>
      <c r="I1017" s="218"/>
      <c r="J1017" s="218"/>
      <c r="K1017" s="218"/>
      <c r="L1017" s="218"/>
      <c r="M1017" s="218"/>
      <c r="N1017" s="218"/>
      <c r="O1017" s="218"/>
    </row>
    <row r="1018">
      <c r="A1018" s="235"/>
      <c r="B1018" s="218"/>
      <c r="C1018" s="218"/>
      <c r="D1018" s="218"/>
      <c r="E1018" s="218"/>
      <c r="F1018" s="218"/>
      <c r="G1018" s="218"/>
      <c r="H1018" s="218"/>
      <c r="I1018" s="218"/>
      <c r="J1018" s="218"/>
      <c r="K1018" s="218"/>
      <c r="L1018" s="218"/>
      <c r="M1018" s="218"/>
      <c r="N1018" s="218"/>
      <c r="O1018" s="218"/>
    </row>
    <row r="1019">
      <c r="A1019" s="235"/>
      <c r="B1019" s="218"/>
      <c r="C1019" s="218"/>
      <c r="D1019" s="218"/>
      <c r="E1019" s="218"/>
      <c r="F1019" s="218"/>
      <c r="G1019" s="218"/>
      <c r="H1019" s="218"/>
      <c r="I1019" s="218"/>
      <c r="J1019" s="218"/>
      <c r="K1019" s="218"/>
      <c r="L1019" s="218"/>
      <c r="M1019" s="218"/>
      <c r="N1019" s="218"/>
      <c r="O1019" s="218"/>
    </row>
    <row r="1020">
      <c r="A1020" s="235"/>
      <c r="B1020" s="218"/>
      <c r="C1020" s="218"/>
      <c r="D1020" s="218"/>
      <c r="E1020" s="218"/>
      <c r="F1020" s="218"/>
      <c r="G1020" s="218"/>
      <c r="H1020" s="218"/>
      <c r="I1020" s="218"/>
      <c r="J1020" s="218"/>
      <c r="K1020" s="218"/>
      <c r="L1020" s="218"/>
      <c r="M1020" s="218"/>
      <c r="N1020" s="218"/>
      <c r="O1020" s="218"/>
    </row>
    <row r="1021">
      <c r="A1021" s="235"/>
      <c r="B1021" s="218"/>
      <c r="C1021" s="218"/>
      <c r="D1021" s="218"/>
      <c r="E1021" s="218"/>
      <c r="F1021" s="218"/>
      <c r="G1021" s="218"/>
      <c r="H1021" s="218"/>
      <c r="I1021" s="218"/>
      <c r="J1021" s="218"/>
      <c r="K1021" s="218"/>
      <c r="L1021" s="218"/>
      <c r="M1021" s="218"/>
      <c r="N1021" s="218"/>
      <c r="O1021" s="218"/>
    </row>
    <row r="1022">
      <c r="A1022" s="235"/>
      <c r="B1022" s="218"/>
      <c r="C1022" s="218"/>
      <c r="D1022" s="218"/>
      <c r="E1022" s="218"/>
      <c r="F1022" s="218"/>
      <c r="G1022" s="218"/>
      <c r="H1022" s="218"/>
      <c r="I1022" s="218"/>
      <c r="J1022" s="218"/>
      <c r="K1022" s="218"/>
      <c r="L1022" s="218"/>
      <c r="M1022" s="218"/>
      <c r="N1022" s="218"/>
      <c r="O1022" s="218"/>
    </row>
    <row r="1023">
      <c r="A1023" s="235"/>
      <c r="B1023" s="218"/>
      <c r="C1023" s="218"/>
      <c r="D1023" s="218"/>
      <c r="E1023" s="218"/>
      <c r="F1023" s="218"/>
      <c r="G1023" s="218"/>
      <c r="H1023" s="218"/>
      <c r="I1023" s="218"/>
      <c r="J1023" s="218"/>
      <c r="K1023" s="218"/>
      <c r="L1023" s="218"/>
      <c r="M1023" s="218"/>
      <c r="N1023" s="218"/>
      <c r="O1023" s="218"/>
    </row>
    <row r="1024">
      <c r="A1024" s="235"/>
      <c r="B1024" s="218"/>
      <c r="C1024" s="218"/>
      <c r="D1024" s="218"/>
      <c r="E1024" s="218"/>
      <c r="F1024" s="218"/>
      <c r="G1024" s="218"/>
      <c r="H1024" s="218"/>
      <c r="I1024" s="218"/>
      <c r="J1024" s="218"/>
      <c r="K1024" s="218"/>
      <c r="L1024" s="218"/>
      <c r="M1024" s="218"/>
      <c r="N1024" s="218"/>
      <c r="O1024" s="218"/>
    </row>
    <row r="1025">
      <c r="A1025" s="235"/>
      <c r="B1025" s="218"/>
      <c r="C1025" s="218"/>
      <c r="D1025" s="218"/>
      <c r="E1025" s="218"/>
      <c r="F1025" s="218"/>
      <c r="G1025" s="218"/>
      <c r="H1025" s="218"/>
      <c r="I1025" s="218"/>
      <c r="J1025" s="218"/>
      <c r="K1025" s="218"/>
      <c r="L1025" s="218"/>
      <c r="M1025" s="218"/>
      <c r="N1025" s="218"/>
      <c r="O1025" s="218"/>
    </row>
    <row r="1026">
      <c r="A1026" s="235"/>
      <c r="B1026" s="218"/>
      <c r="C1026" s="218"/>
      <c r="D1026" s="218"/>
      <c r="E1026" s="218"/>
      <c r="F1026" s="218"/>
      <c r="G1026" s="218"/>
      <c r="H1026" s="218"/>
      <c r="I1026" s="218"/>
      <c r="J1026" s="218"/>
      <c r="K1026" s="218"/>
      <c r="L1026" s="218"/>
      <c r="M1026" s="218"/>
      <c r="N1026" s="218"/>
      <c r="O1026" s="218"/>
    </row>
    <row r="1027">
      <c r="A1027" s="235"/>
      <c r="B1027" s="218"/>
      <c r="C1027" s="218"/>
      <c r="D1027" s="218"/>
      <c r="E1027" s="218"/>
      <c r="F1027" s="218"/>
      <c r="G1027" s="218"/>
      <c r="H1027" s="218"/>
      <c r="I1027" s="218"/>
      <c r="J1027" s="218"/>
      <c r="K1027" s="218"/>
      <c r="L1027" s="218"/>
      <c r="M1027" s="218"/>
      <c r="N1027" s="218"/>
      <c r="O1027" s="218"/>
    </row>
    <row r="1028">
      <c r="A1028" s="235"/>
      <c r="B1028" s="218"/>
      <c r="C1028" s="218"/>
      <c r="D1028" s="218"/>
      <c r="E1028" s="218"/>
      <c r="F1028" s="218"/>
      <c r="G1028" s="218"/>
      <c r="H1028" s="218"/>
      <c r="I1028" s="218"/>
      <c r="J1028" s="218"/>
      <c r="K1028" s="218"/>
      <c r="L1028" s="218"/>
      <c r="M1028" s="218"/>
      <c r="N1028" s="218"/>
      <c r="O1028" s="218"/>
    </row>
    <row r="1029">
      <c r="A1029" s="235"/>
      <c r="B1029" s="218"/>
      <c r="C1029" s="218"/>
      <c r="D1029" s="218"/>
      <c r="E1029" s="218"/>
      <c r="F1029" s="218"/>
      <c r="G1029" s="218"/>
      <c r="H1029" s="218"/>
      <c r="I1029" s="218"/>
      <c r="J1029" s="218"/>
      <c r="K1029" s="218"/>
      <c r="L1029" s="218"/>
      <c r="M1029" s="218"/>
      <c r="N1029" s="218"/>
      <c r="O1029" s="218"/>
    </row>
    <row r="1030">
      <c r="A1030" s="235"/>
      <c r="B1030" s="218"/>
      <c r="C1030" s="218"/>
      <c r="D1030" s="218"/>
      <c r="E1030" s="218"/>
      <c r="F1030" s="218"/>
      <c r="G1030" s="218"/>
      <c r="H1030" s="218"/>
      <c r="I1030" s="218"/>
      <c r="J1030" s="218"/>
      <c r="K1030" s="218"/>
      <c r="L1030" s="218"/>
      <c r="M1030" s="218"/>
      <c r="N1030" s="218"/>
      <c r="O1030" s="218"/>
    </row>
    <row r="1031">
      <c r="A1031" s="235"/>
      <c r="B1031" s="218"/>
      <c r="C1031" s="218"/>
      <c r="D1031" s="218"/>
      <c r="E1031" s="218"/>
      <c r="F1031" s="218"/>
      <c r="G1031" s="218"/>
      <c r="H1031" s="218"/>
      <c r="I1031" s="218"/>
      <c r="J1031" s="218"/>
      <c r="K1031" s="218"/>
      <c r="L1031" s="218"/>
      <c r="M1031" s="218"/>
      <c r="N1031" s="218"/>
      <c r="O1031" s="218"/>
    </row>
    <row r="1032">
      <c r="A1032" s="235"/>
      <c r="B1032" s="218"/>
      <c r="C1032" s="218"/>
      <c r="D1032" s="218"/>
      <c r="E1032" s="218"/>
      <c r="F1032" s="218"/>
      <c r="G1032" s="218"/>
      <c r="H1032" s="218"/>
      <c r="I1032" s="218"/>
      <c r="J1032" s="218"/>
      <c r="K1032" s="218"/>
      <c r="L1032" s="218"/>
      <c r="M1032" s="218"/>
      <c r="N1032" s="218"/>
      <c r="O1032" s="218"/>
    </row>
    <row r="1033">
      <c r="A1033" s="235"/>
      <c r="B1033" s="218"/>
      <c r="C1033" s="218"/>
      <c r="D1033" s="218"/>
      <c r="E1033" s="218"/>
      <c r="F1033" s="218"/>
      <c r="G1033" s="218"/>
      <c r="H1033" s="218"/>
      <c r="I1033" s="218"/>
      <c r="J1033" s="218"/>
      <c r="K1033" s="218"/>
      <c r="L1033" s="218"/>
      <c r="M1033" s="218"/>
      <c r="N1033" s="218"/>
      <c r="O1033" s="218"/>
    </row>
    <row r="1034">
      <c r="A1034" s="235"/>
      <c r="B1034" s="218"/>
      <c r="C1034" s="218"/>
      <c r="D1034" s="218"/>
      <c r="E1034" s="218"/>
      <c r="F1034" s="218"/>
      <c r="G1034" s="218"/>
      <c r="H1034" s="218"/>
      <c r="I1034" s="218"/>
      <c r="J1034" s="218"/>
      <c r="K1034" s="218"/>
      <c r="L1034" s="218"/>
      <c r="M1034" s="218"/>
      <c r="N1034" s="218"/>
      <c r="O1034" s="218"/>
    </row>
    <row r="1035">
      <c r="A1035" s="235"/>
      <c r="B1035" s="218"/>
      <c r="C1035" s="218"/>
      <c r="D1035" s="218"/>
      <c r="E1035" s="218"/>
      <c r="F1035" s="218"/>
      <c r="G1035" s="218"/>
      <c r="H1035" s="218"/>
      <c r="I1035" s="218"/>
      <c r="J1035" s="218"/>
      <c r="K1035" s="218"/>
      <c r="L1035" s="218"/>
      <c r="M1035" s="218"/>
      <c r="N1035" s="218"/>
      <c r="O1035" s="218"/>
    </row>
  </sheetData>
  <mergeCells count="26">
    <mergeCell ref="A1:B1"/>
    <mergeCell ref="B2:C2"/>
    <mergeCell ref="D38:O38"/>
    <mergeCell ref="B131:C131"/>
    <mergeCell ref="B138:C138"/>
    <mergeCell ref="D138:O138"/>
    <mergeCell ref="B140:C140"/>
    <mergeCell ref="B141:C141"/>
    <mergeCell ref="D141:O141"/>
    <mergeCell ref="B142:C142"/>
    <mergeCell ref="B185:C185"/>
    <mergeCell ref="B186:C186"/>
    <mergeCell ref="D186:O186"/>
    <mergeCell ref="D187:O187"/>
    <mergeCell ref="B207:C207"/>
    <mergeCell ref="B208:C208"/>
    <mergeCell ref="B209:C209"/>
    <mergeCell ref="B210:C210"/>
    <mergeCell ref="B211:C211"/>
    <mergeCell ref="B191:C191"/>
    <mergeCell ref="B193:C193"/>
    <mergeCell ref="B197:C197"/>
    <mergeCell ref="B198:C198"/>
    <mergeCell ref="D198:O198"/>
    <mergeCell ref="B199:C199"/>
    <mergeCell ref="B203:C203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38"/>
    <col customWidth="1" min="2" max="2" width="49.13"/>
  </cols>
  <sheetData>
    <row r="1" ht="41.25" customHeight="1">
      <c r="A1" s="316" t="s">
        <v>568</v>
      </c>
      <c r="B1" s="317" t="s">
        <v>569</v>
      </c>
      <c r="C1" s="318"/>
    </row>
    <row r="2" ht="41.25" customHeight="1">
      <c r="A2" s="319" t="s">
        <v>570</v>
      </c>
      <c r="B2" s="320" t="s">
        <v>571</v>
      </c>
      <c r="C2" s="318"/>
    </row>
    <row r="3" ht="37.5" customHeight="1">
      <c r="A3" s="321" t="s">
        <v>572</v>
      </c>
      <c r="B3" s="322" t="s">
        <v>573</v>
      </c>
      <c r="C3" s="318"/>
    </row>
    <row r="4" ht="40.5" customHeight="1">
      <c r="A4" s="319" t="s">
        <v>574</v>
      </c>
      <c r="B4" s="320" t="s">
        <v>575</v>
      </c>
      <c r="C4" s="318"/>
    </row>
    <row r="5" ht="63.0" customHeight="1">
      <c r="A5" s="321" t="s">
        <v>576</v>
      </c>
      <c r="B5" s="322" t="s">
        <v>577</v>
      </c>
      <c r="C5" s="318"/>
    </row>
    <row r="6" ht="45.75" customHeight="1">
      <c r="A6" s="319" t="s">
        <v>578</v>
      </c>
      <c r="B6" s="320" t="s">
        <v>579</v>
      </c>
      <c r="C6" s="318"/>
    </row>
    <row r="7" ht="35.25" customHeight="1">
      <c r="A7" s="321" t="s">
        <v>580</v>
      </c>
      <c r="B7" s="322" t="s">
        <v>581</v>
      </c>
      <c r="C7" s="318"/>
    </row>
    <row r="8" ht="37.5" customHeight="1">
      <c r="A8" s="323" t="s">
        <v>582</v>
      </c>
      <c r="B8" s="320" t="s">
        <v>583</v>
      </c>
      <c r="C8" s="318"/>
    </row>
    <row r="9" ht="57.0" customHeight="1">
      <c r="A9" s="324" t="s">
        <v>584</v>
      </c>
      <c r="B9" s="322" t="s">
        <v>585</v>
      </c>
      <c r="C9" s="318"/>
    </row>
    <row r="10" ht="37.5" customHeight="1">
      <c r="A10" s="319" t="s">
        <v>586</v>
      </c>
      <c r="B10" s="320" t="s">
        <v>587</v>
      </c>
      <c r="C10" s="325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</row>
    <row r="11" ht="45.0" customHeight="1">
      <c r="A11" s="321" t="s">
        <v>588</v>
      </c>
      <c r="B11" s="322" t="s">
        <v>589</v>
      </c>
      <c r="C11" s="325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  <c r="Y11" s="326"/>
      <c r="Z11" s="326"/>
    </row>
    <row r="12" ht="57.75" customHeight="1">
      <c r="A12" s="319" t="s">
        <v>590</v>
      </c>
      <c r="B12" s="320" t="s">
        <v>591</v>
      </c>
      <c r="C12" s="318"/>
    </row>
    <row r="13" ht="45.0" customHeight="1">
      <c r="A13" s="321" t="s">
        <v>592</v>
      </c>
      <c r="B13" s="327" t="s">
        <v>593</v>
      </c>
      <c r="C13" s="318"/>
    </row>
    <row r="14">
      <c r="A14" s="319" t="s">
        <v>594</v>
      </c>
      <c r="B14" s="328" t="s">
        <v>595</v>
      </c>
      <c r="C14" s="318"/>
    </row>
    <row r="15">
      <c r="A15" s="329" t="s">
        <v>596</v>
      </c>
      <c r="B15" s="330" t="s">
        <v>597</v>
      </c>
      <c r="C15" s="318"/>
    </row>
    <row r="16">
      <c r="A16" s="331"/>
      <c r="B16" s="331"/>
    </row>
    <row r="17">
      <c r="A17" s="332"/>
      <c r="B17" s="332"/>
    </row>
    <row r="18">
      <c r="A18" s="332"/>
      <c r="B18" s="332"/>
    </row>
    <row r="19">
      <c r="A19" s="332"/>
      <c r="B19" s="332"/>
    </row>
    <row r="20">
      <c r="A20" s="332"/>
      <c r="B20" s="332"/>
    </row>
    <row r="21">
      <c r="A21" s="332"/>
      <c r="B21" s="332"/>
    </row>
    <row r="22">
      <c r="A22" s="332"/>
      <c r="B22" s="332"/>
    </row>
    <row r="23">
      <c r="A23" s="332"/>
      <c r="B23" s="332"/>
    </row>
    <row r="24">
      <c r="A24" s="332"/>
      <c r="B24" s="332"/>
    </row>
    <row r="25">
      <c r="A25" s="332"/>
      <c r="B25" s="332"/>
    </row>
    <row r="26">
      <c r="A26" s="332"/>
      <c r="B26" s="332"/>
    </row>
    <row r="27">
      <c r="A27" s="332"/>
      <c r="B27" s="332"/>
    </row>
    <row r="28">
      <c r="A28" s="332"/>
      <c r="B28" s="332"/>
    </row>
    <row r="29">
      <c r="A29" s="332"/>
      <c r="B29" s="332"/>
    </row>
    <row r="30">
      <c r="A30" s="332"/>
      <c r="B30" s="332"/>
    </row>
    <row r="31">
      <c r="A31" s="332"/>
      <c r="B31" s="332"/>
    </row>
    <row r="32">
      <c r="A32" s="332"/>
      <c r="B32" s="332"/>
    </row>
    <row r="33">
      <c r="A33" s="332"/>
      <c r="B33" s="332"/>
    </row>
    <row r="34">
      <c r="A34" s="332"/>
      <c r="B34" s="332"/>
    </row>
    <row r="35">
      <c r="A35" s="332"/>
      <c r="B35" s="332"/>
    </row>
    <row r="36">
      <c r="A36" s="332"/>
      <c r="B36" s="332"/>
    </row>
    <row r="37">
      <c r="A37" s="332"/>
      <c r="B37" s="332"/>
    </row>
    <row r="38">
      <c r="A38" s="332"/>
      <c r="B38" s="332"/>
    </row>
    <row r="39">
      <c r="A39" s="332"/>
      <c r="B39" s="332"/>
    </row>
    <row r="40">
      <c r="A40" s="332"/>
      <c r="B40" s="332"/>
    </row>
    <row r="41">
      <c r="A41" s="332"/>
      <c r="B41" s="332"/>
    </row>
    <row r="42">
      <c r="A42" s="332"/>
      <c r="B42" s="332"/>
    </row>
    <row r="43">
      <c r="A43" s="332"/>
      <c r="B43" s="332"/>
    </row>
    <row r="44">
      <c r="A44" s="332"/>
      <c r="B44" s="332"/>
    </row>
    <row r="45">
      <c r="A45" s="332"/>
      <c r="B45" s="332"/>
    </row>
    <row r="46">
      <c r="A46" s="332"/>
      <c r="B46" s="332"/>
    </row>
    <row r="47">
      <c r="A47" s="332"/>
      <c r="B47" s="332"/>
    </row>
    <row r="48">
      <c r="A48" s="332"/>
      <c r="B48" s="332"/>
    </row>
    <row r="49">
      <c r="A49" s="332"/>
      <c r="B49" s="332"/>
    </row>
    <row r="50">
      <c r="A50" s="332"/>
      <c r="B50" s="332"/>
    </row>
    <row r="51">
      <c r="A51" s="332"/>
      <c r="B51" s="332"/>
    </row>
    <row r="52">
      <c r="A52" s="332"/>
      <c r="B52" s="332"/>
    </row>
    <row r="53">
      <c r="A53" s="332"/>
      <c r="B53" s="332"/>
    </row>
    <row r="54">
      <c r="A54" s="332"/>
      <c r="B54" s="332"/>
    </row>
    <row r="55">
      <c r="A55" s="332"/>
      <c r="B55" s="332"/>
    </row>
    <row r="56">
      <c r="A56" s="332"/>
      <c r="B56" s="332"/>
    </row>
    <row r="57">
      <c r="A57" s="332"/>
      <c r="B57" s="332"/>
    </row>
    <row r="58">
      <c r="A58" s="332"/>
      <c r="B58" s="332"/>
    </row>
    <row r="59">
      <c r="A59" s="332"/>
      <c r="B59" s="332"/>
    </row>
    <row r="60">
      <c r="A60" s="332"/>
      <c r="B60" s="332"/>
    </row>
    <row r="61">
      <c r="A61" s="332"/>
      <c r="B61" s="332"/>
    </row>
    <row r="62">
      <c r="A62" s="332"/>
      <c r="B62" s="332"/>
    </row>
    <row r="63">
      <c r="A63" s="332"/>
      <c r="B63" s="332"/>
    </row>
    <row r="64">
      <c r="A64" s="332"/>
      <c r="B64" s="332"/>
    </row>
    <row r="65">
      <c r="A65" s="332"/>
      <c r="B65" s="332"/>
    </row>
    <row r="66">
      <c r="A66" s="332"/>
      <c r="B66" s="332"/>
    </row>
    <row r="67">
      <c r="A67" s="332"/>
      <c r="B67" s="332"/>
    </row>
    <row r="68">
      <c r="A68" s="332"/>
      <c r="B68" s="332"/>
    </row>
    <row r="69">
      <c r="A69" s="332"/>
      <c r="B69" s="332"/>
    </row>
    <row r="70">
      <c r="A70" s="332"/>
      <c r="B70" s="332"/>
    </row>
    <row r="71">
      <c r="A71" s="332"/>
      <c r="B71" s="332"/>
    </row>
    <row r="72">
      <c r="A72" s="332"/>
      <c r="B72" s="332"/>
    </row>
    <row r="73">
      <c r="A73" s="332"/>
      <c r="B73" s="332"/>
    </row>
    <row r="74">
      <c r="A74" s="332"/>
      <c r="B74" s="332"/>
    </row>
    <row r="75">
      <c r="A75" s="332"/>
      <c r="B75" s="332"/>
    </row>
    <row r="76">
      <c r="A76" s="332"/>
      <c r="B76" s="332"/>
    </row>
    <row r="77">
      <c r="A77" s="332"/>
      <c r="B77" s="332"/>
    </row>
    <row r="78">
      <c r="A78" s="332"/>
      <c r="B78" s="332"/>
    </row>
    <row r="79">
      <c r="A79" s="332"/>
      <c r="B79" s="332"/>
    </row>
    <row r="80">
      <c r="A80" s="332"/>
      <c r="B80" s="332"/>
    </row>
    <row r="81">
      <c r="A81" s="332"/>
      <c r="B81" s="332"/>
    </row>
    <row r="82">
      <c r="A82" s="332"/>
      <c r="B82" s="332"/>
    </row>
    <row r="83">
      <c r="A83" s="332"/>
      <c r="B83" s="332"/>
    </row>
    <row r="84">
      <c r="A84" s="332"/>
      <c r="B84" s="332"/>
    </row>
    <row r="85">
      <c r="A85" s="332"/>
      <c r="B85" s="332"/>
    </row>
    <row r="86">
      <c r="A86" s="332"/>
      <c r="B86" s="332"/>
    </row>
    <row r="87">
      <c r="A87" s="332"/>
      <c r="B87" s="332"/>
    </row>
    <row r="88">
      <c r="A88" s="332"/>
      <c r="B88" s="332"/>
    </row>
    <row r="89">
      <c r="A89" s="332"/>
      <c r="B89" s="332"/>
    </row>
    <row r="90">
      <c r="A90" s="332"/>
      <c r="B90" s="332"/>
    </row>
    <row r="91">
      <c r="A91" s="332"/>
      <c r="B91" s="332"/>
    </row>
    <row r="92">
      <c r="A92" s="332"/>
      <c r="B92" s="332"/>
    </row>
    <row r="93">
      <c r="A93" s="332"/>
      <c r="B93" s="332"/>
    </row>
    <row r="94">
      <c r="A94" s="332"/>
      <c r="B94" s="332"/>
    </row>
    <row r="95">
      <c r="A95" s="332"/>
      <c r="B95" s="332"/>
    </row>
    <row r="96">
      <c r="A96" s="332"/>
      <c r="B96" s="332"/>
    </row>
    <row r="97">
      <c r="A97" s="332"/>
      <c r="B97" s="332"/>
    </row>
    <row r="98">
      <c r="A98" s="332"/>
      <c r="B98" s="332"/>
    </row>
    <row r="99">
      <c r="A99" s="332"/>
      <c r="B99" s="332"/>
    </row>
    <row r="100">
      <c r="A100" s="332"/>
      <c r="B100" s="332"/>
    </row>
    <row r="101">
      <c r="A101" s="332"/>
      <c r="B101" s="332"/>
    </row>
    <row r="102">
      <c r="A102" s="332"/>
      <c r="B102" s="332"/>
    </row>
    <row r="103">
      <c r="A103" s="332"/>
      <c r="B103" s="332"/>
    </row>
    <row r="104">
      <c r="A104" s="332"/>
      <c r="B104" s="332"/>
    </row>
    <row r="105">
      <c r="A105" s="332"/>
      <c r="B105" s="332"/>
    </row>
    <row r="106">
      <c r="A106" s="332"/>
      <c r="B106" s="332"/>
    </row>
    <row r="107">
      <c r="A107" s="332"/>
      <c r="B107" s="332"/>
    </row>
    <row r="108">
      <c r="A108" s="332"/>
      <c r="B108" s="332"/>
    </row>
    <row r="109">
      <c r="A109" s="332"/>
      <c r="B109" s="332"/>
    </row>
    <row r="110">
      <c r="A110" s="332"/>
      <c r="B110" s="332"/>
    </row>
    <row r="111">
      <c r="A111" s="332"/>
      <c r="B111" s="332"/>
    </row>
    <row r="112">
      <c r="A112" s="332"/>
      <c r="B112" s="332"/>
    </row>
    <row r="113">
      <c r="A113" s="332"/>
      <c r="B113" s="332"/>
    </row>
    <row r="114">
      <c r="A114" s="332"/>
      <c r="B114" s="332"/>
    </row>
    <row r="115">
      <c r="A115" s="332"/>
      <c r="B115" s="332"/>
    </row>
    <row r="116">
      <c r="A116" s="332"/>
      <c r="B116" s="332"/>
    </row>
    <row r="117">
      <c r="A117" s="332"/>
      <c r="B117" s="332"/>
    </row>
    <row r="118">
      <c r="A118" s="332"/>
      <c r="B118" s="332"/>
    </row>
    <row r="119">
      <c r="A119" s="332"/>
      <c r="B119" s="332"/>
    </row>
    <row r="120">
      <c r="A120" s="332"/>
      <c r="B120" s="332"/>
    </row>
    <row r="121">
      <c r="A121" s="332"/>
      <c r="B121" s="332"/>
    </row>
    <row r="122">
      <c r="A122" s="332"/>
      <c r="B122" s="332"/>
    </row>
    <row r="123">
      <c r="A123" s="332"/>
      <c r="B123" s="332"/>
    </row>
    <row r="124">
      <c r="A124" s="332"/>
      <c r="B124" s="332"/>
    </row>
    <row r="125">
      <c r="A125" s="332"/>
      <c r="B125" s="332"/>
    </row>
    <row r="126">
      <c r="A126" s="332"/>
      <c r="B126" s="332"/>
    </row>
    <row r="127">
      <c r="A127" s="332"/>
      <c r="B127" s="332"/>
    </row>
    <row r="128">
      <c r="A128" s="332"/>
      <c r="B128" s="332"/>
    </row>
    <row r="129">
      <c r="A129" s="332"/>
      <c r="B129" s="332"/>
    </row>
    <row r="130">
      <c r="A130" s="332"/>
      <c r="B130" s="332"/>
    </row>
    <row r="131">
      <c r="A131" s="332"/>
      <c r="B131" s="332"/>
    </row>
    <row r="132">
      <c r="A132" s="332"/>
      <c r="B132" s="332"/>
    </row>
    <row r="133">
      <c r="A133" s="332"/>
      <c r="B133" s="332"/>
    </row>
    <row r="134">
      <c r="A134" s="332"/>
      <c r="B134" s="332"/>
    </row>
    <row r="135">
      <c r="A135" s="332"/>
      <c r="B135" s="332"/>
    </row>
    <row r="136">
      <c r="A136" s="332"/>
      <c r="B136" s="332"/>
    </row>
    <row r="137">
      <c r="A137" s="332"/>
      <c r="B137" s="332"/>
    </row>
    <row r="138">
      <c r="A138" s="332"/>
      <c r="B138" s="332"/>
    </row>
    <row r="139">
      <c r="A139" s="332"/>
      <c r="B139" s="332"/>
    </row>
    <row r="140">
      <c r="A140" s="332"/>
      <c r="B140" s="332"/>
    </row>
    <row r="141">
      <c r="A141" s="332"/>
      <c r="B141" s="332"/>
    </row>
    <row r="142">
      <c r="A142" s="332"/>
      <c r="B142" s="332"/>
    </row>
    <row r="143">
      <c r="A143" s="332"/>
      <c r="B143" s="332"/>
    </row>
    <row r="144">
      <c r="A144" s="332"/>
      <c r="B144" s="332"/>
    </row>
    <row r="145">
      <c r="A145" s="332"/>
      <c r="B145" s="332"/>
    </row>
    <row r="146">
      <c r="A146" s="332"/>
      <c r="B146" s="332"/>
    </row>
    <row r="147">
      <c r="A147" s="332"/>
      <c r="B147" s="332"/>
    </row>
    <row r="148">
      <c r="A148" s="332"/>
      <c r="B148" s="332"/>
    </row>
    <row r="149">
      <c r="A149" s="332"/>
      <c r="B149" s="332"/>
    </row>
    <row r="150">
      <c r="A150" s="332"/>
      <c r="B150" s="332"/>
    </row>
    <row r="151">
      <c r="A151" s="332"/>
      <c r="B151" s="332"/>
    </row>
    <row r="152">
      <c r="A152" s="332"/>
      <c r="B152" s="332"/>
    </row>
    <row r="153">
      <c r="A153" s="332"/>
      <c r="B153" s="332"/>
    </row>
    <row r="154">
      <c r="A154" s="332"/>
      <c r="B154" s="332"/>
    </row>
    <row r="155">
      <c r="A155" s="332"/>
      <c r="B155" s="332"/>
    </row>
    <row r="156">
      <c r="A156" s="332"/>
      <c r="B156" s="332"/>
    </row>
    <row r="157">
      <c r="A157" s="332"/>
      <c r="B157" s="332"/>
    </row>
    <row r="158">
      <c r="A158" s="332"/>
      <c r="B158" s="332"/>
    </row>
    <row r="159">
      <c r="A159" s="332"/>
      <c r="B159" s="332"/>
    </row>
    <row r="160">
      <c r="A160" s="332"/>
      <c r="B160" s="332"/>
    </row>
    <row r="161">
      <c r="A161" s="332"/>
      <c r="B161" s="332"/>
    </row>
    <row r="162">
      <c r="A162" s="332"/>
      <c r="B162" s="332"/>
    </row>
    <row r="163">
      <c r="A163" s="332"/>
      <c r="B163" s="332"/>
    </row>
    <row r="164">
      <c r="A164" s="332"/>
      <c r="B164" s="332"/>
    </row>
    <row r="165">
      <c r="A165" s="332"/>
      <c r="B165" s="332"/>
    </row>
    <row r="166">
      <c r="A166" s="332"/>
      <c r="B166" s="332"/>
    </row>
    <row r="167">
      <c r="A167" s="332"/>
      <c r="B167" s="332"/>
    </row>
    <row r="168">
      <c r="A168" s="332"/>
      <c r="B168" s="332"/>
    </row>
    <row r="169">
      <c r="A169" s="332"/>
      <c r="B169" s="332"/>
    </row>
    <row r="170">
      <c r="A170" s="332"/>
      <c r="B170" s="332"/>
    </row>
    <row r="171">
      <c r="A171" s="332"/>
      <c r="B171" s="332"/>
    </row>
    <row r="172">
      <c r="A172" s="332"/>
      <c r="B172" s="332"/>
    </row>
    <row r="173">
      <c r="A173" s="332"/>
      <c r="B173" s="332"/>
    </row>
    <row r="174">
      <c r="A174" s="332"/>
      <c r="B174" s="332"/>
    </row>
    <row r="175">
      <c r="A175" s="332"/>
      <c r="B175" s="332"/>
    </row>
    <row r="176">
      <c r="A176" s="332"/>
      <c r="B176" s="332"/>
    </row>
    <row r="177">
      <c r="A177" s="332"/>
      <c r="B177" s="332"/>
    </row>
    <row r="178">
      <c r="A178" s="332"/>
      <c r="B178" s="332"/>
    </row>
    <row r="179">
      <c r="A179" s="332"/>
      <c r="B179" s="332"/>
    </row>
    <row r="180">
      <c r="A180" s="332"/>
      <c r="B180" s="332"/>
    </row>
    <row r="181">
      <c r="A181" s="332"/>
      <c r="B181" s="332"/>
    </row>
    <row r="182">
      <c r="A182" s="332"/>
      <c r="B182" s="332"/>
    </row>
    <row r="183">
      <c r="A183" s="332"/>
      <c r="B183" s="332"/>
    </row>
    <row r="184">
      <c r="A184" s="332"/>
      <c r="B184" s="332"/>
    </row>
    <row r="185">
      <c r="A185" s="332"/>
      <c r="B185" s="332"/>
    </row>
    <row r="186">
      <c r="A186" s="332"/>
      <c r="B186" s="332"/>
    </row>
    <row r="187">
      <c r="A187" s="332"/>
      <c r="B187" s="332"/>
    </row>
    <row r="188">
      <c r="A188" s="332"/>
      <c r="B188" s="332"/>
    </row>
    <row r="189">
      <c r="A189" s="332"/>
      <c r="B189" s="332"/>
    </row>
    <row r="190">
      <c r="A190" s="332"/>
      <c r="B190" s="332"/>
    </row>
    <row r="191">
      <c r="A191" s="332"/>
      <c r="B191" s="332"/>
    </row>
    <row r="192">
      <c r="A192" s="332"/>
      <c r="B192" s="332"/>
    </row>
    <row r="193">
      <c r="A193" s="332"/>
      <c r="B193" s="332"/>
    </row>
    <row r="194">
      <c r="A194" s="332"/>
      <c r="B194" s="332"/>
    </row>
    <row r="195">
      <c r="A195" s="332"/>
      <c r="B195" s="332"/>
    </row>
    <row r="196">
      <c r="A196" s="332"/>
      <c r="B196" s="332"/>
    </row>
    <row r="197">
      <c r="A197" s="332"/>
      <c r="B197" s="332"/>
    </row>
    <row r="198">
      <c r="A198" s="332"/>
      <c r="B198" s="332"/>
    </row>
    <row r="199">
      <c r="A199" s="332"/>
      <c r="B199" s="332"/>
    </row>
    <row r="200">
      <c r="A200" s="332"/>
      <c r="B200" s="332"/>
    </row>
    <row r="201">
      <c r="A201" s="332"/>
      <c r="B201" s="332"/>
    </row>
    <row r="202">
      <c r="A202" s="332"/>
      <c r="B202" s="332"/>
    </row>
    <row r="203">
      <c r="A203" s="332"/>
      <c r="B203" s="332"/>
    </row>
    <row r="204">
      <c r="A204" s="332"/>
      <c r="B204" s="332"/>
    </row>
    <row r="205">
      <c r="A205" s="332"/>
      <c r="B205" s="332"/>
    </row>
    <row r="206">
      <c r="A206" s="332"/>
      <c r="B206" s="332"/>
    </row>
    <row r="207">
      <c r="A207" s="332"/>
      <c r="B207" s="332"/>
    </row>
    <row r="208">
      <c r="A208" s="332"/>
      <c r="B208" s="332"/>
    </row>
    <row r="209">
      <c r="A209" s="332"/>
      <c r="B209" s="332"/>
    </row>
    <row r="210">
      <c r="A210" s="332"/>
      <c r="B210" s="332"/>
    </row>
    <row r="211">
      <c r="A211" s="332"/>
      <c r="B211" s="332"/>
    </row>
    <row r="212">
      <c r="A212" s="332"/>
      <c r="B212" s="332"/>
    </row>
    <row r="213">
      <c r="A213" s="332"/>
      <c r="B213" s="332"/>
    </row>
    <row r="214">
      <c r="A214" s="332"/>
      <c r="B214" s="332"/>
    </row>
    <row r="215">
      <c r="A215" s="332"/>
      <c r="B215" s="332"/>
    </row>
    <row r="216">
      <c r="A216" s="332"/>
      <c r="B216" s="332"/>
    </row>
    <row r="217">
      <c r="A217" s="332"/>
      <c r="B217" s="332"/>
    </row>
    <row r="218">
      <c r="A218" s="332"/>
      <c r="B218" s="332"/>
    </row>
    <row r="219">
      <c r="A219" s="332"/>
      <c r="B219" s="332"/>
    </row>
    <row r="220">
      <c r="A220" s="332"/>
      <c r="B220" s="332"/>
    </row>
    <row r="221">
      <c r="A221" s="332"/>
      <c r="B221" s="332"/>
    </row>
    <row r="222">
      <c r="A222" s="332"/>
      <c r="B222" s="332"/>
    </row>
    <row r="223">
      <c r="A223" s="332"/>
      <c r="B223" s="332"/>
    </row>
    <row r="224">
      <c r="A224" s="332"/>
      <c r="B224" s="332"/>
    </row>
    <row r="225">
      <c r="A225" s="332"/>
      <c r="B225" s="332"/>
    </row>
    <row r="226">
      <c r="A226" s="332"/>
      <c r="B226" s="332"/>
    </row>
    <row r="227">
      <c r="A227" s="332"/>
      <c r="B227" s="332"/>
    </row>
    <row r="228">
      <c r="A228" s="332"/>
      <c r="B228" s="332"/>
    </row>
    <row r="229">
      <c r="A229" s="332"/>
      <c r="B229" s="332"/>
    </row>
    <row r="230">
      <c r="A230" s="332"/>
      <c r="B230" s="332"/>
    </row>
    <row r="231">
      <c r="A231" s="332"/>
      <c r="B231" s="332"/>
    </row>
    <row r="232">
      <c r="A232" s="332"/>
      <c r="B232" s="332"/>
    </row>
    <row r="233">
      <c r="A233" s="332"/>
      <c r="B233" s="332"/>
    </row>
    <row r="234">
      <c r="A234" s="332"/>
      <c r="B234" s="332"/>
    </row>
    <row r="235">
      <c r="A235" s="332"/>
      <c r="B235" s="332"/>
    </row>
    <row r="236">
      <c r="A236" s="332"/>
      <c r="B236" s="332"/>
    </row>
    <row r="237">
      <c r="A237" s="332"/>
      <c r="B237" s="332"/>
    </row>
    <row r="238">
      <c r="A238" s="332"/>
      <c r="B238" s="332"/>
    </row>
    <row r="239">
      <c r="A239" s="332"/>
      <c r="B239" s="332"/>
    </row>
    <row r="240">
      <c r="A240" s="332"/>
      <c r="B240" s="332"/>
    </row>
    <row r="241">
      <c r="A241" s="332"/>
      <c r="B241" s="332"/>
    </row>
    <row r="242">
      <c r="A242" s="332"/>
      <c r="B242" s="332"/>
    </row>
    <row r="243">
      <c r="A243" s="332"/>
      <c r="B243" s="332"/>
    </row>
    <row r="244">
      <c r="A244" s="332"/>
      <c r="B244" s="332"/>
    </row>
    <row r="245">
      <c r="A245" s="332"/>
      <c r="B245" s="332"/>
    </row>
    <row r="246">
      <c r="A246" s="332"/>
      <c r="B246" s="332"/>
    </row>
    <row r="247">
      <c r="A247" s="332"/>
      <c r="B247" s="332"/>
    </row>
    <row r="248">
      <c r="A248" s="332"/>
      <c r="B248" s="332"/>
    </row>
    <row r="249">
      <c r="A249" s="332"/>
      <c r="B249" s="332"/>
    </row>
    <row r="250">
      <c r="A250" s="332"/>
      <c r="B250" s="332"/>
    </row>
    <row r="251">
      <c r="A251" s="332"/>
      <c r="B251" s="332"/>
    </row>
    <row r="252">
      <c r="A252" s="332"/>
      <c r="B252" s="332"/>
    </row>
    <row r="253">
      <c r="A253" s="332"/>
      <c r="B253" s="332"/>
    </row>
    <row r="254">
      <c r="A254" s="332"/>
      <c r="B254" s="332"/>
    </row>
    <row r="255">
      <c r="A255" s="332"/>
      <c r="B255" s="332"/>
    </row>
    <row r="256">
      <c r="A256" s="332"/>
      <c r="B256" s="332"/>
    </row>
    <row r="257">
      <c r="A257" s="332"/>
      <c r="B257" s="332"/>
    </row>
    <row r="258">
      <c r="A258" s="332"/>
      <c r="B258" s="332"/>
    </row>
    <row r="259">
      <c r="A259" s="332"/>
      <c r="B259" s="332"/>
    </row>
    <row r="260">
      <c r="A260" s="332"/>
      <c r="B260" s="332"/>
    </row>
    <row r="261">
      <c r="A261" s="332"/>
      <c r="B261" s="332"/>
    </row>
    <row r="262">
      <c r="A262" s="332"/>
      <c r="B262" s="332"/>
    </row>
    <row r="263">
      <c r="A263" s="332"/>
      <c r="B263" s="332"/>
    </row>
    <row r="264">
      <c r="A264" s="332"/>
      <c r="B264" s="332"/>
    </row>
    <row r="265">
      <c r="A265" s="332"/>
      <c r="B265" s="332"/>
    </row>
    <row r="266">
      <c r="A266" s="332"/>
      <c r="B266" s="332"/>
    </row>
    <row r="267">
      <c r="A267" s="332"/>
      <c r="B267" s="332"/>
    </row>
    <row r="268">
      <c r="A268" s="332"/>
      <c r="B268" s="332"/>
    </row>
    <row r="269">
      <c r="A269" s="332"/>
      <c r="B269" s="332"/>
    </row>
    <row r="270">
      <c r="A270" s="332"/>
      <c r="B270" s="332"/>
    </row>
    <row r="271">
      <c r="A271" s="332"/>
      <c r="B271" s="332"/>
    </row>
    <row r="272">
      <c r="A272" s="332"/>
      <c r="B272" s="332"/>
    </row>
    <row r="273">
      <c r="A273" s="332"/>
      <c r="B273" s="332"/>
    </row>
    <row r="274">
      <c r="A274" s="332"/>
      <c r="B274" s="332"/>
    </row>
    <row r="275">
      <c r="A275" s="332"/>
      <c r="B275" s="332"/>
    </row>
    <row r="276">
      <c r="A276" s="332"/>
      <c r="B276" s="332"/>
    </row>
    <row r="277">
      <c r="A277" s="332"/>
      <c r="B277" s="332"/>
    </row>
    <row r="278">
      <c r="A278" s="332"/>
      <c r="B278" s="332"/>
    </row>
    <row r="279">
      <c r="A279" s="332"/>
      <c r="B279" s="332"/>
    </row>
    <row r="280">
      <c r="A280" s="332"/>
      <c r="B280" s="332"/>
    </row>
    <row r="281">
      <c r="A281" s="332"/>
      <c r="B281" s="332"/>
    </row>
    <row r="282">
      <c r="A282" s="332"/>
      <c r="B282" s="332"/>
    </row>
    <row r="283">
      <c r="A283" s="332"/>
      <c r="B283" s="332"/>
    </row>
    <row r="284">
      <c r="A284" s="332"/>
      <c r="B284" s="332"/>
    </row>
    <row r="285">
      <c r="A285" s="332"/>
      <c r="B285" s="332"/>
    </row>
    <row r="286">
      <c r="A286" s="332"/>
      <c r="B286" s="332"/>
    </row>
    <row r="287">
      <c r="A287" s="332"/>
      <c r="B287" s="332"/>
    </row>
    <row r="288">
      <c r="A288" s="332"/>
      <c r="B288" s="332"/>
    </row>
    <row r="289">
      <c r="A289" s="332"/>
      <c r="B289" s="332"/>
    </row>
    <row r="290">
      <c r="A290" s="332"/>
      <c r="B290" s="332"/>
    </row>
    <row r="291">
      <c r="A291" s="332"/>
      <c r="B291" s="332"/>
    </row>
    <row r="292">
      <c r="A292" s="332"/>
      <c r="B292" s="332"/>
    </row>
    <row r="293">
      <c r="A293" s="332"/>
      <c r="B293" s="332"/>
    </row>
    <row r="294">
      <c r="A294" s="332"/>
      <c r="B294" s="332"/>
    </row>
    <row r="295">
      <c r="A295" s="332"/>
      <c r="B295" s="332"/>
    </row>
    <row r="296">
      <c r="A296" s="332"/>
      <c r="B296" s="332"/>
    </row>
    <row r="297">
      <c r="A297" s="332"/>
      <c r="B297" s="332"/>
    </row>
    <row r="298">
      <c r="A298" s="332"/>
      <c r="B298" s="332"/>
    </row>
    <row r="299">
      <c r="A299" s="332"/>
      <c r="B299" s="332"/>
    </row>
    <row r="300">
      <c r="A300" s="332"/>
      <c r="B300" s="332"/>
    </row>
    <row r="301">
      <c r="A301" s="332"/>
      <c r="B301" s="332"/>
    </row>
    <row r="302">
      <c r="A302" s="332"/>
      <c r="B302" s="332"/>
    </row>
    <row r="303">
      <c r="A303" s="332"/>
      <c r="B303" s="332"/>
    </row>
    <row r="304">
      <c r="A304" s="332"/>
      <c r="B304" s="332"/>
    </row>
    <row r="305">
      <c r="A305" s="332"/>
      <c r="B305" s="332"/>
    </row>
    <row r="306">
      <c r="A306" s="332"/>
      <c r="B306" s="332"/>
    </row>
    <row r="307">
      <c r="A307" s="332"/>
      <c r="B307" s="332"/>
    </row>
    <row r="308">
      <c r="A308" s="332"/>
      <c r="B308" s="332"/>
    </row>
    <row r="309">
      <c r="A309" s="332"/>
      <c r="B309" s="332"/>
    </row>
    <row r="310">
      <c r="A310" s="332"/>
      <c r="B310" s="332"/>
    </row>
    <row r="311">
      <c r="A311" s="332"/>
      <c r="B311" s="332"/>
    </row>
    <row r="312">
      <c r="A312" s="332"/>
      <c r="B312" s="332"/>
    </row>
    <row r="313">
      <c r="A313" s="332"/>
      <c r="B313" s="332"/>
    </row>
    <row r="314">
      <c r="A314" s="332"/>
      <c r="B314" s="332"/>
    </row>
    <row r="315">
      <c r="A315" s="332"/>
      <c r="B315" s="332"/>
    </row>
    <row r="316">
      <c r="A316" s="332"/>
      <c r="B316" s="332"/>
    </row>
    <row r="317">
      <c r="A317" s="332"/>
      <c r="B317" s="332"/>
    </row>
    <row r="318">
      <c r="A318" s="332"/>
      <c r="B318" s="332"/>
    </row>
    <row r="319">
      <c r="A319" s="332"/>
      <c r="B319" s="332"/>
    </row>
    <row r="320">
      <c r="A320" s="332"/>
      <c r="B320" s="332"/>
    </row>
    <row r="321">
      <c r="A321" s="332"/>
      <c r="B321" s="332"/>
    </row>
    <row r="322">
      <c r="A322" s="332"/>
      <c r="B322" s="332"/>
    </row>
    <row r="323">
      <c r="A323" s="332"/>
      <c r="B323" s="332"/>
    </row>
    <row r="324">
      <c r="A324" s="332"/>
      <c r="B324" s="332"/>
    </row>
    <row r="325">
      <c r="A325" s="332"/>
      <c r="B325" s="332"/>
    </row>
    <row r="326">
      <c r="A326" s="332"/>
      <c r="B326" s="332"/>
    </row>
    <row r="327">
      <c r="A327" s="332"/>
      <c r="B327" s="332"/>
    </row>
    <row r="328">
      <c r="A328" s="332"/>
      <c r="B328" s="332"/>
    </row>
    <row r="329">
      <c r="A329" s="332"/>
      <c r="B329" s="332"/>
    </row>
    <row r="330">
      <c r="A330" s="332"/>
      <c r="B330" s="332"/>
    </row>
    <row r="331">
      <c r="A331" s="332"/>
      <c r="B331" s="332"/>
    </row>
    <row r="332">
      <c r="A332" s="332"/>
      <c r="B332" s="332"/>
    </row>
    <row r="333">
      <c r="A333" s="332"/>
      <c r="B333" s="332"/>
    </row>
    <row r="334">
      <c r="A334" s="332"/>
      <c r="B334" s="332"/>
    </row>
    <row r="335">
      <c r="A335" s="332"/>
      <c r="B335" s="332"/>
    </row>
    <row r="336">
      <c r="A336" s="332"/>
      <c r="B336" s="332"/>
    </row>
    <row r="337">
      <c r="A337" s="332"/>
      <c r="B337" s="332"/>
    </row>
    <row r="338">
      <c r="A338" s="332"/>
      <c r="B338" s="332"/>
    </row>
    <row r="339">
      <c r="A339" s="332"/>
      <c r="B339" s="332"/>
    </row>
    <row r="340">
      <c r="A340" s="332"/>
      <c r="B340" s="332"/>
    </row>
    <row r="341">
      <c r="A341" s="332"/>
      <c r="B341" s="332"/>
    </row>
    <row r="342">
      <c r="A342" s="332"/>
      <c r="B342" s="332"/>
    </row>
    <row r="343">
      <c r="A343" s="332"/>
      <c r="B343" s="332"/>
    </row>
    <row r="344">
      <c r="A344" s="332"/>
      <c r="B344" s="332"/>
    </row>
    <row r="345">
      <c r="A345" s="332"/>
      <c r="B345" s="332"/>
    </row>
    <row r="346">
      <c r="A346" s="332"/>
      <c r="B346" s="332"/>
    </row>
    <row r="347">
      <c r="A347" s="332"/>
      <c r="B347" s="332"/>
    </row>
    <row r="348">
      <c r="A348" s="332"/>
      <c r="B348" s="332"/>
    </row>
    <row r="349">
      <c r="A349" s="332"/>
      <c r="B349" s="332"/>
    </row>
    <row r="350">
      <c r="A350" s="332"/>
      <c r="B350" s="332"/>
    </row>
    <row r="351">
      <c r="A351" s="332"/>
      <c r="B351" s="332"/>
    </row>
    <row r="352">
      <c r="A352" s="332"/>
      <c r="B352" s="332"/>
    </row>
    <row r="353">
      <c r="A353" s="332"/>
      <c r="B353" s="332"/>
    </row>
    <row r="354">
      <c r="A354" s="332"/>
      <c r="B354" s="332"/>
    </row>
    <row r="355">
      <c r="A355" s="332"/>
      <c r="B355" s="332"/>
    </row>
    <row r="356">
      <c r="A356" s="332"/>
      <c r="B356" s="332"/>
    </row>
    <row r="357">
      <c r="A357" s="332"/>
      <c r="B357" s="332"/>
    </row>
    <row r="358">
      <c r="A358" s="332"/>
      <c r="B358" s="332"/>
    </row>
    <row r="359">
      <c r="A359" s="332"/>
      <c r="B359" s="332"/>
    </row>
    <row r="360">
      <c r="A360" s="332"/>
      <c r="B360" s="332"/>
    </row>
    <row r="361">
      <c r="A361" s="332"/>
      <c r="B361" s="332"/>
    </row>
    <row r="362">
      <c r="A362" s="332"/>
      <c r="B362" s="332"/>
    </row>
    <row r="363">
      <c r="A363" s="332"/>
      <c r="B363" s="332"/>
    </row>
    <row r="364">
      <c r="A364" s="332"/>
      <c r="B364" s="332"/>
    </row>
    <row r="365">
      <c r="A365" s="332"/>
      <c r="B365" s="332"/>
    </row>
    <row r="366">
      <c r="A366" s="332"/>
      <c r="B366" s="332"/>
    </row>
    <row r="367">
      <c r="A367" s="332"/>
      <c r="B367" s="332"/>
    </row>
    <row r="368">
      <c r="A368" s="332"/>
      <c r="B368" s="332"/>
    </row>
    <row r="369">
      <c r="A369" s="332"/>
      <c r="B369" s="332"/>
    </row>
    <row r="370">
      <c r="A370" s="332"/>
      <c r="B370" s="332"/>
    </row>
    <row r="371">
      <c r="A371" s="332"/>
      <c r="B371" s="332"/>
    </row>
    <row r="372">
      <c r="A372" s="332"/>
      <c r="B372" s="332"/>
    </row>
    <row r="373">
      <c r="A373" s="332"/>
      <c r="B373" s="332"/>
    </row>
    <row r="374">
      <c r="A374" s="332"/>
      <c r="B374" s="332"/>
    </row>
    <row r="375">
      <c r="A375" s="332"/>
      <c r="B375" s="332"/>
    </row>
    <row r="376">
      <c r="A376" s="332"/>
      <c r="B376" s="332"/>
    </row>
    <row r="377">
      <c r="A377" s="332"/>
      <c r="B377" s="332"/>
    </row>
    <row r="378">
      <c r="A378" s="332"/>
      <c r="B378" s="332"/>
    </row>
    <row r="379">
      <c r="A379" s="332"/>
      <c r="B379" s="332"/>
    </row>
    <row r="380">
      <c r="A380" s="332"/>
      <c r="B380" s="332"/>
    </row>
    <row r="381">
      <c r="A381" s="332"/>
      <c r="B381" s="332"/>
    </row>
    <row r="382">
      <c r="A382" s="332"/>
      <c r="B382" s="332"/>
    </row>
    <row r="383">
      <c r="A383" s="332"/>
      <c r="B383" s="332"/>
    </row>
    <row r="384">
      <c r="A384" s="332"/>
      <c r="B384" s="332"/>
    </row>
    <row r="385">
      <c r="A385" s="332"/>
      <c r="B385" s="332"/>
    </row>
    <row r="386">
      <c r="A386" s="332"/>
      <c r="B386" s="332"/>
    </row>
    <row r="387">
      <c r="A387" s="332"/>
      <c r="B387" s="332"/>
    </row>
    <row r="388">
      <c r="A388" s="332"/>
      <c r="B388" s="332"/>
    </row>
    <row r="389">
      <c r="A389" s="332"/>
      <c r="B389" s="332"/>
    </row>
    <row r="390">
      <c r="A390" s="332"/>
      <c r="B390" s="332"/>
    </row>
    <row r="391">
      <c r="A391" s="332"/>
      <c r="B391" s="332"/>
    </row>
    <row r="392">
      <c r="A392" s="332"/>
      <c r="B392" s="332"/>
    </row>
    <row r="393">
      <c r="A393" s="332"/>
      <c r="B393" s="332"/>
    </row>
    <row r="394">
      <c r="A394" s="332"/>
      <c r="B394" s="332"/>
    </row>
    <row r="395">
      <c r="A395" s="332"/>
      <c r="B395" s="332"/>
    </row>
    <row r="396">
      <c r="A396" s="332"/>
      <c r="B396" s="332"/>
    </row>
    <row r="397">
      <c r="A397" s="332"/>
      <c r="B397" s="332"/>
    </row>
    <row r="398">
      <c r="A398" s="332"/>
      <c r="B398" s="332"/>
    </row>
    <row r="399">
      <c r="A399" s="332"/>
      <c r="B399" s="332"/>
    </row>
    <row r="400">
      <c r="A400" s="332"/>
      <c r="B400" s="332"/>
    </row>
    <row r="401">
      <c r="A401" s="332"/>
      <c r="B401" s="332"/>
    </row>
    <row r="402">
      <c r="A402" s="332"/>
      <c r="B402" s="332"/>
    </row>
    <row r="403">
      <c r="A403" s="332"/>
      <c r="B403" s="332"/>
    </row>
    <row r="404">
      <c r="A404" s="332"/>
      <c r="B404" s="332"/>
    </row>
    <row r="405">
      <c r="A405" s="332"/>
      <c r="B405" s="332"/>
    </row>
    <row r="406">
      <c r="A406" s="332"/>
      <c r="B406" s="332"/>
    </row>
    <row r="407">
      <c r="A407" s="332"/>
      <c r="B407" s="332"/>
    </row>
    <row r="408">
      <c r="A408" s="332"/>
      <c r="B408" s="332"/>
    </row>
    <row r="409">
      <c r="A409" s="332"/>
      <c r="B409" s="332"/>
    </row>
    <row r="410">
      <c r="A410" s="332"/>
      <c r="B410" s="332"/>
    </row>
    <row r="411">
      <c r="A411" s="332"/>
      <c r="B411" s="332"/>
    </row>
    <row r="412">
      <c r="A412" s="332"/>
      <c r="B412" s="332"/>
    </row>
    <row r="413">
      <c r="A413" s="332"/>
      <c r="B413" s="332"/>
    </row>
    <row r="414">
      <c r="A414" s="332"/>
      <c r="B414" s="332"/>
    </row>
    <row r="415">
      <c r="A415" s="332"/>
      <c r="B415" s="332"/>
    </row>
    <row r="416">
      <c r="A416" s="332"/>
      <c r="B416" s="332"/>
    </row>
    <row r="417">
      <c r="A417" s="332"/>
      <c r="B417" s="332"/>
    </row>
    <row r="418">
      <c r="A418" s="332"/>
      <c r="B418" s="332"/>
    </row>
    <row r="419">
      <c r="A419" s="332"/>
      <c r="B419" s="332"/>
    </row>
    <row r="420">
      <c r="A420" s="332"/>
      <c r="B420" s="332"/>
    </row>
    <row r="421">
      <c r="A421" s="332"/>
      <c r="B421" s="332"/>
    </row>
    <row r="422">
      <c r="A422" s="332"/>
      <c r="B422" s="332"/>
    </row>
    <row r="423">
      <c r="A423" s="332"/>
      <c r="B423" s="332"/>
    </row>
    <row r="424">
      <c r="A424" s="332"/>
      <c r="B424" s="332"/>
    </row>
    <row r="425">
      <c r="A425" s="332"/>
      <c r="B425" s="332"/>
    </row>
    <row r="426">
      <c r="A426" s="332"/>
      <c r="B426" s="332"/>
    </row>
    <row r="427">
      <c r="A427" s="332"/>
      <c r="B427" s="332"/>
    </row>
    <row r="428">
      <c r="A428" s="332"/>
      <c r="B428" s="332"/>
    </row>
    <row r="429">
      <c r="A429" s="332"/>
      <c r="B429" s="332"/>
    </row>
    <row r="430">
      <c r="A430" s="332"/>
      <c r="B430" s="332"/>
    </row>
    <row r="431">
      <c r="A431" s="332"/>
      <c r="B431" s="332"/>
    </row>
    <row r="432">
      <c r="A432" s="332"/>
      <c r="B432" s="332"/>
    </row>
    <row r="433">
      <c r="A433" s="332"/>
      <c r="B433" s="332"/>
    </row>
    <row r="434">
      <c r="A434" s="332"/>
      <c r="B434" s="332"/>
    </row>
    <row r="435">
      <c r="A435" s="332"/>
      <c r="B435" s="332"/>
    </row>
    <row r="436">
      <c r="A436" s="332"/>
      <c r="B436" s="332"/>
    </row>
    <row r="437">
      <c r="A437" s="332"/>
      <c r="B437" s="332"/>
    </row>
    <row r="438">
      <c r="A438" s="332"/>
      <c r="B438" s="332"/>
    </row>
    <row r="439">
      <c r="A439" s="332"/>
      <c r="B439" s="332"/>
    </row>
    <row r="440">
      <c r="A440" s="332"/>
      <c r="B440" s="332"/>
    </row>
    <row r="441">
      <c r="A441" s="332"/>
      <c r="B441" s="332"/>
    </row>
    <row r="442">
      <c r="A442" s="332"/>
      <c r="B442" s="332"/>
    </row>
    <row r="443">
      <c r="A443" s="332"/>
      <c r="B443" s="332"/>
    </row>
    <row r="444">
      <c r="A444" s="332"/>
      <c r="B444" s="332"/>
    </row>
    <row r="445">
      <c r="A445" s="332"/>
      <c r="B445" s="332"/>
    </row>
    <row r="446">
      <c r="A446" s="332"/>
      <c r="B446" s="332"/>
    </row>
    <row r="447">
      <c r="A447" s="332"/>
      <c r="B447" s="332"/>
    </row>
    <row r="448">
      <c r="A448" s="332"/>
      <c r="B448" s="332"/>
    </row>
    <row r="449">
      <c r="A449" s="332"/>
      <c r="B449" s="332"/>
    </row>
    <row r="450">
      <c r="A450" s="332"/>
      <c r="B450" s="332"/>
    </row>
    <row r="451">
      <c r="A451" s="332"/>
      <c r="B451" s="332"/>
    </row>
    <row r="452">
      <c r="A452" s="332"/>
      <c r="B452" s="332"/>
    </row>
    <row r="453">
      <c r="A453" s="332"/>
      <c r="B453" s="332"/>
    </row>
    <row r="454">
      <c r="A454" s="332"/>
      <c r="B454" s="332"/>
    </row>
    <row r="455">
      <c r="A455" s="332"/>
      <c r="B455" s="332"/>
    </row>
    <row r="456">
      <c r="A456" s="332"/>
      <c r="B456" s="332"/>
    </row>
    <row r="457">
      <c r="A457" s="332"/>
      <c r="B457" s="332"/>
    </row>
    <row r="458">
      <c r="A458" s="332"/>
      <c r="B458" s="332"/>
    </row>
    <row r="459">
      <c r="A459" s="332"/>
      <c r="B459" s="332"/>
    </row>
    <row r="460">
      <c r="A460" s="332"/>
      <c r="B460" s="332"/>
    </row>
    <row r="461">
      <c r="A461" s="332"/>
      <c r="B461" s="332"/>
    </row>
    <row r="462">
      <c r="A462" s="332"/>
      <c r="B462" s="332"/>
    </row>
    <row r="463">
      <c r="A463" s="332"/>
      <c r="B463" s="332"/>
    </row>
    <row r="464">
      <c r="A464" s="332"/>
      <c r="B464" s="332"/>
    </row>
    <row r="465">
      <c r="A465" s="332"/>
      <c r="B465" s="332"/>
    </row>
    <row r="466">
      <c r="A466" s="332"/>
      <c r="B466" s="332"/>
    </row>
    <row r="467">
      <c r="A467" s="332"/>
      <c r="B467" s="332"/>
    </row>
    <row r="468">
      <c r="A468" s="332"/>
      <c r="B468" s="332"/>
    </row>
    <row r="469">
      <c r="A469" s="332"/>
      <c r="B469" s="332"/>
    </row>
    <row r="470">
      <c r="A470" s="332"/>
      <c r="B470" s="332"/>
    </row>
    <row r="471">
      <c r="A471" s="332"/>
      <c r="B471" s="332"/>
    </row>
    <row r="472">
      <c r="A472" s="332"/>
      <c r="B472" s="332"/>
    </row>
    <row r="473">
      <c r="A473" s="332"/>
      <c r="B473" s="332"/>
    </row>
    <row r="474">
      <c r="A474" s="332"/>
      <c r="B474" s="332"/>
    </row>
    <row r="475">
      <c r="A475" s="332"/>
      <c r="B475" s="332"/>
    </row>
    <row r="476">
      <c r="A476" s="332"/>
      <c r="B476" s="332"/>
    </row>
    <row r="477">
      <c r="A477" s="332"/>
      <c r="B477" s="332"/>
    </row>
    <row r="478">
      <c r="A478" s="332"/>
      <c r="B478" s="332"/>
    </row>
    <row r="479">
      <c r="A479" s="332"/>
      <c r="B479" s="332"/>
    </row>
    <row r="480">
      <c r="A480" s="332"/>
      <c r="B480" s="332"/>
    </row>
    <row r="481">
      <c r="A481" s="332"/>
      <c r="B481" s="332"/>
    </row>
    <row r="482">
      <c r="A482" s="332"/>
      <c r="B482" s="332"/>
    </row>
    <row r="483">
      <c r="A483" s="332"/>
      <c r="B483" s="332"/>
    </row>
    <row r="484">
      <c r="A484" s="332"/>
      <c r="B484" s="332"/>
    </row>
    <row r="485">
      <c r="A485" s="332"/>
      <c r="B485" s="332"/>
    </row>
    <row r="486">
      <c r="A486" s="332"/>
      <c r="B486" s="332"/>
    </row>
    <row r="487">
      <c r="A487" s="332"/>
      <c r="B487" s="332"/>
    </row>
    <row r="488">
      <c r="A488" s="332"/>
      <c r="B488" s="332"/>
    </row>
    <row r="489">
      <c r="A489" s="332"/>
      <c r="B489" s="332"/>
    </row>
    <row r="490">
      <c r="A490" s="332"/>
      <c r="B490" s="332"/>
    </row>
    <row r="491">
      <c r="A491" s="332"/>
      <c r="B491" s="332"/>
    </row>
    <row r="492">
      <c r="A492" s="332"/>
      <c r="B492" s="332"/>
    </row>
    <row r="493">
      <c r="A493" s="332"/>
      <c r="B493" s="332"/>
    </row>
    <row r="494">
      <c r="A494" s="332"/>
      <c r="B494" s="332"/>
    </row>
    <row r="495">
      <c r="A495" s="332"/>
      <c r="B495" s="332"/>
    </row>
    <row r="496">
      <c r="A496" s="332"/>
      <c r="B496" s="332"/>
    </row>
    <row r="497">
      <c r="A497" s="332"/>
      <c r="B497" s="332"/>
    </row>
    <row r="498">
      <c r="A498" s="332"/>
      <c r="B498" s="332"/>
    </row>
    <row r="499">
      <c r="A499" s="332"/>
      <c r="B499" s="332"/>
    </row>
    <row r="500">
      <c r="A500" s="332"/>
      <c r="B500" s="332"/>
    </row>
    <row r="501">
      <c r="A501" s="332"/>
      <c r="B501" s="332"/>
    </row>
    <row r="502">
      <c r="A502" s="332"/>
      <c r="B502" s="332"/>
    </row>
    <row r="503">
      <c r="A503" s="332"/>
      <c r="B503" s="332"/>
    </row>
    <row r="504">
      <c r="A504" s="332"/>
      <c r="B504" s="332"/>
    </row>
    <row r="505">
      <c r="A505" s="332"/>
      <c r="B505" s="332"/>
    </row>
    <row r="506">
      <c r="A506" s="332"/>
      <c r="B506" s="332"/>
    </row>
    <row r="507">
      <c r="A507" s="332"/>
      <c r="B507" s="332"/>
    </row>
    <row r="508">
      <c r="A508" s="332"/>
      <c r="B508" s="332"/>
    </row>
    <row r="509">
      <c r="A509" s="332"/>
      <c r="B509" s="332"/>
    </row>
    <row r="510">
      <c r="A510" s="332"/>
      <c r="B510" s="332"/>
    </row>
    <row r="511">
      <c r="A511" s="332"/>
      <c r="B511" s="332"/>
    </row>
    <row r="512">
      <c r="A512" s="332"/>
      <c r="B512" s="332"/>
    </row>
    <row r="513">
      <c r="A513" s="332"/>
      <c r="B513" s="332"/>
    </row>
    <row r="514">
      <c r="A514" s="332"/>
      <c r="B514" s="332"/>
    </row>
    <row r="515">
      <c r="A515" s="332"/>
      <c r="B515" s="332"/>
    </row>
    <row r="516">
      <c r="A516" s="332"/>
      <c r="B516" s="332"/>
    </row>
    <row r="517">
      <c r="A517" s="332"/>
      <c r="B517" s="332"/>
    </row>
    <row r="518">
      <c r="A518" s="332"/>
      <c r="B518" s="332"/>
    </row>
    <row r="519">
      <c r="A519" s="332"/>
      <c r="B519" s="332"/>
    </row>
    <row r="520">
      <c r="A520" s="332"/>
      <c r="B520" s="332"/>
    </row>
    <row r="521">
      <c r="A521" s="332"/>
      <c r="B521" s="332"/>
    </row>
    <row r="522">
      <c r="A522" s="332"/>
      <c r="B522" s="332"/>
    </row>
    <row r="523">
      <c r="A523" s="332"/>
      <c r="B523" s="332"/>
    </row>
    <row r="524">
      <c r="A524" s="332"/>
      <c r="B524" s="332"/>
    </row>
    <row r="525">
      <c r="A525" s="332"/>
      <c r="B525" s="332"/>
    </row>
    <row r="526">
      <c r="A526" s="332"/>
      <c r="B526" s="332"/>
    </row>
    <row r="527">
      <c r="A527" s="332"/>
      <c r="B527" s="332"/>
    </row>
    <row r="528">
      <c r="A528" s="332"/>
      <c r="B528" s="332"/>
    </row>
    <row r="529">
      <c r="A529" s="332"/>
      <c r="B529" s="332"/>
    </row>
    <row r="530">
      <c r="A530" s="332"/>
      <c r="B530" s="332"/>
    </row>
    <row r="531">
      <c r="A531" s="332"/>
      <c r="B531" s="332"/>
    </row>
    <row r="532">
      <c r="A532" s="332"/>
      <c r="B532" s="332"/>
    </row>
    <row r="533">
      <c r="A533" s="332"/>
      <c r="B533" s="332"/>
    </row>
    <row r="534">
      <c r="A534" s="332"/>
      <c r="B534" s="332"/>
    </row>
    <row r="535">
      <c r="A535" s="332"/>
      <c r="B535" s="332"/>
    </row>
    <row r="536">
      <c r="A536" s="332"/>
      <c r="B536" s="332"/>
    </row>
    <row r="537">
      <c r="A537" s="332"/>
      <c r="B537" s="332"/>
    </row>
    <row r="538">
      <c r="A538" s="332"/>
      <c r="B538" s="332"/>
    </row>
    <row r="539">
      <c r="A539" s="332"/>
      <c r="B539" s="332"/>
    </row>
    <row r="540">
      <c r="A540" s="332"/>
      <c r="B540" s="332"/>
    </row>
    <row r="541">
      <c r="A541" s="332"/>
      <c r="B541" s="332"/>
    </row>
    <row r="542">
      <c r="A542" s="332"/>
      <c r="B542" s="332"/>
    </row>
    <row r="543">
      <c r="A543" s="332"/>
      <c r="B543" s="332"/>
    </row>
    <row r="544">
      <c r="A544" s="332"/>
      <c r="B544" s="332"/>
    </row>
    <row r="545">
      <c r="A545" s="332"/>
      <c r="B545" s="332"/>
    </row>
    <row r="546">
      <c r="A546" s="332"/>
      <c r="B546" s="332"/>
    </row>
    <row r="547">
      <c r="A547" s="332"/>
      <c r="B547" s="332"/>
    </row>
    <row r="548">
      <c r="A548" s="332"/>
      <c r="B548" s="332"/>
    </row>
    <row r="549">
      <c r="A549" s="332"/>
      <c r="B549" s="332"/>
    </row>
    <row r="550">
      <c r="A550" s="332"/>
      <c r="B550" s="332"/>
    </row>
    <row r="551">
      <c r="A551" s="332"/>
      <c r="B551" s="332"/>
    </row>
    <row r="552">
      <c r="A552" s="332"/>
      <c r="B552" s="332"/>
    </row>
    <row r="553">
      <c r="A553" s="332"/>
      <c r="B553" s="332"/>
    </row>
    <row r="554">
      <c r="A554" s="332"/>
      <c r="B554" s="332"/>
    </row>
    <row r="555">
      <c r="A555" s="332"/>
      <c r="B555" s="332"/>
    </row>
    <row r="556">
      <c r="A556" s="332"/>
      <c r="B556" s="332"/>
    </row>
    <row r="557">
      <c r="A557" s="332"/>
      <c r="B557" s="332"/>
    </row>
    <row r="558">
      <c r="A558" s="332"/>
      <c r="B558" s="332"/>
    </row>
    <row r="559">
      <c r="A559" s="332"/>
      <c r="B559" s="332"/>
    </row>
    <row r="560">
      <c r="A560" s="332"/>
      <c r="B560" s="332"/>
    </row>
    <row r="561">
      <c r="A561" s="332"/>
      <c r="B561" s="332"/>
    </row>
    <row r="562">
      <c r="A562" s="332"/>
      <c r="B562" s="332"/>
    </row>
    <row r="563">
      <c r="A563" s="332"/>
      <c r="B563" s="332"/>
    </row>
    <row r="564">
      <c r="A564" s="332"/>
      <c r="B564" s="332"/>
    </row>
    <row r="565">
      <c r="A565" s="332"/>
      <c r="B565" s="332"/>
    </row>
    <row r="566">
      <c r="A566" s="332"/>
      <c r="B566" s="332"/>
    </row>
    <row r="567">
      <c r="A567" s="332"/>
      <c r="B567" s="332"/>
    </row>
    <row r="568">
      <c r="A568" s="332"/>
      <c r="B568" s="332"/>
    </row>
    <row r="569">
      <c r="A569" s="332"/>
      <c r="B569" s="332"/>
    </row>
    <row r="570">
      <c r="A570" s="332"/>
      <c r="B570" s="332"/>
    </row>
    <row r="571">
      <c r="A571" s="332"/>
      <c r="B571" s="332"/>
    </row>
    <row r="572">
      <c r="A572" s="332"/>
      <c r="B572" s="332"/>
    </row>
    <row r="573">
      <c r="A573" s="332"/>
      <c r="B573" s="332"/>
    </row>
    <row r="574">
      <c r="A574" s="332"/>
      <c r="B574" s="332"/>
    </row>
    <row r="575">
      <c r="A575" s="332"/>
      <c r="B575" s="332"/>
    </row>
    <row r="576">
      <c r="A576" s="332"/>
      <c r="B576" s="332"/>
    </row>
    <row r="577">
      <c r="A577" s="332"/>
      <c r="B577" s="332"/>
    </row>
    <row r="578">
      <c r="A578" s="332"/>
      <c r="B578" s="332"/>
    </row>
    <row r="579">
      <c r="A579" s="332"/>
      <c r="B579" s="332"/>
    </row>
    <row r="580">
      <c r="A580" s="332"/>
      <c r="B580" s="332"/>
    </row>
    <row r="581">
      <c r="A581" s="332"/>
      <c r="B581" s="332"/>
    </row>
    <row r="582">
      <c r="A582" s="332"/>
      <c r="B582" s="332"/>
    </row>
    <row r="583">
      <c r="A583" s="332"/>
      <c r="B583" s="332"/>
    </row>
    <row r="584">
      <c r="A584" s="332"/>
      <c r="B584" s="332"/>
    </row>
    <row r="585">
      <c r="A585" s="332"/>
      <c r="B585" s="332"/>
    </row>
    <row r="586">
      <c r="A586" s="332"/>
      <c r="B586" s="332"/>
    </row>
    <row r="587">
      <c r="A587" s="332"/>
      <c r="B587" s="332"/>
    </row>
    <row r="588">
      <c r="A588" s="332"/>
      <c r="B588" s="332"/>
    </row>
    <row r="589">
      <c r="A589" s="332"/>
      <c r="B589" s="332"/>
    </row>
    <row r="590">
      <c r="A590" s="332"/>
      <c r="B590" s="332"/>
    </row>
    <row r="591">
      <c r="A591" s="332"/>
      <c r="B591" s="332"/>
    </row>
    <row r="592">
      <c r="A592" s="332"/>
      <c r="B592" s="332"/>
    </row>
    <row r="593">
      <c r="A593" s="332"/>
      <c r="B593" s="332"/>
    </row>
    <row r="594">
      <c r="A594" s="332"/>
      <c r="B594" s="332"/>
    </row>
    <row r="595">
      <c r="A595" s="332"/>
      <c r="B595" s="332"/>
    </row>
    <row r="596">
      <c r="A596" s="332"/>
      <c r="B596" s="332"/>
    </row>
    <row r="597">
      <c r="A597" s="332"/>
      <c r="B597" s="332"/>
    </row>
    <row r="598">
      <c r="A598" s="332"/>
      <c r="B598" s="332"/>
    </row>
    <row r="599">
      <c r="A599" s="332"/>
      <c r="B599" s="332"/>
    </row>
    <row r="600">
      <c r="A600" s="332"/>
      <c r="B600" s="332"/>
    </row>
    <row r="601">
      <c r="A601" s="332"/>
      <c r="B601" s="332"/>
    </row>
    <row r="602">
      <c r="A602" s="332"/>
      <c r="B602" s="332"/>
    </row>
    <row r="603">
      <c r="A603" s="332"/>
      <c r="B603" s="332"/>
    </row>
    <row r="604">
      <c r="A604" s="332"/>
      <c r="B604" s="332"/>
    </row>
    <row r="605">
      <c r="A605" s="332"/>
      <c r="B605" s="332"/>
    </row>
    <row r="606">
      <c r="A606" s="332"/>
      <c r="B606" s="332"/>
    </row>
    <row r="607">
      <c r="A607" s="332"/>
      <c r="B607" s="332"/>
    </row>
    <row r="608">
      <c r="A608" s="332"/>
      <c r="B608" s="332"/>
    </row>
    <row r="609">
      <c r="A609" s="332"/>
      <c r="B609" s="332"/>
    </row>
    <row r="610">
      <c r="A610" s="332"/>
      <c r="B610" s="332"/>
    </row>
    <row r="611">
      <c r="A611" s="332"/>
      <c r="B611" s="332"/>
    </row>
    <row r="612">
      <c r="A612" s="332"/>
      <c r="B612" s="332"/>
    </row>
    <row r="613">
      <c r="A613" s="332"/>
      <c r="B613" s="332"/>
    </row>
    <row r="614">
      <c r="A614" s="332"/>
      <c r="B614" s="332"/>
    </row>
    <row r="615">
      <c r="A615" s="332"/>
      <c r="B615" s="332"/>
    </row>
    <row r="616">
      <c r="A616" s="332"/>
      <c r="B616" s="332"/>
    </row>
    <row r="617">
      <c r="A617" s="332"/>
      <c r="B617" s="332"/>
    </row>
    <row r="618">
      <c r="A618" s="332"/>
      <c r="B618" s="332"/>
    </row>
    <row r="619">
      <c r="A619" s="332"/>
      <c r="B619" s="332"/>
    </row>
    <row r="620">
      <c r="A620" s="332"/>
      <c r="B620" s="332"/>
    </row>
    <row r="621">
      <c r="A621" s="332"/>
      <c r="B621" s="332"/>
    </row>
    <row r="622">
      <c r="A622" s="332"/>
      <c r="B622" s="332"/>
    </row>
    <row r="623">
      <c r="A623" s="332"/>
      <c r="B623" s="332"/>
    </row>
    <row r="624">
      <c r="A624" s="332"/>
      <c r="B624" s="332"/>
    </row>
    <row r="625">
      <c r="A625" s="332"/>
      <c r="B625" s="332"/>
    </row>
    <row r="626">
      <c r="A626" s="332"/>
      <c r="B626" s="332"/>
    </row>
    <row r="627">
      <c r="A627" s="332"/>
      <c r="B627" s="332"/>
    </row>
    <row r="628">
      <c r="A628" s="332"/>
      <c r="B628" s="332"/>
    </row>
    <row r="629">
      <c r="A629" s="332"/>
      <c r="B629" s="332"/>
    </row>
    <row r="630">
      <c r="A630" s="332"/>
      <c r="B630" s="332"/>
    </row>
    <row r="631">
      <c r="A631" s="332"/>
      <c r="B631" s="332"/>
    </row>
    <row r="632">
      <c r="A632" s="332"/>
      <c r="B632" s="332"/>
    </row>
    <row r="633">
      <c r="A633" s="332"/>
      <c r="B633" s="332"/>
    </row>
    <row r="634">
      <c r="A634" s="332"/>
      <c r="B634" s="332"/>
    </row>
    <row r="635">
      <c r="A635" s="332"/>
      <c r="B635" s="332"/>
    </row>
    <row r="636">
      <c r="A636" s="332"/>
      <c r="B636" s="332"/>
    </row>
    <row r="637">
      <c r="A637" s="332"/>
      <c r="B637" s="332"/>
    </row>
    <row r="638">
      <c r="A638" s="332"/>
      <c r="B638" s="332"/>
    </row>
    <row r="639">
      <c r="A639" s="332"/>
      <c r="B639" s="332"/>
    </row>
    <row r="640">
      <c r="A640" s="332"/>
      <c r="B640" s="332"/>
    </row>
    <row r="641">
      <c r="A641" s="332"/>
      <c r="B641" s="332"/>
    </row>
    <row r="642">
      <c r="A642" s="332"/>
      <c r="B642" s="332"/>
    </row>
    <row r="643">
      <c r="A643" s="332"/>
      <c r="B643" s="332"/>
    </row>
    <row r="644">
      <c r="A644" s="332"/>
      <c r="B644" s="332"/>
    </row>
    <row r="645">
      <c r="A645" s="332"/>
      <c r="B645" s="332"/>
    </row>
    <row r="646">
      <c r="A646" s="332"/>
      <c r="B646" s="332"/>
    </row>
    <row r="647">
      <c r="A647" s="332"/>
      <c r="B647" s="332"/>
    </row>
    <row r="648">
      <c r="A648" s="332"/>
      <c r="B648" s="332"/>
    </row>
    <row r="649">
      <c r="A649" s="332"/>
      <c r="B649" s="332"/>
    </row>
    <row r="650">
      <c r="A650" s="332"/>
      <c r="B650" s="332"/>
    </row>
    <row r="651">
      <c r="A651" s="332"/>
      <c r="B651" s="332"/>
    </row>
    <row r="652">
      <c r="A652" s="332"/>
      <c r="B652" s="332"/>
    </row>
    <row r="653">
      <c r="A653" s="332"/>
      <c r="B653" s="332"/>
    </row>
    <row r="654">
      <c r="A654" s="332"/>
      <c r="B654" s="332"/>
    </row>
    <row r="655">
      <c r="A655" s="332"/>
      <c r="B655" s="332"/>
    </row>
    <row r="656">
      <c r="A656" s="332"/>
      <c r="B656" s="332"/>
    </row>
    <row r="657">
      <c r="A657" s="332"/>
      <c r="B657" s="332"/>
    </row>
    <row r="658">
      <c r="A658" s="332"/>
      <c r="B658" s="332"/>
    </row>
    <row r="659">
      <c r="A659" s="332"/>
      <c r="B659" s="332"/>
    </row>
    <row r="660">
      <c r="A660" s="332"/>
      <c r="B660" s="332"/>
    </row>
    <row r="661">
      <c r="A661" s="332"/>
      <c r="B661" s="332"/>
    </row>
    <row r="662">
      <c r="A662" s="332"/>
      <c r="B662" s="332"/>
    </row>
    <row r="663">
      <c r="A663" s="332"/>
      <c r="B663" s="332"/>
    </row>
    <row r="664">
      <c r="A664" s="332"/>
      <c r="B664" s="332"/>
    </row>
    <row r="665">
      <c r="A665" s="332"/>
      <c r="B665" s="332"/>
    </row>
    <row r="666">
      <c r="A666" s="332"/>
      <c r="B666" s="332"/>
    </row>
    <row r="667">
      <c r="A667" s="332"/>
      <c r="B667" s="332"/>
    </row>
    <row r="668">
      <c r="A668" s="332"/>
      <c r="B668" s="332"/>
    </row>
    <row r="669">
      <c r="A669" s="332"/>
      <c r="B669" s="332"/>
    </row>
    <row r="670">
      <c r="A670" s="332"/>
      <c r="B670" s="332"/>
    </row>
    <row r="671">
      <c r="A671" s="332"/>
      <c r="B671" s="332"/>
    </row>
    <row r="672">
      <c r="A672" s="332"/>
      <c r="B672" s="332"/>
    </row>
    <row r="673">
      <c r="A673" s="332"/>
      <c r="B673" s="332"/>
    </row>
    <row r="674">
      <c r="A674" s="332"/>
      <c r="B674" s="332"/>
    </row>
    <row r="675">
      <c r="A675" s="332"/>
      <c r="B675" s="332"/>
    </row>
    <row r="676">
      <c r="A676" s="332"/>
      <c r="B676" s="332"/>
    </row>
    <row r="677">
      <c r="A677" s="332"/>
      <c r="B677" s="332"/>
    </row>
    <row r="678">
      <c r="A678" s="332"/>
      <c r="B678" s="332"/>
    </row>
    <row r="679">
      <c r="A679" s="332"/>
      <c r="B679" s="332"/>
    </row>
    <row r="680">
      <c r="A680" s="332"/>
      <c r="B680" s="332"/>
    </row>
    <row r="681">
      <c r="A681" s="332"/>
      <c r="B681" s="332"/>
    </row>
    <row r="682">
      <c r="A682" s="332"/>
      <c r="B682" s="332"/>
    </row>
    <row r="683">
      <c r="A683" s="332"/>
      <c r="B683" s="332"/>
    </row>
    <row r="684">
      <c r="A684" s="332"/>
      <c r="B684" s="332"/>
    </row>
    <row r="685">
      <c r="A685" s="332"/>
      <c r="B685" s="332"/>
    </row>
    <row r="686">
      <c r="A686" s="332"/>
      <c r="B686" s="332"/>
    </row>
    <row r="687">
      <c r="A687" s="332"/>
      <c r="B687" s="332"/>
    </row>
    <row r="688">
      <c r="A688" s="332"/>
      <c r="B688" s="332"/>
    </row>
    <row r="689">
      <c r="A689" s="332"/>
      <c r="B689" s="332"/>
    </row>
    <row r="690">
      <c r="A690" s="332"/>
      <c r="B690" s="332"/>
    </row>
    <row r="691">
      <c r="A691" s="332"/>
      <c r="B691" s="332"/>
    </row>
    <row r="692">
      <c r="A692" s="332"/>
      <c r="B692" s="332"/>
    </row>
    <row r="693">
      <c r="A693" s="332"/>
      <c r="B693" s="332"/>
    </row>
    <row r="694">
      <c r="A694" s="332"/>
      <c r="B694" s="332"/>
    </row>
    <row r="695">
      <c r="A695" s="332"/>
      <c r="B695" s="332"/>
    </row>
    <row r="696">
      <c r="A696" s="332"/>
      <c r="B696" s="332"/>
    </row>
    <row r="697">
      <c r="A697" s="332"/>
      <c r="B697" s="332"/>
    </row>
    <row r="698">
      <c r="A698" s="332"/>
      <c r="B698" s="332"/>
    </row>
    <row r="699">
      <c r="A699" s="332"/>
      <c r="B699" s="332"/>
    </row>
    <row r="700">
      <c r="A700" s="332"/>
      <c r="B700" s="332"/>
    </row>
    <row r="701">
      <c r="A701" s="332"/>
      <c r="B701" s="332"/>
    </row>
    <row r="702">
      <c r="A702" s="332"/>
      <c r="B702" s="332"/>
    </row>
    <row r="703">
      <c r="A703" s="332"/>
      <c r="B703" s="332"/>
    </row>
    <row r="704">
      <c r="A704" s="332"/>
      <c r="B704" s="332"/>
    </row>
    <row r="705">
      <c r="A705" s="332"/>
      <c r="B705" s="332"/>
    </row>
    <row r="706">
      <c r="A706" s="332"/>
      <c r="B706" s="332"/>
    </row>
    <row r="707">
      <c r="A707" s="332"/>
      <c r="B707" s="332"/>
    </row>
    <row r="708">
      <c r="A708" s="332"/>
      <c r="B708" s="332"/>
    </row>
    <row r="709">
      <c r="A709" s="332"/>
      <c r="B709" s="332"/>
    </row>
    <row r="710">
      <c r="A710" s="332"/>
      <c r="B710" s="332"/>
    </row>
    <row r="711">
      <c r="A711" s="332"/>
      <c r="B711" s="332"/>
    </row>
    <row r="712">
      <c r="A712" s="332"/>
      <c r="B712" s="332"/>
    </row>
    <row r="713">
      <c r="A713" s="332"/>
      <c r="B713" s="332"/>
    </row>
    <row r="714">
      <c r="A714" s="332"/>
      <c r="B714" s="332"/>
    </row>
    <row r="715">
      <c r="A715" s="332"/>
      <c r="B715" s="332"/>
    </row>
    <row r="716">
      <c r="A716" s="332"/>
      <c r="B716" s="332"/>
    </row>
    <row r="717">
      <c r="A717" s="332"/>
      <c r="B717" s="332"/>
    </row>
    <row r="718">
      <c r="A718" s="332"/>
      <c r="B718" s="332"/>
    </row>
    <row r="719">
      <c r="A719" s="332"/>
      <c r="B719" s="332"/>
    </row>
    <row r="720">
      <c r="A720" s="332"/>
      <c r="B720" s="332"/>
    </row>
    <row r="721">
      <c r="A721" s="332"/>
      <c r="B721" s="332"/>
    </row>
    <row r="722">
      <c r="A722" s="332"/>
      <c r="B722" s="332"/>
    </row>
    <row r="723">
      <c r="A723" s="332"/>
      <c r="B723" s="332"/>
    </row>
    <row r="724">
      <c r="A724" s="332"/>
      <c r="B724" s="332"/>
    </row>
    <row r="725">
      <c r="A725" s="332"/>
      <c r="B725" s="332"/>
    </row>
    <row r="726">
      <c r="A726" s="332"/>
      <c r="B726" s="332"/>
    </row>
    <row r="727">
      <c r="A727" s="332"/>
      <c r="B727" s="332"/>
    </row>
    <row r="728">
      <c r="A728" s="332"/>
      <c r="B728" s="332"/>
    </row>
    <row r="729">
      <c r="A729" s="332"/>
      <c r="B729" s="332"/>
    </row>
    <row r="730">
      <c r="A730" s="332"/>
      <c r="B730" s="332"/>
    </row>
    <row r="731">
      <c r="A731" s="332"/>
      <c r="B731" s="332"/>
    </row>
    <row r="732">
      <c r="A732" s="332"/>
      <c r="B732" s="332"/>
    </row>
    <row r="733">
      <c r="A733" s="332"/>
      <c r="B733" s="332"/>
    </row>
    <row r="734">
      <c r="A734" s="332"/>
      <c r="B734" s="332"/>
    </row>
    <row r="735">
      <c r="A735" s="332"/>
      <c r="B735" s="332"/>
    </row>
    <row r="736">
      <c r="A736" s="332"/>
      <c r="B736" s="332"/>
    </row>
    <row r="737">
      <c r="A737" s="332"/>
      <c r="B737" s="332"/>
    </row>
    <row r="738">
      <c r="A738" s="332"/>
      <c r="B738" s="332"/>
    </row>
    <row r="739">
      <c r="A739" s="332"/>
      <c r="B739" s="332"/>
    </row>
    <row r="740">
      <c r="A740" s="332"/>
      <c r="B740" s="332"/>
    </row>
    <row r="741">
      <c r="A741" s="332"/>
      <c r="B741" s="332"/>
    </row>
    <row r="742">
      <c r="A742" s="332"/>
      <c r="B742" s="332"/>
    </row>
    <row r="743">
      <c r="A743" s="332"/>
      <c r="B743" s="332"/>
    </row>
    <row r="744">
      <c r="A744" s="332"/>
      <c r="B744" s="332"/>
    </row>
    <row r="745">
      <c r="A745" s="332"/>
      <c r="B745" s="332"/>
    </row>
    <row r="746">
      <c r="A746" s="332"/>
      <c r="B746" s="332"/>
    </row>
    <row r="747">
      <c r="A747" s="332"/>
      <c r="B747" s="332"/>
    </row>
    <row r="748">
      <c r="A748" s="332"/>
      <c r="B748" s="332"/>
    </row>
    <row r="749">
      <c r="A749" s="332"/>
      <c r="B749" s="332"/>
    </row>
    <row r="750">
      <c r="A750" s="332"/>
      <c r="B750" s="332"/>
    </row>
    <row r="751">
      <c r="A751" s="332"/>
      <c r="B751" s="332"/>
    </row>
    <row r="752">
      <c r="A752" s="332"/>
      <c r="B752" s="332"/>
    </row>
    <row r="753">
      <c r="A753" s="332"/>
      <c r="B753" s="332"/>
    </row>
    <row r="754">
      <c r="A754" s="332"/>
      <c r="B754" s="332"/>
    </row>
    <row r="755">
      <c r="A755" s="332"/>
      <c r="B755" s="332"/>
    </row>
    <row r="756">
      <c r="A756" s="332"/>
      <c r="B756" s="332"/>
    </row>
    <row r="757">
      <c r="A757" s="332"/>
      <c r="B757" s="332"/>
    </row>
    <row r="758">
      <c r="A758" s="332"/>
      <c r="B758" s="332"/>
    </row>
    <row r="759">
      <c r="A759" s="332"/>
      <c r="B759" s="332"/>
    </row>
    <row r="760">
      <c r="A760" s="332"/>
      <c r="B760" s="332"/>
    </row>
    <row r="761">
      <c r="A761" s="332"/>
      <c r="B761" s="332"/>
    </row>
    <row r="762">
      <c r="A762" s="332"/>
      <c r="B762" s="332"/>
    </row>
    <row r="763">
      <c r="A763" s="332"/>
      <c r="B763" s="332"/>
    </row>
    <row r="764">
      <c r="A764" s="332"/>
      <c r="B764" s="332"/>
    </row>
    <row r="765">
      <c r="A765" s="332"/>
      <c r="B765" s="332"/>
    </row>
    <row r="766">
      <c r="A766" s="332"/>
      <c r="B766" s="332"/>
    </row>
    <row r="767">
      <c r="A767" s="332"/>
      <c r="B767" s="332"/>
    </row>
    <row r="768">
      <c r="A768" s="332"/>
      <c r="B768" s="332"/>
    </row>
    <row r="769">
      <c r="A769" s="332"/>
      <c r="B769" s="332"/>
    </row>
    <row r="770">
      <c r="A770" s="332"/>
      <c r="B770" s="332"/>
    </row>
    <row r="771">
      <c r="A771" s="332"/>
      <c r="B771" s="332"/>
    </row>
    <row r="772">
      <c r="A772" s="332"/>
      <c r="B772" s="332"/>
    </row>
    <row r="773">
      <c r="A773" s="332"/>
      <c r="B773" s="332"/>
    </row>
    <row r="774">
      <c r="A774" s="332"/>
      <c r="B774" s="332"/>
    </row>
    <row r="775">
      <c r="A775" s="332"/>
      <c r="B775" s="332"/>
    </row>
    <row r="776">
      <c r="A776" s="332"/>
      <c r="B776" s="332"/>
    </row>
    <row r="777">
      <c r="A777" s="332"/>
      <c r="B777" s="332"/>
    </row>
    <row r="778">
      <c r="A778" s="332"/>
      <c r="B778" s="332"/>
    </row>
    <row r="779">
      <c r="A779" s="332"/>
      <c r="B779" s="332"/>
    </row>
    <row r="780">
      <c r="A780" s="332"/>
      <c r="B780" s="332"/>
    </row>
    <row r="781">
      <c r="A781" s="332"/>
      <c r="B781" s="332"/>
    </row>
    <row r="782">
      <c r="A782" s="332"/>
      <c r="B782" s="332"/>
    </row>
    <row r="783">
      <c r="A783" s="332"/>
      <c r="B783" s="332"/>
    </row>
    <row r="784">
      <c r="A784" s="332"/>
      <c r="B784" s="332"/>
    </row>
    <row r="785">
      <c r="A785" s="332"/>
      <c r="B785" s="332"/>
    </row>
    <row r="786">
      <c r="A786" s="332"/>
      <c r="B786" s="332"/>
    </row>
    <row r="787">
      <c r="A787" s="332"/>
      <c r="B787" s="332"/>
    </row>
    <row r="788">
      <c r="A788" s="332"/>
      <c r="B788" s="332"/>
    </row>
    <row r="789">
      <c r="A789" s="332"/>
      <c r="B789" s="332"/>
    </row>
    <row r="790">
      <c r="A790" s="332"/>
      <c r="B790" s="332"/>
    </row>
    <row r="791">
      <c r="A791" s="332"/>
      <c r="B791" s="332"/>
    </row>
    <row r="792">
      <c r="A792" s="332"/>
      <c r="B792" s="332"/>
    </row>
    <row r="793">
      <c r="A793" s="332"/>
      <c r="B793" s="332"/>
    </row>
    <row r="794">
      <c r="A794" s="332"/>
      <c r="B794" s="332"/>
    </row>
    <row r="795">
      <c r="A795" s="332"/>
      <c r="B795" s="332"/>
    </row>
    <row r="796">
      <c r="A796" s="332"/>
      <c r="B796" s="332"/>
    </row>
    <row r="797">
      <c r="A797" s="332"/>
      <c r="B797" s="332"/>
    </row>
    <row r="798">
      <c r="A798" s="332"/>
      <c r="B798" s="332"/>
    </row>
    <row r="799">
      <c r="A799" s="332"/>
      <c r="B799" s="332"/>
    </row>
    <row r="800">
      <c r="A800" s="332"/>
      <c r="B800" s="332"/>
    </row>
    <row r="801">
      <c r="A801" s="332"/>
      <c r="B801" s="332"/>
    </row>
    <row r="802">
      <c r="A802" s="332"/>
      <c r="B802" s="332"/>
    </row>
    <row r="803">
      <c r="A803" s="332"/>
      <c r="B803" s="332"/>
    </row>
    <row r="804">
      <c r="A804" s="332"/>
      <c r="B804" s="332"/>
    </row>
    <row r="805">
      <c r="A805" s="332"/>
      <c r="B805" s="332"/>
    </row>
    <row r="806">
      <c r="A806" s="332"/>
      <c r="B806" s="332"/>
    </row>
    <row r="807">
      <c r="A807" s="332"/>
      <c r="B807" s="332"/>
    </row>
    <row r="808">
      <c r="A808" s="332"/>
      <c r="B808" s="332"/>
    </row>
    <row r="809">
      <c r="A809" s="332"/>
      <c r="B809" s="332"/>
    </row>
    <row r="810">
      <c r="A810" s="332"/>
      <c r="B810" s="332"/>
    </row>
    <row r="811">
      <c r="A811" s="332"/>
      <c r="B811" s="332"/>
    </row>
    <row r="812">
      <c r="A812" s="332"/>
      <c r="B812" s="332"/>
    </row>
    <row r="813">
      <c r="A813" s="332"/>
      <c r="B813" s="332"/>
    </row>
    <row r="814">
      <c r="A814" s="332"/>
      <c r="B814" s="332"/>
    </row>
    <row r="815">
      <c r="A815" s="332"/>
      <c r="B815" s="332"/>
    </row>
    <row r="816">
      <c r="A816" s="332"/>
      <c r="B816" s="332"/>
    </row>
    <row r="817">
      <c r="A817" s="332"/>
      <c r="B817" s="332"/>
    </row>
    <row r="818">
      <c r="A818" s="332"/>
      <c r="B818" s="332"/>
    </row>
    <row r="819">
      <c r="A819" s="332"/>
      <c r="B819" s="332"/>
    </row>
    <row r="820">
      <c r="A820" s="332"/>
      <c r="B820" s="332"/>
    </row>
    <row r="821">
      <c r="A821" s="332"/>
      <c r="B821" s="332"/>
    </row>
    <row r="822">
      <c r="A822" s="332"/>
      <c r="B822" s="332"/>
    </row>
    <row r="823">
      <c r="A823" s="332"/>
      <c r="B823" s="332"/>
    </row>
    <row r="824">
      <c r="A824" s="332"/>
      <c r="B824" s="332"/>
    </row>
    <row r="825">
      <c r="A825" s="332"/>
      <c r="B825" s="332"/>
    </row>
    <row r="826">
      <c r="A826" s="332"/>
      <c r="B826" s="332"/>
    </row>
    <row r="827">
      <c r="A827" s="332"/>
      <c r="B827" s="332"/>
    </row>
    <row r="828">
      <c r="A828" s="332"/>
      <c r="B828" s="332"/>
    </row>
    <row r="829">
      <c r="A829" s="332"/>
      <c r="B829" s="332"/>
    </row>
    <row r="830">
      <c r="A830" s="332"/>
      <c r="B830" s="332"/>
    </row>
    <row r="831">
      <c r="A831" s="332"/>
      <c r="B831" s="332"/>
    </row>
    <row r="832">
      <c r="A832" s="332"/>
      <c r="B832" s="332"/>
    </row>
    <row r="833">
      <c r="A833" s="332"/>
      <c r="B833" s="332"/>
    </row>
    <row r="834">
      <c r="A834" s="332"/>
      <c r="B834" s="332"/>
    </row>
    <row r="835">
      <c r="A835" s="332"/>
      <c r="B835" s="332"/>
    </row>
    <row r="836">
      <c r="A836" s="332"/>
      <c r="B836" s="332"/>
    </row>
    <row r="837">
      <c r="A837" s="332"/>
      <c r="B837" s="332"/>
    </row>
    <row r="838">
      <c r="A838" s="332"/>
      <c r="B838" s="332"/>
    </row>
    <row r="839">
      <c r="A839" s="332"/>
      <c r="B839" s="332"/>
    </row>
    <row r="840">
      <c r="A840" s="332"/>
      <c r="B840" s="332"/>
    </row>
    <row r="841">
      <c r="A841" s="332"/>
      <c r="B841" s="332"/>
    </row>
    <row r="842">
      <c r="A842" s="332"/>
      <c r="B842" s="332"/>
    </row>
    <row r="843">
      <c r="A843" s="332"/>
      <c r="B843" s="332"/>
    </row>
    <row r="844">
      <c r="A844" s="332"/>
      <c r="B844" s="332"/>
    </row>
    <row r="845">
      <c r="A845" s="332"/>
      <c r="B845" s="332"/>
    </row>
    <row r="846">
      <c r="A846" s="332"/>
      <c r="B846" s="332"/>
    </row>
    <row r="847">
      <c r="A847" s="332"/>
      <c r="B847" s="332"/>
    </row>
    <row r="848">
      <c r="A848" s="332"/>
      <c r="B848" s="332"/>
    </row>
    <row r="849">
      <c r="A849" s="332"/>
      <c r="B849" s="332"/>
    </row>
    <row r="850">
      <c r="A850" s="332"/>
      <c r="B850" s="332"/>
    </row>
    <row r="851">
      <c r="A851" s="332"/>
      <c r="B851" s="332"/>
    </row>
    <row r="852">
      <c r="A852" s="332"/>
      <c r="B852" s="332"/>
    </row>
    <row r="853">
      <c r="A853" s="332"/>
      <c r="B853" s="332"/>
    </row>
    <row r="854">
      <c r="A854" s="332"/>
      <c r="B854" s="332"/>
    </row>
    <row r="855">
      <c r="A855" s="332"/>
      <c r="B855" s="332"/>
    </row>
    <row r="856">
      <c r="A856" s="332"/>
      <c r="B856" s="332"/>
    </row>
    <row r="857">
      <c r="A857" s="332"/>
      <c r="B857" s="332"/>
    </row>
    <row r="858">
      <c r="A858" s="332"/>
      <c r="B858" s="332"/>
    </row>
    <row r="859">
      <c r="A859" s="332"/>
      <c r="B859" s="332"/>
    </row>
    <row r="860">
      <c r="A860" s="332"/>
      <c r="B860" s="332"/>
    </row>
    <row r="861">
      <c r="A861" s="332"/>
      <c r="B861" s="332"/>
    </row>
    <row r="862">
      <c r="A862" s="332"/>
      <c r="B862" s="332"/>
    </row>
    <row r="863">
      <c r="A863" s="332"/>
      <c r="B863" s="332"/>
    </row>
    <row r="864">
      <c r="A864" s="332"/>
      <c r="B864" s="332"/>
    </row>
    <row r="865">
      <c r="A865" s="332"/>
      <c r="B865" s="332"/>
    </row>
    <row r="866">
      <c r="A866" s="332"/>
      <c r="B866" s="332"/>
    </row>
    <row r="867">
      <c r="A867" s="332"/>
      <c r="B867" s="332"/>
    </row>
    <row r="868">
      <c r="A868" s="332"/>
      <c r="B868" s="332"/>
    </row>
    <row r="869">
      <c r="A869" s="332"/>
      <c r="B869" s="332"/>
    </row>
    <row r="870">
      <c r="A870" s="332"/>
      <c r="B870" s="332"/>
    </row>
    <row r="871">
      <c r="A871" s="332"/>
      <c r="B871" s="332"/>
    </row>
    <row r="872">
      <c r="A872" s="332"/>
      <c r="B872" s="332"/>
    </row>
    <row r="873">
      <c r="A873" s="332"/>
      <c r="B873" s="332"/>
    </row>
    <row r="874">
      <c r="A874" s="332"/>
      <c r="B874" s="332"/>
    </row>
    <row r="875">
      <c r="A875" s="332"/>
      <c r="B875" s="332"/>
    </row>
    <row r="876">
      <c r="A876" s="332"/>
      <c r="B876" s="332"/>
    </row>
    <row r="877">
      <c r="A877" s="332"/>
      <c r="B877" s="332"/>
    </row>
    <row r="878">
      <c r="A878" s="332"/>
      <c r="B878" s="332"/>
    </row>
    <row r="879">
      <c r="A879" s="332"/>
      <c r="B879" s="332"/>
    </row>
    <row r="880">
      <c r="A880" s="332"/>
      <c r="B880" s="332"/>
    </row>
    <row r="881">
      <c r="A881" s="332"/>
      <c r="B881" s="332"/>
    </row>
    <row r="882">
      <c r="A882" s="332"/>
      <c r="B882" s="332"/>
    </row>
    <row r="883">
      <c r="A883" s="332"/>
      <c r="B883" s="332"/>
    </row>
    <row r="884">
      <c r="A884" s="332"/>
      <c r="B884" s="332"/>
    </row>
    <row r="885">
      <c r="A885" s="332"/>
      <c r="B885" s="332"/>
    </row>
    <row r="886">
      <c r="A886" s="332"/>
      <c r="B886" s="332"/>
    </row>
    <row r="887">
      <c r="A887" s="332"/>
      <c r="B887" s="332"/>
    </row>
    <row r="888">
      <c r="A888" s="332"/>
      <c r="B888" s="332"/>
    </row>
    <row r="889">
      <c r="A889" s="332"/>
      <c r="B889" s="332"/>
    </row>
    <row r="890">
      <c r="A890" s="332"/>
      <c r="B890" s="332"/>
    </row>
    <row r="891">
      <c r="A891" s="332"/>
      <c r="B891" s="332"/>
    </row>
    <row r="892">
      <c r="A892" s="332"/>
      <c r="B892" s="332"/>
    </row>
    <row r="893">
      <c r="A893" s="332"/>
      <c r="B893" s="332"/>
    </row>
    <row r="894">
      <c r="A894" s="332"/>
      <c r="B894" s="332"/>
    </row>
    <row r="895">
      <c r="A895" s="332"/>
      <c r="B895" s="332"/>
    </row>
    <row r="896">
      <c r="A896" s="332"/>
      <c r="B896" s="332"/>
    </row>
    <row r="897">
      <c r="A897" s="332"/>
      <c r="B897" s="332"/>
    </row>
    <row r="898">
      <c r="A898" s="332"/>
      <c r="B898" s="332"/>
    </row>
    <row r="899">
      <c r="A899" s="332"/>
      <c r="B899" s="332"/>
    </row>
    <row r="900">
      <c r="A900" s="332"/>
      <c r="B900" s="332"/>
    </row>
    <row r="901">
      <c r="A901" s="332"/>
      <c r="B901" s="332"/>
    </row>
    <row r="902">
      <c r="A902" s="332"/>
      <c r="B902" s="332"/>
    </row>
    <row r="903">
      <c r="A903" s="332"/>
      <c r="B903" s="332"/>
    </row>
    <row r="904">
      <c r="A904" s="332"/>
      <c r="B904" s="332"/>
    </row>
    <row r="905">
      <c r="A905" s="332"/>
      <c r="B905" s="332"/>
    </row>
    <row r="906">
      <c r="A906" s="332"/>
      <c r="B906" s="332"/>
    </row>
    <row r="907">
      <c r="A907" s="332"/>
      <c r="B907" s="332"/>
    </row>
    <row r="908">
      <c r="A908" s="332"/>
      <c r="B908" s="332"/>
    </row>
    <row r="909">
      <c r="A909" s="332"/>
      <c r="B909" s="332"/>
    </row>
    <row r="910">
      <c r="A910" s="332"/>
      <c r="B910" s="332"/>
    </row>
    <row r="911">
      <c r="A911" s="332"/>
      <c r="B911" s="332"/>
    </row>
    <row r="912">
      <c r="A912" s="332"/>
      <c r="B912" s="332"/>
    </row>
    <row r="913">
      <c r="A913" s="332"/>
      <c r="B913" s="332"/>
    </row>
    <row r="914">
      <c r="A914" s="332"/>
      <c r="B914" s="332"/>
    </row>
    <row r="915">
      <c r="A915" s="332"/>
      <c r="B915" s="332"/>
    </row>
    <row r="916">
      <c r="A916" s="332"/>
      <c r="B916" s="332"/>
    </row>
    <row r="917">
      <c r="A917" s="332"/>
      <c r="B917" s="332"/>
    </row>
    <row r="918">
      <c r="A918" s="332"/>
      <c r="B918" s="332"/>
    </row>
    <row r="919">
      <c r="A919" s="332"/>
      <c r="B919" s="332"/>
    </row>
    <row r="920">
      <c r="A920" s="332"/>
      <c r="B920" s="332"/>
    </row>
    <row r="921">
      <c r="A921" s="332"/>
      <c r="B921" s="332"/>
    </row>
    <row r="922">
      <c r="A922" s="332"/>
      <c r="B922" s="332"/>
    </row>
    <row r="923">
      <c r="A923" s="332"/>
      <c r="B923" s="332"/>
    </row>
    <row r="924">
      <c r="A924" s="332"/>
      <c r="B924" s="332"/>
    </row>
    <row r="925">
      <c r="A925" s="332"/>
      <c r="B925" s="332"/>
    </row>
    <row r="926">
      <c r="A926" s="332"/>
      <c r="B926" s="332"/>
    </row>
    <row r="927">
      <c r="A927" s="332"/>
      <c r="B927" s="332"/>
    </row>
    <row r="928">
      <c r="A928" s="332"/>
      <c r="B928" s="332"/>
    </row>
    <row r="929">
      <c r="A929" s="332"/>
      <c r="B929" s="332"/>
    </row>
    <row r="930">
      <c r="A930" s="332"/>
      <c r="B930" s="332"/>
    </row>
    <row r="931">
      <c r="A931" s="332"/>
      <c r="B931" s="332"/>
    </row>
    <row r="932">
      <c r="A932" s="332"/>
      <c r="B932" s="332"/>
    </row>
    <row r="933">
      <c r="A933" s="332"/>
      <c r="B933" s="332"/>
    </row>
    <row r="934">
      <c r="A934" s="332"/>
      <c r="B934" s="332"/>
    </row>
    <row r="935">
      <c r="A935" s="332"/>
      <c r="B935" s="332"/>
    </row>
    <row r="936">
      <c r="A936" s="332"/>
      <c r="B936" s="332"/>
    </row>
    <row r="937">
      <c r="A937" s="332"/>
      <c r="B937" s="332"/>
    </row>
    <row r="938">
      <c r="A938" s="332"/>
      <c r="B938" s="332"/>
    </row>
    <row r="939">
      <c r="A939" s="332"/>
      <c r="B939" s="332"/>
    </row>
    <row r="940">
      <c r="A940" s="332"/>
      <c r="B940" s="332"/>
    </row>
    <row r="941">
      <c r="A941" s="332"/>
      <c r="B941" s="332"/>
    </row>
    <row r="942">
      <c r="A942" s="332"/>
      <c r="B942" s="332"/>
    </row>
    <row r="943">
      <c r="A943" s="332"/>
      <c r="B943" s="332"/>
    </row>
    <row r="944">
      <c r="A944" s="332"/>
      <c r="B944" s="332"/>
    </row>
    <row r="945">
      <c r="A945" s="332"/>
      <c r="B945" s="332"/>
    </row>
    <row r="946">
      <c r="A946" s="332"/>
      <c r="B946" s="332"/>
    </row>
    <row r="947">
      <c r="A947" s="332"/>
      <c r="B947" s="332"/>
    </row>
    <row r="948">
      <c r="A948" s="332"/>
      <c r="B948" s="332"/>
    </row>
    <row r="949">
      <c r="A949" s="332"/>
      <c r="B949" s="332"/>
    </row>
    <row r="950">
      <c r="A950" s="332"/>
      <c r="B950" s="332"/>
    </row>
    <row r="951">
      <c r="A951" s="332"/>
      <c r="B951" s="332"/>
    </row>
    <row r="952">
      <c r="A952" s="332"/>
      <c r="B952" s="332"/>
    </row>
    <row r="953">
      <c r="A953" s="332"/>
      <c r="B953" s="332"/>
    </row>
    <row r="954">
      <c r="A954" s="332"/>
      <c r="B954" s="332"/>
    </row>
    <row r="955">
      <c r="A955" s="332"/>
      <c r="B955" s="332"/>
    </row>
    <row r="956">
      <c r="A956" s="332"/>
      <c r="B956" s="332"/>
    </row>
    <row r="957">
      <c r="A957" s="332"/>
      <c r="B957" s="332"/>
    </row>
    <row r="958">
      <c r="A958" s="332"/>
      <c r="B958" s="332"/>
    </row>
    <row r="959">
      <c r="A959" s="332"/>
      <c r="B959" s="332"/>
    </row>
    <row r="960">
      <c r="A960" s="332"/>
      <c r="B960" s="332"/>
    </row>
    <row r="961">
      <c r="A961" s="332"/>
      <c r="B961" s="332"/>
    </row>
    <row r="962">
      <c r="A962" s="332"/>
      <c r="B962" s="332"/>
    </row>
    <row r="963">
      <c r="A963" s="332"/>
      <c r="B963" s="332"/>
    </row>
    <row r="964">
      <c r="A964" s="332"/>
      <c r="B964" s="332"/>
    </row>
    <row r="965">
      <c r="A965" s="332"/>
      <c r="B965" s="332"/>
    </row>
    <row r="966">
      <c r="A966" s="332"/>
      <c r="B966" s="332"/>
    </row>
    <row r="967">
      <c r="A967" s="332"/>
      <c r="B967" s="332"/>
    </row>
    <row r="968">
      <c r="A968" s="332"/>
      <c r="B968" s="332"/>
    </row>
    <row r="969">
      <c r="A969" s="332"/>
      <c r="B969" s="332"/>
    </row>
    <row r="970">
      <c r="A970" s="332"/>
      <c r="B970" s="332"/>
    </row>
    <row r="971">
      <c r="A971" s="332"/>
      <c r="B971" s="332"/>
    </row>
    <row r="972">
      <c r="A972" s="332"/>
      <c r="B972" s="332"/>
    </row>
    <row r="973">
      <c r="A973" s="332"/>
      <c r="B973" s="332"/>
    </row>
    <row r="974">
      <c r="A974" s="332"/>
      <c r="B974" s="332"/>
    </row>
    <row r="975">
      <c r="A975" s="332"/>
      <c r="B975" s="332"/>
    </row>
    <row r="976">
      <c r="A976" s="332"/>
      <c r="B976" s="332"/>
    </row>
    <row r="977">
      <c r="A977" s="332"/>
      <c r="B977" s="332"/>
    </row>
    <row r="978">
      <c r="A978" s="332"/>
      <c r="B978" s="332"/>
    </row>
    <row r="979">
      <c r="A979" s="332"/>
      <c r="B979" s="332"/>
    </row>
    <row r="980">
      <c r="A980" s="332"/>
      <c r="B980" s="332"/>
    </row>
    <row r="981">
      <c r="A981" s="332"/>
      <c r="B981" s="332"/>
    </row>
    <row r="982">
      <c r="A982" s="332"/>
      <c r="B982" s="332"/>
    </row>
    <row r="983">
      <c r="A983" s="332"/>
      <c r="B983" s="332"/>
    </row>
    <row r="984">
      <c r="A984" s="332"/>
      <c r="B984" s="332"/>
    </row>
    <row r="985">
      <c r="A985" s="332"/>
      <c r="B985" s="332"/>
    </row>
    <row r="986">
      <c r="A986" s="332"/>
      <c r="B986" s="332"/>
    </row>
    <row r="987">
      <c r="A987" s="332"/>
      <c r="B987" s="332"/>
    </row>
    <row r="988">
      <c r="A988" s="332"/>
      <c r="B988" s="332"/>
    </row>
    <row r="989">
      <c r="A989" s="332"/>
      <c r="B989" s="332"/>
    </row>
    <row r="990">
      <c r="A990" s="332"/>
      <c r="B990" s="332"/>
    </row>
    <row r="991">
      <c r="A991" s="332"/>
      <c r="B991" s="332"/>
    </row>
    <row r="992">
      <c r="A992" s="332"/>
      <c r="B992" s="332"/>
    </row>
    <row r="993">
      <c r="A993" s="332"/>
      <c r="B993" s="332"/>
    </row>
    <row r="994">
      <c r="A994" s="332"/>
      <c r="B994" s="332"/>
    </row>
    <row r="995">
      <c r="A995" s="332"/>
      <c r="B995" s="332"/>
    </row>
    <row r="996">
      <c r="A996" s="332"/>
      <c r="B996" s="332"/>
    </row>
    <row r="997">
      <c r="A997" s="332"/>
      <c r="B997" s="332"/>
    </row>
    <row r="998">
      <c r="A998" s="332"/>
      <c r="B998" s="332"/>
    </row>
    <row r="999">
      <c r="A999" s="332"/>
      <c r="B999" s="332"/>
    </row>
    <row r="1000">
      <c r="A1000" s="332"/>
      <c r="B1000" s="332"/>
    </row>
    <row r="1001">
      <c r="A1001" s="332"/>
      <c r="B1001" s="332"/>
    </row>
    <row r="1002">
      <c r="A1002" s="332"/>
      <c r="B1002" s="332"/>
    </row>
    <row r="1003">
      <c r="A1003" s="332"/>
      <c r="B1003" s="332"/>
    </row>
    <row r="1004">
      <c r="A1004" s="332"/>
      <c r="B1004" s="332"/>
    </row>
    <row r="1005">
      <c r="A1005" s="332"/>
      <c r="B1005" s="332"/>
    </row>
    <row r="1006">
      <c r="A1006" s="332"/>
      <c r="B1006" s="33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0.25"/>
    <col customWidth="1" min="3" max="3" width="11.63"/>
    <col customWidth="1" min="4" max="5" width="10.13"/>
    <col customWidth="1" min="6" max="6" width="10.63"/>
    <col customWidth="1" min="7" max="7" width="11.13"/>
    <col customWidth="1" min="8" max="9" width="11.0"/>
    <col customWidth="1" min="10" max="10" width="11.25"/>
    <col customWidth="1" min="11" max="11" width="11.38"/>
    <col customWidth="1" min="12" max="12" width="11.25"/>
    <col customWidth="1" min="13" max="13" width="10.88"/>
    <col customWidth="1" min="14" max="14" width="11.13"/>
  </cols>
  <sheetData>
    <row r="1" ht="15.75" customHeight="1">
      <c r="A1" s="333" t="s">
        <v>598</v>
      </c>
      <c r="B1" s="334" t="s">
        <v>1</v>
      </c>
      <c r="C1" s="334" t="s">
        <v>2</v>
      </c>
      <c r="D1" s="334" t="s">
        <v>3</v>
      </c>
      <c r="E1" s="334" t="s">
        <v>4</v>
      </c>
      <c r="F1" s="334" t="s">
        <v>5</v>
      </c>
      <c r="G1" s="334" t="s">
        <v>6</v>
      </c>
      <c r="H1" s="334" t="s">
        <v>7</v>
      </c>
      <c r="I1" s="334" t="s">
        <v>8</v>
      </c>
      <c r="J1" s="334" t="s">
        <v>9</v>
      </c>
      <c r="K1" s="334" t="s">
        <v>10</v>
      </c>
      <c r="L1" s="334" t="s">
        <v>11</v>
      </c>
      <c r="M1" s="334" t="s">
        <v>12</v>
      </c>
      <c r="N1" s="334" t="s">
        <v>13</v>
      </c>
    </row>
    <row r="2" ht="24.75" customHeight="1">
      <c r="A2" s="335" t="s">
        <v>283</v>
      </c>
      <c r="B2" s="336"/>
      <c r="C2" s="337">
        <f t="shared" ref="C2:N2" si="1">C17*C18*C14</f>
        <v>1470000</v>
      </c>
      <c r="D2" s="337">
        <f t="shared" si="1"/>
        <v>2793000</v>
      </c>
      <c r="E2" s="337">
        <f t="shared" si="1"/>
        <v>1991850</v>
      </c>
      <c r="F2" s="337">
        <f t="shared" si="1"/>
        <v>2527665</v>
      </c>
      <c r="G2" s="337">
        <f t="shared" si="1"/>
        <v>6019797</v>
      </c>
      <c r="H2" s="337">
        <f t="shared" si="1"/>
        <v>10331725.95</v>
      </c>
      <c r="I2" s="337">
        <f t="shared" si="1"/>
        <v>11503553.36</v>
      </c>
      <c r="J2" s="337">
        <f t="shared" si="1"/>
        <v>12558198.02</v>
      </c>
      <c r="K2" s="337">
        <f t="shared" si="1"/>
        <v>4502459.406</v>
      </c>
      <c r="L2" s="337">
        <f t="shared" si="1"/>
        <v>4787213.465</v>
      </c>
      <c r="M2" s="337">
        <f t="shared" si="1"/>
        <v>5043492.119</v>
      </c>
      <c r="N2" s="337">
        <f t="shared" si="1"/>
        <v>5274142.907</v>
      </c>
    </row>
    <row r="3" ht="12.75" customHeight="1">
      <c r="A3" s="338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</row>
    <row r="4" ht="15.75" customHeight="1">
      <c r="A4" s="340" t="s">
        <v>599</v>
      </c>
      <c r="B4" s="341">
        <v>600.0</v>
      </c>
      <c r="C4" s="342">
        <f t="shared" ref="C4:N4" si="2">$B4</f>
        <v>600</v>
      </c>
      <c r="D4" s="342">
        <f t="shared" si="2"/>
        <v>600</v>
      </c>
      <c r="E4" s="342">
        <f t="shared" si="2"/>
        <v>600</v>
      </c>
      <c r="F4" s="342">
        <f t="shared" si="2"/>
        <v>600</v>
      </c>
      <c r="G4" s="342">
        <f t="shared" si="2"/>
        <v>600</v>
      </c>
      <c r="H4" s="342">
        <f t="shared" si="2"/>
        <v>600</v>
      </c>
      <c r="I4" s="342">
        <f t="shared" si="2"/>
        <v>600</v>
      </c>
      <c r="J4" s="342">
        <f t="shared" si="2"/>
        <v>600</v>
      </c>
      <c r="K4" s="342">
        <f t="shared" si="2"/>
        <v>600</v>
      </c>
      <c r="L4" s="342">
        <f t="shared" si="2"/>
        <v>600</v>
      </c>
      <c r="M4" s="342">
        <f t="shared" si="2"/>
        <v>600</v>
      </c>
      <c r="N4" s="342">
        <f t="shared" si="2"/>
        <v>600</v>
      </c>
    </row>
    <row r="5" ht="15.75" customHeight="1">
      <c r="A5" s="343" t="s">
        <v>600</v>
      </c>
      <c r="B5" s="344">
        <v>0.1</v>
      </c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</row>
    <row r="6" ht="15.75" customHeight="1">
      <c r="A6" s="343" t="s">
        <v>601</v>
      </c>
      <c r="B6" s="345"/>
      <c r="C6" s="342">
        <f t="shared" ref="C6:N6" si="3">C4*$B5</f>
        <v>60</v>
      </c>
      <c r="D6" s="342">
        <f t="shared" si="3"/>
        <v>60</v>
      </c>
      <c r="E6" s="342">
        <f t="shared" si="3"/>
        <v>60</v>
      </c>
      <c r="F6" s="342">
        <f t="shared" si="3"/>
        <v>60</v>
      </c>
      <c r="G6" s="342">
        <f t="shared" si="3"/>
        <v>60</v>
      </c>
      <c r="H6" s="342">
        <f t="shared" si="3"/>
        <v>60</v>
      </c>
      <c r="I6" s="342">
        <f t="shared" si="3"/>
        <v>60</v>
      </c>
      <c r="J6" s="342">
        <f t="shared" si="3"/>
        <v>60</v>
      </c>
      <c r="K6" s="342">
        <f t="shared" si="3"/>
        <v>60</v>
      </c>
      <c r="L6" s="342">
        <f t="shared" si="3"/>
        <v>60</v>
      </c>
      <c r="M6" s="342">
        <f t="shared" si="3"/>
        <v>60</v>
      </c>
      <c r="N6" s="342">
        <f t="shared" si="3"/>
        <v>60</v>
      </c>
    </row>
    <row r="7" ht="15.75" customHeight="1">
      <c r="A7" s="343" t="s">
        <v>602</v>
      </c>
      <c r="B7" s="346">
        <v>0.7</v>
      </c>
      <c r="C7" s="342"/>
      <c r="D7" s="342"/>
      <c r="E7" s="342"/>
      <c r="F7" s="342"/>
      <c r="G7" s="342"/>
      <c r="H7" s="342"/>
      <c r="I7" s="342"/>
      <c r="J7" s="342"/>
      <c r="K7" s="342"/>
      <c r="L7" s="342"/>
      <c r="M7" s="342"/>
      <c r="N7" s="342"/>
    </row>
    <row r="8" ht="15.75" customHeight="1">
      <c r="A8" s="343" t="s">
        <v>603</v>
      </c>
      <c r="B8" s="345"/>
      <c r="C8" s="342">
        <f t="shared" ref="C8:N8" si="4">C6*$B7</f>
        <v>42</v>
      </c>
      <c r="D8" s="342">
        <f t="shared" si="4"/>
        <v>42</v>
      </c>
      <c r="E8" s="342">
        <f t="shared" si="4"/>
        <v>42</v>
      </c>
      <c r="F8" s="342">
        <f t="shared" si="4"/>
        <v>42</v>
      </c>
      <c r="G8" s="342">
        <f t="shared" si="4"/>
        <v>42</v>
      </c>
      <c r="H8" s="342">
        <f t="shared" si="4"/>
        <v>42</v>
      </c>
      <c r="I8" s="342">
        <f t="shared" si="4"/>
        <v>42</v>
      </c>
      <c r="J8" s="342">
        <f t="shared" si="4"/>
        <v>42</v>
      </c>
      <c r="K8" s="342">
        <f t="shared" si="4"/>
        <v>42</v>
      </c>
      <c r="L8" s="342">
        <f t="shared" si="4"/>
        <v>42</v>
      </c>
      <c r="M8" s="342">
        <f t="shared" si="4"/>
        <v>42</v>
      </c>
      <c r="N8" s="342">
        <f t="shared" si="4"/>
        <v>42</v>
      </c>
    </row>
    <row r="9" ht="15.75" customHeight="1">
      <c r="A9" s="343"/>
      <c r="B9" s="345"/>
      <c r="C9" s="342"/>
      <c r="D9" s="342"/>
      <c r="E9" s="342"/>
      <c r="F9" s="342"/>
      <c r="G9" s="342"/>
      <c r="H9" s="342"/>
      <c r="I9" s="342"/>
      <c r="J9" s="342"/>
      <c r="K9" s="342"/>
      <c r="L9" s="342"/>
      <c r="M9" s="342"/>
      <c r="N9" s="342"/>
    </row>
    <row r="10" ht="15.75" customHeight="1">
      <c r="A10" s="347" t="s">
        <v>604</v>
      </c>
      <c r="C10" s="342"/>
      <c r="D10" s="342"/>
      <c r="E10" s="342"/>
      <c r="F10" s="342"/>
      <c r="G10" s="342"/>
      <c r="H10" s="342"/>
      <c r="I10" s="342"/>
      <c r="J10" s="342"/>
      <c r="K10" s="342"/>
      <c r="L10" s="342"/>
      <c r="M10" s="342"/>
      <c r="N10" s="342"/>
    </row>
    <row r="11" ht="15.75" customHeight="1">
      <c r="A11" s="340" t="s">
        <v>605</v>
      </c>
      <c r="B11" s="345"/>
      <c r="C11" s="342">
        <f t="shared" ref="C11:N11" si="5">B14</f>
        <v>0</v>
      </c>
      <c r="D11" s="342">
        <f t="shared" si="5"/>
        <v>42</v>
      </c>
      <c r="E11" s="342">
        <f t="shared" si="5"/>
        <v>79.8</v>
      </c>
      <c r="F11" s="342">
        <f t="shared" si="5"/>
        <v>113.82</v>
      </c>
      <c r="G11" s="342">
        <f t="shared" si="5"/>
        <v>144.438</v>
      </c>
      <c r="H11" s="342">
        <f t="shared" si="5"/>
        <v>171.9942</v>
      </c>
      <c r="I11" s="342">
        <f t="shared" si="5"/>
        <v>196.79478</v>
      </c>
      <c r="J11" s="342">
        <f t="shared" si="5"/>
        <v>219.115302</v>
      </c>
      <c r="K11" s="342">
        <f t="shared" si="5"/>
        <v>239.2037718</v>
      </c>
      <c r="L11" s="342">
        <f t="shared" si="5"/>
        <v>257.2833946</v>
      </c>
      <c r="M11" s="342">
        <f t="shared" si="5"/>
        <v>273.5550552</v>
      </c>
      <c r="N11" s="342">
        <f t="shared" si="5"/>
        <v>288.1995496</v>
      </c>
    </row>
    <row r="12" ht="15.75" customHeight="1">
      <c r="A12" s="340" t="s">
        <v>606</v>
      </c>
      <c r="B12" s="345"/>
      <c r="C12" s="342">
        <f t="shared" ref="C12:N12" si="6">C8</f>
        <v>42</v>
      </c>
      <c r="D12" s="342">
        <f t="shared" si="6"/>
        <v>42</v>
      </c>
      <c r="E12" s="342">
        <f t="shared" si="6"/>
        <v>42</v>
      </c>
      <c r="F12" s="342">
        <f t="shared" si="6"/>
        <v>42</v>
      </c>
      <c r="G12" s="342">
        <f t="shared" si="6"/>
        <v>42</v>
      </c>
      <c r="H12" s="342">
        <f t="shared" si="6"/>
        <v>42</v>
      </c>
      <c r="I12" s="342">
        <f t="shared" si="6"/>
        <v>42</v>
      </c>
      <c r="J12" s="342">
        <f t="shared" si="6"/>
        <v>42</v>
      </c>
      <c r="K12" s="342">
        <f t="shared" si="6"/>
        <v>42</v>
      </c>
      <c r="L12" s="342">
        <f t="shared" si="6"/>
        <v>42</v>
      </c>
      <c r="M12" s="342">
        <f t="shared" si="6"/>
        <v>42</v>
      </c>
      <c r="N12" s="342">
        <f t="shared" si="6"/>
        <v>42</v>
      </c>
    </row>
    <row r="13" ht="15.75" customHeight="1">
      <c r="A13" s="340" t="s">
        <v>607</v>
      </c>
      <c r="B13" s="346">
        <v>0.1</v>
      </c>
      <c r="C13" s="342">
        <f t="shared" ref="C13:N13" si="7">-($B13*C11)</f>
        <v>0</v>
      </c>
      <c r="D13" s="342">
        <f t="shared" si="7"/>
        <v>-4.2</v>
      </c>
      <c r="E13" s="342">
        <f t="shared" si="7"/>
        <v>-7.98</v>
      </c>
      <c r="F13" s="342">
        <f t="shared" si="7"/>
        <v>-11.382</v>
      </c>
      <c r="G13" s="342">
        <f t="shared" si="7"/>
        <v>-14.4438</v>
      </c>
      <c r="H13" s="342">
        <f t="shared" si="7"/>
        <v>-17.19942</v>
      </c>
      <c r="I13" s="342">
        <f t="shared" si="7"/>
        <v>-19.679478</v>
      </c>
      <c r="J13" s="342">
        <f t="shared" si="7"/>
        <v>-21.9115302</v>
      </c>
      <c r="K13" s="342">
        <f t="shared" si="7"/>
        <v>-23.92037718</v>
      </c>
      <c r="L13" s="342">
        <f t="shared" si="7"/>
        <v>-25.72833946</v>
      </c>
      <c r="M13" s="342">
        <f t="shared" si="7"/>
        <v>-27.35550552</v>
      </c>
      <c r="N13" s="342">
        <f t="shared" si="7"/>
        <v>-28.81995496</v>
      </c>
    </row>
    <row r="14" ht="15.75" customHeight="1">
      <c r="A14" s="340" t="s">
        <v>608</v>
      </c>
      <c r="B14" s="341">
        <v>0.0</v>
      </c>
      <c r="C14" s="342">
        <f t="shared" ref="C14:N14" si="8">C11+C12+C13</f>
        <v>42</v>
      </c>
      <c r="D14" s="342">
        <f t="shared" si="8"/>
        <v>79.8</v>
      </c>
      <c r="E14" s="342">
        <f t="shared" si="8"/>
        <v>113.82</v>
      </c>
      <c r="F14" s="342">
        <f t="shared" si="8"/>
        <v>144.438</v>
      </c>
      <c r="G14" s="342">
        <f t="shared" si="8"/>
        <v>171.9942</v>
      </c>
      <c r="H14" s="342">
        <f t="shared" si="8"/>
        <v>196.79478</v>
      </c>
      <c r="I14" s="342">
        <f t="shared" si="8"/>
        <v>219.115302</v>
      </c>
      <c r="J14" s="342">
        <f t="shared" si="8"/>
        <v>239.2037718</v>
      </c>
      <c r="K14" s="342">
        <f t="shared" si="8"/>
        <v>257.2833946</v>
      </c>
      <c r="L14" s="342">
        <f t="shared" si="8"/>
        <v>273.5550552</v>
      </c>
      <c r="M14" s="342">
        <f t="shared" si="8"/>
        <v>288.1995496</v>
      </c>
      <c r="N14" s="342">
        <f t="shared" si="8"/>
        <v>301.3795947</v>
      </c>
    </row>
    <row r="15" ht="15.75" customHeight="1">
      <c r="A15" s="340"/>
      <c r="B15" s="348"/>
      <c r="C15" s="342"/>
      <c r="D15" s="342"/>
      <c r="E15" s="342"/>
      <c r="F15" s="342"/>
      <c r="G15" s="342"/>
      <c r="H15" s="342"/>
      <c r="I15" s="342"/>
      <c r="J15" s="342"/>
      <c r="K15" s="342"/>
      <c r="L15" s="342"/>
      <c r="M15" s="342"/>
      <c r="N15" s="342"/>
    </row>
    <row r="16" ht="15.75" customHeight="1">
      <c r="A16" s="349" t="s">
        <v>609</v>
      </c>
      <c r="B16" s="350"/>
      <c r="C16" s="351">
        <v>1.0</v>
      </c>
      <c r="D16" s="351">
        <v>1.0</v>
      </c>
      <c r="E16" s="351">
        <v>0.5</v>
      </c>
      <c r="F16" s="351">
        <v>0.5</v>
      </c>
      <c r="G16" s="351">
        <v>1.0</v>
      </c>
      <c r="H16" s="351">
        <v>1.5</v>
      </c>
      <c r="I16" s="351">
        <v>1.5</v>
      </c>
      <c r="J16" s="351">
        <v>1.5</v>
      </c>
      <c r="K16" s="351">
        <v>0.5</v>
      </c>
      <c r="L16" s="351">
        <v>0.5</v>
      </c>
      <c r="M16" s="351">
        <v>0.5</v>
      </c>
      <c r="N16" s="351">
        <v>0.5</v>
      </c>
    </row>
    <row r="17" ht="15.75" customHeight="1">
      <c r="A17" s="340" t="s">
        <v>610</v>
      </c>
      <c r="B17" s="341">
        <f>(5*7)*4</f>
        <v>140</v>
      </c>
      <c r="C17" s="352">
        <f t="shared" ref="C17:N17" si="9">$B17*C16</f>
        <v>140</v>
      </c>
      <c r="D17" s="352">
        <f t="shared" si="9"/>
        <v>140</v>
      </c>
      <c r="E17" s="352">
        <f t="shared" si="9"/>
        <v>70</v>
      </c>
      <c r="F17" s="352">
        <f t="shared" si="9"/>
        <v>70</v>
      </c>
      <c r="G17" s="352">
        <f t="shared" si="9"/>
        <v>140</v>
      </c>
      <c r="H17" s="352">
        <f t="shared" si="9"/>
        <v>210</v>
      </c>
      <c r="I17" s="352">
        <f t="shared" si="9"/>
        <v>210</v>
      </c>
      <c r="J17" s="352">
        <f t="shared" si="9"/>
        <v>210</v>
      </c>
      <c r="K17" s="352">
        <f t="shared" si="9"/>
        <v>70</v>
      </c>
      <c r="L17" s="352">
        <f t="shared" si="9"/>
        <v>70</v>
      </c>
      <c r="M17" s="352">
        <f t="shared" si="9"/>
        <v>70</v>
      </c>
      <c r="N17" s="352">
        <f t="shared" si="9"/>
        <v>70</v>
      </c>
    </row>
    <row r="18" ht="15.75" customHeight="1">
      <c r="A18" s="340" t="s">
        <v>611</v>
      </c>
      <c r="B18" s="341">
        <v>250.0</v>
      </c>
      <c r="C18" s="352">
        <f t="shared" ref="C18:N18" si="10">$B18</f>
        <v>250</v>
      </c>
      <c r="D18" s="352">
        <f t="shared" si="10"/>
        <v>250</v>
      </c>
      <c r="E18" s="352">
        <f t="shared" si="10"/>
        <v>250</v>
      </c>
      <c r="F18" s="352">
        <f t="shared" si="10"/>
        <v>250</v>
      </c>
      <c r="G18" s="352">
        <f t="shared" si="10"/>
        <v>250</v>
      </c>
      <c r="H18" s="352">
        <f t="shared" si="10"/>
        <v>250</v>
      </c>
      <c r="I18" s="352">
        <f t="shared" si="10"/>
        <v>250</v>
      </c>
      <c r="J18" s="352">
        <f t="shared" si="10"/>
        <v>250</v>
      </c>
      <c r="K18" s="352">
        <f t="shared" si="10"/>
        <v>250</v>
      </c>
      <c r="L18" s="352">
        <f t="shared" si="10"/>
        <v>250</v>
      </c>
      <c r="M18" s="352">
        <f t="shared" si="10"/>
        <v>250</v>
      </c>
      <c r="N18" s="352">
        <f t="shared" si="10"/>
        <v>250</v>
      </c>
    </row>
    <row r="19" ht="15.75" customHeight="1">
      <c r="A19" s="353"/>
      <c r="B19" s="354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</row>
    <row r="20" ht="29.25" customHeight="1">
      <c r="A20" s="356" t="s">
        <v>32</v>
      </c>
      <c r="C20" s="357">
        <f t="shared" ref="C20:N20" si="11">SUM(C21:C22)</f>
        <v>-984900</v>
      </c>
      <c r="D20" s="357">
        <f t="shared" si="11"/>
        <v>-1871310</v>
      </c>
      <c r="E20" s="357">
        <f t="shared" si="11"/>
        <v>-1334539.5</v>
      </c>
      <c r="F20" s="357">
        <f t="shared" si="11"/>
        <v>-1693535.55</v>
      </c>
      <c r="G20" s="357">
        <f t="shared" si="11"/>
        <v>-4033263.99</v>
      </c>
      <c r="H20" s="357">
        <f t="shared" si="11"/>
        <v>-6922256.387</v>
      </c>
      <c r="I20" s="357">
        <f t="shared" si="11"/>
        <v>-7707380.748</v>
      </c>
      <c r="J20" s="357">
        <f t="shared" si="11"/>
        <v>-8413992.673</v>
      </c>
      <c r="K20" s="357">
        <f t="shared" si="11"/>
        <v>-3016647.802</v>
      </c>
      <c r="L20" s="357">
        <f t="shared" si="11"/>
        <v>-3207433.022</v>
      </c>
      <c r="M20" s="357">
        <f t="shared" si="11"/>
        <v>-3379139.72</v>
      </c>
      <c r="N20" s="357">
        <f t="shared" si="11"/>
        <v>-3533675.748</v>
      </c>
    </row>
    <row r="21" ht="15.75" customHeight="1">
      <c r="A21" s="358" t="s">
        <v>612</v>
      </c>
      <c r="B21" s="346">
        <v>0.6</v>
      </c>
      <c r="C21" s="359">
        <f t="shared" ref="C21:N21" si="12">-($B21*C2)</f>
        <v>-882000</v>
      </c>
      <c r="D21" s="359">
        <f t="shared" si="12"/>
        <v>-1675800</v>
      </c>
      <c r="E21" s="359">
        <f t="shared" si="12"/>
        <v>-1195110</v>
      </c>
      <c r="F21" s="359">
        <f t="shared" si="12"/>
        <v>-1516599</v>
      </c>
      <c r="G21" s="359">
        <f t="shared" si="12"/>
        <v>-3611878.2</v>
      </c>
      <c r="H21" s="359">
        <f t="shared" si="12"/>
        <v>-6199035.57</v>
      </c>
      <c r="I21" s="359">
        <f t="shared" si="12"/>
        <v>-6902132.013</v>
      </c>
      <c r="J21" s="359">
        <f t="shared" si="12"/>
        <v>-7534918.812</v>
      </c>
      <c r="K21" s="359">
        <f t="shared" si="12"/>
        <v>-2701475.644</v>
      </c>
      <c r="L21" s="359">
        <f t="shared" si="12"/>
        <v>-2872328.079</v>
      </c>
      <c r="M21" s="359">
        <f t="shared" si="12"/>
        <v>-3026095.271</v>
      </c>
      <c r="N21" s="359">
        <f t="shared" si="12"/>
        <v>-3164485.744</v>
      </c>
    </row>
    <row r="22" ht="15.75" customHeight="1">
      <c r="A22" s="358" t="s">
        <v>613</v>
      </c>
      <c r="B22" s="346">
        <v>0.07</v>
      </c>
      <c r="C22" s="359">
        <f t="shared" ref="C22:N22" si="13">-($B22*(C2))</f>
        <v>-102900</v>
      </c>
      <c r="D22" s="359">
        <f t="shared" si="13"/>
        <v>-195510</v>
      </c>
      <c r="E22" s="359">
        <f t="shared" si="13"/>
        <v>-139429.5</v>
      </c>
      <c r="F22" s="359">
        <f t="shared" si="13"/>
        <v>-176936.55</v>
      </c>
      <c r="G22" s="359">
        <f t="shared" si="13"/>
        <v>-421385.79</v>
      </c>
      <c r="H22" s="359">
        <f t="shared" si="13"/>
        <v>-723220.8165</v>
      </c>
      <c r="I22" s="359">
        <f t="shared" si="13"/>
        <v>-805248.7349</v>
      </c>
      <c r="J22" s="359">
        <f t="shared" si="13"/>
        <v>-879073.8614</v>
      </c>
      <c r="K22" s="359">
        <f t="shared" si="13"/>
        <v>-315172.1584</v>
      </c>
      <c r="L22" s="359">
        <f t="shared" si="13"/>
        <v>-335104.9426</v>
      </c>
      <c r="M22" s="359">
        <f t="shared" si="13"/>
        <v>-353044.4483</v>
      </c>
      <c r="N22" s="359">
        <f t="shared" si="13"/>
        <v>-369190.0035</v>
      </c>
    </row>
    <row r="23" ht="15.75" customHeight="1">
      <c r="A23" s="333"/>
      <c r="B23" s="360"/>
      <c r="C23" s="359"/>
      <c r="D23" s="359"/>
      <c r="E23" s="359"/>
      <c r="F23" s="359"/>
      <c r="G23" s="359"/>
      <c r="H23" s="359"/>
      <c r="I23" s="359"/>
      <c r="J23" s="359"/>
      <c r="K23" s="359"/>
      <c r="L23" s="359"/>
      <c r="M23" s="359"/>
      <c r="N23" s="359"/>
    </row>
    <row r="24" ht="32.25" customHeight="1">
      <c r="A24" s="356" t="s">
        <v>30</v>
      </c>
      <c r="C24" s="357">
        <f t="shared" ref="C24:N24" si="14">C2+C20</f>
        <v>485100</v>
      </c>
      <c r="D24" s="357">
        <f t="shared" si="14"/>
        <v>921690</v>
      </c>
      <c r="E24" s="357">
        <f t="shared" si="14"/>
        <v>657310.5</v>
      </c>
      <c r="F24" s="357">
        <f t="shared" si="14"/>
        <v>834129.45</v>
      </c>
      <c r="G24" s="357">
        <f t="shared" si="14"/>
        <v>1986533.01</v>
      </c>
      <c r="H24" s="357">
        <f t="shared" si="14"/>
        <v>3409469.564</v>
      </c>
      <c r="I24" s="357">
        <f t="shared" si="14"/>
        <v>3796172.607</v>
      </c>
      <c r="J24" s="357">
        <f t="shared" si="14"/>
        <v>4144205.346</v>
      </c>
      <c r="K24" s="357">
        <f t="shared" si="14"/>
        <v>1485811.604</v>
      </c>
      <c r="L24" s="357">
        <f t="shared" si="14"/>
        <v>1579780.444</v>
      </c>
      <c r="M24" s="357">
        <f t="shared" si="14"/>
        <v>1664352.399</v>
      </c>
      <c r="N24" s="357">
        <f t="shared" si="14"/>
        <v>1740467.159</v>
      </c>
    </row>
    <row r="25" ht="15.75" customHeight="1">
      <c r="A25" s="361" t="s">
        <v>614</v>
      </c>
      <c r="C25" s="362">
        <f t="shared" ref="C25:N25" si="15">(C24/C2)*100%</f>
        <v>0.33</v>
      </c>
      <c r="D25" s="362">
        <f t="shared" si="15"/>
        <v>0.33</v>
      </c>
      <c r="E25" s="362">
        <f t="shared" si="15"/>
        <v>0.33</v>
      </c>
      <c r="F25" s="362">
        <f t="shared" si="15"/>
        <v>0.33</v>
      </c>
      <c r="G25" s="362">
        <f t="shared" si="15"/>
        <v>0.33</v>
      </c>
      <c r="H25" s="362">
        <f t="shared" si="15"/>
        <v>0.33</v>
      </c>
      <c r="I25" s="362">
        <f t="shared" si="15"/>
        <v>0.33</v>
      </c>
      <c r="J25" s="362">
        <f t="shared" si="15"/>
        <v>0.33</v>
      </c>
      <c r="K25" s="362">
        <f t="shared" si="15"/>
        <v>0.33</v>
      </c>
      <c r="L25" s="362">
        <f t="shared" si="15"/>
        <v>0.33</v>
      </c>
      <c r="M25" s="362">
        <f t="shared" si="15"/>
        <v>0.33</v>
      </c>
      <c r="N25" s="362">
        <f t="shared" si="15"/>
        <v>0.33</v>
      </c>
    </row>
    <row r="26" ht="15.75" customHeight="1">
      <c r="A26" s="353"/>
      <c r="B26" s="354"/>
      <c r="C26" s="354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</row>
    <row r="27" ht="29.25" customHeight="1">
      <c r="A27" s="356" t="s">
        <v>38</v>
      </c>
      <c r="C27" s="357">
        <f t="shared" ref="C27:N27" si="16">SUM(C28:C35)</f>
        <v>-205500</v>
      </c>
      <c r="D27" s="357">
        <f t="shared" si="16"/>
        <v>-205500</v>
      </c>
      <c r="E27" s="357">
        <f t="shared" si="16"/>
        <v>-205500</v>
      </c>
      <c r="F27" s="357">
        <f t="shared" si="16"/>
        <v>-205500</v>
      </c>
      <c r="G27" s="357">
        <f t="shared" si="16"/>
        <v>-205500</v>
      </c>
      <c r="H27" s="357">
        <f t="shared" si="16"/>
        <v>-205500</v>
      </c>
      <c r="I27" s="357">
        <f t="shared" si="16"/>
        <v>-205500</v>
      </c>
      <c r="J27" s="357">
        <f t="shared" si="16"/>
        <v>-205500</v>
      </c>
      <c r="K27" s="357">
        <f t="shared" si="16"/>
        <v>-205500</v>
      </c>
      <c r="L27" s="357">
        <f t="shared" si="16"/>
        <v>-205500</v>
      </c>
      <c r="M27" s="357">
        <f t="shared" si="16"/>
        <v>-205500</v>
      </c>
      <c r="N27" s="357">
        <f t="shared" si="16"/>
        <v>-205500</v>
      </c>
    </row>
    <row r="28" ht="15.75" customHeight="1">
      <c r="A28" s="358" t="s">
        <v>615</v>
      </c>
      <c r="B28" s="363">
        <v>-15000.0</v>
      </c>
      <c r="C28" s="359">
        <f t="shared" ref="C28:N28" si="17">$B28</f>
        <v>-15000</v>
      </c>
      <c r="D28" s="359">
        <f t="shared" si="17"/>
        <v>-15000</v>
      </c>
      <c r="E28" s="359">
        <f t="shared" si="17"/>
        <v>-15000</v>
      </c>
      <c r="F28" s="359">
        <f t="shared" si="17"/>
        <v>-15000</v>
      </c>
      <c r="G28" s="359">
        <f t="shared" si="17"/>
        <v>-15000</v>
      </c>
      <c r="H28" s="359">
        <f t="shared" si="17"/>
        <v>-15000</v>
      </c>
      <c r="I28" s="359">
        <f t="shared" si="17"/>
        <v>-15000</v>
      </c>
      <c r="J28" s="359">
        <f t="shared" si="17"/>
        <v>-15000</v>
      </c>
      <c r="K28" s="359">
        <f t="shared" si="17"/>
        <v>-15000</v>
      </c>
      <c r="L28" s="359">
        <f t="shared" si="17"/>
        <v>-15000</v>
      </c>
      <c r="M28" s="359">
        <f t="shared" si="17"/>
        <v>-15000</v>
      </c>
      <c r="N28" s="359">
        <f t="shared" si="17"/>
        <v>-15000</v>
      </c>
    </row>
    <row r="29" ht="15.75" customHeight="1">
      <c r="A29" s="333" t="s">
        <v>616</v>
      </c>
      <c r="B29" s="363">
        <v>-30000.0</v>
      </c>
      <c r="C29" s="359">
        <f t="shared" ref="C29:N29" si="18">$B29</f>
        <v>-30000</v>
      </c>
      <c r="D29" s="359">
        <f t="shared" si="18"/>
        <v>-30000</v>
      </c>
      <c r="E29" s="359">
        <f t="shared" si="18"/>
        <v>-30000</v>
      </c>
      <c r="F29" s="359">
        <f t="shared" si="18"/>
        <v>-30000</v>
      </c>
      <c r="G29" s="359">
        <f t="shared" si="18"/>
        <v>-30000</v>
      </c>
      <c r="H29" s="359">
        <f t="shared" si="18"/>
        <v>-30000</v>
      </c>
      <c r="I29" s="359">
        <f t="shared" si="18"/>
        <v>-30000</v>
      </c>
      <c r="J29" s="359">
        <f t="shared" si="18"/>
        <v>-30000</v>
      </c>
      <c r="K29" s="359">
        <f t="shared" si="18"/>
        <v>-30000</v>
      </c>
      <c r="L29" s="359">
        <f t="shared" si="18"/>
        <v>-30000</v>
      </c>
      <c r="M29" s="359">
        <f t="shared" si="18"/>
        <v>-30000</v>
      </c>
      <c r="N29" s="359">
        <f t="shared" si="18"/>
        <v>-30000</v>
      </c>
    </row>
    <row r="30" ht="15.75" customHeight="1">
      <c r="A30" s="358" t="s">
        <v>617</v>
      </c>
      <c r="B30" s="363">
        <f>-(29000*2)</f>
        <v>-58000</v>
      </c>
      <c r="C30" s="359">
        <f t="shared" ref="C30:N30" si="19">$B30</f>
        <v>-58000</v>
      </c>
      <c r="D30" s="359">
        <f t="shared" si="19"/>
        <v>-58000</v>
      </c>
      <c r="E30" s="359">
        <f t="shared" si="19"/>
        <v>-58000</v>
      </c>
      <c r="F30" s="359">
        <f t="shared" si="19"/>
        <v>-58000</v>
      </c>
      <c r="G30" s="359">
        <f t="shared" si="19"/>
        <v>-58000</v>
      </c>
      <c r="H30" s="359">
        <f t="shared" si="19"/>
        <v>-58000</v>
      </c>
      <c r="I30" s="359">
        <f t="shared" si="19"/>
        <v>-58000</v>
      </c>
      <c r="J30" s="359">
        <f t="shared" si="19"/>
        <v>-58000</v>
      </c>
      <c r="K30" s="359">
        <f t="shared" si="19"/>
        <v>-58000</v>
      </c>
      <c r="L30" s="359">
        <f t="shared" si="19"/>
        <v>-58000</v>
      </c>
      <c r="M30" s="359">
        <f t="shared" si="19"/>
        <v>-58000</v>
      </c>
      <c r="N30" s="359">
        <f t="shared" si="19"/>
        <v>-58000</v>
      </c>
    </row>
    <row r="31" ht="15.75" customHeight="1">
      <c r="A31" s="358" t="s">
        <v>618</v>
      </c>
      <c r="B31" s="363">
        <f>-(15000*2)</f>
        <v>-30000</v>
      </c>
      <c r="C31" s="359">
        <f t="shared" ref="C31:N31" si="20">$B31</f>
        <v>-30000</v>
      </c>
      <c r="D31" s="359">
        <f t="shared" si="20"/>
        <v>-30000</v>
      </c>
      <c r="E31" s="359">
        <f t="shared" si="20"/>
        <v>-30000</v>
      </c>
      <c r="F31" s="359">
        <f t="shared" si="20"/>
        <v>-30000</v>
      </c>
      <c r="G31" s="359">
        <f t="shared" si="20"/>
        <v>-30000</v>
      </c>
      <c r="H31" s="359">
        <f t="shared" si="20"/>
        <v>-30000</v>
      </c>
      <c r="I31" s="359">
        <f t="shared" si="20"/>
        <v>-30000</v>
      </c>
      <c r="J31" s="359">
        <f t="shared" si="20"/>
        <v>-30000</v>
      </c>
      <c r="K31" s="359">
        <f t="shared" si="20"/>
        <v>-30000</v>
      </c>
      <c r="L31" s="359">
        <f t="shared" si="20"/>
        <v>-30000</v>
      </c>
      <c r="M31" s="359">
        <f t="shared" si="20"/>
        <v>-30000</v>
      </c>
      <c r="N31" s="359">
        <f t="shared" si="20"/>
        <v>-30000</v>
      </c>
    </row>
    <row r="32" ht="15.75" customHeight="1">
      <c r="A32" s="333" t="s">
        <v>619</v>
      </c>
      <c r="B32" s="363">
        <v>-50000.0</v>
      </c>
      <c r="C32" s="359">
        <f t="shared" ref="C32:N32" si="21">$B32</f>
        <v>-50000</v>
      </c>
      <c r="D32" s="359">
        <f t="shared" si="21"/>
        <v>-50000</v>
      </c>
      <c r="E32" s="359">
        <f t="shared" si="21"/>
        <v>-50000</v>
      </c>
      <c r="F32" s="359">
        <f t="shared" si="21"/>
        <v>-50000</v>
      </c>
      <c r="G32" s="359">
        <f t="shared" si="21"/>
        <v>-50000</v>
      </c>
      <c r="H32" s="359">
        <f t="shared" si="21"/>
        <v>-50000</v>
      </c>
      <c r="I32" s="359">
        <f t="shared" si="21"/>
        <v>-50000</v>
      </c>
      <c r="J32" s="359">
        <f t="shared" si="21"/>
        <v>-50000</v>
      </c>
      <c r="K32" s="359">
        <f t="shared" si="21"/>
        <v>-50000</v>
      </c>
      <c r="L32" s="359">
        <f t="shared" si="21"/>
        <v>-50000</v>
      </c>
      <c r="M32" s="359">
        <f t="shared" si="21"/>
        <v>-50000</v>
      </c>
      <c r="N32" s="359">
        <f t="shared" si="21"/>
        <v>-50000</v>
      </c>
    </row>
    <row r="33" ht="15.75" customHeight="1">
      <c r="A33" s="333" t="s">
        <v>96</v>
      </c>
      <c r="B33" s="363">
        <v>-1500.0</v>
      </c>
      <c r="C33" s="359">
        <f t="shared" ref="C33:N33" si="22">$B33</f>
        <v>-1500</v>
      </c>
      <c r="D33" s="359">
        <f t="shared" si="22"/>
        <v>-1500</v>
      </c>
      <c r="E33" s="359">
        <f t="shared" si="22"/>
        <v>-1500</v>
      </c>
      <c r="F33" s="359">
        <f t="shared" si="22"/>
        <v>-1500</v>
      </c>
      <c r="G33" s="359">
        <f t="shared" si="22"/>
        <v>-1500</v>
      </c>
      <c r="H33" s="359">
        <f t="shared" si="22"/>
        <v>-1500</v>
      </c>
      <c r="I33" s="359">
        <f t="shared" si="22"/>
        <v>-1500</v>
      </c>
      <c r="J33" s="359">
        <f t="shared" si="22"/>
        <v>-1500</v>
      </c>
      <c r="K33" s="359">
        <f t="shared" si="22"/>
        <v>-1500</v>
      </c>
      <c r="L33" s="359">
        <f t="shared" si="22"/>
        <v>-1500</v>
      </c>
      <c r="M33" s="359">
        <f t="shared" si="22"/>
        <v>-1500</v>
      </c>
      <c r="N33" s="359">
        <f t="shared" si="22"/>
        <v>-1500</v>
      </c>
    </row>
    <row r="34" ht="15.75" customHeight="1">
      <c r="A34" s="333" t="s">
        <v>620</v>
      </c>
      <c r="B34" s="363">
        <v>-15000.0</v>
      </c>
      <c r="C34" s="359">
        <f t="shared" ref="C34:N34" si="23">$B34</f>
        <v>-15000</v>
      </c>
      <c r="D34" s="359">
        <f t="shared" si="23"/>
        <v>-15000</v>
      </c>
      <c r="E34" s="359">
        <f t="shared" si="23"/>
        <v>-15000</v>
      </c>
      <c r="F34" s="359">
        <f t="shared" si="23"/>
        <v>-15000</v>
      </c>
      <c r="G34" s="359">
        <f t="shared" si="23"/>
        <v>-15000</v>
      </c>
      <c r="H34" s="359">
        <f t="shared" si="23"/>
        <v>-15000</v>
      </c>
      <c r="I34" s="359">
        <f t="shared" si="23"/>
        <v>-15000</v>
      </c>
      <c r="J34" s="359">
        <f t="shared" si="23"/>
        <v>-15000</v>
      </c>
      <c r="K34" s="359">
        <f t="shared" si="23"/>
        <v>-15000</v>
      </c>
      <c r="L34" s="359">
        <f t="shared" si="23"/>
        <v>-15000</v>
      </c>
      <c r="M34" s="359">
        <f t="shared" si="23"/>
        <v>-15000</v>
      </c>
      <c r="N34" s="359">
        <f t="shared" si="23"/>
        <v>-15000</v>
      </c>
    </row>
    <row r="35" ht="27.0" customHeight="1">
      <c r="A35" s="333" t="s">
        <v>621</v>
      </c>
      <c r="B35" s="363">
        <v>-6000.0</v>
      </c>
      <c r="C35" s="359">
        <f t="shared" ref="C35:N35" si="24">$B35</f>
        <v>-6000</v>
      </c>
      <c r="D35" s="359">
        <f t="shared" si="24"/>
        <v>-6000</v>
      </c>
      <c r="E35" s="359">
        <f t="shared" si="24"/>
        <v>-6000</v>
      </c>
      <c r="F35" s="359">
        <f t="shared" si="24"/>
        <v>-6000</v>
      </c>
      <c r="G35" s="359">
        <f t="shared" si="24"/>
        <v>-6000</v>
      </c>
      <c r="H35" s="359">
        <f t="shared" si="24"/>
        <v>-6000</v>
      </c>
      <c r="I35" s="359">
        <f t="shared" si="24"/>
        <v>-6000</v>
      </c>
      <c r="J35" s="359">
        <f t="shared" si="24"/>
        <v>-6000</v>
      </c>
      <c r="K35" s="359">
        <f t="shared" si="24"/>
        <v>-6000</v>
      </c>
      <c r="L35" s="359">
        <f t="shared" si="24"/>
        <v>-6000</v>
      </c>
      <c r="M35" s="359">
        <f t="shared" si="24"/>
        <v>-6000</v>
      </c>
      <c r="N35" s="359">
        <f t="shared" si="24"/>
        <v>-6000</v>
      </c>
    </row>
    <row r="36" ht="15.75" customHeight="1">
      <c r="A36" s="364"/>
      <c r="B36" s="365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</row>
    <row r="37" ht="28.5" customHeight="1">
      <c r="A37" s="356" t="s">
        <v>39</v>
      </c>
      <c r="C37" s="367">
        <f t="shared" ref="C37:N37" si="25">C24+C27</f>
        <v>279600</v>
      </c>
      <c r="D37" s="367">
        <f t="shared" si="25"/>
        <v>716190</v>
      </c>
      <c r="E37" s="367">
        <f t="shared" si="25"/>
        <v>451810.5</v>
      </c>
      <c r="F37" s="367">
        <f t="shared" si="25"/>
        <v>628629.45</v>
      </c>
      <c r="G37" s="367">
        <f t="shared" si="25"/>
        <v>1781033.01</v>
      </c>
      <c r="H37" s="367">
        <f t="shared" si="25"/>
        <v>3203969.564</v>
      </c>
      <c r="I37" s="367">
        <f t="shared" si="25"/>
        <v>3590672.607</v>
      </c>
      <c r="J37" s="367">
        <f t="shared" si="25"/>
        <v>3938705.346</v>
      </c>
      <c r="K37" s="367">
        <f t="shared" si="25"/>
        <v>1280311.604</v>
      </c>
      <c r="L37" s="367">
        <f t="shared" si="25"/>
        <v>1374280.444</v>
      </c>
      <c r="M37" s="367">
        <f t="shared" si="25"/>
        <v>1458852.399</v>
      </c>
      <c r="N37" s="367">
        <f t="shared" si="25"/>
        <v>1534967.159</v>
      </c>
    </row>
    <row r="38" ht="15.75" customHeight="1">
      <c r="A38" s="347" t="s">
        <v>40</v>
      </c>
      <c r="C38" s="368">
        <f t="shared" ref="C38:N38" si="26">C37/C2</f>
        <v>0.1902040816</v>
      </c>
      <c r="D38" s="368">
        <f t="shared" si="26"/>
        <v>0.2564232009</v>
      </c>
      <c r="E38" s="368">
        <f t="shared" si="26"/>
        <v>0.2268295805</v>
      </c>
      <c r="F38" s="368">
        <f t="shared" si="26"/>
        <v>0.2486996695</v>
      </c>
      <c r="G38" s="368">
        <f t="shared" si="26"/>
        <v>0.2958626362</v>
      </c>
      <c r="H38" s="368">
        <f t="shared" si="26"/>
        <v>0.3101098092</v>
      </c>
      <c r="I38" s="368">
        <f t="shared" si="26"/>
        <v>0.3121359545</v>
      </c>
      <c r="J38" s="368">
        <f t="shared" si="26"/>
        <v>0.3136361873</v>
      </c>
      <c r="K38" s="368">
        <f t="shared" si="26"/>
        <v>0.2843582781</v>
      </c>
      <c r="L38" s="368">
        <f t="shared" si="26"/>
        <v>0.2870731488</v>
      </c>
      <c r="M38" s="368">
        <f t="shared" si="26"/>
        <v>0.2892544223</v>
      </c>
      <c r="N38" s="368">
        <f t="shared" si="26"/>
        <v>0.2910363231</v>
      </c>
    </row>
    <row r="39" ht="15.75" customHeight="1">
      <c r="A39" s="333" t="s">
        <v>41</v>
      </c>
      <c r="B39" s="369">
        <v>0.06</v>
      </c>
      <c r="C39" s="370">
        <f t="shared" ref="C39:N39" si="27">IF((C37)&lt;0,0,-(C37*$B39))</f>
        <v>-16776</v>
      </c>
      <c r="D39" s="370">
        <f t="shared" si="27"/>
        <v>-42971.4</v>
      </c>
      <c r="E39" s="370">
        <f t="shared" si="27"/>
        <v>-27108.63</v>
      </c>
      <c r="F39" s="370">
        <f t="shared" si="27"/>
        <v>-37717.767</v>
      </c>
      <c r="G39" s="370">
        <f t="shared" si="27"/>
        <v>-106861.9806</v>
      </c>
      <c r="H39" s="370">
        <f t="shared" si="27"/>
        <v>-192238.1738</v>
      </c>
      <c r="I39" s="370">
        <f t="shared" si="27"/>
        <v>-215440.3564</v>
      </c>
      <c r="J39" s="370">
        <f t="shared" si="27"/>
        <v>-236322.3208</v>
      </c>
      <c r="K39" s="370">
        <f t="shared" si="27"/>
        <v>-76818.69624</v>
      </c>
      <c r="L39" s="370">
        <f t="shared" si="27"/>
        <v>-82456.82661</v>
      </c>
      <c r="M39" s="370">
        <f t="shared" si="27"/>
        <v>-87531.14395</v>
      </c>
      <c r="N39" s="370">
        <f t="shared" si="27"/>
        <v>-92098.02956</v>
      </c>
    </row>
    <row r="40" ht="15.75" customHeight="1">
      <c r="A40" s="333" t="s">
        <v>42</v>
      </c>
      <c r="B40" s="370">
        <v>0.0</v>
      </c>
      <c r="C40" s="370">
        <f t="shared" ref="C40:N40" si="28">B40</f>
        <v>0</v>
      </c>
      <c r="D40" s="370">
        <f t="shared" si="28"/>
        <v>0</v>
      </c>
      <c r="E40" s="370">
        <f t="shared" si="28"/>
        <v>0</v>
      </c>
      <c r="F40" s="370">
        <f t="shared" si="28"/>
        <v>0</v>
      </c>
      <c r="G40" s="370">
        <f t="shared" si="28"/>
        <v>0</v>
      </c>
      <c r="H40" s="370">
        <f t="shared" si="28"/>
        <v>0</v>
      </c>
      <c r="I40" s="370">
        <f t="shared" si="28"/>
        <v>0</v>
      </c>
      <c r="J40" s="370">
        <f t="shared" si="28"/>
        <v>0</v>
      </c>
      <c r="K40" s="370">
        <f t="shared" si="28"/>
        <v>0</v>
      </c>
      <c r="L40" s="370">
        <f t="shared" si="28"/>
        <v>0</v>
      </c>
      <c r="M40" s="370">
        <f t="shared" si="28"/>
        <v>0</v>
      </c>
      <c r="N40" s="370">
        <f t="shared" si="28"/>
        <v>0</v>
      </c>
    </row>
    <row r="41" ht="15.75" customHeight="1">
      <c r="A41" s="333" t="s">
        <v>43</v>
      </c>
      <c r="B41" s="370">
        <v>-6500.0</v>
      </c>
      <c r="C41" s="359">
        <f t="shared" ref="C41:N41" si="29">B41</f>
        <v>-6500</v>
      </c>
      <c r="D41" s="359">
        <f t="shared" si="29"/>
        <v>-6500</v>
      </c>
      <c r="E41" s="359">
        <f t="shared" si="29"/>
        <v>-6500</v>
      </c>
      <c r="F41" s="359">
        <f t="shared" si="29"/>
        <v>-6500</v>
      </c>
      <c r="G41" s="359">
        <f t="shared" si="29"/>
        <v>-6500</v>
      </c>
      <c r="H41" s="359">
        <f t="shared" si="29"/>
        <v>-6500</v>
      </c>
      <c r="I41" s="359">
        <f t="shared" si="29"/>
        <v>-6500</v>
      </c>
      <c r="J41" s="359">
        <f t="shared" si="29"/>
        <v>-6500</v>
      </c>
      <c r="K41" s="359">
        <f t="shared" si="29"/>
        <v>-6500</v>
      </c>
      <c r="L41" s="359">
        <f t="shared" si="29"/>
        <v>-6500</v>
      </c>
      <c r="M41" s="359">
        <f t="shared" si="29"/>
        <v>-6500</v>
      </c>
      <c r="N41" s="359">
        <f t="shared" si="29"/>
        <v>-6500</v>
      </c>
    </row>
    <row r="42" ht="15.75" customHeight="1">
      <c r="A42" s="364"/>
      <c r="B42" s="354"/>
      <c r="C42" s="371"/>
      <c r="D42" s="371"/>
      <c r="E42" s="366"/>
      <c r="F42" s="366"/>
      <c r="G42" s="366"/>
      <c r="H42" s="366"/>
      <c r="I42" s="366"/>
      <c r="J42" s="366"/>
      <c r="K42" s="366"/>
      <c r="L42" s="366"/>
      <c r="M42" s="366"/>
      <c r="N42" s="366"/>
    </row>
    <row r="43" ht="26.25" customHeight="1">
      <c r="A43" s="356" t="s">
        <v>44</v>
      </c>
      <c r="C43" s="357">
        <f t="shared" ref="C43:N43" si="30">C37+C39+C40+C41</f>
        <v>256324</v>
      </c>
      <c r="D43" s="357">
        <f t="shared" si="30"/>
        <v>666718.6</v>
      </c>
      <c r="E43" s="357">
        <f t="shared" si="30"/>
        <v>418201.87</v>
      </c>
      <c r="F43" s="357">
        <f t="shared" si="30"/>
        <v>584411.683</v>
      </c>
      <c r="G43" s="357">
        <f t="shared" si="30"/>
        <v>1667671.029</v>
      </c>
      <c r="H43" s="357">
        <f t="shared" si="30"/>
        <v>3005231.39</v>
      </c>
      <c r="I43" s="357">
        <f t="shared" si="30"/>
        <v>3368732.251</v>
      </c>
      <c r="J43" s="357">
        <f t="shared" si="30"/>
        <v>3695883.026</v>
      </c>
      <c r="K43" s="357">
        <f t="shared" si="30"/>
        <v>1196992.908</v>
      </c>
      <c r="L43" s="357">
        <f t="shared" si="30"/>
        <v>1285323.617</v>
      </c>
      <c r="M43" s="357">
        <f t="shared" si="30"/>
        <v>1364821.255</v>
      </c>
      <c r="N43" s="357">
        <f t="shared" si="30"/>
        <v>1436369.13</v>
      </c>
    </row>
    <row r="44" ht="15.75" customHeight="1">
      <c r="A44" s="347" t="s">
        <v>146</v>
      </c>
      <c r="C44" s="362">
        <f t="shared" ref="C44:N44" si="31">C43/C2</f>
        <v>0.174370068</v>
      </c>
      <c r="D44" s="362">
        <f t="shared" si="31"/>
        <v>0.2387105621</v>
      </c>
      <c r="E44" s="362">
        <f t="shared" si="31"/>
        <v>0.2099565078</v>
      </c>
      <c r="F44" s="362">
        <f t="shared" si="31"/>
        <v>0.231206146</v>
      </c>
      <c r="G44" s="362">
        <f t="shared" si="31"/>
        <v>0.2770311074</v>
      </c>
      <c r="H44" s="362">
        <f t="shared" si="31"/>
        <v>0.2908740906</v>
      </c>
      <c r="I44" s="362">
        <f t="shared" si="31"/>
        <v>0.2928427545</v>
      </c>
      <c r="J44" s="362">
        <f t="shared" si="31"/>
        <v>0.2943004259</v>
      </c>
      <c r="K44" s="362">
        <f t="shared" si="31"/>
        <v>0.265853126</v>
      </c>
      <c r="L44" s="362">
        <f t="shared" si="31"/>
        <v>0.2684909763</v>
      </c>
      <c r="M44" s="362">
        <f t="shared" si="31"/>
        <v>0.2706103674</v>
      </c>
      <c r="N44" s="362">
        <f t="shared" si="31"/>
        <v>0.272341716</v>
      </c>
    </row>
    <row r="45" ht="15.75" customHeight="1">
      <c r="A45" s="333" t="s">
        <v>46</v>
      </c>
      <c r="C45" s="372">
        <f t="shared" ref="C45:N45" si="32">B45+C43</f>
        <v>256324</v>
      </c>
      <c r="D45" s="372">
        <f t="shared" si="32"/>
        <v>923042.6</v>
      </c>
      <c r="E45" s="372">
        <f t="shared" si="32"/>
        <v>1341244.47</v>
      </c>
      <c r="F45" s="372">
        <f t="shared" si="32"/>
        <v>1925656.153</v>
      </c>
      <c r="G45" s="372">
        <f t="shared" si="32"/>
        <v>3593327.182</v>
      </c>
      <c r="H45" s="372">
        <f t="shared" si="32"/>
        <v>6598558.572</v>
      </c>
      <c r="I45" s="372">
        <f t="shared" si="32"/>
        <v>9967290.823</v>
      </c>
      <c r="J45" s="372">
        <f t="shared" si="32"/>
        <v>13663173.85</v>
      </c>
      <c r="K45" s="372">
        <f t="shared" si="32"/>
        <v>14860166.76</v>
      </c>
      <c r="L45" s="372">
        <f t="shared" si="32"/>
        <v>16145490.37</v>
      </c>
      <c r="M45" s="372">
        <f t="shared" si="32"/>
        <v>17510311.63</v>
      </c>
      <c r="N45" s="372">
        <f t="shared" si="32"/>
        <v>18946680.76</v>
      </c>
    </row>
    <row r="46" ht="30.75" customHeight="1">
      <c r="A46" s="353"/>
      <c r="B46" s="354"/>
      <c r="C46" s="373"/>
      <c r="D46" s="373"/>
      <c r="E46" s="374"/>
      <c r="F46" s="374"/>
      <c r="G46" s="374"/>
      <c r="H46" s="374"/>
      <c r="I46" s="374"/>
      <c r="J46" s="374"/>
      <c r="K46" s="374"/>
      <c r="L46" s="374"/>
      <c r="M46" s="374"/>
      <c r="N46" s="374"/>
    </row>
    <row r="47" ht="27.75" customHeight="1">
      <c r="A47" s="375" t="s">
        <v>47</v>
      </c>
      <c r="C47" s="376">
        <f t="shared" ref="C47:N47" si="33">C53+(C59)</f>
        <v>1127000</v>
      </c>
      <c r="D47" s="376">
        <f t="shared" si="33"/>
        <v>2141300</v>
      </c>
      <c r="E47" s="376">
        <f t="shared" si="33"/>
        <v>1527085</v>
      </c>
      <c r="F47" s="376">
        <f t="shared" si="33"/>
        <v>1937876.5</v>
      </c>
      <c r="G47" s="376">
        <f t="shared" si="33"/>
        <v>4615177.7</v>
      </c>
      <c r="H47" s="376">
        <f t="shared" si="33"/>
        <v>7920989.895</v>
      </c>
      <c r="I47" s="376">
        <f t="shared" si="33"/>
        <v>8819390.906</v>
      </c>
      <c r="J47" s="376">
        <f t="shared" si="33"/>
        <v>9627951.815</v>
      </c>
      <c r="K47" s="376">
        <f t="shared" si="33"/>
        <v>3451885.544</v>
      </c>
      <c r="L47" s="376">
        <f t="shared" si="33"/>
        <v>3670196.99</v>
      </c>
      <c r="M47" s="376">
        <f t="shared" si="33"/>
        <v>3866677.291</v>
      </c>
      <c r="N47" s="376">
        <f t="shared" si="33"/>
        <v>4043509.562</v>
      </c>
    </row>
    <row r="48" ht="15.75" customHeight="1">
      <c r="A48" s="333" t="s">
        <v>84</v>
      </c>
      <c r="C48" s="372">
        <f t="shared" ref="C48:N48" si="34">C54+C60</f>
        <v>1127000</v>
      </c>
      <c r="D48" s="372">
        <f t="shared" si="34"/>
        <v>1014300</v>
      </c>
      <c r="E48" s="372">
        <f t="shared" si="34"/>
        <v>-614215</v>
      </c>
      <c r="F48" s="372">
        <f t="shared" si="34"/>
        <v>410791.5</v>
      </c>
      <c r="G48" s="372">
        <f t="shared" si="34"/>
        <v>2677301.2</v>
      </c>
      <c r="H48" s="372">
        <f t="shared" si="34"/>
        <v>3305812.195</v>
      </c>
      <c r="I48" s="372">
        <f t="shared" si="34"/>
        <v>898401.0105</v>
      </c>
      <c r="J48" s="372">
        <f t="shared" si="34"/>
        <v>808560.9094</v>
      </c>
      <c r="K48" s="372">
        <f t="shared" si="34"/>
        <v>-6176066.27</v>
      </c>
      <c r="L48" s="372">
        <f t="shared" si="34"/>
        <v>218311.4456</v>
      </c>
      <c r="M48" s="372">
        <f t="shared" si="34"/>
        <v>196480.301</v>
      </c>
      <c r="N48" s="372">
        <f t="shared" si="34"/>
        <v>176832.2709</v>
      </c>
    </row>
    <row r="49" ht="15.75" customHeight="1">
      <c r="A49" s="364"/>
      <c r="B49" s="377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</row>
    <row r="50" ht="15.75" customHeight="1">
      <c r="A50" s="378" t="s">
        <v>49</v>
      </c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</row>
    <row r="51" ht="15.75" customHeight="1">
      <c r="A51" s="358" t="s">
        <v>622</v>
      </c>
      <c r="B51" s="341">
        <v>15.0</v>
      </c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</row>
    <row r="52" ht="15.75" customHeight="1">
      <c r="A52" s="333" t="s">
        <v>623</v>
      </c>
      <c r="C52" s="372">
        <f t="shared" ref="C52:N52" si="35">B53</f>
        <v>0</v>
      </c>
      <c r="D52" s="372">
        <f t="shared" si="35"/>
        <v>441000</v>
      </c>
      <c r="E52" s="372">
        <f t="shared" si="35"/>
        <v>837900</v>
      </c>
      <c r="F52" s="372">
        <f t="shared" si="35"/>
        <v>597555</v>
      </c>
      <c r="G52" s="372">
        <f t="shared" si="35"/>
        <v>758299.5</v>
      </c>
      <c r="H52" s="372">
        <f t="shared" si="35"/>
        <v>1805939.1</v>
      </c>
      <c r="I52" s="372">
        <f t="shared" si="35"/>
        <v>3099517.785</v>
      </c>
      <c r="J52" s="372">
        <f t="shared" si="35"/>
        <v>3451066.007</v>
      </c>
      <c r="K52" s="372">
        <f t="shared" si="35"/>
        <v>3767459.406</v>
      </c>
      <c r="L52" s="372">
        <f t="shared" si="35"/>
        <v>1350737.822</v>
      </c>
      <c r="M52" s="372">
        <f t="shared" si="35"/>
        <v>1436164.04</v>
      </c>
      <c r="N52" s="372">
        <f t="shared" si="35"/>
        <v>1513047.636</v>
      </c>
    </row>
    <row r="53" ht="15.75" customHeight="1">
      <c r="A53" s="333" t="s">
        <v>624</v>
      </c>
      <c r="B53" s="341">
        <v>0.0</v>
      </c>
      <c r="C53" s="372">
        <f t="shared" ref="C53:N53" si="36">-(C21*$B51/30)</f>
        <v>441000</v>
      </c>
      <c r="D53" s="372">
        <f t="shared" si="36"/>
        <v>837900</v>
      </c>
      <c r="E53" s="372">
        <f t="shared" si="36"/>
        <v>597555</v>
      </c>
      <c r="F53" s="372">
        <f t="shared" si="36"/>
        <v>758299.5</v>
      </c>
      <c r="G53" s="372">
        <f t="shared" si="36"/>
        <v>1805939.1</v>
      </c>
      <c r="H53" s="372">
        <f t="shared" si="36"/>
        <v>3099517.785</v>
      </c>
      <c r="I53" s="372">
        <f t="shared" si="36"/>
        <v>3451066.007</v>
      </c>
      <c r="J53" s="372">
        <f t="shared" si="36"/>
        <v>3767459.406</v>
      </c>
      <c r="K53" s="372">
        <f t="shared" si="36"/>
        <v>1350737.822</v>
      </c>
      <c r="L53" s="372">
        <f t="shared" si="36"/>
        <v>1436164.04</v>
      </c>
      <c r="M53" s="372">
        <f t="shared" si="36"/>
        <v>1513047.636</v>
      </c>
      <c r="N53" s="372">
        <f t="shared" si="36"/>
        <v>1582242.872</v>
      </c>
    </row>
    <row r="54" ht="15.75" customHeight="1">
      <c r="A54" s="333" t="s">
        <v>53</v>
      </c>
      <c r="C54" s="372">
        <f t="shared" ref="C54:N54" si="37">C53-C52</f>
        <v>441000</v>
      </c>
      <c r="D54" s="372">
        <f t="shared" si="37"/>
        <v>396900</v>
      </c>
      <c r="E54" s="372">
        <f t="shared" si="37"/>
        <v>-240345</v>
      </c>
      <c r="F54" s="372">
        <f t="shared" si="37"/>
        <v>160744.5</v>
      </c>
      <c r="G54" s="372">
        <f t="shared" si="37"/>
        <v>1047639.6</v>
      </c>
      <c r="H54" s="372">
        <f t="shared" si="37"/>
        <v>1293578.685</v>
      </c>
      <c r="I54" s="372">
        <f t="shared" si="37"/>
        <v>351548.2215</v>
      </c>
      <c r="J54" s="372">
        <f t="shared" si="37"/>
        <v>316393.3994</v>
      </c>
      <c r="K54" s="372">
        <f t="shared" si="37"/>
        <v>-2416721.584</v>
      </c>
      <c r="L54" s="372">
        <f t="shared" si="37"/>
        <v>85426.21782</v>
      </c>
      <c r="M54" s="372">
        <f t="shared" si="37"/>
        <v>76883.59604</v>
      </c>
      <c r="N54" s="372">
        <f t="shared" si="37"/>
        <v>69195.23644</v>
      </c>
    </row>
    <row r="55" ht="15.75" customHeight="1">
      <c r="A55" s="364"/>
      <c r="B55" s="379"/>
      <c r="C55" s="374"/>
      <c r="D55" s="374"/>
      <c r="E55" s="374"/>
      <c r="F55" s="374"/>
      <c r="G55" s="374"/>
      <c r="H55" s="374"/>
      <c r="I55" s="374"/>
      <c r="J55" s="374"/>
      <c r="K55" s="374"/>
      <c r="L55" s="374"/>
      <c r="M55" s="374"/>
      <c r="N55" s="374"/>
    </row>
    <row r="56" ht="15.75" customHeight="1">
      <c r="A56" s="378" t="s">
        <v>625</v>
      </c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</row>
    <row r="57" ht="15.75" customHeight="1">
      <c r="A57" s="333" t="s">
        <v>626</v>
      </c>
      <c r="B57" s="341">
        <v>14.0</v>
      </c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</row>
    <row r="58" ht="15.75" customHeight="1">
      <c r="A58" s="333" t="s">
        <v>627</v>
      </c>
      <c r="C58" s="372">
        <f t="shared" ref="C58:N58" si="38">B59</f>
        <v>0</v>
      </c>
      <c r="D58" s="372">
        <f t="shared" si="38"/>
        <v>686000</v>
      </c>
      <c r="E58" s="372">
        <f t="shared" si="38"/>
        <v>1303400</v>
      </c>
      <c r="F58" s="372">
        <f t="shared" si="38"/>
        <v>929530</v>
      </c>
      <c r="G58" s="372">
        <f t="shared" si="38"/>
        <v>1179577</v>
      </c>
      <c r="H58" s="372">
        <f t="shared" si="38"/>
        <v>2809238.6</v>
      </c>
      <c r="I58" s="372">
        <f t="shared" si="38"/>
        <v>4821472.11</v>
      </c>
      <c r="J58" s="372">
        <f t="shared" si="38"/>
        <v>5368324.899</v>
      </c>
      <c r="K58" s="372">
        <f t="shared" si="38"/>
        <v>5860492.409</v>
      </c>
      <c r="L58" s="372">
        <f t="shared" si="38"/>
        <v>2101147.723</v>
      </c>
      <c r="M58" s="372">
        <f t="shared" si="38"/>
        <v>2234032.95</v>
      </c>
      <c r="N58" s="372">
        <f t="shared" si="38"/>
        <v>2353629.655</v>
      </c>
    </row>
    <row r="59" ht="15.75" customHeight="1">
      <c r="A59" s="333" t="s">
        <v>628</v>
      </c>
      <c r="B59" s="341">
        <v>0.0</v>
      </c>
      <c r="C59" s="372">
        <f t="shared" ref="C59:N59" si="39">C2*$B57/30</f>
        <v>686000</v>
      </c>
      <c r="D59" s="372">
        <f t="shared" si="39"/>
        <v>1303400</v>
      </c>
      <c r="E59" s="372">
        <f t="shared" si="39"/>
        <v>929530</v>
      </c>
      <c r="F59" s="372">
        <f t="shared" si="39"/>
        <v>1179577</v>
      </c>
      <c r="G59" s="372">
        <f t="shared" si="39"/>
        <v>2809238.6</v>
      </c>
      <c r="H59" s="372">
        <f t="shared" si="39"/>
        <v>4821472.11</v>
      </c>
      <c r="I59" s="372">
        <f t="shared" si="39"/>
        <v>5368324.899</v>
      </c>
      <c r="J59" s="372">
        <f t="shared" si="39"/>
        <v>5860492.409</v>
      </c>
      <c r="K59" s="372">
        <f t="shared" si="39"/>
        <v>2101147.723</v>
      </c>
      <c r="L59" s="372">
        <f t="shared" si="39"/>
        <v>2234032.95</v>
      </c>
      <c r="M59" s="372">
        <f t="shared" si="39"/>
        <v>2353629.655</v>
      </c>
      <c r="N59" s="372">
        <f t="shared" si="39"/>
        <v>2461266.69</v>
      </c>
    </row>
    <row r="60" ht="15.75" customHeight="1">
      <c r="A60" s="333" t="s">
        <v>106</v>
      </c>
      <c r="C60" s="372">
        <f t="shared" ref="C60:N60" si="40">C59-C58</f>
        <v>686000</v>
      </c>
      <c r="D60" s="372">
        <f t="shared" si="40"/>
        <v>617400</v>
      </c>
      <c r="E60" s="372">
        <f t="shared" si="40"/>
        <v>-373870</v>
      </c>
      <c r="F60" s="372">
        <f t="shared" si="40"/>
        <v>250047</v>
      </c>
      <c r="G60" s="372">
        <f t="shared" si="40"/>
        <v>1629661.6</v>
      </c>
      <c r="H60" s="372">
        <f t="shared" si="40"/>
        <v>2012233.51</v>
      </c>
      <c r="I60" s="372">
        <f t="shared" si="40"/>
        <v>546852.789</v>
      </c>
      <c r="J60" s="372">
        <f t="shared" si="40"/>
        <v>492167.5101</v>
      </c>
      <c r="K60" s="372">
        <f t="shared" si="40"/>
        <v>-3759344.686</v>
      </c>
      <c r="L60" s="372">
        <f t="shared" si="40"/>
        <v>132885.2277</v>
      </c>
      <c r="M60" s="372">
        <f t="shared" si="40"/>
        <v>119596.705</v>
      </c>
      <c r="N60" s="372">
        <f t="shared" si="40"/>
        <v>107637.0345</v>
      </c>
    </row>
    <row r="61" ht="15.75" customHeight="1">
      <c r="A61" s="381"/>
      <c r="B61" s="377"/>
      <c r="C61" s="374"/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</row>
    <row r="62" ht="31.5" customHeight="1">
      <c r="A62" s="382" t="s">
        <v>629</v>
      </c>
      <c r="C62" s="383"/>
    </row>
    <row r="63" ht="15.75" customHeight="1">
      <c r="A63" s="333" t="s">
        <v>630</v>
      </c>
      <c r="C63" s="372">
        <f t="shared" ref="C63:N63" si="41">B67</f>
        <v>2000000</v>
      </c>
      <c r="D63" s="372">
        <f t="shared" si="41"/>
        <v>1135824</v>
      </c>
      <c r="E63" s="372">
        <f t="shared" si="41"/>
        <v>794742.6</v>
      </c>
      <c r="F63" s="372">
        <f t="shared" si="41"/>
        <v>1833659.47</v>
      </c>
      <c r="G63" s="372">
        <f t="shared" si="41"/>
        <v>2013779.653</v>
      </c>
      <c r="H63" s="372">
        <f t="shared" si="41"/>
        <v>1010649.482</v>
      </c>
      <c r="I63" s="372">
        <f t="shared" si="41"/>
        <v>716568.6771</v>
      </c>
      <c r="J63" s="372">
        <f t="shared" si="41"/>
        <v>3193399.917</v>
      </c>
      <c r="K63" s="372">
        <f t="shared" si="41"/>
        <v>6087222.034</v>
      </c>
      <c r="L63" s="372">
        <f t="shared" si="41"/>
        <v>13466781.21</v>
      </c>
      <c r="M63" s="372">
        <f t="shared" si="41"/>
        <v>14540293.38</v>
      </c>
      <c r="N63" s="372">
        <f t="shared" si="41"/>
        <v>15715134.34</v>
      </c>
    </row>
    <row r="64" ht="15.75" customHeight="1">
      <c r="A64" s="333" t="s">
        <v>631</v>
      </c>
      <c r="C64" s="372">
        <f t="shared" ref="C64:N64" si="42">C37+C39-C48</f>
        <v>-864176</v>
      </c>
      <c r="D64" s="372">
        <f t="shared" si="42"/>
        <v>-341081.4</v>
      </c>
      <c r="E64" s="372">
        <f t="shared" si="42"/>
        <v>1038916.87</v>
      </c>
      <c r="F64" s="372">
        <f t="shared" si="42"/>
        <v>180120.183</v>
      </c>
      <c r="G64" s="372">
        <f t="shared" si="42"/>
        <v>-1003130.171</v>
      </c>
      <c r="H64" s="372">
        <f t="shared" si="42"/>
        <v>-294080.8053</v>
      </c>
      <c r="I64" s="372">
        <f t="shared" si="42"/>
        <v>2476831.24</v>
      </c>
      <c r="J64" s="372">
        <f t="shared" si="42"/>
        <v>2893822.116</v>
      </c>
      <c r="K64" s="372">
        <f t="shared" si="42"/>
        <v>7379559.178</v>
      </c>
      <c r="L64" s="372">
        <f t="shared" si="42"/>
        <v>1073512.171</v>
      </c>
      <c r="M64" s="372">
        <f t="shared" si="42"/>
        <v>1174840.954</v>
      </c>
      <c r="N64" s="372">
        <f t="shared" si="42"/>
        <v>1266036.859</v>
      </c>
    </row>
    <row r="65" ht="15.75" customHeight="1">
      <c r="A65" s="333" t="s">
        <v>632</v>
      </c>
      <c r="C65" s="372"/>
      <c r="D65" s="372"/>
      <c r="E65" s="372"/>
      <c r="F65" s="372"/>
      <c r="G65" s="372"/>
      <c r="H65" s="372"/>
      <c r="I65" s="372"/>
      <c r="J65" s="372"/>
      <c r="K65" s="372"/>
      <c r="L65" s="372"/>
      <c r="M65" s="372"/>
      <c r="N65" s="372"/>
    </row>
    <row r="66" ht="15.75" customHeight="1">
      <c r="A66" s="333" t="s">
        <v>633</v>
      </c>
      <c r="C66" s="372"/>
      <c r="D66" s="372"/>
      <c r="E66" s="372"/>
      <c r="F66" s="372"/>
      <c r="G66" s="372"/>
      <c r="H66" s="372"/>
      <c r="I66" s="372"/>
      <c r="J66" s="372"/>
      <c r="K66" s="372"/>
      <c r="L66" s="372"/>
      <c r="M66" s="372"/>
      <c r="N66" s="372"/>
    </row>
    <row r="67" ht="15.75" customHeight="1">
      <c r="A67" s="364" t="s">
        <v>634</v>
      </c>
      <c r="B67" s="384">
        <v>2000000.0</v>
      </c>
      <c r="C67" s="372">
        <f t="shared" ref="C67:N67" si="43">C63+C64+C65+C66</f>
        <v>1135824</v>
      </c>
      <c r="D67" s="372">
        <f t="shared" si="43"/>
        <v>794742.6</v>
      </c>
      <c r="E67" s="372">
        <f t="shared" si="43"/>
        <v>1833659.47</v>
      </c>
      <c r="F67" s="372">
        <f t="shared" si="43"/>
        <v>2013779.653</v>
      </c>
      <c r="G67" s="372">
        <f t="shared" si="43"/>
        <v>1010649.482</v>
      </c>
      <c r="H67" s="372">
        <f t="shared" si="43"/>
        <v>716568.6771</v>
      </c>
      <c r="I67" s="372">
        <f t="shared" si="43"/>
        <v>3193399.917</v>
      </c>
      <c r="J67" s="372">
        <f t="shared" si="43"/>
        <v>6087222.034</v>
      </c>
      <c r="K67" s="372">
        <f t="shared" si="43"/>
        <v>13466781.21</v>
      </c>
      <c r="L67" s="372">
        <f t="shared" si="43"/>
        <v>14540293.38</v>
      </c>
      <c r="M67" s="372">
        <f t="shared" si="43"/>
        <v>15715134.34</v>
      </c>
      <c r="N67" s="372">
        <f t="shared" si="43"/>
        <v>16981171.2</v>
      </c>
    </row>
    <row r="68" ht="15.75" customHeight="1">
      <c r="A68" s="364"/>
      <c r="B68" s="377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</row>
  </sheetData>
  <mergeCells count="25">
    <mergeCell ref="A3:B3"/>
    <mergeCell ref="A10:B10"/>
    <mergeCell ref="A20:B20"/>
    <mergeCell ref="A24:B24"/>
    <mergeCell ref="A25:B25"/>
    <mergeCell ref="A27:B27"/>
    <mergeCell ref="A37:B37"/>
    <mergeCell ref="A38:B38"/>
    <mergeCell ref="A43:B43"/>
    <mergeCell ref="A44:B44"/>
    <mergeCell ref="A45:B45"/>
    <mergeCell ref="A47:B47"/>
    <mergeCell ref="A48:B48"/>
    <mergeCell ref="A50:B50"/>
    <mergeCell ref="A63:B63"/>
    <mergeCell ref="A64:B64"/>
    <mergeCell ref="A65:B65"/>
    <mergeCell ref="A66:B66"/>
    <mergeCell ref="A52:B52"/>
    <mergeCell ref="A54:B54"/>
    <mergeCell ref="A56:B56"/>
    <mergeCell ref="A58:B58"/>
    <mergeCell ref="A60:B60"/>
    <mergeCell ref="A62:B62"/>
    <mergeCell ref="C62:N62"/>
  </mergeCells>
  <conditionalFormatting sqref="C43:N43">
    <cfRule type="cellIs" dxfId="0" priority="1" operator="greaterThan">
      <formula>0</formula>
    </cfRule>
  </conditionalFormatting>
  <conditionalFormatting sqref="C43:N43">
    <cfRule type="cellIs" dxfId="1" priority="2" operator="lessThanOrEqual">
      <formula>0</formula>
    </cfRule>
  </conditionalFormatting>
  <conditionalFormatting sqref="C45:N45">
    <cfRule type="cellIs" dxfId="0" priority="3" operator="greaterThan">
      <formula>0</formula>
    </cfRule>
  </conditionalFormatting>
  <conditionalFormatting sqref="C45:N45">
    <cfRule type="cellIs" dxfId="1" priority="4" operator="lessThanOr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 outlineLevelCol="1" outlineLevelRow="2"/>
  <cols>
    <col customWidth="1" min="1" max="2" width="2.38"/>
    <col customWidth="1" min="3" max="3" width="36.13"/>
    <col customWidth="1" min="4" max="4" width="12.38"/>
    <col customWidth="1" min="5" max="5" width="11.5" outlineLevel="1"/>
    <col customWidth="1" min="6" max="6" width="9.25" outlineLevel="1"/>
    <col customWidth="1" min="7" max="7" width="13.38"/>
    <col customWidth="1" min="8" max="8" width="11.0"/>
    <col customWidth="1" min="9" max="9" width="11.38"/>
    <col customWidth="1" min="10" max="11" width="12.25"/>
    <col customWidth="1" min="12" max="12" width="10.38"/>
    <col customWidth="1" min="13" max="13" width="10.13"/>
    <col customWidth="1" min="14" max="14" width="10.88"/>
    <col customWidth="1" min="15" max="15" width="10.63"/>
    <col customWidth="1" min="16" max="17" width="9.25"/>
    <col customWidth="1" min="18" max="18" width="11.5"/>
    <col customWidth="1" min="19" max="19" width="11.25"/>
    <col customWidth="1" min="20" max="20" width="10.25"/>
    <col customWidth="1" min="21" max="21" width="10.75"/>
    <col customWidth="1" min="22" max="22" width="9.25"/>
  </cols>
  <sheetData>
    <row r="1" ht="9.75" customHeight="1">
      <c r="A1" s="385"/>
      <c r="B1" s="385"/>
      <c r="C1" s="385"/>
      <c r="D1" s="385"/>
      <c r="E1" s="386"/>
      <c r="F1" s="385"/>
      <c r="G1" s="387" t="s">
        <v>635</v>
      </c>
      <c r="H1" s="387" t="s">
        <v>636</v>
      </c>
      <c r="I1" s="387" t="s">
        <v>637</v>
      </c>
      <c r="J1" s="387" t="s">
        <v>638</v>
      </c>
      <c r="K1" s="387" t="s">
        <v>639</v>
      </c>
      <c r="L1" s="387" t="s">
        <v>640</v>
      </c>
      <c r="M1" s="387" t="s">
        <v>641</v>
      </c>
      <c r="N1" s="387" t="s">
        <v>642</v>
      </c>
      <c r="O1" s="387" t="s">
        <v>643</v>
      </c>
      <c r="P1" s="387" t="s">
        <v>644</v>
      </c>
      <c r="Q1" s="387" t="s">
        <v>645</v>
      </c>
      <c r="R1" s="387" t="s">
        <v>646</v>
      </c>
      <c r="S1" s="387" t="s">
        <v>647</v>
      </c>
      <c r="T1" s="387" t="s">
        <v>648</v>
      </c>
      <c r="U1" s="385"/>
      <c r="V1" s="385"/>
    </row>
    <row r="2" ht="9.75" customHeight="1">
      <c r="A2" s="385"/>
      <c r="B2" s="385"/>
      <c r="C2" s="388"/>
      <c r="D2" s="385"/>
      <c r="E2" s="386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</row>
    <row r="3" ht="9.75" customHeight="1">
      <c r="A3" s="385"/>
      <c r="B3" s="385"/>
      <c r="C3" s="385"/>
      <c r="D3" s="385"/>
      <c r="E3" s="386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</row>
    <row r="4" ht="9.75" customHeight="1">
      <c r="A4" s="385"/>
      <c r="B4" s="385"/>
      <c r="C4" s="385"/>
      <c r="D4" s="385"/>
      <c r="E4" s="386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</row>
    <row r="5" ht="9.75" customHeight="1">
      <c r="A5" s="385"/>
      <c r="B5" s="385"/>
      <c r="C5" s="385"/>
      <c r="D5" s="385"/>
      <c r="E5" s="386"/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</row>
    <row r="6" ht="9.75" customHeight="1">
      <c r="A6" s="385"/>
      <c r="B6" s="385"/>
      <c r="C6" s="385"/>
      <c r="D6" s="385"/>
      <c r="E6" s="386"/>
      <c r="F6" s="385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</row>
    <row r="7" ht="9.75" customHeight="1">
      <c r="A7" s="385"/>
      <c r="B7" s="385"/>
      <c r="C7" s="385"/>
      <c r="D7" s="385"/>
      <c r="E7" s="386"/>
      <c r="F7" s="385"/>
      <c r="G7" s="389"/>
      <c r="H7" s="390"/>
      <c r="I7" s="390"/>
      <c r="J7" s="390"/>
      <c r="K7" s="391"/>
      <c r="L7" s="390"/>
      <c r="M7" s="390"/>
      <c r="N7" s="390"/>
      <c r="O7" s="390"/>
      <c r="P7" s="390"/>
      <c r="Q7" s="390"/>
      <c r="R7" s="390"/>
      <c r="S7" s="390"/>
      <c r="T7" s="391"/>
      <c r="U7" s="391"/>
      <c r="V7" s="391"/>
    </row>
    <row r="8" ht="9.75" customHeight="1">
      <c r="A8" s="385"/>
      <c r="B8" s="385"/>
      <c r="C8" s="385"/>
      <c r="D8" s="385"/>
      <c r="E8" s="386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5"/>
      <c r="Q8" s="385"/>
      <c r="R8" s="385"/>
      <c r="S8" s="385"/>
      <c r="T8" s="385"/>
      <c r="U8" s="385"/>
      <c r="V8" s="385"/>
    </row>
    <row r="9" ht="9.75" customHeight="1">
      <c r="A9" s="385"/>
      <c r="B9" s="385"/>
      <c r="C9" s="391"/>
      <c r="D9" s="385"/>
      <c r="E9" s="386"/>
      <c r="F9" s="385"/>
      <c r="G9" s="386"/>
      <c r="H9" s="386"/>
      <c r="I9" s="386"/>
      <c r="J9" s="386"/>
      <c r="K9" s="386"/>
      <c r="L9" s="386"/>
      <c r="M9" s="386"/>
      <c r="N9" s="386"/>
      <c r="O9" s="386"/>
      <c r="P9" s="386"/>
      <c r="Q9" s="386"/>
      <c r="R9" s="386"/>
      <c r="S9" s="386"/>
      <c r="T9" s="386"/>
      <c r="U9" s="386"/>
      <c r="V9" s="386"/>
    </row>
    <row r="10" ht="9.75" customHeight="1">
      <c r="A10" s="385"/>
      <c r="B10" s="385"/>
      <c r="C10" s="391"/>
      <c r="D10" s="385"/>
      <c r="E10" s="386"/>
      <c r="F10" s="385"/>
      <c r="G10" s="386"/>
      <c r="H10" s="386"/>
      <c r="I10" s="386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</row>
    <row r="11" ht="9.75" customHeight="1">
      <c r="A11" s="385"/>
      <c r="B11" s="385"/>
      <c r="C11" s="392"/>
      <c r="D11" s="392"/>
      <c r="E11" s="392"/>
      <c r="F11" s="393" t="s">
        <v>187</v>
      </c>
      <c r="G11" s="394" t="s">
        <v>188</v>
      </c>
      <c r="H11" s="395"/>
      <c r="I11" s="395"/>
      <c r="J11" s="395"/>
      <c r="K11" s="395"/>
      <c r="L11" s="395"/>
      <c r="M11" s="395"/>
      <c r="N11" s="395"/>
      <c r="O11" s="395"/>
      <c r="P11" s="395"/>
      <c r="Q11" s="396"/>
      <c r="R11" s="396"/>
      <c r="S11" s="396"/>
      <c r="T11" s="396"/>
      <c r="U11" s="396"/>
      <c r="V11" s="396"/>
    </row>
    <row r="12" ht="9.75" customHeight="1">
      <c r="A12" s="385"/>
      <c r="B12" s="385"/>
      <c r="C12" s="397" t="s">
        <v>649</v>
      </c>
      <c r="D12" s="398">
        <f t="shared" ref="D12:D13" si="1">U214</f>
        <v>-12970416.55</v>
      </c>
      <c r="E12" s="399">
        <v>-2.6725679626039144E7</v>
      </c>
      <c r="F12" s="399">
        <f t="shared" ref="F12:F14" si="2">D12-E12</f>
        <v>13755263.07</v>
      </c>
      <c r="G12" s="400">
        <f t="shared" ref="G12:G13" si="3">-IFERROR(F12/E12,0)</f>
        <v>0.5146833781</v>
      </c>
      <c r="H12" s="395"/>
      <c r="I12" s="395"/>
      <c r="J12" s="395"/>
      <c r="K12" s="395"/>
      <c r="L12" s="395"/>
      <c r="M12" s="395"/>
      <c r="N12" s="395"/>
      <c r="O12" s="395"/>
      <c r="P12" s="395"/>
      <c r="Q12" s="395"/>
      <c r="R12" s="395"/>
      <c r="S12" s="395"/>
      <c r="T12" s="395"/>
      <c r="U12" s="395"/>
      <c r="V12" s="395"/>
    </row>
    <row r="13" ht="9.75" customHeight="1">
      <c r="A13" s="385"/>
      <c r="B13" s="385"/>
      <c r="C13" s="397" t="s">
        <v>650</v>
      </c>
      <c r="D13" s="401">
        <f t="shared" si="1"/>
        <v>-0.01957093734</v>
      </c>
      <c r="E13" s="402">
        <v>-0.01413030412162453</v>
      </c>
      <c r="F13" s="403">
        <f t="shared" si="2"/>
        <v>-0.005440633215</v>
      </c>
      <c r="G13" s="404">
        <f t="shared" si="3"/>
        <v>-0.3850329878</v>
      </c>
      <c r="H13" s="396"/>
      <c r="I13" s="396"/>
      <c r="J13" s="396"/>
      <c r="K13" s="396"/>
      <c r="L13" s="396"/>
      <c r="M13" s="396"/>
      <c r="N13" s="396"/>
      <c r="O13" s="396"/>
      <c r="P13" s="396"/>
      <c r="Q13" s="396"/>
      <c r="R13" s="396"/>
      <c r="S13" s="396"/>
      <c r="T13" s="396"/>
      <c r="U13" s="396"/>
      <c r="V13" s="396"/>
    </row>
    <row r="14" ht="9.75" customHeight="1">
      <c r="A14" s="385"/>
      <c r="B14" s="385"/>
      <c r="C14" s="397" t="s">
        <v>651</v>
      </c>
      <c r="D14" s="398">
        <f>U270</f>
        <v>34497499.3</v>
      </c>
      <c r="E14" s="399">
        <v>1.450595833656842E8</v>
      </c>
      <c r="F14" s="403">
        <f t="shared" si="2"/>
        <v>-110562084.1</v>
      </c>
      <c r="G14" s="404">
        <f>IFERROR(F14/E14,0)</f>
        <v>-0.762183935</v>
      </c>
      <c r="H14" s="396"/>
      <c r="I14" s="396"/>
      <c r="J14" s="396"/>
      <c r="K14" s="396"/>
      <c r="L14" s="396"/>
      <c r="M14" s="396"/>
      <c r="N14" s="396"/>
      <c r="O14" s="396"/>
      <c r="P14" s="396"/>
      <c r="Q14" s="396"/>
      <c r="R14" s="396"/>
      <c r="S14" s="396"/>
      <c r="T14" s="396"/>
      <c r="U14" s="396"/>
      <c r="V14" s="396"/>
    </row>
    <row r="15" ht="9.75" customHeight="1">
      <c r="A15" s="405"/>
      <c r="B15" s="405"/>
      <c r="C15" s="406" t="s">
        <v>652</v>
      </c>
      <c r="D15" s="407"/>
      <c r="E15" s="408"/>
      <c r="F15" s="407"/>
      <c r="G15" s="409">
        <f t="shared" ref="G15:J15" si="4">-(G154+G176+G194+G201)/G141</f>
        <v>48647072.84</v>
      </c>
      <c r="H15" s="409">
        <f t="shared" si="4"/>
        <v>52171383.13</v>
      </c>
      <c r="I15" s="409">
        <f t="shared" si="4"/>
        <v>97711950.81</v>
      </c>
      <c r="J15" s="409">
        <f t="shared" si="4"/>
        <v>44535175.14</v>
      </c>
      <c r="K15" s="410"/>
      <c r="L15" s="409">
        <f t="shared" ref="L15:S15" si="5">-(L154+L176+L194+L201)/L141</f>
        <v>63010510.35</v>
      </c>
      <c r="M15" s="409">
        <f t="shared" si="5"/>
        <v>63644668.94</v>
      </c>
      <c r="N15" s="409">
        <f t="shared" si="5"/>
        <v>63728985.27</v>
      </c>
      <c r="O15" s="409">
        <f t="shared" si="5"/>
        <v>59877223.62</v>
      </c>
      <c r="P15" s="409">
        <f t="shared" si="5"/>
        <v>64278726.19</v>
      </c>
      <c r="Q15" s="409">
        <f t="shared" si="5"/>
        <v>63228794.6</v>
      </c>
      <c r="R15" s="409">
        <f t="shared" si="5"/>
        <v>63138300.83</v>
      </c>
      <c r="S15" s="409">
        <f t="shared" si="5"/>
        <v>66196784.08</v>
      </c>
      <c r="T15" s="407"/>
      <c r="U15" s="407"/>
      <c r="V15" s="407"/>
    </row>
    <row r="16" ht="9.75" customHeight="1">
      <c r="A16" s="385"/>
      <c r="B16" s="385"/>
      <c r="C16" s="392"/>
      <c r="D16" s="396"/>
      <c r="E16" s="395"/>
      <c r="F16" s="396"/>
      <c r="G16" s="411"/>
      <c r="H16" s="411"/>
      <c r="I16" s="411"/>
      <c r="J16" s="411"/>
      <c r="K16" s="396"/>
      <c r="L16" s="411"/>
      <c r="M16" s="411"/>
      <c r="N16" s="411"/>
      <c r="O16" s="411"/>
      <c r="P16" s="411"/>
      <c r="Q16" s="411"/>
      <c r="R16" s="411"/>
      <c r="S16" s="411"/>
      <c r="T16" s="396"/>
      <c r="U16" s="396"/>
      <c r="V16" s="396"/>
    </row>
    <row r="17" ht="9.75" customHeight="1">
      <c r="A17" s="385"/>
      <c r="B17" s="385"/>
      <c r="C17" s="412" t="s">
        <v>653</v>
      </c>
      <c r="D17" s="413"/>
      <c r="E17" s="414">
        <f t="shared" ref="E17:E18" si="8">AVERAGE(G17:J17,L17:S17)</f>
        <v>55228220.68</v>
      </c>
      <c r="F17" s="396"/>
      <c r="G17" s="415">
        <f t="shared" ref="G17:J17" si="6">G18+G37+G52+G69</f>
        <v>80054021.67</v>
      </c>
      <c r="H17" s="415">
        <f t="shared" si="6"/>
        <v>58196491.23</v>
      </c>
      <c r="I17" s="415">
        <f t="shared" si="6"/>
        <v>38588369.23</v>
      </c>
      <c r="J17" s="415">
        <f t="shared" si="6"/>
        <v>23479337.26</v>
      </c>
      <c r="K17" s="415">
        <f t="shared" ref="K17:K18" si="10">SUM(G17:J17)</f>
        <v>200318219.4</v>
      </c>
      <c r="L17" s="415">
        <f t="shared" ref="L17:S17" si="7">L18+L37+L52+L69</f>
        <v>15871414.79</v>
      </c>
      <c r="M17" s="415">
        <f t="shared" si="7"/>
        <v>24612521.21</v>
      </c>
      <c r="N17" s="415">
        <f t="shared" si="7"/>
        <v>38147365.77</v>
      </c>
      <c r="O17" s="415">
        <f t="shared" si="7"/>
        <v>59528647.44</v>
      </c>
      <c r="P17" s="415">
        <f t="shared" si="7"/>
        <v>80774880.94</v>
      </c>
      <c r="Q17" s="415">
        <f t="shared" si="7"/>
        <v>80561966.16</v>
      </c>
      <c r="R17" s="415">
        <f t="shared" si="7"/>
        <v>76649231.18</v>
      </c>
      <c r="S17" s="415">
        <f t="shared" si="7"/>
        <v>86274401.31</v>
      </c>
      <c r="T17" s="415">
        <f t="shared" ref="T17:T18" si="12">SUM(L17:S17)</f>
        <v>462420428.8</v>
      </c>
      <c r="U17" s="416">
        <f t="shared" ref="U17:U94" si="13">SUM(K17+T17)</f>
        <v>662738648.2</v>
      </c>
      <c r="V17" s="417"/>
    </row>
    <row r="18" ht="15.0" customHeight="1" outlineLevel="1">
      <c r="A18" s="385"/>
      <c r="B18" s="385"/>
      <c r="C18" s="418" t="s">
        <v>654</v>
      </c>
      <c r="D18" s="419"/>
      <c r="E18" s="414">
        <f t="shared" si="8"/>
        <v>38885609.01</v>
      </c>
      <c r="F18" s="420">
        <f>J18/G17</f>
        <v>0.1976344004</v>
      </c>
      <c r="G18" s="414">
        <f t="shared" ref="G18:J18" si="9">G26+G35</f>
        <v>60000000</v>
      </c>
      <c r="H18" s="414">
        <f t="shared" si="9"/>
        <v>41934782.61</v>
      </c>
      <c r="I18" s="414">
        <f t="shared" si="9"/>
        <v>27000000</v>
      </c>
      <c r="J18" s="414">
        <f t="shared" si="9"/>
        <v>15821428.57</v>
      </c>
      <c r="K18" s="415">
        <f t="shared" si="10"/>
        <v>144756211.2</v>
      </c>
      <c r="L18" s="414">
        <f t="shared" ref="L18:S18" si="11">L26+L35</f>
        <v>10500000</v>
      </c>
      <c r="M18" s="414">
        <f t="shared" si="11"/>
        <v>16500000</v>
      </c>
      <c r="N18" s="414">
        <f t="shared" si="11"/>
        <v>24905660.38</v>
      </c>
      <c r="O18" s="414">
        <f t="shared" si="11"/>
        <v>42000000</v>
      </c>
      <c r="P18" s="414">
        <f t="shared" si="11"/>
        <v>57000000</v>
      </c>
      <c r="Q18" s="414">
        <f t="shared" si="11"/>
        <v>55000000</v>
      </c>
      <c r="R18" s="414">
        <f t="shared" si="11"/>
        <v>53513513.51</v>
      </c>
      <c r="S18" s="414">
        <f t="shared" si="11"/>
        <v>62451923.08</v>
      </c>
      <c r="T18" s="415">
        <f t="shared" si="12"/>
        <v>321871097</v>
      </c>
      <c r="U18" s="416">
        <f t="shared" si="13"/>
        <v>466627308.1</v>
      </c>
      <c r="V18" s="421"/>
    </row>
    <row r="19" ht="15.0" customHeight="1" outlineLevel="2">
      <c r="A19" s="422"/>
      <c r="B19" s="422"/>
      <c r="C19" s="423" t="s">
        <v>655</v>
      </c>
      <c r="D19" s="424"/>
      <c r="E19" s="424"/>
      <c r="F19" s="425"/>
      <c r="G19" s="423">
        <v>0.12</v>
      </c>
      <c r="H19" s="423">
        <v>0.1</v>
      </c>
      <c r="I19" s="423">
        <v>0.08</v>
      </c>
      <c r="J19" s="423">
        <v>0.05</v>
      </c>
      <c r="K19" s="426"/>
      <c r="L19" s="423">
        <v>0.03</v>
      </c>
      <c r="M19" s="423">
        <v>0.05</v>
      </c>
      <c r="N19" s="423">
        <v>0.08</v>
      </c>
      <c r="O19" s="423">
        <v>0.08</v>
      </c>
      <c r="P19" s="423">
        <v>0.1</v>
      </c>
      <c r="Q19" s="423">
        <v>0.1</v>
      </c>
      <c r="R19" s="423">
        <v>0.1</v>
      </c>
      <c r="S19" s="423">
        <v>0.11</v>
      </c>
      <c r="T19" s="426"/>
      <c r="U19" s="416">
        <f t="shared" si="13"/>
        <v>0</v>
      </c>
      <c r="V19" s="421"/>
    </row>
    <row r="20" ht="15.0" customHeight="1" outlineLevel="2">
      <c r="A20" s="427"/>
      <c r="B20" s="427"/>
      <c r="C20" s="428" t="s">
        <v>656</v>
      </c>
      <c r="D20" s="429"/>
      <c r="E20" s="429"/>
      <c r="F20" s="430"/>
      <c r="G20" s="431">
        <v>1.0</v>
      </c>
      <c r="H20" s="431">
        <f t="shared" ref="H20:J20" si="14">55000/H21</f>
        <v>1.195652174</v>
      </c>
      <c r="I20" s="431">
        <f t="shared" si="14"/>
        <v>1.25</v>
      </c>
      <c r="J20" s="431">
        <f t="shared" si="14"/>
        <v>1.30952381</v>
      </c>
      <c r="K20" s="426"/>
      <c r="L20" s="431">
        <v>1.0</v>
      </c>
      <c r="M20" s="431">
        <v>1.0</v>
      </c>
      <c r="N20" s="431">
        <f t="shared" ref="N20:S20" si="15">55000/N21</f>
        <v>1.037735849</v>
      </c>
      <c r="O20" s="431">
        <f t="shared" si="15"/>
        <v>1</v>
      </c>
      <c r="P20" s="431">
        <f t="shared" si="15"/>
        <v>1</v>
      </c>
      <c r="Q20" s="431">
        <f t="shared" si="15"/>
        <v>0.9649122807</v>
      </c>
      <c r="R20" s="431">
        <f t="shared" si="15"/>
        <v>0.990990991</v>
      </c>
      <c r="S20" s="431">
        <f t="shared" si="15"/>
        <v>1.057692308</v>
      </c>
      <c r="T20" s="426"/>
      <c r="U20" s="416">
        <f t="shared" si="13"/>
        <v>0</v>
      </c>
      <c r="V20" s="421"/>
    </row>
    <row r="21" ht="15.0" customHeight="1" outlineLevel="2">
      <c r="A21" s="427"/>
      <c r="B21" s="427"/>
      <c r="C21" s="428" t="s">
        <v>657</v>
      </c>
      <c r="D21" s="429"/>
      <c r="E21" s="429"/>
      <c r="F21" s="430"/>
      <c r="G21" s="431">
        <v>50000.0</v>
      </c>
      <c r="H21" s="431">
        <v>46000.0</v>
      </c>
      <c r="I21" s="431">
        <v>44000.0</v>
      </c>
      <c r="J21" s="431">
        <v>42000.0</v>
      </c>
      <c r="K21" s="415">
        <f t="shared" ref="K21:K22" si="17">SUM(G21:J21)</f>
        <v>182000</v>
      </c>
      <c r="L21" s="431">
        <v>48000.0</v>
      </c>
      <c r="M21" s="431">
        <v>51000.0</v>
      </c>
      <c r="N21" s="431">
        <v>53000.0</v>
      </c>
      <c r="O21" s="431">
        <v>55000.0</v>
      </c>
      <c r="P21" s="431">
        <v>55000.0</v>
      </c>
      <c r="Q21" s="431">
        <v>57000.0</v>
      </c>
      <c r="R21" s="431">
        <v>55500.0</v>
      </c>
      <c r="S21" s="431">
        <v>52000.0</v>
      </c>
      <c r="T21" s="426"/>
      <c r="U21" s="416">
        <f t="shared" si="13"/>
        <v>182000</v>
      </c>
      <c r="V21" s="421"/>
    </row>
    <row r="22" ht="15.0" customHeight="1" outlineLevel="2">
      <c r="A22" s="385"/>
      <c r="B22" s="385"/>
      <c r="C22" s="432" t="s">
        <v>658</v>
      </c>
      <c r="D22" s="433"/>
      <c r="E22" s="423">
        <v>1.0E7</v>
      </c>
      <c r="F22" s="434"/>
      <c r="G22" s="435">
        <f t="shared" ref="G22:J22" si="16">$E$22*G19*G20</f>
        <v>1200000</v>
      </c>
      <c r="H22" s="435">
        <f t="shared" si="16"/>
        <v>1195652.174</v>
      </c>
      <c r="I22" s="435">
        <f t="shared" si="16"/>
        <v>1000000</v>
      </c>
      <c r="J22" s="435">
        <f t="shared" si="16"/>
        <v>654761.9048</v>
      </c>
      <c r="K22" s="415">
        <f t="shared" si="17"/>
        <v>4050414.079</v>
      </c>
      <c r="L22" s="435">
        <f t="shared" ref="L22:S22" si="18">$E$22*L19*L20</f>
        <v>300000</v>
      </c>
      <c r="M22" s="435">
        <f t="shared" si="18"/>
        <v>500000</v>
      </c>
      <c r="N22" s="435">
        <f t="shared" si="18"/>
        <v>830188.6792</v>
      </c>
      <c r="O22" s="435">
        <f t="shared" si="18"/>
        <v>800000</v>
      </c>
      <c r="P22" s="435">
        <f t="shared" si="18"/>
        <v>1000000</v>
      </c>
      <c r="Q22" s="435">
        <f t="shared" si="18"/>
        <v>964912.2807</v>
      </c>
      <c r="R22" s="435">
        <f t="shared" si="18"/>
        <v>990990.991</v>
      </c>
      <c r="S22" s="435">
        <f t="shared" si="18"/>
        <v>1163461.538</v>
      </c>
      <c r="T22" s="415">
        <f>SUM(L22:S22)</f>
        <v>6549553.489</v>
      </c>
      <c r="U22" s="416">
        <f t="shared" si="13"/>
        <v>10599967.57</v>
      </c>
      <c r="V22" s="421"/>
    </row>
    <row r="23" ht="15.0" customHeight="1" outlineLevel="2">
      <c r="A23" s="385"/>
      <c r="B23" s="385"/>
      <c r="C23" s="436" t="s">
        <v>659</v>
      </c>
      <c r="D23" s="433"/>
      <c r="E23" s="437">
        <f>F23/E22</f>
        <v>0.001</v>
      </c>
      <c r="F23" s="423">
        <v>10000.0</v>
      </c>
      <c r="G23" s="433"/>
      <c r="H23" s="433"/>
      <c r="I23" s="433"/>
      <c r="J23" s="433"/>
      <c r="K23" s="426"/>
      <c r="L23" s="433"/>
      <c r="M23" s="433"/>
      <c r="N23" s="433"/>
      <c r="O23" s="433"/>
      <c r="P23" s="433"/>
      <c r="Q23" s="433"/>
      <c r="R23" s="433"/>
      <c r="S23" s="433"/>
      <c r="T23" s="426"/>
      <c r="U23" s="416">
        <f t="shared" si="13"/>
        <v>0</v>
      </c>
      <c r="V23" s="421"/>
    </row>
    <row r="24" ht="15.0" customHeight="1" outlineLevel="2">
      <c r="A24" s="385"/>
      <c r="B24" s="385"/>
      <c r="C24" s="432" t="s">
        <v>660</v>
      </c>
      <c r="D24" s="438"/>
      <c r="E24" s="439"/>
      <c r="F24" s="440"/>
      <c r="G24" s="435">
        <f t="shared" ref="G24:J24" si="19">G22*$E$23</f>
        <v>1200</v>
      </c>
      <c r="H24" s="435">
        <f t="shared" si="19"/>
        <v>1195.652174</v>
      </c>
      <c r="I24" s="435">
        <f t="shared" si="19"/>
        <v>1000</v>
      </c>
      <c r="J24" s="435">
        <f t="shared" si="19"/>
        <v>654.7619048</v>
      </c>
      <c r="K24" s="415">
        <f>SUM(G24:J24)</f>
        <v>4050.414079</v>
      </c>
      <c r="L24" s="435">
        <f t="shared" ref="L24:S24" si="20">L22*$E$23</f>
        <v>300</v>
      </c>
      <c r="M24" s="435">
        <f t="shared" si="20"/>
        <v>500</v>
      </c>
      <c r="N24" s="435">
        <f t="shared" si="20"/>
        <v>830.1886792</v>
      </c>
      <c r="O24" s="435">
        <f t="shared" si="20"/>
        <v>800</v>
      </c>
      <c r="P24" s="435">
        <f t="shared" si="20"/>
        <v>1000</v>
      </c>
      <c r="Q24" s="435">
        <f t="shared" si="20"/>
        <v>964.9122807</v>
      </c>
      <c r="R24" s="435">
        <f t="shared" si="20"/>
        <v>990.990991</v>
      </c>
      <c r="S24" s="435">
        <f t="shared" si="20"/>
        <v>1163.461538</v>
      </c>
      <c r="T24" s="415">
        <f>SUM(L24:S24)</f>
        <v>6549.553489</v>
      </c>
      <c r="U24" s="416">
        <f t="shared" si="13"/>
        <v>10599.96757</v>
      </c>
      <c r="V24" s="421"/>
    </row>
    <row r="25" ht="15.0" customHeight="1" outlineLevel="2">
      <c r="A25" s="385"/>
      <c r="B25" s="385"/>
      <c r="C25" s="432" t="s">
        <v>661</v>
      </c>
      <c r="D25" s="438"/>
      <c r="E25" s="441">
        <v>15000.0</v>
      </c>
      <c r="F25" s="423">
        <v>300000.0</v>
      </c>
      <c r="G25" s="442"/>
      <c r="H25" s="442"/>
      <c r="I25" s="442"/>
      <c r="J25" s="442"/>
      <c r="K25" s="426"/>
      <c r="L25" s="442"/>
      <c r="M25" s="442"/>
      <c r="N25" s="442"/>
      <c r="O25" s="442"/>
      <c r="P25" s="442"/>
      <c r="Q25" s="442"/>
      <c r="R25" s="442"/>
      <c r="S25" s="442"/>
      <c r="T25" s="426"/>
      <c r="U25" s="416">
        <f t="shared" si="13"/>
        <v>0</v>
      </c>
      <c r="V25" s="421"/>
    </row>
    <row r="26" ht="15.0" customHeight="1" outlineLevel="2">
      <c r="A26" s="385"/>
      <c r="B26" s="385"/>
      <c r="C26" s="432" t="s">
        <v>662</v>
      </c>
      <c r="D26" s="438"/>
      <c r="E26" s="443"/>
      <c r="F26" s="440"/>
      <c r="G26" s="435">
        <f t="shared" ref="G26:J26" si="21">$E$25*G24</f>
        <v>18000000</v>
      </c>
      <c r="H26" s="435">
        <f t="shared" si="21"/>
        <v>17934782.61</v>
      </c>
      <c r="I26" s="435">
        <f t="shared" si="21"/>
        <v>15000000</v>
      </c>
      <c r="J26" s="435">
        <f t="shared" si="21"/>
        <v>9821428.571</v>
      </c>
      <c r="K26" s="415">
        <f>SUM(G26:J26)</f>
        <v>60756211.18</v>
      </c>
      <c r="L26" s="435">
        <f t="shared" ref="L26:S26" si="22">$E$25*L24</f>
        <v>4500000</v>
      </c>
      <c r="M26" s="435">
        <f t="shared" si="22"/>
        <v>7500000</v>
      </c>
      <c r="N26" s="435">
        <f t="shared" si="22"/>
        <v>12452830.19</v>
      </c>
      <c r="O26" s="435">
        <f t="shared" si="22"/>
        <v>12000000</v>
      </c>
      <c r="P26" s="435">
        <f t="shared" si="22"/>
        <v>15000000</v>
      </c>
      <c r="Q26" s="435">
        <f t="shared" si="22"/>
        <v>14473684.21</v>
      </c>
      <c r="R26" s="435">
        <f t="shared" si="22"/>
        <v>14864864.86</v>
      </c>
      <c r="S26" s="435">
        <f t="shared" si="22"/>
        <v>17451923.08</v>
      </c>
      <c r="T26" s="415">
        <f>SUM(L26:S26)</f>
        <v>98243302.34</v>
      </c>
      <c r="U26" s="416">
        <f t="shared" si="13"/>
        <v>158999513.5</v>
      </c>
      <c r="V26" s="421"/>
    </row>
    <row r="27" ht="15.0" customHeight="1" outlineLevel="2">
      <c r="A27" s="385"/>
      <c r="B27" s="385"/>
      <c r="C27" s="439"/>
      <c r="D27" s="438"/>
      <c r="E27" s="443"/>
      <c r="F27" s="440"/>
      <c r="G27" s="442"/>
      <c r="H27" s="442"/>
      <c r="I27" s="442"/>
      <c r="J27" s="442"/>
      <c r="K27" s="426"/>
      <c r="L27" s="442"/>
      <c r="M27" s="442"/>
      <c r="N27" s="442"/>
      <c r="O27" s="442"/>
      <c r="P27" s="442"/>
      <c r="Q27" s="442"/>
      <c r="R27" s="442"/>
      <c r="S27" s="442"/>
      <c r="T27" s="426"/>
      <c r="U27" s="416">
        <f t="shared" si="13"/>
        <v>0</v>
      </c>
      <c r="V27" s="421"/>
    </row>
    <row r="28" ht="15.0" customHeight="1" outlineLevel="2">
      <c r="A28" s="444"/>
      <c r="B28" s="444"/>
      <c r="C28" s="423" t="s">
        <v>663</v>
      </c>
      <c r="D28" s="424"/>
      <c r="E28" s="424"/>
      <c r="F28" s="425"/>
      <c r="G28" s="423">
        <v>0.14</v>
      </c>
      <c r="H28" s="423">
        <v>0.08</v>
      </c>
      <c r="I28" s="423">
        <v>0.04</v>
      </c>
      <c r="J28" s="423">
        <v>0.02</v>
      </c>
      <c r="K28" s="426"/>
      <c r="L28" s="423">
        <v>0.02</v>
      </c>
      <c r="M28" s="423">
        <v>0.03</v>
      </c>
      <c r="N28" s="423">
        <v>0.04</v>
      </c>
      <c r="O28" s="423">
        <v>0.1</v>
      </c>
      <c r="P28" s="423">
        <v>0.14</v>
      </c>
      <c r="Q28" s="423">
        <v>0.14</v>
      </c>
      <c r="R28" s="423">
        <v>0.13</v>
      </c>
      <c r="S28" s="423">
        <v>0.15</v>
      </c>
      <c r="T28" s="426"/>
      <c r="U28" s="416">
        <f t="shared" si="13"/>
        <v>0</v>
      </c>
      <c r="V28" s="421"/>
    </row>
    <row r="29" ht="15.0" customHeight="1" outlineLevel="2">
      <c r="A29" s="385"/>
      <c r="B29" s="385"/>
      <c r="C29" s="428" t="s">
        <v>656</v>
      </c>
      <c r="D29" s="438"/>
      <c r="E29" s="433"/>
      <c r="F29" s="430"/>
      <c r="G29" s="431">
        <v>1.0</v>
      </c>
      <c r="H29" s="431">
        <v>1.0</v>
      </c>
      <c r="I29" s="431">
        <v>1.0</v>
      </c>
      <c r="J29" s="431">
        <v>1.0</v>
      </c>
      <c r="K29" s="426"/>
      <c r="L29" s="431">
        <v>1.0</v>
      </c>
      <c r="M29" s="431">
        <f t="shared" ref="M29:R29" si="23">M20</f>
        <v>1</v>
      </c>
      <c r="N29" s="431">
        <f t="shared" si="23"/>
        <v>1.037735849</v>
      </c>
      <c r="O29" s="431">
        <f t="shared" si="23"/>
        <v>1</v>
      </c>
      <c r="P29" s="431">
        <f t="shared" si="23"/>
        <v>1</v>
      </c>
      <c r="Q29" s="431">
        <f t="shared" si="23"/>
        <v>0.9649122807</v>
      </c>
      <c r="R29" s="431">
        <f t="shared" si="23"/>
        <v>0.990990991</v>
      </c>
      <c r="S29" s="431">
        <v>1.0</v>
      </c>
      <c r="T29" s="426"/>
      <c r="U29" s="416">
        <f t="shared" si="13"/>
        <v>0</v>
      </c>
      <c r="V29" s="421"/>
    </row>
    <row r="30" ht="15.0" customHeight="1" outlineLevel="2">
      <c r="A30" s="385"/>
      <c r="B30" s="385"/>
      <c r="C30" s="428" t="s">
        <v>657</v>
      </c>
      <c r="D30" s="438"/>
      <c r="E30" s="429"/>
      <c r="F30" s="430"/>
      <c r="G30" s="445">
        <f t="shared" ref="G30:J30" si="24">G21</f>
        <v>50000</v>
      </c>
      <c r="H30" s="445">
        <f t="shared" si="24"/>
        <v>46000</v>
      </c>
      <c r="I30" s="445">
        <f t="shared" si="24"/>
        <v>44000</v>
      </c>
      <c r="J30" s="445">
        <f t="shared" si="24"/>
        <v>42000</v>
      </c>
      <c r="K30" s="415">
        <f t="shared" ref="K30:K31" si="27">SUM(G30:J30)</f>
        <v>182000</v>
      </c>
      <c r="L30" s="445">
        <f t="shared" ref="L30:S30" si="25">L21</f>
        <v>48000</v>
      </c>
      <c r="M30" s="445">
        <f t="shared" si="25"/>
        <v>51000</v>
      </c>
      <c r="N30" s="445">
        <f t="shared" si="25"/>
        <v>53000</v>
      </c>
      <c r="O30" s="445">
        <f t="shared" si="25"/>
        <v>55000</v>
      </c>
      <c r="P30" s="445">
        <f t="shared" si="25"/>
        <v>55000</v>
      </c>
      <c r="Q30" s="445">
        <f t="shared" si="25"/>
        <v>57000</v>
      </c>
      <c r="R30" s="445">
        <f t="shared" si="25"/>
        <v>55500</v>
      </c>
      <c r="S30" s="445">
        <f t="shared" si="25"/>
        <v>52000</v>
      </c>
      <c r="T30" s="426"/>
      <c r="U30" s="416">
        <f t="shared" si="13"/>
        <v>182000</v>
      </c>
      <c r="V30" s="421"/>
    </row>
    <row r="31" ht="15.0" customHeight="1" outlineLevel="2">
      <c r="A31" s="385"/>
      <c r="B31" s="385"/>
      <c r="C31" s="432" t="s">
        <v>664</v>
      </c>
      <c r="D31" s="438"/>
      <c r="E31" s="423">
        <v>11000.0</v>
      </c>
      <c r="F31" s="434"/>
      <c r="G31" s="435">
        <f t="shared" ref="G31:J31" si="26">$E$31*G28*G29</f>
        <v>1540</v>
      </c>
      <c r="H31" s="435">
        <f t="shared" si="26"/>
        <v>880</v>
      </c>
      <c r="I31" s="435">
        <f t="shared" si="26"/>
        <v>440</v>
      </c>
      <c r="J31" s="435">
        <f t="shared" si="26"/>
        <v>220</v>
      </c>
      <c r="K31" s="415">
        <f t="shared" si="27"/>
        <v>3080</v>
      </c>
      <c r="L31" s="435">
        <f t="shared" ref="L31:S31" si="28">$E$31*L28*L29</f>
        <v>220</v>
      </c>
      <c r="M31" s="435">
        <f t="shared" si="28"/>
        <v>330</v>
      </c>
      <c r="N31" s="435">
        <f t="shared" si="28"/>
        <v>456.6037736</v>
      </c>
      <c r="O31" s="435">
        <f t="shared" si="28"/>
        <v>1100</v>
      </c>
      <c r="P31" s="435">
        <f t="shared" si="28"/>
        <v>1540</v>
      </c>
      <c r="Q31" s="435">
        <f t="shared" si="28"/>
        <v>1485.964912</v>
      </c>
      <c r="R31" s="435">
        <f t="shared" si="28"/>
        <v>1417.117117</v>
      </c>
      <c r="S31" s="435">
        <f t="shared" si="28"/>
        <v>1650</v>
      </c>
      <c r="T31" s="415">
        <f>SUM(L31:S31)</f>
        <v>8199.685803</v>
      </c>
      <c r="U31" s="416">
        <f t="shared" si="13"/>
        <v>11279.6858</v>
      </c>
      <c r="V31" s="421"/>
    </row>
    <row r="32" ht="15.0" customHeight="1" outlineLevel="2">
      <c r="A32" s="385"/>
      <c r="B32" s="385"/>
      <c r="C32" s="436" t="s">
        <v>659</v>
      </c>
      <c r="D32" s="438"/>
      <c r="E32" s="437">
        <f>F32/E31</f>
        <v>0.9090909091</v>
      </c>
      <c r="F32" s="423">
        <v>10000.0</v>
      </c>
      <c r="G32" s="442"/>
      <c r="H32" s="442"/>
      <c r="I32" s="442"/>
      <c r="J32" s="442"/>
      <c r="K32" s="426"/>
      <c r="L32" s="442"/>
      <c r="M32" s="442"/>
      <c r="N32" s="442"/>
      <c r="O32" s="442"/>
      <c r="P32" s="442"/>
      <c r="Q32" s="442"/>
      <c r="R32" s="442"/>
      <c r="S32" s="442"/>
      <c r="T32" s="426"/>
      <c r="U32" s="416">
        <f t="shared" si="13"/>
        <v>0</v>
      </c>
      <c r="V32" s="421"/>
    </row>
    <row r="33" ht="15.0" customHeight="1" outlineLevel="2">
      <c r="A33" s="385"/>
      <c r="B33" s="385"/>
      <c r="C33" s="432" t="s">
        <v>665</v>
      </c>
      <c r="D33" s="438"/>
      <c r="E33" s="439"/>
      <c r="F33" s="440"/>
      <c r="G33" s="435">
        <f t="shared" ref="G33:J33" si="29">G31*$E$32</f>
        <v>1400</v>
      </c>
      <c r="H33" s="435">
        <f t="shared" si="29"/>
        <v>800</v>
      </c>
      <c r="I33" s="435">
        <f t="shared" si="29"/>
        <v>400</v>
      </c>
      <c r="J33" s="435">
        <f t="shared" si="29"/>
        <v>200</v>
      </c>
      <c r="K33" s="415">
        <f>SUM(G33:J33)</f>
        <v>2800</v>
      </c>
      <c r="L33" s="435">
        <f t="shared" ref="L33:S33" si="30">L31*$E$32</f>
        <v>200</v>
      </c>
      <c r="M33" s="435">
        <f t="shared" si="30"/>
        <v>300</v>
      </c>
      <c r="N33" s="435">
        <f t="shared" si="30"/>
        <v>415.0943396</v>
      </c>
      <c r="O33" s="435">
        <f t="shared" si="30"/>
        <v>1000</v>
      </c>
      <c r="P33" s="435">
        <f t="shared" si="30"/>
        <v>1400</v>
      </c>
      <c r="Q33" s="435">
        <f t="shared" si="30"/>
        <v>1350.877193</v>
      </c>
      <c r="R33" s="435">
        <f t="shared" si="30"/>
        <v>1288.288288</v>
      </c>
      <c r="S33" s="435">
        <f t="shared" si="30"/>
        <v>1500</v>
      </c>
      <c r="T33" s="415">
        <f>SUM(L33:S33)</f>
        <v>7454.259821</v>
      </c>
      <c r="U33" s="416">
        <f t="shared" si="13"/>
        <v>10254.25982</v>
      </c>
      <c r="V33" s="421"/>
    </row>
    <row r="34" ht="15.0" customHeight="1" outlineLevel="2">
      <c r="A34" s="385"/>
      <c r="B34" s="385"/>
      <c r="C34" s="432" t="s">
        <v>666</v>
      </c>
      <c r="D34" s="438"/>
      <c r="E34" s="441">
        <v>30000.0</v>
      </c>
      <c r="F34" s="423">
        <v>800000.0</v>
      </c>
      <c r="G34" s="442"/>
      <c r="H34" s="442"/>
      <c r="I34" s="442"/>
      <c r="J34" s="442"/>
      <c r="K34" s="426"/>
      <c r="L34" s="442"/>
      <c r="M34" s="442"/>
      <c r="N34" s="442"/>
      <c r="O34" s="442"/>
      <c r="P34" s="442"/>
      <c r="Q34" s="442"/>
      <c r="R34" s="442"/>
      <c r="S34" s="442"/>
      <c r="T34" s="426"/>
      <c r="U34" s="416">
        <f t="shared" si="13"/>
        <v>0</v>
      </c>
      <c r="V34" s="421"/>
    </row>
    <row r="35" ht="15.0" customHeight="1" outlineLevel="2">
      <c r="A35" s="385"/>
      <c r="B35" s="385"/>
      <c r="C35" s="432" t="s">
        <v>667</v>
      </c>
      <c r="D35" s="438"/>
      <c r="E35" s="443"/>
      <c r="F35" s="440"/>
      <c r="G35" s="435">
        <f t="shared" ref="G35:J35" si="31">$E$34*G33</f>
        <v>42000000</v>
      </c>
      <c r="H35" s="435">
        <f t="shared" si="31"/>
        <v>24000000</v>
      </c>
      <c r="I35" s="435">
        <f t="shared" si="31"/>
        <v>12000000</v>
      </c>
      <c r="J35" s="435">
        <f t="shared" si="31"/>
        <v>6000000</v>
      </c>
      <c r="K35" s="415">
        <f>SUM(G35:J35)</f>
        <v>84000000</v>
      </c>
      <c r="L35" s="435">
        <f t="shared" ref="L35:S35" si="32">$E$34*L33</f>
        <v>6000000</v>
      </c>
      <c r="M35" s="435">
        <f t="shared" si="32"/>
        <v>9000000</v>
      </c>
      <c r="N35" s="435">
        <f t="shared" si="32"/>
        <v>12452830.19</v>
      </c>
      <c r="O35" s="435">
        <f t="shared" si="32"/>
        <v>30000000</v>
      </c>
      <c r="P35" s="435">
        <f t="shared" si="32"/>
        <v>42000000</v>
      </c>
      <c r="Q35" s="435">
        <f t="shared" si="32"/>
        <v>40526315.79</v>
      </c>
      <c r="R35" s="435">
        <f t="shared" si="32"/>
        <v>38648648.65</v>
      </c>
      <c r="S35" s="435">
        <f t="shared" si="32"/>
        <v>45000000</v>
      </c>
      <c r="T35" s="415">
        <f>SUM(L35:S35)</f>
        <v>223627794.6</v>
      </c>
      <c r="U35" s="416">
        <f t="shared" si="13"/>
        <v>307627794.6</v>
      </c>
      <c r="V35" s="421"/>
    </row>
    <row r="36" ht="15.0" customHeight="1" outlineLevel="2">
      <c r="A36" s="385"/>
      <c r="B36" s="385"/>
      <c r="C36" s="439"/>
      <c r="D36" s="438"/>
      <c r="E36" s="443"/>
      <c r="F36" s="446"/>
      <c r="G36" s="442"/>
      <c r="H36" s="442"/>
      <c r="I36" s="442"/>
      <c r="J36" s="442"/>
      <c r="K36" s="426"/>
      <c r="L36" s="442"/>
      <c r="M36" s="442"/>
      <c r="N36" s="442"/>
      <c r="O36" s="442"/>
      <c r="P36" s="442"/>
      <c r="Q36" s="442"/>
      <c r="R36" s="442"/>
      <c r="S36" s="442"/>
      <c r="T36" s="426"/>
      <c r="U36" s="416">
        <f t="shared" si="13"/>
        <v>0</v>
      </c>
      <c r="V36" s="421"/>
    </row>
    <row r="37" ht="15.0" customHeight="1" outlineLevel="1" collapsed="1">
      <c r="A37" s="385"/>
      <c r="B37" s="385"/>
      <c r="C37" s="418" t="s">
        <v>668</v>
      </c>
      <c r="D37" s="419"/>
      <c r="E37" s="414">
        <f>AVERAGE(G37:J37,L37:S37)</f>
        <v>5191865.21</v>
      </c>
      <c r="F37" s="396"/>
      <c r="G37" s="414">
        <f t="shared" ref="G37:J37" si="33">G43+G50</f>
        <v>5534905.44</v>
      </c>
      <c r="H37" s="414">
        <f t="shared" si="33"/>
        <v>4422861.6</v>
      </c>
      <c r="I37" s="414">
        <f t="shared" si="33"/>
        <v>3244479.24</v>
      </c>
      <c r="J37" s="414">
        <f t="shared" si="33"/>
        <v>2622118.8</v>
      </c>
      <c r="K37" s="415">
        <f>SUM(G37:J37)</f>
        <v>15824365.08</v>
      </c>
      <c r="L37" s="414">
        <f t="shared" ref="L37:S37" si="34">L43+L50</f>
        <v>1311059.4</v>
      </c>
      <c r="M37" s="414">
        <f t="shared" si="34"/>
        <v>1933419.84</v>
      </c>
      <c r="N37" s="414">
        <f t="shared" si="34"/>
        <v>4899888.12</v>
      </c>
      <c r="O37" s="414">
        <f t="shared" si="34"/>
        <v>5534905.44</v>
      </c>
      <c r="P37" s="414">
        <f t="shared" si="34"/>
        <v>7958008.68</v>
      </c>
      <c r="Q37" s="414">
        <f t="shared" si="34"/>
        <v>9746094.6</v>
      </c>
      <c r="R37" s="414">
        <f t="shared" si="34"/>
        <v>8169681.12</v>
      </c>
      <c r="S37" s="414">
        <f t="shared" si="34"/>
        <v>6924960.24</v>
      </c>
      <c r="T37" s="415">
        <f>SUM(L37:S37)</f>
        <v>46478017.44</v>
      </c>
      <c r="U37" s="416">
        <f t="shared" si="13"/>
        <v>62302382.52</v>
      </c>
      <c r="V37" s="421"/>
    </row>
    <row r="38" ht="15.0" customHeight="1" outlineLevel="2">
      <c r="A38" s="422"/>
      <c r="B38" s="422"/>
      <c r="C38" s="423" t="s">
        <v>669</v>
      </c>
      <c r="D38" s="424"/>
      <c r="E38" s="424"/>
      <c r="F38" s="425"/>
      <c r="G38" s="423">
        <v>0.08</v>
      </c>
      <c r="H38" s="423">
        <v>0.08</v>
      </c>
      <c r="I38" s="423">
        <v>0.07</v>
      </c>
      <c r="J38" s="423">
        <v>0.06</v>
      </c>
      <c r="K38" s="426"/>
      <c r="L38" s="423">
        <v>0.03</v>
      </c>
      <c r="M38" s="423">
        <v>0.04</v>
      </c>
      <c r="N38" s="423">
        <v>0.11</v>
      </c>
      <c r="O38" s="423">
        <v>0.08</v>
      </c>
      <c r="P38" s="423">
        <v>0.11</v>
      </c>
      <c r="Q38" s="423">
        <v>0.17</v>
      </c>
      <c r="R38" s="423">
        <v>0.1</v>
      </c>
      <c r="S38" s="423">
        <v>0.08</v>
      </c>
      <c r="T38" s="426"/>
      <c r="U38" s="416">
        <f t="shared" si="13"/>
        <v>0</v>
      </c>
      <c r="V38" s="421"/>
    </row>
    <row r="39" ht="15.0" customHeight="1" outlineLevel="2">
      <c r="A39" s="385"/>
      <c r="B39" s="385"/>
      <c r="C39" s="432" t="s">
        <v>658</v>
      </c>
      <c r="D39" s="433"/>
      <c r="E39" s="423">
        <v>3991.0</v>
      </c>
      <c r="F39" s="434"/>
      <c r="G39" s="435">
        <f t="shared" ref="G39:J39" si="35">$E$39*G38</f>
        <v>319.28</v>
      </c>
      <c r="H39" s="435">
        <f t="shared" si="35"/>
        <v>319.28</v>
      </c>
      <c r="I39" s="435">
        <f t="shared" si="35"/>
        <v>279.37</v>
      </c>
      <c r="J39" s="435">
        <f t="shared" si="35"/>
        <v>239.46</v>
      </c>
      <c r="K39" s="415">
        <f>SUM(G39:J39)</f>
        <v>1157.39</v>
      </c>
      <c r="L39" s="435">
        <f t="shared" ref="L39:S39" si="36">$E$39*L38</f>
        <v>119.73</v>
      </c>
      <c r="M39" s="435">
        <f t="shared" si="36"/>
        <v>159.64</v>
      </c>
      <c r="N39" s="435">
        <f t="shared" si="36"/>
        <v>439.01</v>
      </c>
      <c r="O39" s="435">
        <f t="shared" si="36"/>
        <v>319.28</v>
      </c>
      <c r="P39" s="435">
        <f t="shared" si="36"/>
        <v>439.01</v>
      </c>
      <c r="Q39" s="435">
        <f t="shared" si="36"/>
        <v>678.47</v>
      </c>
      <c r="R39" s="435">
        <f t="shared" si="36"/>
        <v>399.1</v>
      </c>
      <c r="S39" s="435">
        <f t="shared" si="36"/>
        <v>319.28</v>
      </c>
      <c r="T39" s="415">
        <f>SUM(L39:S39)</f>
        <v>2873.52</v>
      </c>
      <c r="U39" s="416">
        <f t="shared" si="13"/>
        <v>4030.91</v>
      </c>
      <c r="V39" s="421"/>
    </row>
    <row r="40" ht="15.0" customHeight="1" outlineLevel="2">
      <c r="A40" s="385"/>
      <c r="B40" s="385"/>
      <c r="C40" s="436" t="s">
        <v>659</v>
      </c>
      <c r="D40" s="433"/>
      <c r="E40" s="437">
        <f>IFERROR(F40/E39,"")</f>
        <v>0.7702330243</v>
      </c>
      <c r="F40" s="423">
        <v>3074.0</v>
      </c>
      <c r="G40" s="433"/>
      <c r="H40" s="433"/>
      <c r="I40" s="433"/>
      <c r="J40" s="433"/>
      <c r="K40" s="426"/>
      <c r="L40" s="433"/>
      <c r="M40" s="433"/>
      <c r="N40" s="433"/>
      <c r="O40" s="433"/>
      <c r="P40" s="433"/>
      <c r="Q40" s="433"/>
      <c r="R40" s="433"/>
      <c r="S40" s="433"/>
      <c r="T40" s="426"/>
      <c r="U40" s="416">
        <f t="shared" si="13"/>
        <v>0</v>
      </c>
      <c r="V40" s="421"/>
    </row>
    <row r="41" ht="15.0" customHeight="1" outlineLevel="2">
      <c r="A41" s="385"/>
      <c r="B41" s="385"/>
      <c r="C41" s="432" t="s">
        <v>660</v>
      </c>
      <c r="D41" s="438"/>
      <c r="E41" s="439"/>
      <c r="F41" s="440"/>
      <c r="G41" s="435">
        <f t="shared" ref="G41:J41" si="37">G39*$E$40</f>
        <v>245.92</v>
      </c>
      <c r="H41" s="435">
        <f t="shared" si="37"/>
        <v>245.92</v>
      </c>
      <c r="I41" s="435">
        <f t="shared" si="37"/>
        <v>215.18</v>
      </c>
      <c r="J41" s="435">
        <f t="shared" si="37"/>
        <v>184.44</v>
      </c>
      <c r="K41" s="415">
        <f>SUM(G41:J41)</f>
        <v>891.46</v>
      </c>
      <c r="L41" s="435">
        <f t="shared" ref="L41:S41" si="38">L39*$E$40</f>
        <v>92.22</v>
      </c>
      <c r="M41" s="435">
        <f t="shared" si="38"/>
        <v>122.96</v>
      </c>
      <c r="N41" s="435">
        <f t="shared" si="38"/>
        <v>338.14</v>
      </c>
      <c r="O41" s="435">
        <f t="shared" si="38"/>
        <v>245.92</v>
      </c>
      <c r="P41" s="435">
        <f t="shared" si="38"/>
        <v>338.14</v>
      </c>
      <c r="Q41" s="435">
        <f t="shared" si="38"/>
        <v>522.58</v>
      </c>
      <c r="R41" s="435">
        <f t="shared" si="38"/>
        <v>307.4</v>
      </c>
      <c r="S41" s="435">
        <f t="shared" si="38"/>
        <v>245.92</v>
      </c>
      <c r="T41" s="415">
        <f>SUM(L41:S41)</f>
        <v>2213.28</v>
      </c>
      <c r="U41" s="416">
        <f t="shared" si="13"/>
        <v>3104.74</v>
      </c>
      <c r="V41" s="421"/>
    </row>
    <row r="42" ht="15.0" customHeight="1" outlineLevel="2">
      <c r="A42" s="385"/>
      <c r="B42" s="385"/>
      <c r="C42" s="432" t="s">
        <v>661</v>
      </c>
      <c r="D42" s="438"/>
      <c r="E42" s="441">
        <v>11202.0</v>
      </c>
      <c r="F42" s="423">
        <v>4.058353697E7</v>
      </c>
      <c r="G42" s="442"/>
      <c r="H42" s="442"/>
      <c r="I42" s="442"/>
      <c r="J42" s="442"/>
      <c r="K42" s="426"/>
      <c r="L42" s="442"/>
      <c r="M42" s="442"/>
      <c r="N42" s="442"/>
      <c r="O42" s="442"/>
      <c r="P42" s="442"/>
      <c r="Q42" s="442"/>
      <c r="R42" s="442"/>
      <c r="S42" s="442"/>
      <c r="T42" s="426"/>
      <c r="U42" s="416">
        <f t="shared" si="13"/>
        <v>0</v>
      </c>
      <c r="V42" s="421"/>
    </row>
    <row r="43" ht="15.0" customHeight="1" outlineLevel="2">
      <c r="A43" s="385"/>
      <c r="B43" s="385"/>
      <c r="C43" s="432" t="s">
        <v>662</v>
      </c>
      <c r="D43" s="438"/>
      <c r="E43" s="443"/>
      <c r="F43" s="440"/>
      <c r="G43" s="435">
        <f t="shared" ref="G43:J43" si="39">$E$42*G41</f>
        <v>2754795.84</v>
      </c>
      <c r="H43" s="435">
        <f t="shared" si="39"/>
        <v>2754795.84</v>
      </c>
      <c r="I43" s="435">
        <f t="shared" si="39"/>
        <v>2410446.36</v>
      </c>
      <c r="J43" s="435">
        <f t="shared" si="39"/>
        <v>2066096.88</v>
      </c>
      <c r="K43" s="415">
        <f>SUM(G43:J43)</f>
        <v>9986134.92</v>
      </c>
      <c r="L43" s="435">
        <f t="shared" ref="L43:S43" si="40">$E$42*L41</f>
        <v>1033048.44</v>
      </c>
      <c r="M43" s="435">
        <f t="shared" si="40"/>
        <v>1377397.92</v>
      </c>
      <c r="N43" s="435">
        <f t="shared" si="40"/>
        <v>3787844.28</v>
      </c>
      <c r="O43" s="435">
        <f t="shared" si="40"/>
        <v>2754795.84</v>
      </c>
      <c r="P43" s="435">
        <f t="shared" si="40"/>
        <v>3787844.28</v>
      </c>
      <c r="Q43" s="435">
        <f t="shared" si="40"/>
        <v>5853941.16</v>
      </c>
      <c r="R43" s="435">
        <f t="shared" si="40"/>
        <v>3443494.8</v>
      </c>
      <c r="S43" s="435">
        <f t="shared" si="40"/>
        <v>2754795.84</v>
      </c>
      <c r="T43" s="415">
        <f>SUM(L43:S43)</f>
        <v>24793162.56</v>
      </c>
      <c r="U43" s="416">
        <f t="shared" si="13"/>
        <v>34779297.48</v>
      </c>
      <c r="V43" s="421"/>
    </row>
    <row r="44" ht="15.0" customHeight="1" outlineLevel="2">
      <c r="A44" s="385"/>
      <c r="B44" s="385"/>
      <c r="C44" s="439"/>
      <c r="D44" s="438"/>
      <c r="E44" s="443"/>
      <c r="F44" s="440"/>
      <c r="G44" s="442"/>
      <c r="H44" s="442"/>
      <c r="I44" s="442"/>
      <c r="J44" s="442"/>
      <c r="K44" s="426"/>
      <c r="L44" s="442"/>
      <c r="M44" s="442"/>
      <c r="N44" s="442"/>
      <c r="O44" s="442"/>
      <c r="P44" s="442"/>
      <c r="Q44" s="442"/>
      <c r="R44" s="442"/>
      <c r="S44" s="442"/>
      <c r="T44" s="426"/>
      <c r="U44" s="416">
        <f t="shared" si="13"/>
        <v>0</v>
      </c>
      <c r="V44" s="421"/>
    </row>
    <row r="45" ht="15.0" customHeight="1" outlineLevel="2">
      <c r="A45" s="444"/>
      <c r="B45" s="444"/>
      <c r="C45" s="423" t="s">
        <v>670</v>
      </c>
      <c r="D45" s="424"/>
      <c r="E45" s="424"/>
      <c r="F45" s="425"/>
      <c r="G45" s="423">
        <v>0.1</v>
      </c>
      <c r="H45" s="423">
        <v>0.06</v>
      </c>
      <c r="I45" s="423">
        <v>0.03</v>
      </c>
      <c r="J45" s="423">
        <v>0.02</v>
      </c>
      <c r="K45" s="426"/>
      <c r="L45" s="423">
        <v>0.01</v>
      </c>
      <c r="M45" s="423">
        <v>0.02</v>
      </c>
      <c r="N45" s="423">
        <v>0.04</v>
      </c>
      <c r="O45" s="423">
        <v>0.1</v>
      </c>
      <c r="P45" s="423">
        <v>0.15</v>
      </c>
      <c r="Q45" s="423">
        <v>0.14</v>
      </c>
      <c r="R45" s="423">
        <v>0.17</v>
      </c>
      <c r="S45" s="423">
        <v>0.15</v>
      </c>
      <c r="T45" s="426"/>
      <c r="U45" s="416">
        <f t="shared" si="13"/>
        <v>0</v>
      </c>
      <c r="V45" s="421"/>
    </row>
    <row r="46" ht="15.0" customHeight="1" outlineLevel="2">
      <c r="A46" s="385"/>
      <c r="B46" s="385"/>
      <c r="C46" s="432" t="s">
        <v>671</v>
      </c>
      <c r="D46" s="438"/>
      <c r="E46" s="423">
        <v>6258.0</v>
      </c>
      <c r="F46" s="434"/>
      <c r="G46" s="435">
        <f t="shared" ref="G46:J46" si="41">$E$46*G45</f>
        <v>625.8</v>
      </c>
      <c r="H46" s="435">
        <f t="shared" si="41"/>
        <v>375.48</v>
      </c>
      <c r="I46" s="435">
        <f t="shared" si="41"/>
        <v>187.74</v>
      </c>
      <c r="J46" s="435">
        <f t="shared" si="41"/>
        <v>125.16</v>
      </c>
      <c r="K46" s="415">
        <f>SUM(G46:J46)</f>
        <v>1314.18</v>
      </c>
      <c r="L46" s="435">
        <f t="shared" ref="L46:S46" si="42">$E$46*L45</f>
        <v>62.58</v>
      </c>
      <c r="M46" s="435">
        <f t="shared" si="42"/>
        <v>125.16</v>
      </c>
      <c r="N46" s="435">
        <f t="shared" si="42"/>
        <v>250.32</v>
      </c>
      <c r="O46" s="435">
        <f t="shared" si="42"/>
        <v>625.8</v>
      </c>
      <c r="P46" s="435">
        <f t="shared" si="42"/>
        <v>938.7</v>
      </c>
      <c r="Q46" s="435">
        <f t="shared" si="42"/>
        <v>876.12</v>
      </c>
      <c r="R46" s="435">
        <f t="shared" si="42"/>
        <v>1063.86</v>
      </c>
      <c r="S46" s="435">
        <f t="shared" si="42"/>
        <v>938.7</v>
      </c>
      <c r="T46" s="415">
        <f>SUM(L46:S46)</f>
        <v>4881.24</v>
      </c>
      <c r="U46" s="416">
        <f t="shared" si="13"/>
        <v>6195.42</v>
      </c>
      <c r="V46" s="421"/>
    </row>
    <row r="47" ht="15.0" customHeight="1" outlineLevel="2">
      <c r="A47" s="385"/>
      <c r="B47" s="385"/>
      <c r="C47" s="436" t="s">
        <v>659</v>
      </c>
      <c r="D47" s="438"/>
      <c r="E47" s="437">
        <f>F47/E46</f>
        <v>0.9301693832</v>
      </c>
      <c r="F47" s="423">
        <v>5821.0</v>
      </c>
      <c r="G47" s="442"/>
      <c r="H47" s="442"/>
      <c r="I47" s="442"/>
      <c r="J47" s="442"/>
      <c r="K47" s="426"/>
      <c r="L47" s="442"/>
      <c r="M47" s="442"/>
      <c r="N47" s="442"/>
      <c r="O47" s="442"/>
      <c r="P47" s="442"/>
      <c r="Q47" s="442"/>
      <c r="R47" s="442"/>
      <c r="S47" s="442"/>
      <c r="T47" s="426"/>
      <c r="U47" s="416">
        <f t="shared" si="13"/>
        <v>0</v>
      </c>
      <c r="V47" s="421"/>
    </row>
    <row r="48" ht="15.0" customHeight="1" outlineLevel="2">
      <c r="A48" s="385"/>
      <c r="B48" s="385"/>
      <c r="C48" s="432" t="s">
        <v>665</v>
      </c>
      <c r="D48" s="438"/>
      <c r="E48" s="439"/>
      <c r="F48" s="440"/>
      <c r="G48" s="435">
        <f t="shared" ref="G48:J48" si="43">G46*$E$47</f>
        <v>582.1</v>
      </c>
      <c r="H48" s="435">
        <f t="shared" si="43"/>
        <v>349.26</v>
      </c>
      <c r="I48" s="435">
        <f t="shared" si="43"/>
        <v>174.63</v>
      </c>
      <c r="J48" s="435">
        <f t="shared" si="43"/>
        <v>116.42</v>
      </c>
      <c r="K48" s="415">
        <f>SUM(G48:J48)</f>
        <v>1222.41</v>
      </c>
      <c r="L48" s="435">
        <f t="shared" ref="L48:S48" si="44">L46*$E$47</f>
        <v>58.21</v>
      </c>
      <c r="M48" s="435">
        <f t="shared" si="44"/>
        <v>116.42</v>
      </c>
      <c r="N48" s="435">
        <f t="shared" si="44"/>
        <v>232.84</v>
      </c>
      <c r="O48" s="435">
        <f t="shared" si="44"/>
        <v>582.1</v>
      </c>
      <c r="P48" s="435">
        <f t="shared" si="44"/>
        <v>873.15</v>
      </c>
      <c r="Q48" s="435">
        <f t="shared" si="44"/>
        <v>814.94</v>
      </c>
      <c r="R48" s="435">
        <f t="shared" si="44"/>
        <v>989.57</v>
      </c>
      <c r="S48" s="435">
        <f t="shared" si="44"/>
        <v>873.15</v>
      </c>
      <c r="T48" s="415">
        <f>SUM(L48:S48)</f>
        <v>4540.38</v>
      </c>
      <c r="U48" s="416">
        <f t="shared" si="13"/>
        <v>5762.79</v>
      </c>
      <c r="V48" s="421"/>
    </row>
    <row r="49" ht="15.0" customHeight="1" outlineLevel="2">
      <c r="A49" s="385"/>
      <c r="B49" s="385"/>
      <c r="C49" s="432" t="s">
        <v>666</v>
      </c>
      <c r="D49" s="438"/>
      <c r="E49" s="441">
        <v>4776.0</v>
      </c>
      <c r="F49" s="423">
        <v>3.01349972E7</v>
      </c>
      <c r="G49" s="442"/>
      <c r="H49" s="442"/>
      <c r="I49" s="442"/>
      <c r="J49" s="442"/>
      <c r="K49" s="426"/>
      <c r="L49" s="442"/>
      <c r="M49" s="442"/>
      <c r="N49" s="442"/>
      <c r="O49" s="442"/>
      <c r="P49" s="442"/>
      <c r="Q49" s="442"/>
      <c r="R49" s="442"/>
      <c r="S49" s="442"/>
      <c r="T49" s="426"/>
      <c r="U49" s="416">
        <f t="shared" si="13"/>
        <v>0</v>
      </c>
      <c r="V49" s="421"/>
    </row>
    <row r="50" ht="15.0" customHeight="1" outlineLevel="2">
      <c r="A50" s="385"/>
      <c r="B50" s="385"/>
      <c r="C50" s="432" t="s">
        <v>667</v>
      </c>
      <c r="D50" s="438"/>
      <c r="E50" s="443"/>
      <c r="F50" s="440"/>
      <c r="G50" s="435">
        <f t="shared" ref="G50:J50" si="45">$E$49*G48</f>
        <v>2780109.6</v>
      </c>
      <c r="H50" s="435">
        <f t="shared" si="45"/>
        <v>1668065.76</v>
      </c>
      <c r="I50" s="435">
        <f t="shared" si="45"/>
        <v>834032.88</v>
      </c>
      <c r="J50" s="435">
        <f t="shared" si="45"/>
        <v>556021.92</v>
      </c>
      <c r="K50" s="415">
        <f>SUM(G50:J50)</f>
        <v>5838230.16</v>
      </c>
      <c r="L50" s="435">
        <f t="shared" ref="L50:S50" si="46">$E$49*L48</f>
        <v>278010.96</v>
      </c>
      <c r="M50" s="435">
        <f t="shared" si="46"/>
        <v>556021.92</v>
      </c>
      <c r="N50" s="435">
        <f t="shared" si="46"/>
        <v>1112043.84</v>
      </c>
      <c r="O50" s="435">
        <f t="shared" si="46"/>
        <v>2780109.6</v>
      </c>
      <c r="P50" s="435">
        <f t="shared" si="46"/>
        <v>4170164.4</v>
      </c>
      <c r="Q50" s="435">
        <f t="shared" si="46"/>
        <v>3892153.44</v>
      </c>
      <c r="R50" s="435">
        <f t="shared" si="46"/>
        <v>4726186.32</v>
      </c>
      <c r="S50" s="435">
        <f t="shared" si="46"/>
        <v>4170164.4</v>
      </c>
      <c r="T50" s="415">
        <f>SUM(L50:S50)</f>
        <v>21684854.88</v>
      </c>
      <c r="U50" s="416">
        <f t="shared" si="13"/>
        <v>27523085.04</v>
      </c>
      <c r="V50" s="421"/>
    </row>
    <row r="51" ht="15.0" customHeight="1" outlineLevel="2">
      <c r="A51" s="385"/>
      <c r="B51" s="385"/>
      <c r="C51" s="439"/>
      <c r="D51" s="438"/>
      <c r="E51" s="443"/>
      <c r="F51" s="446"/>
      <c r="G51" s="442"/>
      <c r="H51" s="442"/>
      <c r="I51" s="442"/>
      <c r="J51" s="442"/>
      <c r="K51" s="426"/>
      <c r="L51" s="442"/>
      <c r="M51" s="442"/>
      <c r="N51" s="442"/>
      <c r="O51" s="442"/>
      <c r="P51" s="442"/>
      <c r="Q51" s="442"/>
      <c r="R51" s="442"/>
      <c r="S51" s="442"/>
      <c r="T51" s="426"/>
      <c r="U51" s="416">
        <f t="shared" si="13"/>
        <v>0</v>
      </c>
      <c r="V51" s="421"/>
    </row>
    <row r="52" ht="15.0" customHeight="1" outlineLevel="1" collapsed="1">
      <c r="A52" s="385"/>
      <c r="B52" s="385"/>
      <c r="C52" s="418" t="s">
        <v>672</v>
      </c>
      <c r="D52" s="419"/>
      <c r="E52" s="414">
        <f>AVERAGE(G52:J52,L52:S52)</f>
        <v>10891173.82</v>
      </c>
      <c r="F52" s="396"/>
      <c r="G52" s="414">
        <f t="shared" ref="G52:J52" si="47">G60+G67</f>
        <v>14142862.33</v>
      </c>
      <c r="H52" s="414">
        <f t="shared" si="47"/>
        <v>11565323.51</v>
      </c>
      <c r="I52" s="414">
        <f t="shared" si="47"/>
        <v>8162524.658</v>
      </c>
      <c r="J52" s="414">
        <f t="shared" si="47"/>
        <v>4925436.999</v>
      </c>
      <c r="K52" s="415">
        <f>SUM(G52:J52)</f>
        <v>38796147.5</v>
      </c>
      <c r="L52" s="414">
        <f t="shared" ref="L52:S52" si="48">L60+L67</f>
        <v>3985759.74</v>
      </c>
      <c r="M52" s="414">
        <f t="shared" si="48"/>
        <v>6063422.521</v>
      </c>
      <c r="N52" s="414">
        <f t="shared" si="48"/>
        <v>8162524.658</v>
      </c>
      <c r="O52" s="414">
        <f t="shared" si="48"/>
        <v>11713957.36</v>
      </c>
      <c r="P52" s="414">
        <f t="shared" si="48"/>
        <v>15437230.32</v>
      </c>
      <c r="Q52" s="414">
        <f t="shared" si="48"/>
        <v>15437230.32</v>
      </c>
      <c r="R52" s="414">
        <f t="shared" si="48"/>
        <v>14605785.16</v>
      </c>
      <c r="S52" s="414">
        <f t="shared" si="48"/>
        <v>16492028.31</v>
      </c>
      <c r="T52" s="415">
        <f>SUM(L52:S52)</f>
        <v>91897938.39</v>
      </c>
      <c r="U52" s="416">
        <f t="shared" si="13"/>
        <v>130694085.9</v>
      </c>
      <c r="V52" s="421"/>
    </row>
    <row r="53" ht="15.0" customHeight="1" outlineLevel="2">
      <c r="A53" s="422"/>
      <c r="B53" s="422"/>
      <c r="C53" s="423" t="s">
        <v>673</v>
      </c>
      <c r="D53" s="424"/>
      <c r="E53" s="424"/>
      <c r="F53" s="425"/>
      <c r="G53" s="423">
        <v>0.12</v>
      </c>
      <c r="H53" s="423">
        <v>0.1</v>
      </c>
      <c r="I53" s="423">
        <v>0.08</v>
      </c>
      <c r="J53" s="423">
        <v>0.05</v>
      </c>
      <c r="K53" s="426"/>
      <c r="L53" s="423">
        <v>0.03</v>
      </c>
      <c r="M53" s="423">
        <v>0.05</v>
      </c>
      <c r="N53" s="423">
        <v>0.08</v>
      </c>
      <c r="O53" s="423">
        <v>0.08</v>
      </c>
      <c r="P53" s="423">
        <v>0.1</v>
      </c>
      <c r="Q53" s="423">
        <v>0.1</v>
      </c>
      <c r="R53" s="423">
        <v>0.1</v>
      </c>
      <c r="S53" s="423">
        <v>0.11</v>
      </c>
      <c r="T53" s="426"/>
      <c r="U53" s="416">
        <f t="shared" si="13"/>
        <v>0</v>
      </c>
      <c r="V53" s="421"/>
    </row>
    <row r="54" ht="15.0" customHeight="1" outlineLevel="2">
      <c r="A54" s="427"/>
      <c r="B54" s="427"/>
      <c r="C54" s="428" t="s">
        <v>674</v>
      </c>
      <c r="D54" s="429"/>
      <c r="E54" s="429"/>
      <c r="F54" s="430"/>
      <c r="G54" s="431">
        <f t="shared" ref="G54:J54" si="49">60000/G55</f>
        <v>0.9677419355</v>
      </c>
      <c r="H54" s="431">
        <f t="shared" si="49"/>
        <v>0.9677419355</v>
      </c>
      <c r="I54" s="431">
        <f t="shared" si="49"/>
        <v>1.034482759</v>
      </c>
      <c r="J54" s="431">
        <f t="shared" si="49"/>
        <v>1.071428571</v>
      </c>
      <c r="K54" s="426"/>
      <c r="L54" s="431">
        <f>60000/L55</f>
        <v>1.333333333</v>
      </c>
      <c r="M54" s="431">
        <f>60000/49000</f>
        <v>1.224489796</v>
      </c>
      <c r="N54" s="431">
        <f>60000/58000</f>
        <v>1.034482759</v>
      </c>
      <c r="O54" s="431">
        <f>60000/O55</f>
        <v>1.016949153</v>
      </c>
      <c r="P54" s="431">
        <v>1.0</v>
      </c>
      <c r="Q54" s="431">
        <v>1.0</v>
      </c>
      <c r="R54" s="431">
        <f t="shared" ref="R54:S54" si="50">60000/R55</f>
        <v>0.9677419355</v>
      </c>
      <c r="S54" s="431">
        <f t="shared" si="50"/>
        <v>0.9677419355</v>
      </c>
      <c r="T54" s="426"/>
      <c r="U54" s="416">
        <f t="shared" si="13"/>
        <v>0</v>
      </c>
      <c r="V54" s="421"/>
    </row>
    <row r="55" ht="15.0" customHeight="1" outlineLevel="2">
      <c r="A55" s="427"/>
      <c r="B55" s="427"/>
      <c r="C55" s="431" t="s">
        <v>657</v>
      </c>
      <c r="D55" s="429"/>
      <c r="E55" s="429"/>
      <c r="F55" s="430"/>
      <c r="G55" s="431">
        <v>62000.0</v>
      </c>
      <c r="H55" s="431">
        <v>62000.0</v>
      </c>
      <c r="I55" s="431">
        <v>58000.0</v>
      </c>
      <c r="J55" s="431">
        <v>56000.0</v>
      </c>
      <c r="K55" s="415">
        <f t="shared" ref="K55:K56" si="52">SUM(G55:J55)</f>
        <v>238000</v>
      </c>
      <c r="L55" s="431">
        <v>45000.0</v>
      </c>
      <c r="M55" s="431">
        <v>49000.0</v>
      </c>
      <c r="N55" s="431">
        <v>58000.0</v>
      </c>
      <c r="O55" s="431">
        <v>59000.0</v>
      </c>
      <c r="P55" s="431">
        <v>60000.0</v>
      </c>
      <c r="Q55" s="431">
        <v>60000.0</v>
      </c>
      <c r="R55" s="431">
        <v>62000.0</v>
      </c>
      <c r="S55" s="431">
        <v>62000.0</v>
      </c>
      <c r="T55" s="426"/>
      <c r="U55" s="416">
        <f t="shared" si="13"/>
        <v>238000</v>
      </c>
      <c r="V55" s="421"/>
    </row>
    <row r="56" ht="15.0" customHeight="1" outlineLevel="2">
      <c r="A56" s="385"/>
      <c r="B56" s="385"/>
      <c r="C56" s="432" t="s">
        <v>658</v>
      </c>
      <c r="D56" s="433"/>
      <c r="E56" s="423">
        <v>15989.0</v>
      </c>
      <c r="F56" s="434"/>
      <c r="G56" s="435">
        <v>1300.0</v>
      </c>
      <c r="H56" s="435">
        <f t="shared" ref="H56:J56" si="51">$E$56*H53*H54</f>
        <v>1547.322581</v>
      </c>
      <c r="I56" s="435">
        <f t="shared" si="51"/>
        <v>1323.227586</v>
      </c>
      <c r="J56" s="435">
        <f t="shared" si="51"/>
        <v>856.5535714</v>
      </c>
      <c r="K56" s="415">
        <f t="shared" si="52"/>
        <v>5027.103738</v>
      </c>
      <c r="L56" s="435">
        <f t="shared" ref="L56:S56" si="53">$E$56*L53*L54</f>
        <v>639.56</v>
      </c>
      <c r="M56" s="435">
        <f t="shared" si="53"/>
        <v>978.9183673</v>
      </c>
      <c r="N56" s="435">
        <f t="shared" si="53"/>
        <v>1323.227586</v>
      </c>
      <c r="O56" s="435">
        <f t="shared" si="53"/>
        <v>1300.8</v>
      </c>
      <c r="P56" s="435">
        <f t="shared" si="53"/>
        <v>1598.9</v>
      </c>
      <c r="Q56" s="435">
        <f t="shared" si="53"/>
        <v>1598.9</v>
      </c>
      <c r="R56" s="435">
        <f t="shared" si="53"/>
        <v>1547.322581</v>
      </c>
      <c r="S56" s="435">
        <f t="shared" si="53"/>
        <v>1702.054839</v>
      </c>
      <c r="T56" s="415">
        <f>SUM(L56:S56)</f>
        <v>10689.68337</v>
      </c>
      <c r="U56" s="416">
        <f t="shared" si="13"/>
        <v>15716.78711</v>
      </c>
      <c r="V56" s="421"/>
    </row>
    <row r="57" ht="15.0" customHeight="1" outlineLevel="2">
      <c r="A57" s="385"/>
      <c r="B57" s="385"/>
      <c r="C57" s="436" t="s">
        <v>659</v>
      </c>
      <c r="D57" s="433"/>
      <c r="E57" s="437">
        <f>IFERROR(F57/E56,"")</f>
        <v>0.777597098</v>
      </c>
      <c r="F57" s="423">
        <v>12433.0</v>
      </c>
      <c r="G57" s="433"/>
      <c r="H57" s="433"/>
      <c r="I57" s="433"/>
      <c r="J57" s="433"/>
      <c r="K57" s="426"/>
      <c r="L57" s="433"/>
      <c r="M57" s="433"/>
      <c r="N57" s="433"/>
      <c r="O57" s="433"/>
      <c r="P57" s="433"/>
      <c r="Q57" s="433"/>
      <c r="R57" s="433"/>
      <c r="S57" s="433"/>
      <c r="T57" s="426"/>
      <c r="U57" s="416">
        <f t="shared" si="13"/>
        <v>0</v>
      </c>
      <c r="V57" s="421"/>
    </row>
    <row r="58" ht="15.0" customHeight="1" outlineLevel="2">
      <c r="A58" s="385"/>
      <c r="B58" s="385"/>
      <c r="C58" s="432" t="s">
        <v>660</v>
      </c>
      <c r="D58" s="438"/>
      <c r="E58" s="439"/>
      <c r="F58" s="440"/>
      <c r="G58" s="435">
        <f t="shared" ref="G58:J58" si="54">G56*$E$57</f>
        <v>1010.876227</v>
      </c>
      <c r="H58" s="435">
        <f t="shared" si="54"/>
        <v>1203.193548</v>
      </c>
      <c r="I58" s="435">
        <f t="shared" si="54"/>
        <v>1028.937931</v>
      </c>
      <c r="J58" s="435">
        <f t="shared" si="54"/>
        <v>666.0535714</v>
      </c>
      <c r="K58" s="415">
        <f>SUM(G58:J58)</f>
        <v>3909.061278</v>
      </c>
      <c r="L58" s="435">
        <f t="shared" ref="L58:S58" si="55">L56*$E$57</f>
        <v>497.32</v>
      </c>
      <c r="M58" s="435">
        <f t="shared" si="55"/>
        <v>761.2040816</v>
      </c>
      <c r="N58" s="435">
        <f t="shared" si="55"/>
        <v>1028.937931</v>
      </c>
      <c r="O58" s="435">
        <f t="shared" si="55"/>
        <v>1011.498305</v>
      </c>
      <c r="P58" s="435">
        <f t="shared" si="55"/>
        <v>1243.3</v>
      </c>
      <c r="Q58" s="435">
        <f t="shared" si="55"/>
        <v>1243.3</v>
      </c>
      <c r="R58" s="435">
        <f t="shared" si="55"/>
        <v>1203.193548</v>
      </c>
      <c r="S58" s="435">
        <f t="shared" si="55"/>
        <v>1323.512903</v>
      </c>
      <c r="T58" s="415">
        <f>SUM(L58:S58)</f>
        <v>8312.266769</v>
      </c>
      <c r="U58" s="416">
        <f t="shared" si="13"/>
        <v>12221.32805</v>
      </c>
      <c r="V58" s="421"/>
    </row>
    <row r="59" ht="15.0" customHeight="1" outlineLevel="2">
      <c r="A59" s="385"/>
      <c r="B59" s="385"/>
      <c r="C59" s="432" t="s">
        <v>661</v>
      </c>
      <c r="D59" s="438"/>
      <c r="E59" s="441">
        <v>5569.0</v>
      </c>
      <c r="F59" s="423">
        <v>7.048902062E7</v>
      </c>
      <c r="G59" s="442"/>
      <c r="H59" s="442"/>
      <c r="I59" s="442"/>
      <c r="J59" s="442"/>
      <c r="K59" s="426"/>
      <c r="L59" s="442"/>
      <c r="M59" s="442"/>
      <c r="N59" s="442"/>
      <c r="O59" s="442"/>
      <c r="P59" s="442"/>
      <c r="Q59" s="442"/>
      <c r="R59" s="442"/>
      <c r="S59" s="442"/>
      <c r="T59" s="426"/>
      <c r="U59" s="416">
        <f t="shared" si="13"/>
        <v>0</v>
      </c>
      <c r="V59" s="421"/>
    </row>
    <row r="60" ht="15.0" customHeight="1" outlineLevel="2">
      <c r="A60" s="385"/>
      <c r="B60" s="385"/>
      <c r="C60" s="432" t="s">
        <v>662</v>
      </c>
      <c r="D60" s="438"/>
      <c r="E60" s="443"/>
      <c r="F60" s="440"/>
      <c r="G60" s="435">
        <f t="shared" ref="G60:J60" si="56">$E$59*G58</f>
        <v>5629569.71</v>
      </c>
      <c r="H60" s="435">
        <f t="shared" si="56"/>
        <v>6700584.871</v>
      </c>
      <c r="I60" s="435">
        <f t="shared" si="56"/>
        <v>5730155.338</v>
      </c>
      <c r="J60" s="435">
        <f t="shared" si="56"/>
        <v>3709252.339</v>
      </c>
      <c r="K60" s="415">
        <f>SUM(G60:J60)</f>
        <v>21769562.26</v>
      </c>
      <c r="L60" s="435">
        <f t="shared" ref="L60:S60" si="57">$E$59*L58</f>
        <v>2769575.08</v>
      </c>
      <c r="M60" s="435">
        <f t="shared" si="57"/>
        <v>4239145.531</v>
      </c>
      <c r="N60" s="435">
        <f t="shared" si="57"/>
        <v>5730155.338</v>
      </c>
      <c r="O60" s="435">
        <f t="shared" si="57"/>
        <v>5633034.061</v>
      </c>
      <c r="P60" s="435">
        <f t="shared" si="57"/>
        <v>6923937.7</v>
      </c>
      <c r="Q60" s="435">
        <f t="shared" si="57"/>
        <v>6923937.7</v>
      </c>
      <c r="R60" s="435">
        <f t="shared" si="57"/>
        <v>6700584.871</v>
      </c>
      <c r="S60" s="435">
        <f t="shared" si="57"/>
        <v>7370643.358</v>
      </c>
      <c r="T60" s="426"/>
      <c r="U60" s="416">
        <f t="shared" si="13"/>
        <v>21769562.26</v>
      </c>
      <c r="V60" s="421"/>
    </row>
    <row r="61" ht="15.0" customHeight="1" outlineLevel="2">
      <c r="A61" s="385"/>
      <c r="B61" s="385"/>
      <c r="C61" s="439"/>
      <c r="D61" s="438"/>
      <c r="E61" s="443"/>
      <c r="F61" s="440"/>
      <c r="G61" s="442"/>
      <c r="H61" s="442"/>
      <c r="I61" s="442"/>
      <c r="J61" s="442"/>
      <c r="K61" s="426"/>
      <c r="L61" s="442"/>
      <c r="M61" s="442"/>
      <c r="N61" s="442"/>
      <c r="O61" s="442"/>
      <c r="P61" s="442"/>
      <c r="Q61" s="442"/>
      <c r="R61" s="442"/>
      <c r="S61" s="442"/>
      <c r="T61" s="426"/>
      <c r="U61" s="416">
        <f t="shared" si="13"/>
        <v>0</v>
      </c>
      <c r="V61" s="421"/>
    </row>
    <row r="62" ht="15.0" customHeight="1" outlineLevel="2">
      <c r="A62" s="444"/>
      <c r="B62" s="444"/>
      <c r="C62" s="423" t="s">
        <v>673</v>
      </c>
      <c r="D62" s="424"/>
      <c r="E62" s="424"/>
      <c r="F62" s="425"/>
      <c r="G62" s="423">
        <v>0.14</v>
      </c>
      <c r="H62" s="423">
        <v>0.08</v>
      </c>
      <c r="I62" s="423">
        <v>0.04</v>
      </c>
      <c r="J62" s="423">
        <v>0.02</v>
      </c>
      <c r="K62" s="426"/>
      <c r="L62" s="423">
        <v>0.02</v>
      </c>
      <c r="M62" s="423">
        <v>0.03</v>
      </c>
      <c r="N62" s="423">
        <v>0.04</v>
      </c>
      <c r="O62" s="423">
        <v>0.1</v>
      </c>
      <c r="P62" s="423">
        <v>0.14</v>
      </c>
      <c r="Q62" s="423">
        <v>0.14</v>
      </c>
      <c r="R62" s="423">
        <v>0.13</v>
      </c>
      <c r="S62" s="423">
        <v>0.15</v>
      </c>
      <c r="T62" s="426"/>
      <c r="U62" s="416">
        <f t="shared" si="13"/>
        <v>0</v>
      </c>
      <c r="V62" s="421"/>
    </row>
    <row r="63" ht="15.0" customHeight="1" outlineLevel="2">
      <c r="A63" s="385"/>
      <c r="B63" s="385"/>
      <c r="C63" s="432" t="s">
        <v>664</v>
      </c>
      <c r="D63" s="438"/>
      <c r="E63" s="423">
        <v>10709.0</v>
      </c>
      <c r="F63" s="434"/>
      <c r="G63" s="435">
        <f t="shared" ref="G63:J63" si="58">$E$63*G62</f>
        <v>1499.26</v>
      </c>
      <c r="H63" s="435">
        <f t="shared" si="58"/>
        <v>856.72</v>
      </c>
      <c r="I63" s="435">
        <f t="shared" si="58"/>
        <v>428.36</v>
      </c>
      <c r="J63" s="435">
        <f t="shared" si="58"/>
        <v>214.18</v>
      </c>
      <c r="K63" s="415">
        <f>SUM(G63:J63)</f>
        <v>2998.52</v>
      </c>
      <c r="L63" s="435">
        <f t="shared" ref="L63:S63" si="59">$E$63*L62</f>
        <v>214.18</v>
      </c>
      <c r="M63" s="435">
        <f t="shared" si="59"/>
        <v>321.27</v>
      </c>
      <c r="N63" s="435">
        <f t="shared" si="59"/>
        <v>428.36</v>
      </c>
      <c r="O63" s="435">
        <f t="shared" si="59"/>
        <v>1070.9</v>
      </c>
      <c r="P63" s="435">
        <f t="shared" si="59"/>
        <v>1499.26</v>
      </c>
      <c r="Q63" s="435">
        <f t="shared" si="59"/>
        <v>1499.26</v>
      </c>
      <c r="R63" s="435">
        <f t="shared" si="59"/>
        <v>1392.17</v>
      </c>
      <c r="S63" s="435">
        <f t="shared" si="59"/>
        <v>1606.35</v>
      </c>
      <c r="T63" s="415">
        <f>SUM(L63:S63)</f>
        <v>8031.75</v>
      </c>
      <c r="U63" s="416">
        <f t="shared" si="13"/>
        <v>11030.27</v>
      </c>
      <c r="V63" s="421"/>
    </row>
    <row r="64" ht="15.0" customHeight="1" outlineLevel="2">
      <c r="A64" s="385"/>
      <c r="B64" s="385"/>
      <c r="C64" s="436" t="s">
        <v>659</v>
      </c>
      <c r="D64" s="438"/>
      <c r="E64" s="437">
        <f>F64/E63</f>
        <v>0.8644131105</v>
      </c>
      <c r="F64" s="423">
        <v>9257.0</v>
      </c>
      <c r="G64" s="442"/>
      <c r="H64" s="442"/>
      <c r="I64" s="442"/>
      <c r="J64" s="442"/>
      <c r="K64" s="426"/>
      <c r="L64" s="442"/>
      <c r="M64" s="442"/>
      <c r="N64" s="442"/>
      <c r="O64" s="442"/>
      <c r="P64" s="442"/>
      <c r="Q64" s="442"/>
      <c r="R64" s="442"/>
      <c r="S64" s="442"/>
      <c r="T64" s="426"/>
      <c r="U64" s="416">
        <f t="shared" si="13"/>
        <v>0</v>
      </c>
      <c r="V64" s="421"/>
    </row>
    <row r="65" ht="15.0" customHeight="1" outlineLevel="2">
      <c r="A65" s="385"/>
      <c r="B65" s="385"/>
      <c r="C65" s="432" t="s">
        <v>665</v>
      </c>
      <c r="D65" s="438"/>
      <c r="E65" s="439"/>
      <c r="F65" s="440"/>
      <c r="G65" s="435">
        <f t="shared" ref="G65:J65" si="60">G63*$E$64</f>
        <v>1295.98</v>
      </c>
      <c r="H65" s="435">
        <f t="shared" si="60"/>
        <v>740.56</v>
      </c>
      <c r="I65" s="435">
        <f t="shared" si="60"/>
        <v>370.28</v>
      </c>
      <c r="J65" s="435">
        <f t="shared" si="60"/>
        <v>185.14</v>
      </c>
      <c r="K65" s="415">
        <f>SUM(G65:J65)</f>
        <v>2591.96</v>
      </c>
      <c r="L65" s="435">
        <f t="shared" ref="L65:S65" si="61">L63*$E$64</f>
        <v>185.14</v>
      </c>
      <c r="M65" s="435">
        <f t="shared" si="61"/>
        <v>277.71</v>
      </c>
      <c r="N65" s="435">
        <f t="shared" si="61"/>
        <v>370.28</v>
      </c>
      <c r="O65" s="435">
        <f t="shared" si="61"/>
        <v>925.7</v>
      </c>
      <c r="P65" s="435">
        <f t="shared" si="61"/>
        <v>1295.98</v>
      </c>
      <c r="Q65" s="435">
        <f t="shared" si="61"/>
        <v>1295.98</v>
      </c>
      <c r="R65" s="435">
        <f t="shared" si="61"/>
        <v>1203.41</v>
      </c>
      <c r="S65" s="435">
        <f t="shared" si="61"/>
        <v>1388.55</v>
      </c>
      <c r="T65" s="415">
        <f>SUM(L65:S65)</f>
        <v>6942.75</v>
      </c>
      <c r="U65" s="416">
        <f t="shared" si="13"/>
        <v>9534.71</v>
      </c>
      <c r="V65" s="421"/>
    </row>
    <row r="66" ht="15.0" customHeight="1" outlineLevel="2">
      <c r="A66" s="385"/>
      <c r="B66" s="385"/>
      <c r="C66" s="432" t="s">
        <v>666</v>
      </c>
      <c r="D66" s="438"/>
      <c r="E66" s="441">
        <v>6569.0</v>
      </c>
      <c r="F66" s="423">
        <v>7.006875324E7</v>
      </c>
      <c r="G66" s="442"/>
      <c r="H66" s="442"/>
      <c r="I66" s="442"/>
      <c r="J66" s="442"/>
      <c r="K66" s="426"/>
      <c r="L66" s="442"/>
      <c r="M66" s="442"/>
      <c r="N66" s="442"/>
      <c r="O66" s="442"/>
      <c r="P66" s="442"/>
      <c r="Q66" s="442"/>
      <c r="R66" s="442"/>
      <c r="S66" s="442"/>
      <c r="T66" s="426"/>
      <c r="U66" s="416">
        <f t="shared" si="13"/>
        <v>0</v>
      </c>
      <c r="V66" s="421"/>
    </row>
    <row r="67" ht="15.0" customHeight="1" outlineLevel="2">
      <c r="A67" s="385"/>
      <c r="B67" s="385"/>
      <c r="C67" s="432" t="s">
        <v>667</v>
      </c>
      <c r="D67" s="438"/>
      <c r="E67" s="443"/>
      <c r="F67" s="440"/>
      <c r="G67" s="435">
        <f t="shared" ref="G67:J67" si="62">G65*$E$66</f>
        <v>8513292.62</v>
      </c>
      <c r="H67" s="435">
        <f t="shared" si="62"/>
        <v>4864738.64</v>
      </c>
      <c r="I67" s="435">
        <f t="shared" si="62"/>
        <v>2432369.32</v>
      </c>
      <c r="J67" s="435">
        <f t="shared" si="62"/>
        <v>1216184.66</v>
      </c>
      <c r="K67" s="415">
        <f>SUM(G67:J67)</f>
        <v>17026585.24</v>
      </c>
      <c r="L67" s="435">
        <f t="shared" ref="L67:S67" si="63">L65*$E$66</f>
        <v>1216184.66</v>
      </c>
      <c r="M67" s="435">
        <f t="shared" si="63"/>
        <v>1824276.99</v>
      </c>
      <c r="N67" s="435">
        <f t="shared" si="63"/>
        <v>2432369.32</v>
      </c>
      <c r="O67" s="435">
        <f t="shared" si="63"/>
        <v>6080923.3</v>
      </c>
      <c r="P67" s="435">
        <f t="shared" si="63"/>
        <v>8513292.62</v>
      </c>
      <c r="Q67" s="435">
        <f t="shared" si="63"/>
        <v>8513292.62</v>
      </c>
      <c r="R67" s="435">
        <f t="shared" si="63"/>
        <v>7905200.29</v>
      </c>
      <c r="S67" s="435">
        <f t="shared" si="63"/>
        <v>9121384.95</v>
      </c>
      <c r="T67" s="415">
        <f>SUM(L67:S67)</f>
        <v>45606924.75</v>
      </c>
      <c r="U67" s="416">
        <f t="shared" si="13"/>
        <v>62633509.99</v>
      </c>
      <c r="V67" s="421"/>
    </row>
    <row r="68" ht="15.0" customHeight="1" outlineLevel="2">
      <c r="A68" s="385"/>
      <c r="B68" s="385"/>
      <c r="C68" s="439"/>
      <c r="D68" s="438"/>
      <c r="E68" s="443"/>
      <c r="F68" s="446"/>
      <c r="G68" s="442"/>
      <c r="H68" s="442"/>
      <c r="I68" s="442"/>
      <c r="J68" s="442"/>
      <c r="K68" s="426"/>
      <c r="L68" s="442"/>
      <c r="M68" s="442"/>
      <c r="N68" s="442"/>
      <c r="O68" s="442"/>
      <c r="P68" s="442"/>
      <c r="Q68" s="442"/>
      <c r="R68" s="442"/>
      <c r="S68" s="442"/>
      <c r="T68" s="426"/>
      <c r="U68" s="416">
        <f t="shared" si="13"/>
        <v>0</v>
      </c>
      <c r="V68" s="421"/>
    </row>
    <row r="69" ht="15.0" customHeight="1" outlineLevel="1" collapsed="1">
      <c r="A69" s="385"/>
      <c r="B69" s="385"/>
      <c r="C69" s="418" t="s">
        <v>675</v>
      </c>
      <c r="D69" s="419"/>
      <c r="E69" s="447">
        <v>0.0047</v>
      </c>
      <c r="F69" s="396"/>
      <c r="G69" s="414">
        <f t="shared" ref="G69:J69" si="64">G17*$E$69</f>
        <v>376253.9019</v>
      </c>
      <c r="H69" s="414">
        <f t="shared" si="64"/>
        <v>273523.5088</v>
      </c>
      <c r="I69" s="414">
        <f t="shared" si="64"/>
        <v>181365.3354</v>
      </c>
      <c r="J69" s="414">
        <f t="shared" si="64"/>
        <v>110352.8851</v>
      </c>
      <c r="K69" s="415">
        <f>SUM(G69:J69)</f>
        <v>941495.6311</v>
      </c>
      <c r="L69" s="414">
        <f t="shared" ref="L69:S69" si="65">L17*$E$69</f>
        <v>74595.64951</v>
      </c>
      <c r="M69" s="414">
        <f t="shared" si="65"/>
        <v>115678.8497</v>
      </c>
      <c r="N69" s="414">
        <f t="shared" si="65"/>
        <v>179292.6191</v>
      </c>
      <c r="O69" s="414">
        <f t="shared" si="65"/>
        <v>279784.643</v>
      </c>
      <c r="P69" s="414">
        <f t="shared" si="65"/>
        <v>379641.9404</v>
      </c>
      <c r="Q69" s="414">
        <f t="shared" si="65"/>
        <v>378641.241</v>
      </c>
      <c r="R69" s="414">
        <f t="shared" si="65"/>
        <v>360251.3866</v>
      </c>
      <c r="S69" s="414">
        <f t="shared" si="65"/>
        <v>405489.6862</v>
      </c>
      <c r="T69" s="415">
        <f>SUM(L69:S69)</f>
        <v>2173376.015</v>
      </c>
      <c r="U69" s="416">
        <f t="shared" si="13"/>
        <v>3114871.647</v>
      </c>
      <c r="V69" s="421"/>
    </row>
    <row r="70" ht="15.0" customHeight="1" outlineLevel="2">
      <c r="A70" s="385"/>
      <c r="B70" s="385"/>
      <c r="C70" s="448"/>
      <c r="D70" s="449"/>
      <c r="E70" s="450"/>
      <c r="F70" s="396"/>
      <c r="G70" s="450"/>
      <c r="H70" s="450"/>
      <c r="I70" s="450"/>
      <c r="J70" s="450"/>
      <c r="K70" s="426"/>
      <c r="L70" s="450"/>
      <c r="M70" s="450"/>
      <c r="N70" s="450"/>
      <c r="O70" s="450"/>
      <c r="P70" s="450"/>
      <c r="Q70" s="450"/>
      <c r="R70" s="450"/>
      <c r="S70" s="450"/>
      <c r="T70" s="426"/>
      <c r="U70" s="416">
        <f t="shared" si="13"/>
        <v>0</v>
      </c>
      <c r="V70" s="421"/>
    </row>
    <row r="71" ht="15.0" customHeight="1" outlineLevel="2">
      <c r="A71" s="385"/>
      <c r="B71" s="385"/>
      <c r="C71" s="451" t="s">
        <v>673</v>
      </c>
      <c r="D71" s="440"/>
      <c r="E71" s="421"/>
      <c r="F71" s="440"/>
      <c r="G71" s="431">
        <v>1.0</v>
      </c>
      <c r="H71" s="431">
        <v>1.0</v>
      </c>
      <c r="I71" s="431">
        <v>1.0</v>
      </c>
      <c r="J71" s="431">
        <v>1.0</v>
      </c>
      <c r="K71" s="426"/>
      <c r="L71" s="431">
        <v>1.0</v>
      </c>
      <c r="M71" s="431">
        <v>1.0</v>
      </c>
      <c r="N71" s="431">
        <v>1.0</v>
      </c>
      <c r="O71" s="431">
        <v>1.0</v>
      </c>
      <c r="P71" s="431">
        <v>1.0</v>
      </c>
      <c r="Q71" s="431">
        <v>1.0</v>
      </c>
      <c r="R71" s="431">
        <v>1.0</v>
      </c>
      <c r="S71" s="431">
        <v>1.0</v>
      </c>
      <c r="T71" s="426"/>
      <c r="U71" s="416">
        <f t="shared" si="13"/>
        <v>0</v>
      </c>
      <c r="V71" s="421"/>
    </row>
    <row r="72" ht="15.0" customHeight="1" outlineLevel="2">
      <c r="A72" s="385"/>
      <c r="B72" s="385"/>
      <c r="C72" s="432" t="s">
        <v>676</v>
      </c>
      <c r="D72" s="440"/>
      <c r="E72" s="452">
        <v>100.0</v>
      </c>
      <c r="F72" s="440"/>
      <c r="G72" s="435">
        <f t="shared" ref="G72:J72" si="66">$E$72*G71</f>
        <v>100</v>
      </c>
      <c r="H72" s="435">
        <f t="shared" si="66"/>
        <v>100</v>
      </c>
      <c r="I72" s="435">
        <f t="shared" si="66"/>
        <v>100</v>
      </c>
      <c r="J72" s="435">
        <f t="shared" si="66"/>
        <v>100</v>
      </c>
      <c r="K72" s="415">
        <f t="shared" ref="K72:K86" si="69">SUM(G72:J72)</f>
        <v>400</v>
      </c>
      <c r="L72" s="435">
        <f t="shared" ref="L72:S72" si="67">$E$72*L71</f>
        <v>100</v>
      </c>
      <c r="M72" s="435">
        <f t="shared" si="67"/>
        <v>100</v>
      </c>
      <c r="N72" s="435">
        <f t="shared" si="67"/>
        <v>100</v>
      </c>
      <c r="O72" s="435">
        <f t="shared" si="67"/>
        <v>100</v>
      </c>
      <c r="P72" s="435">
        <f t="shared" si="67"/>
        <v>100</v>
      </c>
      <c r="Q72" s="435">
        <f t="shared" si="67"/>
        <v>100</v>
      </c>
      <c r="R72" s="435">
        <f t="shared" si="67"/>
        <v>100</v>
      </c>
      <c r="S72" s="435">
        <f t="shared" si="67"/>
        <v>100</v>
      </c>
      <c r="T72" s="415">
        <f t="shared" ref="T72:T76" si="71">SUM(L72:S72)</f>
        <v>800</v>
      </c>
      <c r="U72" s="416">
        <f t="shared" si="13"/>
        <v>1200</v>
      </c>
      <c r="V72" s="421"/>
    </row>
    <row r="73" ht="15.0" customHeight="1" outlineLevel="2">
      <c r="A73" s="385"/>
      <c r="B73" s="385"/>
      <c r="C73" s="432" t="s">
        <v>677</v>
      </c>
      <c r="D73" s="440"/>
      <c r="E73" s="453">
        <v>0.8</v>
      </c>
      <c r="F73" s="440"/>
      <c r="G73" s="435">
        <f t="shared" ref="G73:J73" si="68">G72*$E$73</f>
        <v>80</v>
      </c>
      <c r="H73" s="435">
        <f t="shared" si="68"/>
        <v>80</v>
      </c>
      <c r="I73" s="435">
        <f t="shared" si="68"/>
        <v>80</v>
      </c>
      <c r="J73" s="435">
        <f t="shared" si="68"/>
        <v>80</v>
      </c>
      <c r="K73" s="415">
        <f t="shared" si="69"/>
        <v>320</v>
      </c>
      <c r="L73" s="435">
        <f t="shared" ref="L73:S73" si="70">L72*$E$73</f>
        <v>80</v>
      </c>
      <c r="M73" s="435">
        <f t="shared" si="70"/>
        <v>80</v>
      </c>
      <c r="N73" s="435">
        <f t="shared" si="70"/>
        <v>80</v>
      </c>
      <c r="O73" s="435">
        <f t="shared" si="70"/>
        <v>80</v>
      </c>
      <c r="P73" s="435">
        <f t="shared" si="70"/>
        <v>80</v>
      </c>
      <c r="Q73" s="435">
        <f t="shared" si="70"/>
        <v>80</v>
      </c>
      <c r="R73" s="435">
        <f t="shared" si="70"/>
        <v>80</v>
      </c>
      <c r="S73" s="435">
        <f t="shared" si="70"/>
        <v>80</v>
      </c>
      <c r="T73" s="415">
        <f t="shared" si="71"/>
        <v>640</v>
      </c>
      <c r="U73" s="416">
        <f t="shared" si="13"/>
        <v>960</v>
      </c>
      <c r="V73" s="421"/>
    </row>
    <row r="74" ht="15.0" customHeight="1" outlineLevel="2">
      <c r="A74" s="385"/>
      <c r="B74" s="385"/>
      <c r="C74" s="432" t="s">
        <v>678</v>
      </c>
      <c r="D74" s="440"/>
      <c r="E74" s="453">
        <v>0.7</v>
      </c>
      <c r="F74" s="440"/>
      <c r="G74" s="435">
        <f t="shared" ref="G74:J74" si="72">G73*$E$74</f>
        <v>56</v>
      </c>
      <c r="H74" s="435">
        <f t="shared" si="72"/>
        <v>56</v>
      </c>
      <c r="I74" s="435">
        <f t="shared" si="72"/>
        <v>56</v>
      </c>
      <c r="J74" s="435">
        <f t="shared" si="72"/>
        <v>56</v>
      </c>
      <c r="K74" s="415">
        <f t="shared" si="69"/>
        <v>224</v>
      </c>
      <c r="L74" s="435">
        <f t="shared" ref="L74:S74" si="73">L73*$E$74</f>
        <v>56</v>
      </c>
      <c r="M74" s="435">
        <f t="shared" si="73"/>
        <v>56</v>
      </c>
      <c r="N74" s="435">
        <f t="shared" si="73"/>
        <v>56</v>
      </c>
      <c r="O74" s="435">
        <f t="shared" si="73"/>
        <v>56</v>
      </c>
      <c r="P74" s="435">
        <f t="shared" si="73"/>
        <v>56</v>
      </c>
      <c r="Q74" s="435">
        <f t="shared" si="73"/>
        <v>56</v>
      </c>
      <c r="R74" s="435">
        <f t="shared" si="73"/>
        <v>56</v>
      </c>
      <c r="S74" s="435">
        <f t="shared" si="73"/>
        <v>56</v>
      </c>
      <c r="T74" s="415">
        <f t="shared" si="71"/>
        <v>448</v>
      </c>
      <c r="U74" s="416">
        <f t="shared" si="13"/>
        <v>672</v>
      </c>
      <c r="V74" s="421"/>
    </row>
    <row r="75" ht="15.0" customHeight="1" outlineLevel="2">
      <c r="A75" s="385"/>
      <c r="B75" s="385"/>
      <c r="C75" s="432" t="s">
        <v>679</v>
      </c>
      <c r="D75" s="440"/>
      <c r="E75" s="453">
        <v>0.7</v>
      </c>
      <c r="F75" s="440"/>
      <c r="G75" s="435">
        <f t="shared" ref="G75:J75" si="74">G74*$E$75</f>
        <v>39.2</v>
      </c>
      <c r="H75" s="435">
        <f t="shared" si="74"/>
        <v>39.2</v>
      </c>
      <c r="I75" s="435">
        <f t="shared" si="74"/>
        <v>39.2</v>
      </c>
      <c r="J75" s="435">
        <f t="shared" si="74"/>
        <v>39.2</v>
      </c>
      <c r="K75" s="415">
        <f t="shared" si="69"/>
        <v>156.8</v>
      </c>
      <c r="L75" s="435">
        <f t="shared" ref="L75:S75" si="75">L74*$E$75</f>
        <v>39.2</v>
      </c>
      <c r="M75" s="435">
        <f t="shared" si="75"/>
        <v>39.2</v>
      </c>
      <c r="N75" s="435">
        <f t="shared" si="75"/>
        <v>39.2</v>
      </c>
      <c r="O75" s="435">
        <f t="shared" si="75"/>
        <v>39.2</v>
      </c>
      <c r="P75" s="435">
        <f t="shared" si="75"/>
        <v>39.2</v>
      </c>
      <c r="Q75" s="435">
        <f t="shared" si="75"/>
        <v>39.2</v>
      </c>
      <c r="R75" s="435">
        <f t="shared" si="75"/>
        <v>39.2</v>
      </c>
      <c r="S75" s="435">
        <f t="shared" si="75"/>
        <v>39.2</v>
      </c>
      <c r="T75" s="415">
        <f t="shared" si="71"/>
        <v>313.6</v>
      </c>
      <c r="U75" s="416">
        <f t="shared" si="13"/>
        <v>470.4</v>
      </c>
      <c r="V75" s="421"/>
    </row>
    <row r="76" ht="15.0" customHeight="1" outlineLevel="2">
      <c r="A76" s="385"/>
      <c r="B76" s="385"/>
      <c r="C76" s="432" t="s">
        <v>680</v>
      </c>
      <c r="D76" s="440"/>
      <c r="E76" s="453">
        <v>0.5</v>
      </c>
      <c r="F76" s="440"/>
      <c r="G76" s="435">
        <f t="shared" ref="G76:J76" si="76">G75*$E$76</f>
        <v>19.6</v>
      </c>
      <c r="H76" s="435">
        <f t="shared" si="76"/>
        <v>19.6</v>
      </c>
      <c r="I76" s="435">
        <f t="shared" si="76"/>
        <v>19.6</v>
      </c>
      <c r="J76" s="435">
        <f t="shared" si="76"/>
        <v>19.6</v>
      </c>
      <c r="K76" s="415">
        <f t="shared" si="69"/>
        <v>78.4</v>
      </c>
      <c r="L76" s="435">
        <f t="shared" ref="L76:S76" si="77">L75*$E$76</f>
        <v>19.6</v>
      </c>
      <c r="M76" s="435">
        <f t="shared" si="77"/>
        <v>19.6</v>
      </c>
      <c r="N76" s="435">
        <f t="shared" si="77"/>
        <v>19.6</v>
      </c>
      <c r="O76" s="435">
        <f t="shared" si="77"/>
        <v>19.6</v>
      </c>
      <c r="P76" s="435">
        <f t="shared" si="77"/>
        <v>19.6</v>
      </c>
      <c r="Q76" s="435">
        <f t="shared" si="77"/>
        <v>19.6</v>
      </c>
      <c r="R76" s="435">
        <f t="shared" si="77"/>
        <v>19.6</v>
      </c>
      <c r="S76" s="435">
        <f t="shared" si="77"/>
        <v>19.6</v>
      </c>
      <c r="T76" s="415">
        <f t="shared" si="71"/>
        <v>156.8</v>
      </c>
      <c r="U76" s="416">
        <f t="shared" si="13"/>
        <v>235.2</v>
      </c>
      <c r="V76" s="421"/>
    </row>
    <row r="77" ht="15.0" customHeight="1" outlineLevel="2">
      <c r="A77" s="385"/>
      <c r="B77" s="385"/>
      <c r="C77" s="432" t="s">
        <v>66</v>
      </c>
      <c r="D77" s="440"/>
      <c r="E77" s="454">
        <v>10000.0</v>
      </c>
      <c r="F77" s="440"/>
      <c r="G77" s="421"/>
      <c r="H77" s="421"/>
      <c r="I77" s="421"/>
      <c r="J77" s="421"/>
      <c r="K77" s="415">
        <f t="shared" si="69"/>
        <v>0</v>
      </c>
      <c r="L77" s="421"/>
      <c r="M77" s="421"/>
      <c r="N77" s="421"/>
      <c r="O77" s="421"/>
      <c r="P77" s="421"/>
      <c r="Q77" s="421"/>
      <c r="R77" s="421"/>
      <c r="S77" s="421"/>
      <c r="T77" s="426"/>
      <c r="U77" s="416">
        <f t="shared" si="13"/>
        <v>0</v>
      </c>
      <c r="V77" s="421"/>
    </row>
    <row r="78" ht="15.0" customHeight="1" outlineLevel="2">
      <c r="A78" s="385"/>
      <c r="B78" s="385"/>
      <c r="C78" s="439"/>
      <c r="D78" s="440"/>
      <c r="E78" s="421"/>
      <c r="F78" s="440"/>
      <c r="G78" s="421"/>
      <c r="H78" s="421"/>
      <c r="I78" s="421"/>
      <c r="J78" s="421"/>
      <c r="K78" s="415">
        <f t="shared" si="69"/>
        <v>0</v>
      </c>
      <c r="L78" s="421"/>
      <c r="M78" s="421"/>
      <c r="N78" s="421"/>
      <c r="O78" s="421"/>
      <c r="P78" s="421"/>
      <c r="Q78" s="421"/>
      <c r="R78" s="421"/>
      <c r="S78" s="421"/>
      <c r="T78" s="426"/>
      <c r="U78" s="416">
        <f t="shared" si="13"/>
        <v>0</v>
      </c>
      <c r="V78" s="421"/>
    </row>
    <row r="79" ht="15.0" customHeight="1" outlineLevel="2">
      <c r="A79" s="385"/>
      <c r="B79" s="385"/>
      <c r="C79" s="439"/>
      <c r="D79" s="440"/>
      <c r="E79" s="421"/>
      <c r="F79" s="440"/>
      <c r="G79" s="421"/>
      <c r="H79" s="421"/>
      <c r="I79" s="421"/>
      <c r="J79" s="421"/>
      <c r="K79" s="415">
        <f t="shared" si="69"/>
        <v>0</v>
      </c>
      <c r="L79" s="421"/>
      <c r="M79" s="421"/>
      <c r="N79" s="421"/>
      <c r="O79" s="421"/>
      <c r="P79" s="421"/>
      <c r="Q79" s="421"/>
      <c r="R79" s="421"/>
      <c r="S79" s="421"/>
      <c r="T79" s="426"/>
      <c r="U79" s="416">
        <f t="shared" si="13"/>
        <v>0</v>
      </c>
      <c r="V79" s="421"/>
    </row>
    <row r="80" ht="15.0" customHeight="1">
      <c r="A80" s="455"/>
      <c r="B80" s="455"/>
      <c r="C80" s="412" t="s">
        <v>681</v>
      </c>
      <c r="D80" s="456"/>
      <c r="E80" s="456"/>
      <c r="F80" s="456"/>
      <c r="G80" s="457">
        <f t="shared" ref="G80:J80" si="78">G81+G84+G87+G89</f>
        <v>-57969316.51</v>
      </c>
      <c r="H80" s="457">
        <f t="shared" si="78"/>
        <v>-40948808.29</v>
      </c>
      <c r="I80" s="457">
        <f t="shared" si="78"/>
        <v>-26673195.18</v>
      </c>
      <c r="J80" s="457">
        <f t="shared" si="78"/>
        <v>-16184644.86</v>
      </c>
      <c r="K80" s="415">
        <f t="shared" si="69"/>
        <v>-141775964.8</v>
      </c>
      <c r="L80" s="457">
        <f t="shared" ref="L80:S80" si="79">L81+L84+L87+L89</f>
        <v>-10414264</v>
      </c>
      <c r="M80" s="457">
        <f t="shared" si="79"/>
        <v>-16266949.42</v>
      </c>
      <c r="N80" s="457">
        <f t="shared" si="79"/>
        <v>-26072704.08</v>
      </c>
      <c r="O80" s="457">
        <f t="shared" si="79"/>
        <v>-41862494.18</v>
      </c>
      <c r="P80" s="457">
        <f t="shared" si="79"/>
        <v>-57154501.05</v>
      </c>
      <c r="Q80" s="457">
        <f t="shared" si="79"/>
        <v>-56740350.72</v>
      </c>
      <c r="R80" s="457">
        <f t="shared" si="79"/>
        <v>-54195871.58</v>
      </c>
      <c r="S80" s="457">
        <f t="shared" si="79"/>
        <v>-61240349.49</v>
      </c>
      <c r="T80" s="415">
        <f t="shared" ref="T80:T86" si="82">SUM(L80:S80)</f>
        <v>-323947484.5</v>
      </c>
      <c r="U80" s="416">
        <f t="shared" si="13"/>
        <v>-465723449.3</v>
      </c>
      <c r="V80" s="421"/>
    </row>
    <row r="81" ht="9.75" hidden="1" customHeight="1" outlineLevel="1">
      <c r="A81" s="458"/>
      <c r="B81" s="458"/>
      <c r="C81" s="459" t="s">
        <v>654</v>
      </c>
      <c r="D81" s="460"/>
      <c r="E81" s="461"/>
      <c r="F81" s="462"/>
      <c r="G81" s="463">
        <f t="shared" ref="G81:J81" si="80">SUM(G82:G83)</f>
        <v>-53400000</v>
      </c>
      <c r="H81" s="463">
        <f t="shared" si="80"/>
        <v>-37321956.52</v>
      </c>
      <c r="I81" s="463">
        <f t="shared" si="80"/>
        <v>-24030000</v>
      </c>
      <c r="J81" s="463">
        <f t="shared" si="80"/>
        <v>-14081071.43</v>
      </c>
      <c r="K81" s="415">
        <f t="shared" si="69"/>
        <v>-128833028</v>
      </c>
      <c r="L81" s="463">
        <f t="shared" ref="L81:S81" si="81">SUM(L82:L83)</f>
        <v>-9345000</v>
      </c>
      <c r="M81" s="463">
        <f t="shared" si="81"/>
        <v>-14685000</v>
      </c>
      <c r="N81" s="463">
        <f t="shared" si="81"/>
        <v>-22166037.74</v>
      </c>
      <c r="O81" s="463">
        <f t="shared" si="81"/>
        <v>-37380000</v>
      </c>
      <c r="P81" s="463">
        <f t="shared" si="81"/>
        <v>-50730000</v>
      </c>
      <c r="Q81" s="463">
        <f t="shared" si="81"/>
        <v>-48950000</v>
      </c>
      <c r="R81" s="463">
        <f t="shared" si="81"/>
        <v>-47627027.03</v>
      </c>
      <c r="S81" s="463">
        <f t="shared" si="81"/>
        <v>-55582211.54</v>
      </c>
      <c r="T81" s="415">
        <f t="shared" si="82"/>
        <v>-286465276.3</v>
      </c>
      <c r="U81" s="416">
        <f t="shared" si="13"/>
        <v>-415298304.3</v>
      </c>
      <c r="V81" s="421"/>
    </row>
    <row r="82" ht="9.75" hidden="1" customHeight="1" outlineLevel="1">
      <c r="A82" s="385"/>
      <c r="B82" s="385"/>
      <c r="C82" s="464" t="s">
        <v>682</v>
      </c>
      <c r="D82" s="465">
        <v>0.89</v>
      </c>
      <c r="E82" s="421"/>
      <c r="F82" s="396"/>
      <c r="G82" s="466">
        <f t="shared" ref="G82:J82" si="83">-$D$82*G18</f>
        <v>-53400000</v>
      </c>
      <c r="H82" s="466">
        <f t="shared" si="83"/>
        <v>-37321956.52</v>
      </c>
      <c r="I82" s="466">
        <f t="shared" si="83"/>
        <v>-24030000</v>
      </c>
      <c r="J82" s="466">
        <f t="shared" si="83"/>
        <v>-14081071.43</v>
      </c>
      <c r="K82" s="415">
        <f t="shared" si="69"/>
        <v>-128833028</v>
      </c>
      <c r="L82" s="466">
        <f t="shared" ref="L82:S82" si="84">-$D$82*L18</f>
        <v>-9345000</v>
      </c>
      <c r="M82" s="466">
        <f t="shared" si="84"/>
        <v>-14685000</v>
      </c>
      <c r="N82" s="466">
        <f t="shared" si="84"/>
        <v>-22166037.74</v>
      </c>
      <c r="O82" s="466">
        <f t="shared" si="84"/>
        <v>-37380000</v>
      </c>
      <c r="P82" s="466">
        <f t="shared" si="84"/>
        <v>-50730000</v>
      </c>
      <c r="Q82" s="466">
        <f t="shared" si="84"/>
        <v>-48950000</v>
      </c>
      <c r="R82" s="466">
        <f t="shared" si="84"/>
        <v>-47627027.03</v>
      </c>
      <c r="S82" s="466">
        <f t="shared" si="84"/>
        <v>-55582211.54</v>
      </c>
      <c r="T82" s="415">
        <f t="shared" si="82"/>
        <v>-286465276.3</v>
      </c>
      <c r="U82" s="416">
        <f t="shared" si="13"/>
        <v>-415298304.3</v>
      </c>
      <c r="V82" s="421"/>
    </row>
    <row r="83" ht="9.75" hidden="1" customHeight="1" outlineLevel="1">
      <c r="A83" s="385"/>
      <c r="B83" s="385"/>
      <c r="C83" s="464" t="s">
        <v>683</v>
      </c>
      <c r="D83" s="467"/>
      <c r="E83" s="421"/>
      <c r="F83" s="396"/>
      <c r="G83" s="466">
        <f t="shared" ref="G83:J83" si="85">-$D$83*G35</f>
        <v>0</v>
      </c>
      <c r="H83" s="466">
        <f t="shared" si="85"/>
        <v>0</v>
      </c>
      <c r="I83" s="466">
        <f t="shared" si="85"/>
        <v>0</v>
      </c>
      <c r="J83" s="466">
        <f t="shared" si="85"/>
        <v>0</v>
      </c>
      <c r="K83" s="415">
        <f t="shared" si="69"/>
        <v>0</v>
      </c>
      <c r="L83" s="466">
        <f t="shared" ref="L83:S83" si="86">-$D$83*L35</f>
        <v>0</v>
      </c>
      <c r="M83" s="466">
        <f t="shared" si="86"/>
        <v>0</v>
      </c>
      <c r="N83" s="466">
        <f t="shared" si="86"/>
        <v>0</v>
      </c>
      <c r="O83" s="466">
        <f t="shared" si="86"/>
        <v>0</v>
      </c>
      <c r="P83" s="466">
        <f t="shared" si="86"/>
        <v>0</v>
      </c>
      <c r="Q83" s="466">
        <f t="shared" si="86"/>
        <v>0</v>
      </c>
      <c r="R83" s="466">
        <f t="shared" si="86"/>
        <v>0</v>
      </c>
      <c r="S83" s="466">
        <f t="shared" si="86"/>
        <v>0</v>
      </c>
      <c r="T83" s="415">
        <f t="shared" si="82"/>
        <v>0</v>
      </c>
      <c r="U83" s="416">
        <f t="shared" si="13"/>
        <v>0</v>
      </c>
      <c r="V83" s="421"/>
    </row>
    <row r="84" ht="9.75" hidden="1" customHeight="1" outlineLevel="1">
      <c r="A84" s="458"/>
      <c r="B84" s="458"/>
      <c r="C84" s="459" t="s">
        <v>668</v>
      </c>
      <c r="D84" s="460"/>
      <c r="E84" s="461"/>
      <c r="F84" s="462"/>
      <c r="G84" s="463">
        <f t="shared" ref="G84:J84" si="87">SUM(G85:G86)</f>
        <v>-4230687.997</v>
      </c>
      <c r="H84" s="463">
        <f t="shared" si="87"/>
        <v>-3380680.607</v>
      </c>
      <c r="I84" s="463">
        <f t="shared" si="87"/>
        <v>-2479966.374</v>
      </c>
      <c r="J84" s="463">
        <f t="shared" si="87"/>
        <v>-2004255.837</v>
      </c>
      <c r="K84" s="415">
        <f t="shared" si="69"/>
        <v>-12095590.81</v>
      </c>
      <c r="L84" s="463">
        <f t="shared" ref="L84:S84" si="88">SUM(L85:L86)</f>
        <v>-1002127.918</v>
      </c>
      <c r="M84" s="463">
        <f t="shared" si="88"/>
        <v>-1477838.456</v>
      </c>
      <c r="N84" s="463">
        <f t="shared" si="88"/>
        <v>-3745302.983</v>
      </c>
      <c r="O84" s="463">
        <f t="shared" si="88"/>
        <v>-4230687.997</v>
      </c>
      <c r="P84" s="463">
        <f t="shared" si="88"/>
        <v>-6082823.305</v>
      </c>
      <c r="Q84" s="463">
        <f t="shared" si="88"/>
        <v>-7449573.599</v>
      </c>
      <c r="R84" s="463">
        <f t="shared" si="88"/>
        <v>-6244618.309</v>
      </c>
      <c r="S84" s="463">
        <f t="shared" si="88"/>
        <v>-5293197.234</v>
      </c>
      <c r="T84" s="415">
        <f t="shared" si="82"/>
        <v>-35526169.8</v>
      </c>
      <c r="U84" s="416">
        <f t="shared" si="13"/>
        <v>-47621760.61</v>
      </c>
      <c r="V84" s="421"/>
    </row>
    <row r="85" ht="9.75" hidden="1" customHeight="1" outlineLevel="1">
      <c r="A85" s="385"/>
      <c r="B85" s="385"/>
      <c r="C85" s="464" t="s">
        <v>682</v>
      </c>
      <c r="D85" s="465">
        <v>0.764365</v>
      </c>
      <c r="E85" s="434"/>
      <c r="F85" s="396"/>
      <c r="G85" s="466">
        <f t="shared" ref="G85:J85" si="89">-$D$85*G37</f>
        <v>-4230687.997</v>
      </c>
      <c r="H85" s="466">
        <f t="shared" si="89"/>
        <v>-3380680.607</v>
      </c>
      <c r="I85" s="466">
        <f t="shared" si="89"/>
        <v>-2479966.374</v>
      </c>
      <c r="J85" s="466">
        <f t="shared" si="89"/>
        <v>-2004255.837</v>
      </c>
      <c r="K85" s="415">
        <f t="shared" si="69"/>
        <v>-12095590.81</v>
      </c>
      <c r="L85" s="466">
        <f t="shared" ref="L85:S85" si="90">-$D$85*L37</f>
        <v>-1002127.918</v>
      </c>
      <c r="M85" s="466">
        <f t="shared" si="90"/>
        <v>-1477838.456</v>
      </c>
      <c r="N85" s="466">
        <f t="shared" si="90"/>
        <v>-3745302.983</v>
      </c>
      <c r="O85" s="466">
        <f t="shared" si="90"/>
        <v>-4230687.997</v>
      </c>
      <c r="P85" s="466">
        <f t="shared" si="90"/>
        <v>-6082823.305</v>
      </c>
      <c r="Q85" s="466">
        <f t="shared" si="90"/>
        <v>-7449573.599</v>
      </c>
      <c r="R85" s="466">
        <f t="shared" si="90"/>
        <v>-6244618.309</v>
      </c>
      <c r="S85" s="466">
        <f t="shared" si="90"/>
        <v>-5293197.234</v>
      </c>
      <c r="T85" s="415">
        <f t="shared" si="82"/>
        <v>-35526169.8</v>
      </c>
      <c r="U85" s="416">
        <f t="shared" si="13"/>
        <v>-47621760.61</v>
      </c>
      <c r="V85" s="421"/>
    </row>
    <row r="86" ht="9.75" hidden="1" customHeight="1" outlineLevel="1">
      <c r="A86" s="385"/>
      <c r="B86" s="385"/>
      <c r="C86" s="464" t="s">
        <v>683</v>
      </c>
      <c r="D86" s="467"/>
      <c r="E86" s="434"/>
      <c r="F86" s="396"/>
      <c r="G86" s="466">
        <f t="shared" ref="G86:J86" si="91">-$D$86*G50</f>
        <v>0</v>
      </c>
      <c r="H86" s="466">
        <f t="shared" si="91"/>
        <v>0</v>
      </c>
      <c r="I86" s="466">
        <f t="shared" si="91"/>
        <v>0</v>
      </c>
      <c r="J86" s="466">
        <f t="shared" si="91"/>
        <v>0</v>
      </c>
      <c r="K86" s="415">
        <f t="shared" si="69"/>
        <v>0</v>
      </c>
      <c r="L86" s="466">
        <f t="shared" ref="L86:S86" si="92">-$D$86*L50</f>
        <v>0</v>
      </c>
      <c r="M86" s="466">
        <f t="shared" si="92"/>
        <v>0</v>
      </c>
      <c r="N86" s="466">
        <f t="shared" si="92"/>
        <v>0</v>
      </c>
      <c r="O86" s="466">
        <f t="shared" si="92"/>
        <v>0</v>
      </c>
      <c r="P86" s="466">
        <f t="shared" si="92"/>
        <v>0</v>
      </c>
      <c r="Q86" s="466">
        <f t="shared" si="92"/>
        <v>0</v>
      </c>
      <c r="R86" s="466">
        <f t="shared" si="92"/>
        <v>0</v>
      </c>
      <c r="S86" s="466">
        <f t="shared" si="92"/>
        <v>0</v>
      </c>
      <c r="T86" s="415">
        <f t="shared" si="82"/>
        <v>0</v>
      </c>
      <c r="U86" s="416">
        <f t="shared" si="13"/>
        <v>0</v>
      </c>
      <c r="V86" s="421"/>
    </row>
    <row r="87" ht="9.75" hidden="1" customHeight="1" outlineLevel="1">
      <c r="A87" s="458"/>
      <c r="B87" s="458"/>
      <c r="C87" s="459" t="s">
        <v>672</v>
      </c>
      <c r="D87" s="468">
        <v>0.0</v>
      </c>
      <c r="E87" s="461"/>
      <c r="F87" s="462"/>
      <c r="G87" s="463">
        <f t="shared" ref="G87:J87" si="93">SUM(G88)</f>
        <v>0</v>
      </c>
      <c r="H87" s="463">
        <f t="shared" si="93"/>
        <v>0</v>
      </c>
      <c r="I87" s="463">
        <f t="shared" si="93"/>
        <v>0</v>
      </c>
      <c r="J87" s="463">
        <f t="shared" si="93"/>
        <v>0</v>
      </c>
      <c r="K87" s="426"/>
      <c r="L87" s="463">
        <f t="shared" ref="L87:S87" si="94">SUM(L88)</f>
        <v>0</v>
      </c>
      <c r="M87" s="463">
        <f t="shared" si="94"/>
        <v>0</v>
      </c>
      <c r="N87" s="463">
        <f t="shared" si="94"/>
        <v>0</v>
      </c>
      <c r="O87" s="463">
        <f t="shared" si="94"/>
        <v>0</v>
      </c>
      <c r="P87" s="463">
        <f t="shared" si="94"/>
        <v>0</v>
      </c>
      <c r="Q87" s="463">
        <f t="shared" si="94"/>
        <v>0</v>
      </c>
      <c r="R87" s="463">
        <f t="shared" si="94"/>
        <v>0</v>
      </c>
      <c r="S87" s="463">
        <f t="shared" si="94"/>
        <v>0</v>
      </c>
      <c r="T87" s="426"/>
      <c r="U87" s="416">
        <f t="shared" si="13"/>
        <v>0</v>
      </c>
      <c r="V87" s="421"/>
    </row>
    <row r="88" ht="9.75" hidden="1" customHeight="1" outlineLevel="1">
      <c r="A88" s="385"/>
      <c r="B88" s="385"/>
      <c r="C88" s="469"/>
      <c r="D88" s="396"/>
      <c r="E88" s="470"/>
      <c r="F88" s="396"/>
      <c r="G88" s="466">
        <f t="shared" ref="G88:J88" si="95">-$D$87*G52</f>
        <v>0</v>
      </c>
      <c r="H88" s="466">
        <f t="shared" si="95"/>
        <v>0</v>
      </c>
      <c r="I88" s="466">
        <f t="shared" si="95"/>
        <v>0</v>
      </c>
      <c r="J88" s="466">
        <f t="shared" si="95"/>
        <v>0</v>
      </c>
      <c r="K88" s="426"/>
      <c r="L88" s="466">
        <f t="shared" ref="L88:S88" si="96">-$D$87*L52</f>
        <v>0</v>
      </c>
      <c r="M88" s="466">
        <f t="shared" si="96"/>
        <v>0</v>
      </c>
      <c r="N88" s="466">
        <f t="shared" si="96"/>
        <v>0</v>
      </c>
      <c r="O88" s="466">
        <f t="shared" si="96"/>
        <v>0</v>
      </c>
      <c r="P88" s="466">
        <f t="shared" si="96"/>
        <v>0</v>
      </c>
      <c r="Q88" s="466">
        <f t="shared" si="96"/>
        <v>0</v>
      </c>
      <c r="R88" s="466">
        <f t="shared" si="96"/>
        <v>0</v>
      </c>
      <c r="S88" s="466">
        <f t="shared" si="96"/>
        <v>0</v>
      </c>
      <c r="T88" s="426"/>
      <c r="U88" s="416">
        <f t="shared" si="13"/>
        <v>0</v>
      </c>
      <c r="V88" s="421"/>
    </row>
    <row r="89" ht="9.75" hidden="1" customHeight="1" outlineLevel="1">
      <c r="A89" s="458"/>
      <c r="B89" s="458"/>
      <c r="C89" s="459" t="s">
        <v>675</v>
      </c>
      <c r="D89" s="468">
        <v>0.9</v>
      </c>
      <c r="E89" s="461"/>
      <c r="F89" s="462"/>
      <c r="G89" s="463">
        <f t="shared" ref="G89:J89" si="97">SUM(G90)</f>
        <v>-338628.5117</v>
      </c>
      <c r="H89" s="463">
        <f t="shared" si="97"/>
        <v>-246171.1579</v>
      </c>
      <c r="I89" s="463">
        <f t="shared" si="97"/>
        <v>-163228.8019</v>
      </c>
      <c r="J89" s="463">
        <f t="shared" si="97"/>
        <v>-99317.59659</v>
      </c>
      <c r="K89" s="415">
        <f t="shared" ref="K89:K112" si="100">SUM(G89:J89)</f>
        <v>-847346.068</v>
      </c>
      <c r="L89" s="463">
        <f t="shared" ref="L89:S89" si="98">SUM(L90)</f>
        <v>-67136.08456</v>
      </c>
      <c r="M89" s="463">
        <f t="shared" si="98"/>
        <v>-104110.9647</v>
      </c>
      <c r="N89" s="463">
        <f t="shared" si="98"/>
        <v>-161363.3572</v>
      </c>
      <c r="O89" s="463">
        <f t="shared" si="98"/>
        <v>-251806.1787</v>
      </c>
      <c r="P89" s="463">
        <f t="shared" si="98"/>
        <v>-341677.7464</v>
      </c>
      <c r="Q89" s="463">
        <f t="shared" si="98"/>
        <v>-340777.1169</v>
      </c>
      <c r="R89" s="463">
        <f t="shared" si="98"/>
        <v>-324226.2479</v>
      </c>
      <c r="S89" s="463">
        <f t="shared" si="98"/>
        <v>-364940.7175</v>
      </c>
      <c r="T89" s="415">
        <f t="shared" ref="T89:T112" si="102">SUM(L89:S89)</f>
        <v>-1956038.414</v>
      </c>
      <c r="U89" s="416">
        <f t="shared" si="13"/>
        <v>-2803384.482</v>
      </c>
      <c r="V89" s="421"/>
    </row>
    <row r="90" ht="9.75" hidden="1" customHeight="1" outlineLevel="1">
      <c r="A90" s="385"/>
      <c r="B90" s="385"/>
      <c r="C90" s="469"/>
      <c r="D90" s="396"/>
      <c r="E90" s="470"/>
      <c r="F90" s="396"/>
      <c r="G90" s="466">
        <f t="shared" ref="G90:J90" si="99">-$D$89*G69</f>
        <v>-338628.5117</v>
      </c>
      <c r="H90" s="466">
        <f t="shared" si="99"/>
        <v>-246171.1579</v>
      </c>
      <c r="I90" s="466">
        <f t="shared" si="99"/>
        <v>-163228.8019</v>
      </c>
      <c r="J90" s="466">
        <f t="shared" si="99"/>
        <v>-99317.59659</v>
      </c>
      <c r="K90" s="415">
        <f t="shared" si="100"/>
        <v>-847346.068</v>
      </c>
      <c r="L90" s="466">
        <f t="shared" ref="L90:S90" si="101">-$D$89*L69</f>
        <v>-67136.08456</v>
      </c>
      <c r="M90" s="466">
        <f t="shared" si="101"/>
        <v>-104110.9647</v>
      </c>
      <c r="N90" s="466">
        <f t="shared" si="101"/>
        <v>-161363.3572</v>
      </c>
      <c r="O90" s="466">
        <f t="shared" si="101"/>
        <v>-251806.1787</v>
      </c>
      <c r="P90" s="466">
        <f t="shared" si="101"/>
        <v>-341677.7464</v>
      </c>
      <c r="Q90" s="466">
        <f t="shared" si="101"/>
        <v>-340777.1169</v>
      </c>
      <c r="R90" s="466">
        <f t="shared" si="101"/>
        <v>-324226.2479</v>
      </c>
      <c r="S90" s="466">
        <f t="shared" si="101"/>
        <v>-364940.7175</v>
      </c>
      <c r="T90" s="415">
        <f t="shared" si="102"/>
        <v>-1956038.414</v>
      </c>
      <c r="U90" s="416">
        <f t="shared" si="13"/>
        <v>-2803384.482</v>
      </c>
      <c r="V90" s="421"/>
    </row>
    <row r="91" ht="9.75" customHeight="1" collapsed="1">
      <c r="A91" s="471"/>
      <c r="B91" s="471"/>
      <c r="C91" s="472" t="s">
        <v>684</v>
      </c>
      <c r="D91" s="473"/>
      <c r="E91" s="473"/>
      <c r="F91" s="473"/>
      <c r="G91" s="474">
        <f t="shared" ref="G91:J91" si="103">G92+G101+G105+G138</f>
        <v>-12010404.64</v>
      </c>
      <c r="H91" s="474">
        <f t="shared" si="103"/>
        <v>-9627721.356</v>
      </c>
      <c r="I91" s="474">
        <f t="shared" si="103"/>
        <v>-6729393.671</v>
      </c>
      <c r="J91" s="474">
        <f t="shared" si="103"/>
        <v>-4068553.001</v>
      </c>
      <c r="K91" s="475">
        <f t="shared" si="100"/>
        <v>-32436072.67</v>
      </c>
      <c r="L91" s="474">
        <f t="shared" ref="L91:S91" si="104">L92+L101+L105+L138</f>
        <v>-3205787.612</v>
      </c>
      <c r="M91" s="474">
        <f t="shared" si="104"/>
        <v>-4889068.416</v>
      </c>
      <c r="N91" s="474">
        <f t="shared" si="104"/>
        <v>-6724456.197</v>
      </c>
      <c r="O91" s="474">
        <f t="shared" si="104"/>
        <v>-9771329.437</v>
      </c>
      <c r="P91" s="474">
        <f t="shared" si="104"/>
        <v>-12941725.32</v>
      </c>
      <c r="Q91" s="474">
        <f t="shared" si="104"/>
        <v>-12943400.95</v>
      </c>
      <c r="R91" s="474">
        <f t="shared" si="104"/>
        <v>-12253298.54</v>
      </c>
      <c r="S91" s="474">
        <f t="shared" si="104"/>
        <v>-13819013.32</v>
      </c>
      <c r="T91" s="475">
        <f t="shared" si="102"/>
        <v>-76548079.8</v>
      </c>
      <c r="U91" s="476">
        <f t="shared" si="13"/>
        <v>-108984152.5</v>
      </c>
      <c r="V91" s="421"/>
    </row>
    <row r="92" ht="9.75" hidden="1" customHeight="1" outlineLevel="1">
      <c r="A92" s="385"/>
      <c r="B92" s="385"/>
      <c r="C92" s="477" t="s">
        <v>654</v>
      </c>
      <c r="D92" s="396"/>
      <c r="E92" s="395"/>
      <c r="F92" s="396"/>
      <c r="G92" s="478">
        <f t="shared" ref="G92:J92" si="105">SUM(G93:G100)</f>
        <v>-1598238.581</v>
      </c>
      <c r="H92" s="478">
        <f t="shared" si="105"/>
        <v>-1117029.791</v>
      </c>
      <c r="I92" s="478">
        <f t="shared" si="105"/>
        <v>-719207.3616</v>
      </c>
      <c r="J92" s="478">
        <f t="shared" si="105"/>
        <v>-421440.2926</v>
      </c>
      <c r="K92" s="415">
        <f t="shared" si="100"/>
        <v>-3855916.027</v>
      </c>
      <c r="L92" s="478">
        <f t="shared" ref="L92:S92" si="106">SUM(L93:L100)</f>
        <v>-279691.7517</v>
      </c>
      <c r="M92" s="478">
        <f t="shared" si="106"/>
        <v>-439515.6099</v>
      </c>
      <c r="N92" s="478">
        <f t="shared" si="106"/>
        <v>-663419.7885</v>
      </c>
      <c r="O92" s="478">
        <f t="shared" si="106"/>
        <v>-1118767.007</v>
      </c>
      <c r="P92" s="478">
        <f t="shared" si="106"/>
        <v>-1518326.652</v>
      </c>
      <c r="Q92" s="478">
        <f t="shared" si="106"/>
        <v>-1465052.033</v>
      </c>
      <c r="R92" s="478">
        <f t="shared" si="106"/>
        <v>-1425456.032</v>
      </c>
      <c r="S92" s="478">
        <f t="shared" si="106"/>
        <v>-1663551.216</v>
      </c>
      <c r="T92" s="415">
        <f t="shared" si="102"/>
        <v>-8573780.09</v>
      </c>
      <c r="U92" s="416">
        <f t="shared" si="13"/>
        <v>-12429696.12</v>
      </c>
      <c r="V92" s="421"/>
    </row>
    <row r="93" ht="9.75" hidden="1" customHeight="1" outlineLevel="1">
      <c r="A93" s="385"/>
      <c r="B93" s="385"/>
      <c r="C93" s="397" t="s">
        <v>685</v>
      </c>
      <c r="D93" s="479">
        <v>-1.5075834784613E-4</v>
      </c>
      <c r="E93" s="411"/>
      <c r="F93" s="392"/>
      <c r="G93" s="466">
        <f t="shared" ref="G93:J93" si="107">$D93*G$18</f>
        <v>-9045.500871</v>
      </c>
      <c r="H93" s="466">
        <f t="shared" si="107"/>
        <v>-6322.018543</v>
      </c>
      <c r="I93" s="466">
        <f t="shared" si="107"/>
        <v>-4070.475392</v>
      </c>
      <c r="J93" s="466">
        <f t="shared" si="107"/>
        <v>-2385.212432</v>
      </c>
      <c r="K93" s="415">
        <f t="shared" si="100"/>
        <v>-21823.20724</v>
      </c>
      <c r="L93" s="466">
        <f t="shared" ref="L93:S93" si="108">$D93*L$18</f>
        <v>-1582.962652</v>
      </c>
      <c r="M93" s="466">
        <f t="shared" si="108"/>
        <v>-2487.512739</v>
      </c>
      <c r="N93" s="466">
        <f t="shared" si="108"/>
        <v>-3754.736211</v>
      </c>
      <c r="O93" s="466">
        <f t="shared" si="108"/>
        <v>-6331.85061</v>
      </c>
      <c r="P93" s="466">
        <f t="shared" si="108"/>
        <v>-8593.225827</v>
      </c>
      <c r="Q93" s="466">
        <f t="shared" si="108"/>
        <v>-8291.709132</v>
      </c>
      <c r="R93" s="466">
        <f t="shared" si="108"/>
        <v>-8067.608885</v>
      </c>
      <c r="S93" s="466">
        <f t="shared" si="108"/>
        <v>-9415.148743</v>
      </c>
      <c r="T93" s="415">
        <f t="shared" si="102"/>
        <v>-48524.7548</v>
      </c>
      <c r="U93" s="416">
        <f t="shared" si="13"/>
        <v>-70347.96204</v>
      </c>
      <c r="V93" s="421"/>
    </row>
    <row r="94" ht="9.75" hidden="1" customHeight="1" outlineLevel="1">
      <c r="A94" s="385"/>
      <c r="B94" s="385"/>
      <c r="C94" s="397" t="s">
        <v>686</v>
      </c>
      <c r="D94" s="480">
        <v>-1.981178298274121E-6</v>
      </c>
      <c r="E94" s="411"/>
      <c r="F94" s="392"/>
      <c r="G94" s="466">
        <f t="shared" ref="G94:J94" si="109">$D94*G$18</f>
        <v>-118.8706979</v>
      </c>
      <c r="H94" s="466">
        <f t="shared" si="109"/>
        <v>-83.08028125</v>
      </c>
      <c r="I94" s="466">
        <f t="shared" si="109"/>
        <v>-53.49181405</v>
      </c>
      <c r="J94" s="466">
        <f t="shared" si="109"/>
        <v>-31.34507093</v>
      </c>
      <c r="K94" s="415">
        <f t="shared" si="100"/>
        <v>-286.7878641</v>
      </c>
      <c r="L94" s="466">
        <f t="shared" ref="L94:S94" si="110">$D94*L$18</f>
        <v>-20.80237213</v>
      </c>
      <c r="M94" s="466">
        <f t="shared" si="110"/>
        <v>-32.68944192</v>
      </c>
      <c r="N94" s="466">
        <f t="shared" si="110"/>
        <v>-49.34255384</v>
      </c>
      <c r="O94" s="466">
        <f t="shared" si="110"/>
        <v>-83.20948853</v>
      </c>
      <c r="P94" s="466">
        <f t="shared" si="110"/>
        <v>-112.927163</v>
      </c>
      <c r="Q94" s="466">
        <f t="shared" si="110"/>
        <v>-108.9648064</v>
      </c>
      <c r="R94" s="466">
        <f t="shared" si="110"/>
        <v>-106.0198116</v>
      </c>
      <c r="S94" s="466">
        <f t="shared" si="110"/>
        <v>-123.7283947</v>
      </c>
      <c r="T94" s="415">
        <f t="shared" si="102"/>
        <v>-637.6840322</v>
      </c>
      <c r="U94" s="416">
        <f t="shared" si="13"/>
        <v>-924.4718963</v>
      </c>
      <c r="V94" s="421"/>
    </row>
    <row r="95" ht="9.75" hidden="1" customHeight="1" outlineLevel="1">
      <c r="A95" s="385"/>
      <c r="B95" s="385"/>
      <c r="C95" s="397" t="s">
        <v>687</v>
      </c>
      <c r="D95" s="479">
        <v>-3.6172285388280626E-5</v>
      </c>
      <c r="E95" s="411"/>
      <c r="F95" s="392"/>
      <c r="G95" s="466">
        <f t="shared" ref="G95:J95" si="111">$D95*G$18</f>
        <v>-2170.337123</v>
      </c>
      <c r="H95" s="466">
        <f t="shared" si="111"/>
        <v>-1516.876924</v>
      </c>
      <c r="I95" s="466">
        <f t="shared" si="111"/>
        <v>-976.6517055</v>
      </c>
      <c r="J95" s="466">
        <f t="shared" si="111"/>
        <v>-572.2972295</v>
      </c>
      <c r="K95" s="415">
        <f t="shared" si="100"/>
        <v>-5236.162983</v>
      </c>
      <c r="L95" s="466">
        <f t="shared" ref="L95:S95" si="112">$D95*L$18</f>
        <v>-379.8089966</v>
      </c>
      <c r="M95" s="466">
        <f t="shared" si="112"/>
        <v>-596.8427089</v>
      </c>
      <c r="N95" s="466">
        <f t="shared" si="112"/>
        <v>-900.894655</v>
      </c>
      <c r="O95" s="466">
        <f t="shared" si="112"/>
        <v>-1519.235986</v>
      </c>
      <c r="P95" s="466">
        <f t="shared" si="112"/>
        <v>-2061.820267</v>
      </c>
      <c r="Q95" s="466">
        <f t="shared" si="112"/>
        <v>-1989.475696</v>
      </c>
      <c r="R95" s="466">
        <f t="shared" si="112"/>
        <v>-1935.706083</v>
      </c>
      <c r="S95" s="466">
        <f t="shared" si="112"/>
        <v>-2259.028785</v>
      </c>
      <c r="T95" s="415">
        <f t="shared" si="102"/>
        <v>-11642.81318</v>
      </c>
      <c r="U95" s="481"/>
      <c r="V95" s="421"/>
    </row>
    <row r="96" ht="9.75" hidden="1" customHeight="1" outlineLevel="1">
      <c r="A96" s="385"/>
      <c r="B96" s="385"/>
      <c r="C96" s="397" t="s">
        <v>688</v>
      </c>
      <c r="D96" s="479">
        <v>-0.00655536298567772</v>
      </c>
      <c r="E96" s="411"/>
      <c r="F96" s="392"/>
      <c r="G96" s="466">
        <f t="shared" ref="G96:J96" si="113">$D96*G$18</f>
        <v>-393321.7791</v>
      </c>
      <c r="H96" s="466">
        <f t="shared" si="113"/>
        <v>-274897.7217</v>
      </c>
      <c r="I96" s="466">
        <f t="shared" si="113"/>
        <v>-176994.8006</v>
      </c>
      <c r="J96" s="466">
        <f t="shared" si="113"/>
        <v>-103715.2072</v>
      </c>
      <c r="K96" s="415">
        <f t="shared" si="100"/>
        <v>-948929.5087</v>
      </c>
      <c r="L96" s="466">
        <f t="shared" ref="L96:S96" si="114">$D96*L$18</f>
        <v>-68831.31135</v>
      </c>
      <c r="M96" s="466">
        <f t="shared" si="114"/>
        <v>-108163.4893</v>
      </c>
      <c r="N96" s="466">
        <f t="shared" si="114"/>
        <v>-163265.6442</v>
      </c>
      <c r="O96" s="466">
        <f t="shared" si="114"/>
        <v>-275325.2454</v>
      </c>
      <c r="P96" s="466">
        <f t="shared" si="114"/>
        <v>-373655.6902</v>
      </c>
      <c r="Q96" s="466">
        <f t="shared" si="114"/>
        <v>-360544.9642</v>
      </c>
      <c r="R96" s="466">
        <f t="shared" si="114"/>
        <v>-350800.5057</v>
      </c>
      <c r="S96" s="466">
        <f t="shared" si="114"/>
        <v>-409395.0249</v>
      </c>
      <c r="T96" s="415">
        <f t="shared" si="102"/>
        <v>-2109981.875</v>
      </c>
      <c r="U96" s="481"/>
      <c r="V96" s="421"/>
    </row>
    <row r="97" ht="9.75" hidden="1" customHeight="1" outlineLevel="1">
      <c r="A97" s="385"/>
      <c r="B97" s="385"/>
      <c r="C97" s="397" t="s">
        <v>689</v>
      </c>
      <c r="D97" s="479">
        <v>-0.006</v>
      </c>
      <c r="E97" s="411"/>
      <c r="F97" s="482"/>
      <c r="G97" s="466">
        <f t="shared" ref="G97:J97" si="115">$D97*G$18</f>
        <v>-360000</v>
      </c>
      <c r="H97" s="483">
        <f t="shared" si="115"/>
        <v>-251608.6957</v>
      </c>
      <c r="I97" s="466">
        <f t="shared" si="115"/>
        <v>-162000</v>
      </c>
      <c r="J97" s="466">
        <f t="shared" si="115"/>
        <v>-94928.57143</v>
      </c>
      <c r="K97" s="415">
        <f t="shared" si="100"/>
        <v>-868537.2671</v>
      </c>
      <c r="L97" s="466">
        <f t="shared" ref="L97:S97" si="116">$D97*L$18</f>
        <v>-63000</v>
      </c>
      <c r="M97" s="466">
        <f t="shared" si="116"/>
        <v>-99000</v>
      </c>
      <c r="N97" s="466">
        <f t="shared" si="116"/>
        <v>-149433.9623</v>
      </c>
      <c r="O97" s="466">
        <f t="shared" si="116"/>
        <v>-252000</v>
      </c>
      <c r="P97" s="466">
        <f t="shared" si="116"/>
        <v>-342000</v>
      </c>
      <c r="Q97" s="466">
        <f t="shared" si="116"/>
        <v>-330000</v>
      </c>
      <c r="R97" s="466">
        <f t="shared" si="116"/>
        <v>-321081.0811</v>
      </c>
      <c r="S97" s="466">
        <f t="shared" si="116"/>
        <v>-374711.5385</v>
      </c>
      <c r="T97" s="415">
        <f t="shared" si="102"/>
        <v>-1931226.582</v>
      </c>
      <c r="U97" s="481"/>
      <c r="V97" s="421"/>
    </row>
    <row r="98" ht="9.75" hidden="1" customHeight="1" outlineLevel="1">
      <c r="A98" s="385"/>
      <c r="B98" s="385"/>
      <c r="C98" s="397" t="s">
        <v>690</v>
      </c>
      <c r="D98" s="479">
        <v>-8.9E-4</v>
      </c>
      <c r="E98" s="411"/>
      <c r="F98" s="392"/>
      <c r="G98" s="466">
        <f t="shared" ref="G98:J98" si="117">$D98*G$18</f>
        <v>-53400</v>
      </c>
      <c r="H98" s="483">
        <f t="shared" si="117"/>
        <v>-37321.95652</v>
      </c>
      <c r="I98" s="466">
        <f t="shared" si="117"/>
        <v>-24030</v>
      </c>
      <c r="J98" s="466">
        <f t="shared" si="117"/>
        <v>-14081.07143</v>
      </c>
      <c r="K98" s="415">
        <f t="shared" si="100"/>
        <v>-128833.028</v>
      </c>
      <c r="L98" s="466">
        <f t="shared" ref="L98:S98" si="118">$D98*L$18</f>
        <v>-9345</v>
      </c>
      <c r="M98" s="466">
        <f t="shared" si="118"/>
        <v>-14685</v>
      </c>
      <c r="N98" s="466">
        <f t="shared" si="118"/>
        <v>-22166.03774</v>
      </c>
      <c r="O98" s="466">
        <f t="shared" si="118"/>
        <v>-37380</v>
      </c>
      <c r="P98" s="466">
        <f t="shared" si="118"/>
        <v>-50730</v>
      </c>
      <c r="Q98" s="466">
        <f t="shared" si="118"/>
        <v>-48950</v>
      </c>
      <c r="R98" s="466">
        <f t="shared" si="118"/>
        <v>-47627.02703</v>
      </c>
      <c r="S98" s="466">
        <f t="shared" si="118"/>
        <v>-55582.21154</v>
      </c>
      <c r="T98" s="415">
        <f t="shared" si="102"/>
        <v>-286465.2763</v>
      </c>
      <c r="U98" s="481"/>
      <c r="V98" s="421"/>
    </row>
    <row r="99" ht="9.75" hidden="1" customHeight="1" outlineLevel="1">
      <c r="A99" s="385"/>
      <c r="B99" s="385"/>
      <c r="C99" s="397" t="s">
        <v>691</v>
      </c>
      <c r="D99" s="479">
        <v>-0.013</v>
      </c>
      <c r="E99" s="411"/>
      <c r="F99" s="392"/>
      <c r="G99" s="466">
        <f t="shared" ref="G99:J99" si="119">$D99*G$18</f>
        <v>-780000</v>
      </c>
      <c r="H99" s="483">
        <f t="shared" si="119"/>
        <v>-545152.1739</v>
      </c>
      <c r="I99" s="466">
        <f t="shared" si="119"/>
        <v>-351000</v>
      </c>
      <c r="J99" s="466">
        <f t="shared" si="119"/>
        <v>-205678.5714</v>
      </c>
      <c r="K99" s="415">
        <f t="shared" si="100"/>
        <v>-1881830.745</v>
      </c>
      <c r="L99" s="466">
        <f t="shared" ref="L99:S99" si="120">$D99*L$18</f>
        <v>-136500</v>
      </c>
      <c r="M99" s="466">
        <f t="shared" si="120"/>
        <v>-214500</v>
      </c>
      <c r="N99" s="466">
        <f t="shared" si="120"/>
        <v>-323773.5849</v>
      </c>
      <c r="O99" s="466">
        <f t="shared" si="120"/>
        <v>-546000</v>
      </c>
      <c r="P99" s="466">
        <f t="shared" si="120"/>
        <v>-741000</v>
      </c>
      <c r="Q99" s="466">
        <f t="shared" si="120"/>
        <v>-715000</v>
      </c>
      <c r="R99" s="466">
        <f t="shared" si="120"/>
        <v>-695675.6757</v>
      </c>
      <c r="S99" s="466">
        <f t="shared" si="120"/>
        <v>-811875</v>
      </c>
      <c r="T99" s="415">
        <f t="shared" si="102"/>
        <v>-4184324.261</v>
      </c>
      <c r="U99" s="481"/>
      <c r="V99" s="421"/>
    </row>
    <row r="100" ht="9.75" hidden="1" customHeight="1" outlineLevel="1">
      <c r="A100" s="385"/>
      <c r="B100" s="385"/>
      <c r="C100" s="397" t="s">
        <v>692</v>
      </c>
      <c r="D100" s="479">
        <v>-3.034893226522857E-6</v>
      </c>
      <c r="E100" s="411"/>
      <c r="F100" s="392"/>
      <c r="G100" s="466">
        <f t="shared" ref="G100:J100" si="121">$D100*G$18</f>
        <v>-182.0935936</v>
      </c>
      <c r="H100" s="466">
        <f t="shared" si="121"/>
        <v>-127.2675877</v>
      </c>
      <c r="I100" s="466">
        <f t="shared" si="121"/>
        <v>-81.94211712</v>
      </c>
      <c r="J100" s="466">
        <f t="shared" si="121"/>
        <v>-48.01634641</v>
      </c>
      <c r="K100" s="415">
        <f t="shared" si="100"/>
        <v>-439.3196448</v>
      </c>
      <c r="L100" s="466">
        <f t="shared" ref="L100:S100" si="122">$D100*L$18</f>
        <v>-31.86637888</v>
      </c>
      <c r="M100" s="466">
        <f t="shared" si="122"/>
        <v>-50.07573824</v>
      </c>
      <c r="N100" s="466">
        <f t="shared" si="122"/>
        <v>-75.58601998</v>
      </c>
      <c r="O100" s="466">
        <f t="shared" si="122"/>
        <v>-127.4655155</v>
      </c>
      <c r="P100" s="466">
        <f t="shared" si="122"/>
        <v>-172.9889139</v>
      </c>
      <c r="Q100" s="466">
        <f t="shared" si="122"/>
        <v>-166.9191275</v>
      </c>
      <c r="R100" s="466">
        <f t="shared" si="122"/>
        <v>-162.4077997</v>
      </c>
      <c r="S100" s="466">
        <f t="shared" si="122"/>
        <v>-189.5349183</v>
      </c>
      <c r="T100" s="415">
        <f t="shared" si="102"/>
        <v>-976.844412</v>
      </c>
      <c r="U100" s="481"/>
      <c r="V100" s="421"/>
    </row>
    <row r="101" ht="9.75" hidden="1" customHeight="1" outlineLevel="1">
      <c r="A101" s="385"/>
      <c r="B101" s="385"/>
      <c r="C101" s="477" t="s">
        <v>668</v>
      </c>
      <c r="D101" s="484"/>
      <c r="E101" s="411"/>
      <c r="F101" s="396"/>
      <c r="G101" s="478">
        <f t="shared" ref="G101:J101" si="123">SUM(G102:G104)</f>
        <v>-170156.6245</v>
      </c>
      <c r="H101" s="478">
        <f t="shared" si="123"/>
        <v>-135969.6582</v>
      </c>
      <c r="I101" s="478">
        <f t="shared" si="123"/>
        <v>-99743.28232</v>
      </c>
      <c r="J101" s="478">
        <f t="shared" si="123"/>
        <v>-80610.38965</v>
      </c>
      <c r="K101" s="415">
        <f t="shared" si="100"/>
        <v>-486479.9547</v>
      </c>
      <c r="L101" s="478">
        <f t="shared" ref="L101:S101" si="124">SUM(L102:L104)</f>
        <v>-40305.19482</v>
      </c>
      <c r="M101" s="478">
        <f t="shared" si="124"/>
        <v>-59438.08749</v>
      </c>
      <c r="N101" s="478">
        <f t="shared" si="124"/>
        <v>-150634.6282</v>
      </c>
      <c r="O101" s="478">
        <f t="shared" si="124"/>
        <v>-170156.6245</v>
      </c>
      <c r="P101" s="478">
        <f t="shared" si="124"/>
        <v>-244648.7857</v>
      </c>
      <c r="Q101" s="478">
        <f t="shared" si="124"/>
        <v>-299618.9506</v>
      </c>
      <c r="R101" s="478">
        <f t="shared" si="124"/>
        <v>-251156.1179</v>
      </c>
      <c r="S101" s="478">
        <f t="shared" si="124"/>
        <v>-212890.3325</v>
      </c>
      <c r="T101" s="415">
        <f t="shared" si="102"/>
        <v>-1428848.722</v>
      </c>
      <c r="U101" s="416">
        <f t="shared" ref="U101:U111" si="127">SUM(K101+T101)</f>
        <v>-1915328.677</v>
      </c>
      <c r="V101" s="421"/>
    </row>
    <row r="102" ht="9.75" hidden="1" customHeight="1" outlineLevel="1">
      <c r="A102" s="385"/>
      <c r="B102" s="385"/>
      <c r="C102" s="397" t="s">
        <v>688</v>
      </c>
      <c r="D102" s="479">
        <v>-0.0175547296939167</v>
      </c>
      <c r="E102" s="411"/>
      <c r="F102" s="392"/>
      <c r="G102" s="485">
        <f t="shared" ref="G102:J102" si="125">$D102*G$37</f>
        <v>-97163.76888</v>
      </c>
      <c r="H102" s="485">
        <f t="shared" si="125"/>
        <v>-77642.13986</v>
      </c>
      <c r="I102" s="485">
        <f t="shared" si="125"/>
        <v>-56955.95606</v>
      </c>
      <c r="J102" s="485">
        <f t="shared" si="125"/>
        <v>-46030.58676</v>
      </c>
      <c r="K102" s="415">
        <f t="shared" si="100"/>
        <v>-277792.4516</v>
      </c>
      <c r="L102" s="485">
        <f t="shared" ref="L102:S102" si="126">$D102*L$37</f>
        <v>-23015.29338</v>
      </c>
      <c r="M102" s="485">
        <f t="shared" si="126"/>
        <v>-33940.66268</v>
      </c>
      <c r="N102" s="485">
        <f t="shared" si="126"/>
        <v>-86016.21148</v>
      </c>
      <c r="O102" s="485">
        <f t="shared" si="126"/>
        <v>-97163.76888</v>
      </c>
      <c r="P102" s="485">
        <f t="shared" si="126"/>
        <v>-139700.6913</v>
      </c>
      <c r="Q102" s="485">
        <f t="shared" si="126"/>
        <v>-171090.0563</v>
      </c>
      <c r="R102" s="485">
        <f t="shared" si="126"/>
        <v>-143416.5437</v>
      </c>
      <c r="S102" s="485">
        <f t="shared" si="126"/>
        <v>-121565.8052</v>
      </c>
      <c r="T102" s="415">
        <f t="shared" si="102"/>
        <v>-815909.0329</v>
      </c>
      <c r="U102" s="416">
        <f t="shared" si="127"/>
        <v>-1093701.484</v>
      </c>
      <c r="V102" s="421"/>
    </row>
    <row r="103" ht="9.75" hidden="1" customHeight="1" outlineLevel="1">
      <c r="A103" s="385"/>
      <c r="B103" s="385"/>
      <c r="C103" s="397" t="s">
        <v>693</v>
      </c>
      <c r="D103" s="479">
        <v>-0.0131877330985934</v>
      </c>
      <c r="E103" s="411"/>
      <c r="F103" s="392"/>
      <c r="G103" s="485">
        <f t="shared" ref="G103:J103" si="128">$D103*G$37</f>
        <v>-72992.85567</v>
      </c>
      <c r="H103" s="485">
        <f t="shared" si="128"/>
        <v>-58327.51831</v>
      </c>
      <c r="I103" s="485">
        <f t="shared" si="128"/>
        <v>-42787.32626</v>
      </c>
      <c r="J103" s="485">
        <f t="shared" si="128"/>
        <v>-34579.80289</v>
      </c>
      <c r="K103" s="415">
        <f t="shared" si="100"/>
        <v>-208687.5031</v>
      </c>
      <c r="L103" s="485">
        <f t="shared" ref="L103:S103" si="129">$D103*L$37</f>
        <v>-17289.90144</v>
      </c>
      <c r="M103" s="485">
        <f t="shared" si="129"/>
        <v>-25497.42482</v>
      </c>
      <c r="N103" s="485">
        <f t="shared" si="129"/>
        <v>-64618.41674</v>
      </c>
      <c r="O103" s="485">
        <f t="shared" si="129"/>
        <v>-72992.85567</v>
      </c>
      <c r="P103" s="485">
        <f t="shared" si="129"/>
        <v>-104948.0945</v>
      </c>
      <c r="Q103" s="485">
        <f t="shared" si="129"/>
        <v>-128528.8943</v>
      </c>
      <c r="R103" s="485">
        <f t="shared" si="129"/>
        <v>-107739.5741</v>
      </c>
      <c r="S103" s="485">
        <f t="shared" si="129"/>
        <v>-91324.52736</v>
      </c>
      <c r="T103" s="415">
        <f t="shared" si="102"/>
        <v>-612939.689</v>
      </c>
      <c r="U103" s="416">
        <f t="shared" si="127"/>
        <v>-821627.1921</v>
      </c>
      <c r="V103" s="421"/>
    </row>
    <row r="104" ht="9.75" hidden="1" customHeight="1" outlineLevel="1">
      <c r="A104" s="385"/>
      <c r="B104" s="385"/>
      <c r="C104" s="482"/>
      <c r="D104" s="486"/>
      <c r="E104" s="411"/>
      <c r="F104" s="396"/>
      <c r="G104" s="485">
        <f t="shared" ref="G104:J104" si="130">$E$104*G37</f>
        <v>0</v>
      </c>
      <c r="H104" s="485">
        <f t="shared" si="130"/>
        <v>0</v>
      </c>
      <c r="I104" s="485">
        <f t="shared" si="130"/>
        <v>0</v>
      </c>
      <c r="J104" s="485">
        <f t="shared" si="130"/>
        <v>0</v>
      </c>
      <c r="K104" s="415">
        <f t="shared" si="100"/>
        <v>0</v>
      </c>
      <c r="L104" s="485">
        <f t="shared" ref="L104:S104" si="131">$E$104*L37</f>
        <v>0</v>
      </c>
      <c r="M104" s="485">
        <f t="shared" si="131"/>
        <v>0</v>
      </c>
      <c r="N104" s="485">
        <f t="shared" si="131"/>
        <v>0</v>
      </c>
      <c r="O104" s="485">
        <f t="shared" si="131"/>
        <v>0</v>
      </c>
      <c r="P104" s="485">
        <f t="shared" si="131"/>
        <v>0</v>
      </c>
      <c r="Q104" s="485">
        <f t="shared" si="131"/>
        <v>0</v>
      </c>
      <c r="R104" s="485">
        <f t="shared" si="131"/>
        <v>0</v>
      </c>
      <c r="S104" s="485">
        <f t="shared" si="131"/>
        <v>0</v>
      </c>
      <c r="T104" s="415">
        <f t="shared" si="102"/>
        <v>0</v>
      </c>
      <c r="U104" s="416">
        <f t="shared" si="127"/>
        <v>0</v>
      </c>
      <c r="V104" s="421"/>
    </row>
    <row r="105" ht="9.75" hidden="1" customHeight="1" outlineLevel="1">
      <c r="A105" s="385"/>
      <c r="B105" s="385"/>
      <c r="C105" s="487" t="s">
        <v>672</v>
      </c>
      <c r="D105" s="484"/>
      <c r="E105" s="411"/>
      <c r="F105" s="396"/>
      <c r="G105" s="488">
        <f t="shared" ref="G105:J105" si="132">SUM(G106:G137)</f>
        <v>-10234521.98</v>
      </c>
      <c r="H105" s="488">
        <f t="shared" si="132"/>
        <v>-8369278.789</v>
      </c>
      <c r="I105" s="488">
        <f t="shared" si="132"/>
        <v>-5906833.857</v>
      </c>
      <c r="J105" s="488">
        <f t="shared" si="132"/>
        <v>-3564306.296</v>
      </c>
      <c r="K105" s="415">
        <f t="shared" si="100"/>
        <v>-28074940.93</v>
      </c>
      <c r="L105" s="488">
        <f t="shared" ref="L105:S105" si="133">SUM(L106:L137)</f>
        <v>-2884306.212</v>
      </c>
      <c r="M105" s="488">
        <f t="shared" si="133"/>
        <v>-4387812.71</v>
      </c>
      <c r="N105" s="488">
        <f t="shared" si="133"/>
        <v>-5906833.857</v>
      </c>
      <c r="O105" s="488">
        <f t="shared" si="133"/>
        <v>-8476838.092</v>
      </c>
      <c r="P105" s="488">
        <f t="shared" si="133"/>
        <v>-11171195.01</v>
      </c>
      <c r="Q105" s="488">
        <f t="shared" si="133"/>
        <v>-11171195.01</v>
      </c>
      <c r="R105" s="488">
        <f t="shared" si="133"/>
        <v>-10569517.39</v>
      </c>
      <c r="S105" s="488">
        <f t="shared" si="133"/>
        <v>-11934502.53</v>
      </c>
      <c r="T105" s="415">
        <f t="shared" si="102"/>
        <v>-66502200.81</v>
      </c>
      <c r="U105" s="416">
        <f t="shared" si="127"/>
        <v>-94577141.73</v>
      </c>
      <c r="V105" s="421"/>
    </row>
    <row r="106" ht="9.75" hidden="1" customHeight="1" outlineLevel="1">
      <c r="A106" s="385"/>
      <c r="B106" s="385"/>
      <c r="C106" s="489" t="s">
        <v>694</v>
      </c>
      <c r="D106" s="490">
        <v>-0.013285019464597364</v>
      </c>
      <c r="E106" s="411"/>
      <c r="F106" s="392"/>
      <c r="G106" s="485">
        <f t="shared" ref="G106:J106" si="134">$D106*G$52</f>
        <v>-187888.2013</v>
      </c>
      <c r="H106" s="485">
        <f t="shared" si="134"/>
        <v>-153645.548</v>
      </c>
      <c r="I106" s="485">
        <f t="shared" si="134"/>
        <v>-108439.299</v>
      </c>
      <c r="J106" s="485">
        <f t="shared" si="134"/>
        <v>-65434.52641</v>
      </c>
      <c r="K106" s="415">
        <f t="shared" si="100"/>
        <v>-515407.5747</v>
      </c>
      <c r="L106" s="485">
        <f t="shared" ref="L106:S106" si="135">$D106*L$52</f>
        <v>-52950.89573</v>
      </c>
      <c r="M106" s="485">
        <f t="shared" si="135"/>
        <v>-80552.68621</v>
      </c>
      <c r="N106" s="485">
        <f t="shared" si="135"/>
        <v>-108439.299</v>
      </c>
      <c r="O106" s="485">
        <f t="shared" si="135"/>
        <v>-155620.1515</v>
      </c>
      <c r="P106" s="485">
        <f t="shared" si="135"/>
        <v>-205083.9053</v>
      </c>
      <c r="Q106" s="485">
        <f t="shared" si="135"/>
        <v>-205083.9053</v>
      </c>
      <c r="R106" s="485">
        <f t="shared" si="135"/>
        <v>-194038.1402</v>
      </c>
      <c r="S106" s="485">
        <f t="shared" si="135"/>
        <v>-219096.9171</v>
      </c>
      <c r="T106" s="415">
        <f t="shared" si="102"/>
        <v>-1220865.9</v>
      </c>
      <c r="U106" s="416">
        <f t="shared" si="127"/>
        <v>-1736273.475</v>
      </c>
      <c r="V106" s="421"/>
    </row>
    <row r="107" ht="9.75" hidden="1" customHeight="1" outlineLevel="1">
      <c r="A107" s="385"/>
      <c r="B107" s="385"/>
      <c r="C107" s="489" t="s">
        <v>695</v>
      </c>
      <c r="D107" s="490">
        <v>-0.026396311751580765</v>
      </c>
      <c r="E107" s="411"/>
      <c r="F107" s="392"/>
      <c r="G107" s="485">
        <f t="shared" ref="G107:J107" si="136">$D107*G$52</f>
        <v>-373319.4031</v>
      </c>
      <c r="H107" s="485">
        <f t="shared" si="136"/>
        <v>-305281.8849</v>
      </c>
      <c r="I107" s="485">
        <f t="shared" si="136"/>
        <v>-215460.5456</v>
      </c>
      <c r="J107" s="485">
        <f t="shared" si="136"/>
        <v>-130013.3705</v>
      </c>
      <c r="K107" s="415">
        <f t="shared" si="100"/>
        <v>-1024075.204</v>
      </c>
      <c r="L107" s="485">
        <f t="shared" ref="L107:S107" si="137">$D107*L$52</f>
        <v>-105209.3567</v>
      </c>
      <c r="M107" s="485">
        <f t="shared" si="137"/>
        <v>-160051.9911</v>
      </c>
      <c r="N107" s="485">
        <f t="shared" si="137"/>
        <v>-215460.5456</v>
      </c>
      <c r="O107" s="485">
        <f t="shared" si="137"/>
        <v>-309205.2703</v>
      </c>
      <c r="P107" s="485">
        <f t="shared" si="137"/>
        <v>-407485.9441</v>
      </c>
      <c r="Q107" s="485">
        <f t="shared" si="137"/>
        <v>-407485.9441</v>
      </c>
      <c r="R107" s="485">
        <f t="shared" si="137"/>
        <v>-385538.8585</v>
      </c>
      <c r="S107" s="485">
        <f t="shared" si="137"/>
        <v>-435328.7206</v>
      </c>
      <c r="T107" s="415">
        <f t="shared" si="102"/>
        <v>-2425766.631</v>
      </c>
      <c r="U107" s="416">
        <f t="shared" si="127"/>
        <v>-3449841.835</v>
      </c>
      <c r="V107" s="421"/>
    </row>
    <row r="108" ht="9.75" hidden="1" customHeight="1" outlineLevel="1">
      <c r="A108" s="385"/>
      <c r="B108" s="385"/>
      <c r="C108" s="489" t="s">
        <v>686</v>
      </c>
      <c r="D108" s="490">
        <v>-0.2</v>
      </c>
      <c r="E108" s="411"/>
      <c r="F108" s="392"/>
      <c r="G108" s="485">
        <f t="shared" ref="G108:J108" si="138">$D108*G$52</f>
        <v>-2828572.466</v>
      </c>
      <c r="H108" s="485">
        <f t="shared" si="138"/>
        <v>-2313064.702</v>
      </c>
      <c r="I108" s="485">
        <f t="shared" si="138"/>
        <v>-1632504.932</v>
      </c>
      <c r="J108" s="485">
        <f t="shared" si="138"/>
        <v>-985087.3999</v>
      </c>
      <c r="K108" s="415">
        <f t="shared" si="100"/>
        <v>-7759229.5</v>
      </c>
      <c r="L108" s="485">
        <f t="shared" ref="L108:S108" si="139">$D108*L$52</f>
        <v>-797151.948</v>
      </c>
      <c r="M108" s="485">
        <f t="shared" si="139"/>
        <v>-1212684.504</v>
      </c>
      <c r="N108" s="485">
        <f t="shared" si="139"/>
        <v>-1632504.932</v>
      </c>
      <c r="O108" s="485">
        <f t="shared" si="139"/>
        <v>-2342791.472</v>
      </c>
      <c r="P108" s="485">
        <f t="shared" si="139"/>
        <v>-3087446.064</v>
      </c>
      <c r="Q108" s="485">
        <f t="shared" si="139"/>
        <v>-3087446.064</v>
      </c>
      <c r="R108" s="485">
        <f t="shared" si="139"/>
        <v>-2921157.032</v>
      </c>
      <c r="S108" s="485">
        <f t="shared" si="139"/>
        <v>-3298405.662</v>
      </c>
      <c r="T108" s="415">
        <f t="shared" si="102"/>
        <v>-18379587.68</v>
      </c>
      <c r="U108" s="416">
        <f t="shared" si="127"/>
        <v>-26138817.18</v>
      </c>
      <c r="V108" s="421"/>
    </row>
    <row r="109" ht="9.75" hidden="1" customHeight="1" outlineLevel="1">
      <c r="A109" s="385"/>
      <c r="B109" s="385"/>
      <c r="C109" s="489" t="s">
        <v>696</v>
      </c>
      <c r="D109" s="490">
        <v>-0.00367892846711927</v>
      </c>
      <c r="E109" s="411"/>
      <c r="F109" s="392"/>
      <c r="G109" s="485">
        <f t="shared" ref="G109:J109" si="140">$D109*G$52</f>
        <v>-52030.57883</v>
      </c>
      <c r="H109" s="485">
        <f t="shared" si="140"/>
        <v>-42547.9979</v>
      </c>
      <c r="I109" s="485">
        <f t="shared" si="140"/>
        <v>-30029.34433</v>
      </c>
      <c r="J109" s="485">
        <f t="shared" si="140"/>
        <v>-18120.33039</v>
      </c>
      <c r="K109" s="415">
        <f t="shared" si="100"/>
        <v>-142728.2514</v>
      </c>
      <c r="L109" s="485">
        <f t="shared" ref="L109:S109" si="141">$D109*L$52</f>
        <v>-14663.32497</v>
      </c>
      <c r="M109" s="485">
        <f t="shared" si="141"/>
        <v>-22306.89772</v>
      </c>
      <c r="N109" s="485">
        <f t="shared" si="141"/>
        <v>-30029.34433</v>
      </c>
      <c r="O109" s="485">
        <f t="shared" si="141"/>
        <v>-43094.8112</v>
      </c>
      <c r="P109" s="485">
        <f t="shared" si="141"/>
        <v>-56792.46608</v>
      </c>
      <c r="Q109" s="485">
        <f t="shared" si="141"/>
        <v>-56792.46608</v>
      </c>
      <c r="R109" s="485">
        <f t="shared" si="141"/>
        <v>-53733.63881</v>
      </c>
      <c r="S109" s="485">
        <f t="shared" si="141"/>
        <v>-60672.99242</v>
      </c>
      <c r="T109" s="415">
        <f t="shared" si="102"/>
        <v>-338085.9416</v>
      </c>
      <c r="U109" s="416">
        <f t="shared" si="127"/>
        <v>-480814.1931</v>
      </c>
      <c r="V109" s="421"/>
    </row>
    <row r="110" ht="9.75" hidden="1" customHeight="1" outlineLevel="1">
      <c r="A110" s="385"/>
      <c r="B110" s="385"/>
      <c r="C110" s="489" t="s">
        <v>697</v>
      </c>
      <c r="D110" s="490">
        <v>0.0</v>
      </c>
      <c r="E110" s="411"/>
      <c r="F110" s="392"/>
      <c r="G110" s="485">
        <f t="shared" ref="G110:J110" si="142">$D110*G$52</f>
        <v>0</v>
      </c>
      <c r="H110" s="485">
        <f t="shared" si="142"/>
        <v>0</v>
      </c>
      <c r="I110" s="485">
        <f t="shared" si="142"/>
        <v>0</v>
      </c>
      <c r="J110" s="485">
        <f t="shared" si="142"/>
        <v>0</v>
      </c>
      <c r="K110" s="415">
        <f t="shared" si="100"/>
        <v>0</v>
      </c>
      <c r="L110" s="485">
        <f t="shared" ref="L110:S110" si="143">$D110*L$52</f>
        <v>0</v>
      </c>
      <c r="M110" s="485">
        <f t="shared" si="143"/>
        <v>0</v>
      </c>
      <c r="N110" s="485">
        <f t="shared" si="143"/>
        <v>0</v>
      </c>
      <c r="O110" s="485">
        <f t="shared" si="143"/>
        <v>0</v>
      </c>
      <c r="P110" s="485">
        <f t="shared" si="143"/>
        <v>0</v>
      </c>
      <c r="Q110" s="485">
        <f t="shared" si="143"/>
        <v>0</v>
      </c>
      <c r="R110" s="485">
        <f t="shared" si="143"/>
        <v>0</v>
      </c>
      <c r="S110" s="485">
        <f t="shared" si="143"/>
        <v>0</v>
      </c>
      <c r="T110" s="415">
        <f t="shared" si="102"/>
        <v>0</v>
      </c>
      <c r="U110" s="416">
        <f t="shared" si="127"/>
        <v>0</v>
      </c>
      <c r="V110" s="421"/>
    </row>
    <row r="111" ht="9.75" hidden="1" customHeight="1" outlineLevel="1">
      <c r="A111" s="385"/>
      <c r="B111" s="385"/>
      <c r="C111" s="489" t="s">
        <v>698</v>
      </c>
      <c r="D111" s="490">
        <v>-0.0059429001688015015</v>
      </c>
      <c r="E111" s="411"/>
      <c r="F111" s="392"/>
      <c r="G111" s="485">
        <f t="shared" ref="G111:J111" si="144">$D111*G$52</f>
        <v>-84049.61893</v>
      </c>
      <c r="H111" s="485">
        <f t="shared" si="144"/>
        <v>-68731.56305</v>
      </c>
      <c r="I111" s="485">
        <f t="shared" si="144"/>
        <v>-48509.06917</v>
      </c>
      <c r="J111" s="485">
        <f t="shared" si="144"/>
        <v>-29271.38037</v>
      </c>
      <c r="K111" s="415">
        <f t="shared" si="100"/>
        <v>-230561.6315</v>
      </c>
      <c r="L111" s="485">
        <f t="shared" ref="L111:S111" si="145">$D111*L$52</f>
        <v>-23686.97223</v>
      </c>
      <c r="M111" s="485">
        <f t="shared" si="145"/>
        <v>-36034.31472</v>
      </c>
      <c r="N111" s="485">
        <f t="shared" si="145"/>
        <v>-48509.06917</v>
      </c>
      <c r="O111" s="485">
        <f t="shared" si="145"/>
        <v>-69614.87918</v>
      </c>
      <c r="P111" s="485">
        <f t="shared" si="145"/>
        <v>-91741.91867</v>
      </c>
      <c r="Q111" s="485">
        <f t="shared" si="145"/>
        <v>-91741.91867</v>
      </c>
      <c r="R111" s="485">
        <f t="shared" si="145"/>
        <v>-86800.7231</v>
      </c>
      <c r="S111" s="485">
        <f t="shared" si="145"/>
        <v>-98010.47782</v>
      </c>
      <c r="T111" s="415">
        <f t="shared" si="102"/>
        <v>-546140.2736</v>
      </c>
      <c r="U111" s="416">
        <f t="shared" si="127"/>
        <v>-776701.9051</v>
      </c>
      <c r="V111" s="421"/>
    </row>
    <row r="112" ht="9.75" hidden="1" customHeight="1" outlineLevel="1">
      <c r="A112" s="385"/>
      <c r="B112" s="385"/>
      <c r="C112" s="489" t="s">
        <v>699</v>
      </c>
      <c r="D112" s="490">
        <v>-0.1114</v>
      </c>
      <c r="E112" s="411"/>
      <c r="F112" s="392"/>
      <c r="G112" s="485">
        <f t="shared" ref="G112:J112" si="146">$D112*G$52</f>
        <v>-1575514.864</v>
      </c>
      <c r="H112" s="485">
        <f t="shared" si="146"/>
        <v>-1288377.039</v>
      </c>
      <c r="I112" s="485">
        <f t="shared" si="146"/>
        <v>-909305.2469</v>
      </c>
      <c r="J112" s="485">
        <f t="shared" si="146"/>
        <v>-548693.6817</v>
      </c>
      <c r="K112" s="415">
        <f t="shared" si="100"/>
        <v>-4321890.831</v>
      </c>
      <c r="L112" s="485">
        <f t="shared" ref="L112:S112" si="147">$D112*L$52</f>
        <v>-444013.635</v>
      </c>
      <c r="M112" s="485">
        <f t="shared" si="147"/>
        <v>-675465.2688</v>
      </c>
      <c r="N112" s="485">
        <f t="shared" si="147"/>
        <v>-909305.2469</v>
      </c>
      <c r="O112" s="485">
        <f t="shared" si="147"/>
        <v>-1304934.85</v>
      </c>
      <c r="P112" s="485">
        <f t="shared" si="147"/>
        <v>-1719707.458</v>
      </c>
      <c r="Q112" s="485">
        <f t="shared" si="147"/>
        <v>-1719707.458</v>
      </c>
      <c r="R112" s="485">
        <f t="shared" si="147"/>
        <v>-1627084.467</v>
      </c>
      <c r="S112" s="485">
        <f t="shared" si="147"/>
        <v>-1837211.954</v>
      </c>
      <c r="T112" s="415">
        <f t="shared" si="102"/>
        <v>-10237430.34</v>
      </c>
      <c r="U112" s="481"/>
      <c r="V112" s="421"/>
    </row>
    <row r="113" ht="9.75" hidden="1" customHeight="1" outlineLevel="1">
      <c r="A113" s="385"/>
      <c r="B113" s="385"/>
      <c r="C113" s="482"/>
      <c r="D113" s="460"/>
      <c r="E113" s="411"/>
      <c r="F113" s="392"/>
      <c r="G113" s="395"/>
      <c r="H113" s="395"/>
      <c r="I113" s="395"/>
      <c r="J113" s="395"/>
      <c r="K113" s="426"/>
      <c r="L113" s="395"/>
      <c r="M113" s="395"/>
      <c r="N113" s="395"/>
      <c r="O113" s="395"/>
      <c r="P113" s="395"/>
      <c r="Q113" s="395"/>
      <c r="R113" s="395"/>
      <c r="S113" s="395"/>
      <c r="T113" s="426"/>
      <c r="U113" s="481"/>
      <c r="V113" s="421"/>
    </row>
    <row r="114" ht="9.75" hidden="1" customHeight="1" outlineLevel="1">
      <c r="A114" s="385"/>
      <c r="B114" s="385"/>
      <c r="C114" s="491" t="s">
        <v>700</v>
      </c>
      <c r="D114" s="490">
        <v>-0.005978258759068814</v>
      </c>
      <c r="E114" s="411"/>
      <c r="F114" s="392"/>
      <c r="G114" s="485">
        <f t="shared" ref="G114:J114" si="148">$D114*G$52</f>
        <v>-84549.69061</v>
      </c>
      <c r="H114" s="485">
        <f t="shared" si="148"/>
        <v>-69140.49658</v>
      </c>
      <c r="I114" s="485">
        <f t="shared" si="148"/>
        <v>-48797.68453</v>
      </c>
      <c r="J114" s="485">
        <f t="shared" si="148"/>
        <v>-29445.53688</v>
      </c>
      <c r="K114" s="415">
        <f t="shared" ref="K114:K140" si="151">SUM(G114:J114)</f>
        <v>-231933.4086</v>
      </c>
      <c r="L114" s="485">
        <f t="shared" ref="L114:S114" si="149">$D114*L$52</f>
        <v>-23827.90308</v>
      </c>
      <c r="M114" s="485">
        <f t="shared" si="149"/>
        <v>-36248.70879</v>
      </c>
      <c r="N114" s="485">
        <f t="shared" si="149"/>
        <v>-48797.68453</v>
      </c>
      <c r="O114" s="485">
        <f t="shared" si="149"/>
        <v>-70029.0682</v>
      </c>
      <c r="P114" s="485">
        <f t="shared" si="149"/>
        <v>-92287.75738</v>
      </c>
      <c r="Q114" s="485">
        <f t="shared" si="149"/>
        <v>-92287.75738</v>
      </c>
      <c r="R114" s="485">
        <f t="shared" si="149"/>
        <v>-87317.16307</v>
      </c>
      <c r="S114" s="485">
        <f t="shared" si="149"/>
        <v>-98593.61269</v>
      </c>
      <c r="T114" s="415">
        <f t="shared" ref="T114:T140" si="153">SUM(L114:S114)</f>
        <v>-549389.6551</v>
      </c>
      <c r="U114" s="481"/>
      <c r="V114" s="421"/>
    </row>
    <row r="115" ht="9.75" hidden="1" customHeight="1" outlineLevel="1">
      <c r="A115" s="385"/>
      <c r="B115" s="385"/>
      <c r="C115" s="489" t="s">
        <v>701</v>
      </c>
      <c r="D115" s="490">
        <v>0.0</v>
      </c>
      <c r="E115" s="411"/>
      <c r="F115" s="392"/>
      <c r="G115" s="485">
        <f t="shared" ref="G115:J115" si="150">$D115*G$52</f>
        <v>0</v>
      </c>
      <c r="H115" s="485">
        <f t="shared" si="150"/>
        <v>0</v>
      </c>
      <c r="I115" s="485">
        <f t="shared" si="150"/>
        <v>0</v>
      </c>
      <c r="J115" s="485">
        <f t="shared" si="150"/>
        <v>0</v>
      </c>
      <c r="K115" s="415">
        <f t="shared" si="151"/>
        <v>0</v>
      </c>
      <c r="L115" s="485">
        <f t="shared" ref="L115:S115" si="152">$D115*L$52</f>
        <v>0</v>
      </c>
      <c r="M115" s="485">
        <f t="shared" si="152"/>
        <v>0</v>
      </c>
      <c r="N115" s="485">
        <f t="shared" si="152"/>
        <v>0</v>
      </c>
      <c r="O115" s="485">
        <f t="shared" si="152"/>
        <v>0</v>
      </c>
      <c r="P115" s="485">
        <f t="shared" si="152"/>
        <v>0</v>
      </c>
      <c r="Q115" s="485">
        <f t="shared" si="152"/>
        <v>0</v>
      </c>
      <c r="R115" s="485">
        <f t="shared" si="152"/>
        <v>0</v>
      </c>
      <c r="S115" s="485">
        <f t="shared" si="152"/>
        <v>0</v>
      </c>
      <c r="T115" s="415">
        <f t="shared" si="153"/>
        <v>0</v>
      </c>
      <c r="U115" s="481"/>
      <c r="V115" s="421"/>
    </row>
    <row r="116" ht="9.75" hidden="1" customHeight="1" outlineLevel="1">
      <c r="A116" s="385"/>
      <c r="B116" s="385"/>
      <c r="C116" s="489" t="s">
        <v>702</v>
      </c>
      <c r="D116" s="490">
        <v>0.0</v>
      </c>
      <c r="E116" s="411"/>
      <c r="F116" s="392"/>
      <c r="G116" s="485">
        <f t="shared" ref="G116:J116" si="154">$D116*G$52</f>
        <v>0</v>
      </c>
      <c r="H116" s="485">
        <f t="shared" si="154"/>
        <v>0</v>
      </c>
      <c r="I116" s="485">
        <f t="shared" si="154"/>
        <v>0</v>
      </c>
      <c r="J116" s="485">
        <f t="shared" si="154"/>
        <v>0</v>
      </c>
      <c r="K116" s="415">
        <f t="shared" si="151"/>
        <v>0</v>
      </c>
      <c r="L116" s="485">
        <f t="shared" ref="L116:S116" si="155">$D116*L$52</f>
        <v>0</v>
      </c>
      <c r="M116" s="485">
        <f t="shared" si="155"/>
        <v>0</v>
      </c>
      <c r="N116" s="485">
        <f t="shared" si="155"/>
        <v>0</v>
      </c>
      <c r="O116" s="485">
        <f t="shared" si="155"/>
        <v>0</v>
      </c>
      <c r="P116" s="485">
        <f t="shared" si="155"/>
        <v>0</v>
      </c>
      <c r="Q116" s="485">
        <f t="shared" si="155"/>
        <v>0</v>
      </c>
      <c r="R116" s="485">
        <f t="shared" si="155"/>
        <v>0</v>
      </c>
      <c r="S116" s="485">
        <f t="shared" si="155"/>
        <v>0</v>
      </c>
      <c r="T116" s="415">
        <f t="shared" si="153"/>
        <v>0</v>
      </c>
      <c r="U116" s="481"/>
      <c r="V116" s="421"/>
    </row>
    <row r="117" ht="9.75" hidden="1" customHeight="1" outlineLevel="1">
      <c r="A117" s="385"/>
      <c r="B117" s="385"/>
      <c r="C117" s="489" t="s">
        <v>703</v>
      </c>
      <c r="D117" s="490">
        <v>0.0</v>
      </c>
      <c r="E117" s="411"/>
      <c r="F117" s="392"/>
      <c r="G117" s="485">
        <f t="shared" ref="G117:J117" si="156">$D117*G$52</f>
        <v>0</v>
      </c>
      <c r="H117" s="485">
        <f t="shared" si="156"/>
        <v>0</v>
      </c>
      <c r="I117" s="485">
        <f t="shared" si="156"/>
        <v>0</v>
      </c>
      <c r="J117" s="485">
        <f t="shared" si="156"/>
        <v>0</v>
      </c>
      <c r="K117" s="415">
        <f t="shared" si="151"/>
        <v>0</v>
      </c>
      <c r="L117" s="485">
        <f t="shared" ref="L117:S117" si="157">$D117*L$52</f>
        <v>0</v>
      </c>
      <c r="M117" s="485">
        <f t="shared" si="157"/>
        <v>0</v>
      </c>
      <c r="N117" s="485">
        <f t="shared" si="157"/>
        <v>0</v>
      </c>
      <c r="O117" s="485">
        <f t="shared" si="157"/>
        <v>0</v>
      </c>
      <c r="P117" s="485">
        <f t="shared" si="157"/>
        <v>0</v>
      </c>
      <c r="Q117" s="485">
        <f t="shared" si="157"/>
        <v>0</v>
      </c>
      <c r="R117" s="485">
        <f t="shared" si="157"/>
        <v>0</v>
      </c>
      <c r="S117" s="485">
        <f t="shared" si="157"/>
        <v>0</v>
      </c>
      <c r="T117" s="415">
        <f t="shared" si="153"/>
        <v>0</v>
      </c>
      <c r="U117" s="481"/>
      <c r="V117" s="421"/>
    </row>
    <row r="118" ht="9.75" hidden="1" customHeight="1" outlineLevel="1">
      <c r="A118" s="385"/>
      <c r="B118" s="385"/>
      <c r="C118" s="489" t="s">
        <v>704</v>
      </c>
      <c r="D118" s="490">
        <v>0.0</v>
      </c>
      <c r="E118" s="411"/>
      <c r="F118" s="392"/>
      <c r="G118" s="485">
        <f t="shared" ref="G118:J118" si="158">$D118*G$52</f>
        <v>0</v>
      </c>
      <c r="H118" s="485">
        <f t="shared" si="158"/>
        <v>0</v>
      </c>
      <c r="I118" s="485">
        <f t="shared" si="158"/>
        <v>0</v>
      </c>
      <c r="J118" s="485">
        <f t="shared" si="158"/>
        <v>0</v>
      </c>
      <c r="K118" s="415">
        <f t="shared" si="151"/>
        <v>0</v>
      </c>
      <c r="L118" s="485">
        <f t="shared" ref="L118:S118" si="159">$D118*L$52</f>
        <v>0</v>
      </c>
      <c r="M118" s="485">
        <f t="shared" si="159"/>
        <v>0</v>
      </c>
      <c r="N118" s="485">
        <f t="shared" si="159"/>
        <v>0</v>
      </c>
      <c r="O118" s="485">
        <f t="shared" si="159"/>
        <v>0</v>
      </c>
      <c r="P118" s="485">
        <f t="shared" si="159"/>
        <v>0</v>
      </c>
      <c r="Q118" s="485">
        <f t="shared" si="159"/>
        <v>0</v>
      </c>
      <c r="R118" s="485">
        <f t="shared" si="159"/>
        <v>0</v>
      </c>
      <c r="S118" s="485">
        <f t="shared" si="159"/>
        <v>0</v>
      </c>
      <c r="T118" s="415">
        <f t="shared" si="153"/>
        <v>0</v>
      </c>
      <c r="U118" s="481"/>
      <c r="V118" s="421"/>
    </row>
    <row r="119" ht="9.75" hidden="1" customHeight="1" outlineLevel="1">
      <c r="A119" s="385"/>
      <c r="B119" s="385"/>
      <c r="C119" s="489" t="s">
        <v>705</v>
      </c>
      <c r="D119" s="490">
        <v>-0.005109622870998987</v>
      </c>
      <c r="E119" s="411"/>
      <c r="F119" s="392"/>
      <c r="G119" s="485">
        <f t="shared" ref="G119:J119" si="160">$D119*G$52</f>
        <v>-72264.69282</v>
      </c>
      <c r="H119" s="485">
        <f t="shared" si="160"/>
        <v>-59094.44152</v>
      </c>
      <c r="I119" s="485">
        <f t="shared" si="160"/>
        <v>-41707.42268</v>
      </c>
      <c r="J119" s="485">
        <f t="shared" si="160"/>
        <v>-25167.12554</v>
      </c>
      <c r="K119" s="415">
        <f t="shared" si="151"/>
        <v>-198233.6826</v>
      </c>
      <c r="L119" s="485">
        <f t="shared" ref="L119:S119" si="161">$D119*L$52</f>
        <v>-20365.72913</v>
      </c>
      <c r="M119" s="485">
        <f t="shared" si="161"/>
        <v>-30981.80239</v>
      </c>
      <c r="N119" s="485">
        <f t="shared" si="161"/>
        <v>-41707.42268</v>
      </c>
      <c r="O119" s="485">
        <f t="shared" si="161"/>
        <v>-59853.90444</v>
      </c>
      <c r="P119" s="485">
        <f t="shared" si="161"/>
        <v>-78878.42511</v>
      </c>
      <c r="Q119" s="485">
        <f t="shared" si="161"/>
        <v>-78878.42511</v>
      </c>
      <c r="R119" s="485">
        <f t="shared" si="161"/>
        <v>-74630.05391</v>
      </c>
      <c r="S119" s="485">
        <f t="shared" si="161"/>
        <v>-84268.04503</v>
      </c>
      <c r="T119" s="415">
        <f t="shared" si="153"/>
        <v>-469563.8078</v>
      </c>
      <c r="U119" s="481"/>
      <c r="V119" s="421"/>
    </row>
    <row r="120" ht="9.75" hidden="1" customHeight="1" outlineLevel="1">
      <c r="A120" s="385"/>
      <c r="B120" s="385"/>
      <c r="C120" s="489" t="s">
        <v>706</v>
      </c>
      <c r="D120" s="490">
        <v>0.0</v>
      </c>
      <c r="E120" s="411"/>
      <c r="F120" s="392"/>
      <c r="G120" s="485">
        <f t="shared" ref="G120:J120" si="162">$D120*G$52</f>
        <v>0</v>
      </c>
      <c r="H120" s="485">
        <f t="shared" si="162"/>
        <v>0</v>
      </c>
      <c r="I120" s="485">
        <f t="shared" si="162"/>
        <v>0</v>
      </c>
      <c r="J120" s="485">
        <f t="shared" si="162"/>
        <v>0</v>
      </c>
      <c r="K120" s="415">
        <f t="shared" si="151"/>
        <v>0</v>
      </c>
      <c r="L120" s="485">
        <f t="shared" ref="L120:S120" si="163">$D120*L$52</f>
        <v>0</v>
      </c>
      <c r="M120" s="485">
        <f t="shared" si="163"/>
        <v>0</v>
      </c>
      <c r="N120" s="485">
        <f t="shared" si="163"/>
        <v>0</v>
      </c>
      <c r="O120" s="485">
        <f t="shared" si="163"/>
        <v>0</v>
      </c>
      <c r="P120" s="485">
        <f t="shared" si="163"/>
        <v>0</v>
      </c>
      <c r="Q120" s="485">
        <f t="shared" si="163"/>
        <v>0</v>
      </c>
      <c r="R120" s="485">
        <f t="shared" si="163"/>
        <v>0</v>
      </c>
      <c r="S120" s="485">
        <f t="shared" si="163"/>
        <v>0</v>
      </c>
      <c r="T120" s="415">
        <f t="shared" si="153"/>
        <v>0</v>
      </c>
      <c r="U120" s="481"/>
      <c r="V120" s="421"/>
    </row>
    <row r="121" ht="9.75" hidden="1" customHeight="1" outlineLevel="1">
      <c r="A121" s="385"/>
      <c r="B121" s="385"/>
      <c r="C121" s="489" t="s">
        <v>707</v>
      </c>
      <c r="D121" s="490">
        <v>0.0</v>
      </c>
      <c r="E121" s="411"/>
      <c r="F121" s="392"/>
      <c r="G121" s="485">
        <f t="shared" ref="G121:J121" si="164">$D121*G$52</f>
        <v>0</v>
      </c>
      <c r="H121" s="485">
        <f t="shared" si="164"/>
        <v>0</v>
      </c>
      <c r="I121" s="485">
        <f t="shared" si="164"/>
        <v>0</v>
      </c>
      <c r="J121" s="485">
        <f t="shared" si="164"/>
        <v>0</v>
      </c>
      <c r="K121" s="415">
        <f t="shared" si="151"/>
        <v>0</v>
      </c>
      <c r="L121" s="485">
        <f t="shared" ref="L121:S121" si="165">$D121*L$52</f>
        <v>0</v>
      </c>
      <c r="M121" s="485">
        <f t="shared" si="165"/>
        <v>0</v>
      </c>
      <c r="N121" s="485">
        <f t="shared" si="165"/>
        <v>0</v>
      </c>
      <c r="O121" s="485">
        <f t="shared" si="165"/>
        <v>0</v>
      </c>
      <c r="P121" s="485">
        <f t="shared" si="165"/>
        <v>0</v>
      </c>
      <c r="Q121" s="485">
        <f t="shared" si="165"/>
        <v>0</v>
      </c>
      <c r="R121" s="485">
        <f t="shared" si="165"/>
        <v>0</v>
      </c>
      <c r="S121" s="485">
        <f t="shared" si="165"/>
        <v>0</v>
      </c>
      <c r="T121" s="415">
        <f t="shared" si="153"/>
        <v>0</v>
      </c>
      <c r="U121" s="481"/>
      <c r="V121" s="421"/>
    </row>
    <row r="122" ht="9.75" hidden="1" customHeight="1" outlineLevel="1">
      <c r="A122" s="385"/>
      <c r="B122" s="385"/>
      <c r="C122" s="489" t="s">
        <v>708</v>
      </c>
      <c r="D122" s="490">
        <v>0.0</v>
      </c>
      <c r="E122" s="411"/>
      <c r="F122" s="392"/>
      <c r="G122" s="485">
        <f t="shared" ref="G122:J122" si="166">$D122*G$52</f>
        <v>0</v>
      </c>
      <c r="H122" s="485">
        <f t="shared" si="166"/>
        <v>0</v>
      </c>
      <c r="I122" s="485">
        <f t="shared" si="166"/>
        <v>0</v>
      </c>
      <c r="J122" s="485">
        <f t="shared" si="166"/>
        <v>0</v>
      </c>
      <c r="K122" s="415">
        <f t="shared" si="151"/>
        <v>0</v>
      </c>
      <c r="L122" s="485">
        <f t="shared" ref="L122:S122" si="167">$D122*L$52</f>
        <v>0</v>
      </c>
      <c r="M122" s="485">
        <f t="shared" si="167"/>
        <v>0</v>
      </c>
      <c r="N122" s="485">
        <f t="shared" si="167"/>
        <v>0</v>
      </c>
      <c r="O122" s="485">
        <f t="shared" si="167"/>
        <v>0</v>
      </c>
      <c r="P122" s="485">
        <f t="shared" si="167"/>
        <v>0</v>
      </c>
      <c r="Q122" s="485">
        <f t="shared" si="167"/>
        <v>0</v>
      </c>
      <c r="R122" s="485">
        <f t="shared" si="167"/>
        <v>0</v>
      </c>
      <c r="S122" s="485">
        <f t="shared" si="167"/>
        <v>0</v>
      </c>
      <c r="T122" s="415">
        <f t="shared" si="153"/>
        <v>0</v>
      </c>
      <c r="U122" s="481"/>
      <c r="V122" s="421"/>
    </row>
    <row r="123" ht="9.75" hidden="1" customHeight="1" outlineLevel="1">
      <c r="A123" s="385"/>
      <c r="B123" s="385"/>
      <c r="C123" s="489" t="s">
        <v>709</v>
      </c>
      <c r="D123" s="490">
        <v>0.0</v>
      </c>
      <c r="E123" s="411"/>
      <c r="F123" s="392"/>
      <c r="G123" s="485">
        <f t="shared" ref="G123:J123" si="168">$D123*G$52</f>
        <v>0</v>
      </c>
      <c r="H123" s="485">
        <f t="shared" si="168"/>
        <v>0</v>
      </c>
      <c r="I123" s="485">
        <f t="shared" si="168"/>
        <v>0</v>
      </c>
      <c r="J123" s="485">
        <f t="shared" si="168"/>
        <v>0</v>
      </c>
      <c r="K123" s="415">
        <f t="shared" si="151"/>
        <v>0</v>
      </c>
      <c r="L123" s="485">
        <f t="shared" ref="L123:S123" si="169">$D123*L$52</f>
        <v>0</v>
      </c>
      <c r="M123" s="485">
        <f t="shared" si="169"/>
        <v>0</v>
      </c>
      <c r="N123" s="485">
        <f t="shared" si="169"/>
        <v>0</v>
      </c>
      <c r="O123" s="485">
        <f t="shared" si="169"/>
        <v>0</v>
      </c>
      <c r="P123" s="485">
        <f t="shared" si="169"/>
        <v>0</v>
      </c>
      <c r="Q123" s="485">
        <f t="shared" si="169"/>
        <v>0</v>
      </c>
      <c r="R123" s="485">
        <f t="shared" si="169"/>
        <v>0</v>
      </c>
      <c r="S123" s="485">
        <f t="shared" si="169"/>
        <v>0</v>
      </c>
      <c r="T123" s="415">
        <f t="shared" si="153"/>
        <v>0</v>
      </c>
      <c r="U123" s="481"/>
      <c r="V123" s="421"/>
    </row>
    <row r="124" ht="9.75" hidden="1" customHeight="1" outlineLevel="1">
      <c r="A124" s="385"/>
      <c r="B124" s="385"/>
      <c r="C124" s="489" t="s">
        <v>688</v>
      </c>
      <c r="D124" s="490">
        <v>-0.004262243014072515</v>
      </c>
      <c r="E124" s="411"/>
      <c r="F124" s="392"/>
      <c r="G124" s="485">
        <f t="shared" ref="G124:J124" si="170">$D124*G$52</f>
        <v>-60280.31617</v>
      </c>
      <c r="H124" s="485">
        <f t="shared" si="170"/>
        <v>-49294.21934</v>
      </c>
      <c r="I124" s="485">
        <f t="shared" si="170"/>
        <v>-34790.6637</v>
      </c>
      <c r="J124" s="485">
        <f t="shared" si="170"/>
        <v>-20993.40944</v>
      </c>
      <c r="K124" s="415">
        <f t="shared" si="151"/>
        <v>-165358.6086</v>
      </c>
      <c r="L124" s="485">
        <f t="shared" ref="L124:S124" si="171">$D124*L$52</f>
        <v>-16988.27661</v>
      </c>
      <c r="M124" s="485">
        <f t="shared" si="171"/>
        <v>-25843.78028</v>
      </c>
      <c r="N124" s="485">
        <f t="shared" si="171"/>
        <v>-34790.6637</v>
      </c>
      <c r="O124" s="485">
        <f t="shared" si="171"/>
        <v>-49927.73293</v>
      </c>
      <c r="P124" s="485">
        <f t="shared" si="171"/>
        <v>-65797.22709</v>
      </c>
      <c r="Q124" s="485">
        <f t="shared" si="171"/>
        <v>-65797.22709</v>
      </c>
      <c r="R124" s="485">
        <f t="shared" si="171"/>
        <v>-62253.40577</v>
      </c>
      <c r="S124" s="485">
        <f t="shared" si="171"/>
        <v>-70293.03244</v>
      </c>
      <c r="T124" s="415">
        <f t="shared" si="153"/>
        <v>-391691.3459</v>
      </c>
      <c r="U124" s="481"/>
      <c r="V124" s="421"/>
    </row>
    <row r="125" ht="9.75" hidden="1" customHeight="1" outlineLevel="1">
      <c r="A125" s="385"/>
      <c r="B125" s="385"/>
      <c r="C125" s="489" t="s">
        <v>693</v>
      </c>
      <c r="D125" s="490">
        <v>-0.25</v>
      </c>
      <c r="E125" s="411"/>
      <c r="F125" s="392"/>
      <c r="G125" s="492">
        <f t="shared" ref="G125:J125" si="172">$D125*G$52</f>
        <v>-3535715.583</v>
      </c>
      <c r="H125" s="492">
        <f t="shared" si="172"/>
        <v>-2891330.878</v>
      </c>
      <c r="I125" s="485">
        <f t="shared" si="172"/>
        <v>-2040631.164</v>
      </c>
      <c r="J125" s="485">
        <f t="shared" si="172"/>
        <v>-1231359.25</v>
      </c>
      <c r="K125" s="415">
        <f t="shared" si="151"/>
        <v>-9699036.875</v>
      </c>
      <c r="L125" s="485">
        <f t="shared" ref="L125:S125" si="173">$D125*L$52</f>
        <v>-996439.935</v>
      </c>
      <c r="M125" s="485">
        <f t="shared" si="173"/>
        <v>-1515855.63</v>
      </c>
      <c r="N125" s="485">
        <f t="shared" si="173"/>
        <v>-2040631.164</v>
      </c>
      <c r="O125" s="485">
        <f t="shared" si="173"/>
        <v>-2928489.34</v>
      </c>
      <c r="P125" s="485">
        <f t="shared" si="173"/>
        <v>-3859307.58</v>
      </c>
      <c r="Q125" s="485">
        <f t="shared" si="173"/>
        <v>-3859307.58</v>
      </c>
      <c r="R125" s="485">
        <f t="shared" si="173"/>
        <v>-3651446.29</v>
      </c>
      <c r="S125" s="485">
        <f t="shared" si="173"/>
        <v>-4123007.077</v>
      </c>
      <c r="T125" s="415">
        <f t="shared" si="153"/>
        <v>-22974484.6</v>
      </c>
      <c r="U125" s="481"/>
      <c r="V125" s="421"/>
    </row>
    <row r="126" ht="9.75" hidden="1" customHeight="1" outlineLevel="1">
      <c r="A126" s="385"/>
      <c r="B126" s="385"/>
      <c r="C126" s="489" t="s">
        <v>710</v>
      </c>
      <c r="D126" s="490">
        <v>0.0</v>
      </c>
      <c r="E126" s="411"/>
      <c r="F126" s="392"/>
      <c r="G126" s="485">
        <f t="shared" ref="G126:J126" si="174">$D126*G$52</f>
        <v>0</v>
      </c>
      <c r="H126" s="485">
        <f t="shared" si="174"/>
        <v>0</v>
      </c>
      <c r="I126" s="485">
        <f t="shared" si="174"/>
        <v>0</v>
      </c>
      <c r="J126" s="485">
        <f t="shared" si="174"/>
        <v>0</v>
      </c>
      <c r="K126" s="415">
        <f t="shared" si="151"/>
        <v>0</v>
      </c>
      <c r="L126" s="485">
        <f t="shared" ref="L126:S126" si="175">$D126*L$52</f>
        <v>0</v>
      </c>
      <c r="M126" s="485">
        <f t="shared" si="175"/>
        <v>0</v>
      </c>
      <c r="N126" s="485">
        <f t="shared" si="175"/>
        <v>0</v>
      </c>
      <c r="O126" s="485">
        <f t="shared" si="175"/>
        <v>0</v>
      </c>
      <c r="P126" s="485">
        <f t="shared" si="175"/>
        <v>0</v>
      </c>
      <c r="Q126" s="485">
        <f t="shared" si="175"/>
        <v>0</v>
      </c>
      <c r="R126" s="485">
        <f t="shared" si="175"/>
        <v>0</v>
      </c>
      <c r="S126" s="485">
        <f t="shared" si="175"/>
        <v>0</v>
      </c>
      <c r="T126" s="415">
        <f t="shared" si="153"/>
        <v>0</v>
      </c>
      <c r="U126" s="481"/>
      <c r="V126" s="421"/>
    </row>
    <row r="127" ht="9.75" hidden="1" customHeight="1" outlineLevel="1">
      <c r="A127" s="385"/>
      <c r="B127" s="385"/>
      <c r="C127" s="489" t="s">
        <v>711</v>
      </c>
      <c r="D127" s="490">
        <v>0.0</v>
      </c>
      <c r="E127" s="411"/>
      <c r="F127" s="392"/>
      <c r="G127" s="485">
        <f t="shared" ref="G127:J127" si="176">$D127*G$52</f>
        <v>0</v>
      </c>
      <c r="H127" s="485">
        <f t="shared" si="176"/>
        <v>0</v>
      </c>
      <c r="I127" s="485">
        <f t="shared" si="176"/>
        <v>0</v>
      </c>
      <c r="J127" s="485">
        <f t="shared" si="176"/>
        <v>0</v>
      </c>
      <c r="K127" s="415">
        <f t="shared" si="151"/>
        <v>0</v>
      </c>
      <c r="L127" s="485">
        <f t="shared" ref="L127:S127" si="177">$D127*L$52</f>
        <v>0</v>
      </c>
      <c r="M127" s="485">
        <f t="shared" si="177"/>
        <v>0</v>
      </c>
      <c r="N127" s="485">
        <f t="shared" si="177"/>
        <v>0</v>
      </c>
      <c r="O127" s="485">
        <f t="shared" si="177"/>
        <v>0</v>
      </c>
      <c r="P127" s="485">
        <f t="shared" si="177"/>
        <v>0</v>
      </c>
      <c r="Q127" s="485">
        <f t="shared" si="177"/>
        <v>0</v>
      </c>
      <c r="R127" s="485">
        <f t="shared" si="177"/>
        <v>0</v>
      </c>
      <c r="S127" s="485">
        <f t="shared" si="177"/>
        <v>0</v>
      </c>
      <c r="T127" s="415">
        <f t="shared" si="153"/>
        <v>0</v>
      </c>
      <c r="U127" s="481"/>
      <c r="V127" s="421"/>
    </row>
    <row r="128" ht="9.75" hidden="1" customHeight="1" outlineLevel="1">
      <c r="A128" s="385"/>
      <c r="B128" s="385"/>
      <c r="C128" s="489" t="s">
        <v>712</v>
      </c>
      <c r="D128" s="490">
        <v>-0.010219245741997974</v>
      </c>
      <c r="E128" s="411"/>
      <c r="F128" s="392"/>
      <c r="G128" s="485">
        <f t="shared" ref="G128:J128" si="178">$D128*G$52</f>
        <v>-144529.3856</v>
      </c>
      <c r="H128" s="485">
        <f t="shared" si="178"/>
        <v>-118188.883</v>
      </c>
      <c r="I128" s="485">
        <f t="shared" si="178"/>
        <v>-83414.84535</v>
      </c>
      <c r="J128" s="485">
        <f t="shared" si="178"/>
        <v>-50334.25108</v>
      </c>
      <c r="K128" s="415">
        <f t="shared" si="151"/>
        <v>-396467.3651</v>
      </c>
      <c r="L128" s="485">
        <f t="shared" ref="L128:S128" si="179">$D128*L$52</f>
        <v>-40731.45825</v>
      </c>
      <c r="M128" s="485">
        <f t="shared" si="179"/>
        <v>-61963.60478</v>
      </c>
      <c r="N128" s="485">
        <f t="shared" si="179"/>
        <v>-83414.84535</v>
      </c>
      <c r="O128" s="485">
        <f t="shared" si="179"/>
        <v>-119707.8089</v>
      </c>
      <c r="P128" s="485">
        <f t="shared" si="179"/>
        <v>-157756.8502</v>
      </c>
      <c r="Q128" s="485">
        <f t="shared" si="179"/>
        <v>-157756.8502</v>
      </c>
      <c r="R128" s="485">
        <f t="shared" si="179"/>
        <v>-149260.1078</v>
      </c>
      <c r="S128" s="485">
        <f t="shared" si="179"/>
        <v>-168536.0901</v>
      </c>
      <c r="T128" s="415">
        <f t="shared" si="153"/>
        <v>-939127.6156</v>
      </c>
      <c r="U128" s="481"/>
      <c r="V128" s="421"/>
    </row>
    <row r="129" ht="9.75" hidden="1" customHeight="1" outlineLevel="1">
      <c r="A129" s="385"/>
      <c r="B129" s="385"/>
      <c r="C129" s="489" t="s">
        <v>713</v>
      </c>
      <c r="D129" s="490">
        <v>-0.0059680395133268165</v>
      </c>
      <c r="E129" s="411"/>
      <c r="F129" s="392"/>
      <c r="G129" s="485">
        <f t="shared" ref="G129:J129" si="180">$D129*G$52</f>
        <v>-84405.16122</v>
      </c>
      <c r="H129" s="485">
        <f t="shared" si="180"/>
        <v>-69022.3077</v>
      </c>
      <c r="I129" s="485">
        <f t="shared" si="180"/>
        <v>-48714.26969</v>
      </c>
      <c r="J129" s="485">
        <f t="shared" si="180"/>
        <v>-29395.20263</v>
      </c>
      <c r="K129" s="415">
        <f t="shared" si="151"/>
        <v>-231536.9412</v>
      </c>
      <c r="L129" s="485">
        <f t="shared" ref="L129:S129" si="181">$D129*L$52</f>
        <v>-23787.17162</v>
      </c>
      <c r="M129" s="485">
        <f t="shared" si="181"/>
        <v>-36186.74519</v>
      </c>
      <c r="N129" s="485">
        <f t="shared" si="181"/>
        <v>-48714.26969</v>
      </c>
      <c r="O129" s="485">
        <f t="shared" si="181"/>
        <v>-69909.36039</v>
      </c>
      <c r="P129" s="485">
        <f t="shared" si="181"/>
        <v>-92130.00053</v>
      </c>
      <c r="Q129" s="485">
        <f t="shared" si="181"/>
        <v>-92130.00053</v>
      </c>
      <c r="R129" s="485">
        <f t="shared" si="181"/>
        <v>-87167.90296</v>
      </c>
      <c r="S129" s="485">
        <f t="shared" si="181"/>
        <v>-98425.0766</v>
      </c>
      <c r="T129" s="415">
        <f t="shared" si="153"/>
        <v>-548450.5275</v>
      </c>
      <c r="U129" s="481"/>
      <c r="V129" s="421"/>
    </row>
    <row r="130" ht="9.75" hidden="1" customHeight="1" outlineLevel="1">
      <c r="A130" s="385"/>
      <c r="B130" s="385"/>
      <c r="C130" s="489" t="s">
        <v>714</v>
      </c>
      <c r="D130" s="490">
        <v>-8.484017815006717E-4</v>
      </c>
      <c r="E130" s="411"/>
      <c r="F130" s="392"/>
      <c r="G130" s="485">
        <f t="shared" ref="G130:J130" si="182">$D130*G$52</f>
        <v>-11998.8296</v>
      </c>
      <c r="H130" s="485">
        <f t="shared" si="182"/>
        <v>-9812.04107</v>
      </c>
      <c r="I130" s="485">
        <f t="shared" si="182"/>
        <v>-6925.100461</v>
      </c>
      <c r="J130" s="485">
        <f t="shared" si="182"/>
        <v>-4178.749525</v>
      </c>
      <c r="K130" s="415">
        <f t="shared" si="151"/>
        <v>-32914.72065</v>
      </c>
      <c r="L130" s="485">
        <f t="shared" ref="L130:S130" si="183">$D130*L$52</f>
        <v>-3381.525664</v>
      </c>
      <c r="M130" s="485">
        <f t="shared" si="183"/>
        <v>-5144.218468</v>
      </c>
      <c r="N130" s="485">
        <f t="shared" si="183"/>
        <v>-6925.100461</v>
      </c>
      <c r="O130" s="485">
        <f t="shared" si="183"/>
        <v>-9938.142294</v>
      </c>
      <c r="P130" s="485">
        <f t="shared" si="183"/>
        <v>-13096.9737</v>
      </c>
      <c r="Q130" s="485">
        <f t="shared" si="183"/>
        <v>-13096.9737</v>
      </c>
      <c r="R130" s="485">
        <f t="shared" si="183"/>
        <v>-12391.57415</v>
      </c>
      <c r="S130" s="485">
        <f t="shared" si="183"/>
        <v>-13991.8662</v>
      </c>
      <c r="T130" s="415">
        <f t="shared" si="153"/>
        <v>-77966.37465</v>
      </c>
      <c r="U130" s="481"/>
      <c r="V130" s="421"/>
    </row>
    <row r="131" ht="9.75" hidden="1" customHeight="1" outlineLevel="1">
      <c r="A131" s="385"/>
      <c r="B131" s="385"/>
      <c r="C131" s="489" t="s">
        <v>359</v>
      </c>
      <c r="D131" s="490">
        <v>-0.05354700822383582</v>
      </c>
      <c r="E131" s="411"/>
      <c r="F131" s="392"/>
      <c r="G131" s="485">
        <f t="shared" ref="G131:J131" si="184">$D131*G$52</f>
        <v>-757307.9655</v>
      </c>
      <c r="H131" s="485">
        <f t="shared" si="184"/>
        <v>-619288.4732</v>
      </c>
      <c r="I131" s="485">
        <f t="shared" si="184"/>
        <v>-437078.775</v>
      </c>
      <c r="J131" s="485">
        <f t="shared" si="184"/>
        <v>-263742.4155</v>
      </c>
      <c r="K131" s="415">
        <f t="shared" si="151"/>
        <v>-2077417.629</v>
      </c>
      <c r="L131" s="485">
        <f t="shared" ref="L131:S131" si="185">$D131*L$52</f>
        <v>-213425.5096</v>
      </c>
      <c r="M131" s="485">
        <f t="shared" si="185"/>
        <v>-324678.1356</v>
      </c>
      <c r="N131" s="485">
        <f t="shared" si="185"/>
        <v>-437078.775</v>
      </c>
      <c r="O131" s="485">
        <f t="shared" si="185"/>
        <v>-627247.3711</v>
      </c>
      <c r="P131" s="485">
        <f t="shared" si="185"/>
        <v>-826617.4989</v>
      </c>
      <c r="Q131" s="485">
        <f t="shared" si="185"/>
        <v>-826617.4989</v>
      </c>
      <c r="R131" s="485">
        <f t="shared" si="185"/>
        <v>-782096.0981</v>
      </c>
      <c r="S131" s="485">
        <f t="shared" si="185"/>
        <v>-883098.7754</v>
      </c>
      <c r="T131" s="415">
        <f t="shared" si="153"/>
        <v>-4920859.663</v>
      </c>
      <c r="U131" s="481"/>
      <c r="V131" s="421"/>
    </row>
    <row r="132" ht="9.75" hidden="1" customHeight="1" outlineLevel="1">
      <c r="A132" s="385"/>
      <c r="B132" s="385"/>
      <c r="C132" s="489" t="s">
        <v>715</v>
      </c>
      <c r="D132" s="490">
        <v>0.0</v>
      </c>
      <c r="E132" s="411"/>
      <c r="F132" s="392"/>
      <c r="G132" s="485">
        <f t="shared" ref="G132:J132" si="186">$D132*G$52</f>
        <v>0</v>
      </c>
      <c r="H132" s="485">
        <f t="shared" si="186"/>
        <v>0</v>
      </c>
      <c r="I132" s="485">
        <f t="shared" si="186"/>
        <v>0</v>
      </c>
      <c r="J132" s="485">
        <f t="shared" si="186"/>
        <v>0</v>
      </c>
      <c r="K132" s="415">
        <f t="shared" si="151"/>
        <v>0</v>
      </c>
      <c r="L132" s="485">
        <f t="shared" ref="L132:S132" si="187">$D132*L$52</f>
        <v>0</v>
      </c>
      <c r="M132" s="485">
        <f t="shared" si="187"/>
        <v>0</v>
      </c>
      <c r="N132" s="485">
        <f t="shared" si="187"/>
        <v>0</v>
      </c>
      <c r="O132" s="485">
        <f t="shared" si="187"/>
        <v>0</v>
      </c>
      <c r="P132" s="485">
        <f t="shared" si="187"/>
        <v>0</v>
      </c>
      <c r="Q132" s="485">
        <f t="shared" si="187"/>
        <v>0</v>
      </c>
      <c r="R132" s="485">
        <f t="shared" si="187"/>
        <v>0</v>
      </c>
      <c r="S132" s="485">
        <f t="shared" si="187"/>
        <v>0</v>
      </c>
      <c r="T132" s="415">
        <f t="shared" si="153"/>
        <v>0</v>
      </c>
      <c r="U132" s="481"/>
      <c r="V132" s="421"/>
    </row>
    <row r="133" ht="9.75" hidden="1" customHeight="1" outlineLevel="1">
      <c r="A133" s="385"/>
      <c r="B133" s="385"/>
      <c r="C133" s="489" t="s">
        <v>716</v>
      </c>
      <c r="D133" s="490">
        <v>-0.007804642358078692</v>
      </c>
      <c r="E133" s="411"/>
      <c r="F133" s="392"/>
      <c r="G133" s="485">
        <f t="shared" ref="G133:J133" si="188">$D133*G$52</f>
        <v>-110379.9824</v>
      </c>
      <c r="H133" s="485">
        <f t="shared" si="188"/>
        <v>-90263.21376</v>
      </c>
      <c r="I133" s="485">
        <f t="shared" si="188"/>
        <v>-63705.58569</v>
      </c>
      <c r="J133" s="485">
        <f t="shared" si="188"/>
        <v>-38441.27424</v>
      </c>
      <c r="K133" s="415">
        <f t="shared" si="151"/>
        <v>-302790.0561</v>
      </c>
      <c r="L133" s="485">
        <f t="shared" ref="L133:S133" si="189">$D133*L$52</f>
        <v>-31107.4293</v>
      </c>
      <c r="M133" s="485">
        <f t="shared" si="189"/>
        <v>-47322.84424</v>
      </c>
      <c r="N133" s="485">
        <f t="shared" si="189"/>
        <v>-63705.58569</v>
      </c>
      <c r="O133" s="485">
        <f t="shared" si="189"/>
        <v>-91423.2478</v>
      </c>
      <c r="P133" s="485">
        <f t="shared" si="189"/>
        <v>-120482.0616</v>
      </c>
      <c r="Q133" s="485">
        <f t="shared" si="189"/>
        <v>-120482.0616</v>
      </c>
      <c r="R133" s="485">
        <f t="shared" si="189"/>
        <v>-113992.9295</v>
      </c>
      <c r="S133" s="485">
        <f t="shared" si="189"/>
        <v>-128714.3827</v>
      </c>
      <c r="T133" s="415">
        <f t="shared" si="153"/>
        <v>-717230.5426</v>
      </c>
      <c r="U133" s="481"/>
      <c r="V133" s="421"/>
    </row>
    <row r="134" ht="9.75" hidden="1" customHeight="1" outlineLevel="1">
      <c r="A134" s="385"/>
      <c r="B134" s="385"/>
      <c r="C134" s="489" t="s">
        <v>717</v>
      </c>
      <c r="D134" s="490">
        <v>-0.012058709975557608</v>
      </c>
      <c r="E134" s="411"/>
      <c r="F134" s="392"/>
      <c r="G134" s="485">
        <f t="shared" ref="G134:J134" si="190">$D134*G$52</f>
        <v>-170544.6751</v>
      </c>
      <c r="H134" s="485">
        <f t="shared" si="190"/>
        <v>-139462.882</v>
      </c>
      <c r="I134" s="485">
        <f t="shared" si="190"/>
        <v>-98429.51752</v>
      </c>
      <c r="J134" s="485">
        <f t="shared" si="190"/>
        <v>-59394.41628</v>
      </c>
      <c r="K134" s="415">
        <f t="shared" si="151"/>
        <v>-467831.4909</v>
      </c>
      <c r="L134" s="485">
        <f t="shared" ref="L134:S134" si="191">$D134*L$52</f>
        <v>-48063.12074</v>
      </c>
      <c r="M134" s="485">
        <f t="shared" si="191"/>
        <v>-73117.05364</v>
      </c>
      <c r="N134" s="485">
        <f t="shared" si="191"/>
        <v>-98429.51752</v>
      </c>
      <c r="O134" s="485">
        <f t="shared" si="191"/>
        <v>-141255.2145</v>
      </c>
      <c r="P134" s="485">
        <f t="shared" si="191"/>
        <v>-186153.0833</v>
      </c>
      <c r="Q134" s="485">
        <f t="shared" si="191"/>
        <v>-186153.0833</v>
      </c>
      <c r="R134" s="485">
        <f t="shared" si="191"/>
        <v>-176126.9272</v>
      </c>
      <c r="S134" s="485">
        <f t="shared" si="191"/>
        <v>-198872.5863</v>
      </c>
      <c r="T134" s="415">
        <f t="shared" si="153"/>
        <v>-1108170.586</v>
      </c>
      <c r="U134" s="481"/>
      <c r="V134" s="421"/>
    </row>
    <row r="135" ht="9.75" hidden="1" customHeight="1" outlineLevel="1">
      <c r="A135" s="385"/>
      <c r="B135" s="385"/>
      <c r="C135" s="489" t="s">
        <v>718</v>
      </c>
      <c r="D135" s="490">
        <v>0.0</v>
      </c>
      <c r="E135" s="411"/>
      <c r="F135" s="392"/>
      <c r="G135" s="485">
        <f t="shared" ref="G135:J135" si="192">$D135*G$52</f>
        <v>0</v>
      </c>
      <c r="H135" s="485">
        <f t="shared" si="192"/>
        <v>0</v>
      </c>
      <c r="I135" s="485">
        <f t="shared" si="192"/>
        <v>0</v>
      </c>
      <c r="J135" s="485">
        <f t="shared" si="192"/>
        <v>0</v>
      </c>
      <c r="K135" s="415">
        <f t="shared" si="151"/>
        <v>0</v>
      </c>
      <c r="L135" s="485">
        <f t="shared" ref="L135:S135" si="193">$D135*L$52</f>
        <v>0</v>
      </c>
      <c r="M135" s="485">
        <f t="shared" si="193"/>
        <v>0</v>
      </c>
      <c r="N135" s="485">
        <f t="shared" si="193"/>
        <v>0</v>
      </c>
      <c r="O135" s="485">
        <f t="shared" si="193"/>
        <v>0</v>
      </c>
      <c r="P135" s="485">
        <f t="shared" si="193"/>
        <v>0</v>
      </c>
      <c r="Q135" s="485">
        <f t="shared" si="193"/>
        <v>0</v>
      </c>
      <c r="R135" s="485">
        <f t="shared" si="193"/>
        <v>0</v>
      </c>
      <c r="S135" s="485">
        <f t="shared" si="193"/>
        <v>0</v>
      </c>
      <c r="T135" s="415">
        <f t="shared" si="153"/>
        <v>0</v>
      </c>
      <c r="U135" s="481"/>
      <c r="V135" s="421"/>
    </row>
    <row r="136" ht="9.75" hidden="1" customHeight="1" outlineLevel="1">
      <c r="A136" s="385"/>
      <c r="B136" s="385"/>
      <c r="C136" s="489" t="s">
        <v>719</v>
      </c>
      <c r="D136" s="490">
        <v>-0.006131547445198783</v>
      </c>
      <c r="E136" s="411"/>
      <c r="F136" s="392"/>
      <c r="G136" s="485">
        <f t="shared" ref="G136:J136" si="194">$D136*G$52</f>
        <v>-86717.63139</v>
      </c>
      <c r="H136" s="485">
        <f t="shared" si="194"/>
        <v>-70913.32983</v>
      </c>
      <c r="I136" s="485">
        <f t="shared" si="194"/>
        <v>-50048.90721</v>
      </c>
      <c r="J136" s="485">
        <f t="shared" si="194"/>
        <v>-30200.55065</v>
      </c>
      <c r="K136" s="415">
        <f t="shared" si="151"/>
        <v>-237880.4191</v>
      </c>
      <c r="L136" s="485">
        <f t="shared" ref="L136:S136" si="195">$D136*L$52</f>
        <v>-24438.87495</v>
      </c>
      <c r="M136" s="485">
        <f t="shared" si="195"/>
        <v>-37178.16287</v>
      </c>
      <c r="N136" s="485">
        <f t="shared" si="195"/>
        <v>-50048.90721</v>
      </c>
      <c r="O136" s="485">
        <f t="shared" si="195"/>
        <v>-71824.68533</v>
      </c>
      <c r="P136" s="485">
        <f t="shared" si="195"/>
        <v>-94654.11013</v>
      </c>
      <c r="Q136" s="485">
        <f t="shared" si="195"/>
        <v>-94654.11013</v>
      </c>
      <c r="R136" s="485">
        <f t="shared" si="195"/>
        <v>-89556.06469</v>
      </c>
      <c r="S136" s="485">
        <f t="shared" si="195"/>
        <v>-101121.654</v>
      </c>
      <c r="T136" s="415">
        <f t="shared" si="153"/>
        <v>-563476.5693</v>
      </c>
      <c r="U136" s="481"/>
      <c r="V136" s="421"/>
    </row>
    <row r="137" ht="9.75" hidden="1" customHeight="1" outlineLevel="1">
      <c r="A137" s="385"/>
      <c r="B137" s="385"/>
      <c r="C137" s="489" t="s">
        <v>720</v>
      </c>
      <c r="D137" s="490">
        <v>-0.0010219245741997973</v>
      </c>
      <c r="E137" s="411"/>
      <c r="F137" s="392"/>
      <c r="G137" s="485">
        <f t="shared" ref="G137:J137" si="196">$D137*G$52</f>
        <v>-14452.93856</v>
      </c>
      <c r="H137" s="485">
        <f t="shared" si="196"/>
        <v>-11818.8883</v>
      </c>
      <c r="I137" s="485">
        <f t="shared" si="196"/>
        <v>-8341.484535</v>
      </c>
      <c r="J137" s="485">
        <f t="shared" si="196"/>
        <v>-5033.425108</v>
      </c>
      <c r="K137" s="415">
        <f t="shared" si="151"/>
        <v>-39646.73651</v>
      </c>
      <c r="L137" s="485">
        <f t="shared" ref="L137:S137" si="197">$D137*L$52</f>
        <v>-4073.145825</v>
      </c>
      <c r="M137" s="485">
        <f t="shared" si="197"/>
        <v>-6196.360478</v>
      </c>
      <c r="N137" s="485">
        <f t="shared" si="197"/>
        <v>-8341.484535</v>
      </c>
      <c r="O137" s="485">
        <f t="shared" si="197"/>
        <v>-11970.78089</v>
      </c>
      <c r="P137" s="485">
        <f t="shared" si="197"/>
        <v>-15775.68502</v>
      </c>
      <c r="Q137" s="485">
        <f t="shared" si="197"/>
        <v>-15775.68502</v>
      </c>
      <c r="R137" s="485">
        <f t="shared" si="197"/>
        <v>-14926.01078</v>
      </c>
      <c r="S137" s="485">
        <f t="shared" si="197"/>
        <v>-16853.60901</v>
      </c>
      <c r="T137" s="415">
        <f t="shared" si="153"/>
        <v>-93912.76156</v>
      </c>
      <c r="U137" s="481"/>
      <c r="V137" s="421"/>
    </row>
    <row r="138" ht="9.75" hidden="1" customHeight="1" outlineLevel="1">
      <c r="A138" s="385"/>
      <c r="B138" s="385"/>
      <c r="C138" s="477" t="s">
        <v>675</v>
      </c>
      <c r="D138" s="484"/>
      <c r="E138" s="411"/>
      <c r="F138" s="396"/>
      <c r="G138" s="488">
        <f t="shared" ref="G138:J138" si="198">SUM(G139)</f>
        <v>-7487.452647</v>
      </c>
      <c r="H138" s="488">
        <f t="shared" si="198"/>
        <v>-5443.117825</v>
      </c>
      <c r="I138" s="488">
        <f t="shared" si="198"/>
        <v>-3609.170174</v>
      </c>
      <c r="J138" s="488">
        <f t="shared" si="198"/>
        <v>-2196.022414</v>
      </c>
      <c r="K138" s="415">
        <f t="shared" si="151"/>
        <v>-18735.76306</v>
      </c>
      <c r="L138" s="488">
        <f t="shared" ref="L138:S138" si="199">SUM(L139)</f>
        <v>-1484.453425</v>
      </c>
      <c r="M138" s="488">
        <f t="shared" si="199"/>
        <v>-2302.009109</v>
      </c>
      <c r="N138" s="488">
        <f t="shared" si="199"/>
        <v>-3567.923121</v>
      </c>
      <c r="O138" s="488">
        <f t="shared" si="199"/>
        <v>-5567.714395</v>
      </c>
      <c r="P138" s="488">
        <f t="shared" si="199"/>
        <v>-7554.874614</v>
      </c>
      <c r="Q138" s="488">
        <f t="shared" si="199"/>
        <v>-7534.960695</v>
      </c>
      <c r="R138" s="488">
        <f t="shared" si="199"/>
        <v>-7169.002592</v>
      </c>
      <c r="S138" s="488">
        <f t="shared" si="199"/>
        <v>-8069.244755</v>
      </c>
      <c r="T138" s="415">
        <f t="shared" si="153"/>
        <v>-43250.18271</v>
      </c>
      <c r="U138" s="416">
        <f t="shared" ref="U138:U140" si="202">SUM(K138+T138)</f>
        <v>-61985.94577</v>
      </c>
      <c r="V138" s="421"/>
    </row>
    <row r="139" ht="9.75" hidden="1" customHeight="1" outlineLevel="1">
      <c r="A139" s="385"/>
      <c r="B139" s="385"/>
      <c r="C139" s="397" t="s">
        <v>721</v>
      </c>
      <c r="D139" s="479">
        <v>-0.0199</v>
      </c>
      <c r="E139" s="411"/>
      <c r="F139" s="396"/>
      <c r="G139" s="485">
        <f t="shared" ref="G139:J139" si="200">$D139*G$69</f>
        <v>-7487.452647</v>
      </c>
      <c r="H139" s="485">
        <f t="shared" si="200"/>
        <v>-5443.117825</v>
      </c>
      <c r="I139" s="485">
        <f t="shared" si="200"/>
        <v>-3609.170174</v>
      </c>
      <c r="J139" s="485">
        <f t="shared" si="200"/>
        <v>-2196.022414</v>
      </c>
      <c r="K139" s="415">
        <f t="shared" si="151"/>
        <v>-18735.76306</v>
      </c>
      <c r="L139" s="485">
        <f t="shared" ref="L139:S139" si="201">$D139*L$69</f>
        <v>-1484.453425</v>
      </c>
      <c r="M139" s="485">
        <f t="shared" si="201"/>
        <v>-2302.009109</v>
      </c>
      <c r="N139" s="485">
        <f t="shared" si="201"/>
        <v>-3567.923121</v>
      </c>
      <c r="O139" s="485">
        <f t="shared" si="201"/>
        <v>-5567.714395</v>
      </c>
      <c r="P139" s="485">
        <f t="shared" si="201"/>
        <v>-7554.874614</v>
      </c>
      <c r="Q139" s="485">
        <f t="shared" si="201"/>
        <v>-7534.960695</v>
      </c>
      <c r="R139" s="485">
        <f t="shared" si="201"/>
        <v>-7169.002592</v>
      </c>
      <c r="S139" s="485">
        <f t="shared" si="201"/>
        <v>-8069.244755</v>
      </c>
      <c r="T139" s="415">
        <f t="shared" si="153"/>
        <v>-43250.18271</v>
      </c>
      <c r="U139" s="416">
        <f t="shared" si="202"/>
        <v>-61985.94577</v>
      </c>
      <c r="V139" s="421"/>
    </row>
    <row r="140" ht="9.75" customHeight="1" collapsed="1">
      <c r="A140" s="385"/>
      <c r="B140" s="385"/>
      <c r="C140" s="493" t="s">
        <v>219</v>
      </c>
      <c r="D140" s="494"/>
      <c r="E140" s="495"/>
      <c r="F140" s="494"/>
      <c r="G140" s="496">
        <f t="shared" ref="G140:J140" si="203">G17+G80+G91</f>
        <v>10074300.52</v>
      </c>
      <c r="H140" s="496">
        <f t="shared" si="203"/>
        <v>7619961.586</v>
      </c>
      <c r="I140" s="496">
        <f t="shared" si="203"/>
        <v>5185780.386</v>
      </c>
      <c r="J140" s="496">
        <f t="shared" si="203"/>
        <v>3226139.393</v>
      </c>
      <c r="K140" s="415">
        <f t="shared" si="151"/>
        <v>26106181.89</v>
      </c>
      <c r="L140" s="496">
        <f t="shared" ref="L140:S140" si="204">L17+L80+L91</f>
        <v>2251363.174</v>
      </c>
      <c r="M140" s="496">
        <f t="shared" si="204"/>
        <v>3456503.374</v>
      </c>
      <c r="N140" s="496">
        <f t="shared" si="204"/>
        <v>5350205.501</v>
      </c>
      <c r="O140" s="496">
        <f t="shared" si="204"/>
        <v>7894823.831</v>
      </c>
      <c r="P140" s="496">
        <f t="shared" si="204"/>
        <v>10678654.57</v>
      </c>
      <c r="Q140" s="496">
        <f t="shared" si="204"/>
        <v>10878214.49</v>
      </c>
      <c r="R140" s="496">
        <f t="shared" si="204"/>
        <v>10200061.06</v>
      </c>
      <c r="S140" s="496">
        <f t="shared" si="204"/>
        <v>11215038.5</v>
      </c>
      <c r="T140" s="415">
        <f t="shared" si="153"/>
        <v>61924864.49</v>
      </c>
      <c r="U140" s="416">
        <f t="shared" si="202"/>
        <v>88031046.38</v>
      </c>
      <c r="V140" s="421"/>
    </row>
    <row r="141" ht="9.75" customHeight="1">
      <c r="A141" s="385"/>
      <c r="B141" s="385"/>
      <c r="C141" s="493" t="s">
        <v>722</v>
      </c>
      <c r="D141" s="494"/>
      <c r="E141" s="497"/>
      <c r="F141" s="494"/>
      <c r="G141" s="498">
        <f t="shared" ref="G141:S141" si="205">IFERROR(G140/G17,"")</f>
        <v>0.1258437779</v>
      </c>
      <c r="H141" s="498">
        <f t="shared" si="205"/>
        <v>0.1309350688</v>
      </c>
      <c r="I141" s="498">
        <f t="shared" si="205"/>
        <v>0.134387135</v>
      </c>
      <c r="J141" s="498">
        <f t="shared" si="205"/>
        <v>0.1374033414</v>
      </c>
      <c r="K141" s="498">
        <f t="shared" si="205"/>
        <v>0.130323552</v>
      </c>
      <c r="L141" s="498">
        <f t="shared" si="205"/>
        <v>0.1418501882</v>
      </c>
      <c r="M141" s="498">
        <f t="shared" si="205"/>
        <v>0.140436786</v>
      </c>
      <c r="N141" s="498">
        <f t="shared" si="205"/>
        <v>0.1402509818</v>
      </c>
      <c r="O141" s="498">
        <f t="shared" si="205"/>
        <v>0.1326222612</v>
      </c>
      <c r="P141" s="498">
        <f t="shared" si="205"/>
        <v>0.1322026655</v>
      </c>
      <c r="Q141" s="498">
        <f t="shared" si="205"/>
        <v>0.1350291584</v>
      </c>
      <c r="R141" s="498">
        <f t="shared" si="205"/>
        <v>0.1330745384</v>
      </c>
      <c r="S141" s="498">
        <f t="shared" si="205"/>
        <v>0.1299926551</v>
      </c>
      <c r="T141" s="498">
        <f t="shared" ref="T141:U141" si="206">T140/T17</f>
        <v>0.1339146384</v>
      </c>
      <c r="U141" s="499">
        <f t="shared" si="206"/>
        <v>0.1328292029</v>
      </c>
      <c r="V141" s="470"/>
    </row>
    <row r="142" ht="9.75" hidden="1" customHeight="1" outlineLevel="1">
      <c r="A142" s="385"/>
      <c r="B142" s="385"/>
      <c r="C142" s="500"/>
      <c r="D142" s="494"/>
      <c r="E142" s="497"/>
      <c r="F142" s="494"/>
      <c r="G142" s="497"/>
      <c r="H142" s="497"/>
      <c r="I142" s="497"/>
      <c r="J142" s="497"/>
      <c r="K142" s="497"/>
      <c r="L142" s="497"/>
      <c r="M142" s="497"/>
      <c r="N142" s="497"/>
      <c r="O142" s="497"/>
      <c r="P142" s="497"/>
      <c r="Q142" s="497"/>
      <c r="R142" s="497"/>
      <c r="S142" s="497"/>
      <c r="T142" s="497"/>
      <c r="U142" s="481"/>
      <c r="V142" s="470"/>
    </row>
    <row r="143" ht="9.75" hidden="1" customHeight="1" outlineLevel="1">
      <c r="A143" s="385"/>
      <c r="B143" s="385"/>
      <c r="C143" s="493" t="s">
        <v>723</v>
      </c>
      <c r="D143" s="494"/>
      <c r="E143" s="497"/>
      <c r="F143" s="494"/>
      <c r="G143" s="501">
        <f t="shared" ref="G143:J143" si="207">G18+G81+G92</f>
        <v>5001761.419</v>
      </c>
      <c r="H143" s="501">
        <f t="shared" si="207"/>
        <v>3495796.296</v>
      </c>
      <c r="I143" s="501">
        <f t="shared" si="207"/>
        <v>2250792.638</v>
      </c>
      <c r="J143" s="501">
        <f t="shared" si="207"/>
        <v>1318916.85</v>
      </c>
      <c r="K143" s="497"/>
      <c r="L143" s="501">
        <f t="shared" ref="L143:S143" si="208">L18+L81+L92</f>
        <v>875308.2483</v>
      </c>
      <c r="M143" s="501">
        <f t="shared" si="208"/>
        <v>1375484.39</v>
      </c>
      <c r="N143" s="501">
        <f t="shared" si="208"/>
        <v>2076202.853</v>
      </c>
      <c r="O143" s="501">
        <f t="shared" si="208"/>
        <v>3501232.993</v>
      </c>
      <c r="P143" s="501">
        <f t="shared" si="208"/>
        <v>4751673.348</v>
      </c>
      <c r="Q143" s="501">
        <f t="shared" si="208"/>
        <v>4584947.967</v>
      </c>
      <c r="R143" s="501">
        <f t="shared" si="208"/>
        <v>4461030.454</v>
      </c>
      <c r="S143" s="501">
        <f t="shared" si="208"/>
        <v>5206160.323</v>
      </c>
      <c r="T143" s="497"/>
      <c r="U143" s="481"/>
      <c r="V143" s="470"/>
    </row>
    <row r="144" ht="9.75" hidden="1" customHeight="1" outlineLevel="1">
      <c r="A144" s="385"/>
      <c r="B144" s="385"/>
      <c r="C144" s="493" t="s">
        <v>724</v>
      </c>
      <c r="D144" s="494"/>
      <c r="E144" s="497"/>
      <c r="F144" s="494"/>
      <c r="G144" s="498">
        <f t="shared" ref="G144:J144" si="209">G143/G18</f>
        <v>0.08336269031</v>
      </c>
      <c r="H144" s="498">
        <f t="shared" si="209"/>
        <v>0.08336269031</v>
      </c>
      <c r="I144" s="498">
        <f t="shared" si="209"/>
        <v>0.08336269031</v>
      </c>
      <c r="J144" s="498">
        <f t="shared" si="209"/>
        <v>0.08336269031</v>
      </c>
      <c r="K144" s="497"/>
      <c r="L144" s="498">
        <f t="shared" ref="L144:S144" si="210">L143/L18</f>
        <v>0.08336269031</v>
      </c>
      <c r="M144" s="498">
        <f t="shared" si="210"/>
        <v>0.08336269031</v>
      </c>
      <c r="N144" s="498">
        <f t="shared" si="210"/>
        <v>0.08336269031</v>
      </c>
      <c r="O144" s="498">
        <f t="shared" si="210"/>
        <v>0.08336269031</v>
      </c>
      <c r="P144" s="498">
        <f t="shared" si="210"/>
        <v>0.08336269031</v>
      </c>
      <c r="Q144" s="498">
        <f t="shared" si="210"/>
        <v>0.08336269031</v>
      </c>
      <c r="R144" s="498">
        <f t="shared" si="210"/>
        <v>0.08336269031</v>
      </c>
      <c r="S144" s="498">
        <f t="shared" si="210"/>
        <v>0.08336269031</v>
      </c>
      <c r="T144" s="497"/>
      <c r="U144" s="481"/>
      <c r="V144" s="470"/>
    </row>
    <row r="145" ht="9.75" hidden="1" customHeight="1" outlineLevel="1">
      <c r="A145" s="385"/>
      <c r="B145" s="385"/>
      <c r="C145" s="500"/>
      <c r="D145" s="494"/>
      <c r="E145" s="497"/>
      <c r="F145" s="494"/>
      <c r="G145" s="497"/>
      <c r="H145" s="497"/>
      <c r="I145" s="497"/>
      <c r="J145" s="497"/>
      <c r="K145" s="497"/>
      <c r="L145" s="497"/>
      <c r="M145" s="497"/>
      <c r="N145" s="497"/>
      <c r="O145" s="497"/>
      <c r="P145" s="497"/>
      <c r="Q145" s="497"/>
      <c r="R145" s="497"/>
      <c r="S145" s="497"/>
      <c r="T145" s="497"/>
      <c r="U145" s="481"/>
      <c r="V145" s="470"/>
    </row>
    <row r="146" ht="9.75" hidden="1" customHeight="1" outlineLevel="1">
      <c r="A146" s="385"/>
      <c r="B146" s="385"/>
      <c r="C146" s="493" t="s">
        <v>725</v>
      </c>
      <c r="D146" s="494"/>
      <c r="E146" s="497"/>
      <c r="F146" s="494"/>
      <c r="G146" s="501">
        <f t="shared" ref="G146:J146" si="211">G37+G84+G101</f>
        <v>1134060.819</v>
      </c>
      <c r="H146" s="501">
        <f t="shared" si="211"/>
        <v>906211.3349</v>
      </c>
      <c r="I146" s="501">
        <f t="shared" si="211"/>
        <v>664769.5834</v>
      </c>
      <c r="J146" s="501">
        <f t="shared" si="211"/>
        <v>537252.5738</v>
      </c>
      <c r="K146" s="497"/>
      <c r="L146" s="501">
        <f t="shared" ref="L146:S146" si="212">L37+L84+L101</f>
        <v>268626.2869</v>
      </c>
      <c r="M146" s="501">
        <f t="shared" si="212"/>
        <v>396143.2965</v>
      </c>
      <c r="N146" s="501">
        <f t="shared" si="212"/>
        <v>1003950.509</v>
      </c>
      <c r="O146" s="501">
        <f t="shared" si="212"/>
        <v>1134060.819</v>
      </c>
      <c r="P146" s="501">
        <f t="shared" si="212"/>
        <v>1630536.59</v>
      </c>
      <c r="Q146" s="501">
        <f t="shared" si="212"/>
        <v>1996902.05</v>
      </c>
      <c r="R146" s="501">
        <f t="shared" si="212"/>
        <v>1673906.693</v>
      </c>
      <c r="S146" s="501">
        <f t="shared" si="212"/>
        <v>1418872.674</v>
      </c>
      <c r="T146" s="497"/>
      <c r="U146" s="481"/>
      <c r="V146" s="470"/>
    </row>
    <row r="147" ht="9.75" hidden="1" customHeight="1" outlineLevel="1">
      <c r="A147" s="385"/>
      <c r="B147" s="385"/>
      <c r="C147" s="493" t="s">
        <v>726</v>
      </c>
      <c r="D147" s="494"/>
      <c r="E147" s="497"/>
      <c r="F147" s="494"/>
      <c r="G147" s="498">
        <f t="shared" ref="G147:J147" si="213">G146/G37</f>
        <v>0.2048925372</v>
      </c>
      <c r="H147" s="498">
        <f t="shared" si="213"/>
        <v>0.2048925372</v>
      </c>
      <c r="I147" s="498">
        <f t="shared" si="213"/>
        <v>0.2048925372</v>
      </c>
      <c r="J147" s="498">
        <f t="shared" si="213"/>
        <v>0.2048925372</v>
      </c>
      <c r="K147" s="497"/>
      <c r="L147" s="498">
        <f t="shared" ref="L147:S147" si="214">L146/L37</f>
        <v>0.2048925372</v>
      </c>
      <c r="M147" s="498">
        <f t="shared" si="214"/>
        <v>0.2048925372</v>
      </c>
      <c r="N147" s="498">
        <f t="shared" si="214"/>
        <v>0.2048925372</v>
      </c>
      <c r="O147" s="498">
        <f t="shared" si="214"/>
        <v>0.2048925372</v>
      </c>
      <c r="P147" s="498">
        <f t="shared" si="214"/>
        <v>0.2048925372</v>
      </c>
      <c r="Q147" s="498">
        <f t="shared" si="214"/>
        <v>0.2048925372</v>
      </c>
      <c r="R147" s="498">
        <f t="shared" si="214"/>
        <v>0.2048925372</v>
      </c>
      <c r="S147" s="498">
        <f t="shared" si="214"/>
        <v>0.2048925372</v>
      </c>
      <c r="T147" s="497"/>
      <c r="U147" s="481"/>
      <c r="V147" s="470"/>
    </row>
    <row r="148" ht="9.75" hidden="1" customHeight="1" outlineLevel="1">
      <c r="A148" s="385"/>
      <c r="B148" s="385"/>
      <c r="C148" s="500"/>
      <c r="D148" s="494"/>
      <c r="E148" s="497"/>
      <c r="F148" s="494"/>
      <c r="G148" s="497"/>
      <c r="H148" s="497"/>
      <c r="I148" s="497"/>
      <c r="J148" s="497"/>
      <c r="K148" s="497"/>
      <c r="L148" s="497"/>
      <c r="M148" s="497"/>
      <c r="N148" s="497"/>
      <c r="O148" s="497"/>
      <c r="P148" s="497"/>
      <c r="Q148" s="497"/>
      <c r="R148" s="497"/>
      <c r="S148" s="497"/>
      <c r="T148" s="497"/>
      <c r="U148" s="481"/>
      <c r="V148" s="470"/>
    </row>
    <row r="149" ht="9.75" hidden="1" customHeight="1" outlineLevel="1">
      <c r="A149" s="385"/>
      <c r="B149" s="385"/>
      <c r="C149" s="493" t="s">
        <v>727</v>
      </c>
      <c r="D149" s="494"/>
      <c r="E149" s="497"/>
      <c r="F149" s="494"/>
      <c r="G149" s="501">
        <f t="shared" ref="G149:J149" si="215">G52+G105</f>
        <v>3908340.347</v>
      </c>
      <c r="H149" s="501">
        <f t="shared" si="215"/>
        <v>3196044.722</v>
      </c>
      <c r="I149" s="501">
        <f t="shared" si="215"/>
        <v>2255690.801</v>
      </c>
      <c r="J149" s="501">
        <f t="shared" si="215"/>
        <v>1361130.703</v>
      </c>
      <c r="K149" s="497"/>
      <c r="L149" s="501">
        <f t="shared" ref="L149:S149" si="216">L52+L105</f>
        <v>1101453.528</v>
      </c>
      <c r="M149" s="501">
        <f t="shared" si="216"/>
        <v>1675609.811</v>
      </c>
      <c r="N149" s="501">
        <f t="shared" si="216"/>
        <v>2255690.801</v>
      </c>
      <c r="O149" s="501">
        <f t="shared" si="216"/>
        <v>3237119.269</v>
      </c>
      <c r="P149" s="501">
        <f t="shared" si="216"/>
        <v>4266035.311</v>
      </c>
      <c r="Q149" s="501">
        <f t="shared" si="216"/>
        <v>4266035.311</v>
      </c>
      <c r="R149" s="501">
        <f t="shared" si="216"/>
        <v>4036267.773</v>
      </c>
      <c r="S149" s="501">
        <f t="shared" si="216"/>
        <v>4557525.777</v>
      </c>
      <c r="T149" s="497"/>
      <c r="U149" s="481"/>
      <c r="V149" s="470"/>
    </row>
    <row r="150" ht="9.75" hidden="1" customHeight="1" outlineLevel="1">
      <c r="A150" s="385"/>
      <c r="B150" s="385"/>
      <c r="C150" s="493" t="s">
        <v>728</v>
      </c>
      <c r="D150" s="494"/>
      <c r="E150" s="497"/>
      <c r="F150" s="494"/>
      <c r="G150" s="498">
        <f t="shared" ref="G150:J150" si="217">G149/G52</f>
        <v>0.2763471959</v>
      </c>
      <c r="H150" s="498">
        <f t="shared" si="217"/>
        <v>0.2763471959</v>
      </c>
      <c r="I150" s="498">
        <f t="shared" si="217"/>
        <v>0.2763471959</v>
      </c>
      <c r="J150" s="498">
        <f t="shared" si="217"/>
        <v>0.2763471959</v>
      </c>
      <c r="K150" s="497"/>
      <c r="L150" s="498">
        <f t="shared" ref="L150:S150" si="218">L149/L52</f>
        <v>0.2763471959</v>
      </c>
      <c r="M150" s="498">
        <f t="shared" si="218"/>
        <v>0.2763471959</v>
      </c>
      <c r="N150" s="498">
        <f t="shared" si="218"/>
        <v>0.2763471959</v>
      </c>
      <c r="O150" s="498">
        <f t="shared" si="218"/>
        <v>0.2763471959</v>
      </c>
      <c r="P150" s="498">
        <f t="shared" si="218"/>
        <v>0.2763471959</v>
      </c>
      <c r="Q150" s="498">
        <f t="shared" si="218"/>
        <v>0.2763471959</v>
      </c>
      <c r="R150" s="498">
        <f t="shared" si="218"/>
        <v>0.2763471959</v>
      </c>
      <c r="S150" s="498">
        <f t="shared" si="218"/>
        <v>0.2763471959</v>
      </c>
      <c r="T150" s="497"/>
      <c r="U150" s="481"/>
      <c r="V150" s="470"/>
    </row>
    <row r="151" ht="9.75" hidden="1" customHeight="1" outlineLevel="1">
      <c r="A151" s="385"/>
      <c r="B151" s="385"/>
      <c r="C151" s="500"/>
      <c r="D151" s="494"/>
      <c r="E151" s="497"/>
      <c r="F151" s="494"/>
      <c r="G151" s="497"/>
      <c r="H151" s="497"/>
      <c r="I151" s="497"/>
      <c r="J151" s="497"/>
      <c r="K151" s="497"/>
      <c r="L151" s="497"/>
      <c r="M151" s="497"/>
      <c r="N151" s="497"/>
      <c r="O151" s="497"/>
      <c r="P151" s="497"/>
      <c r="Q151" s="497"/>
      <c r="R151" s="497"/>
      <c r="S151" s="497"/>
      <c r="T151" s="497"/>
      <c r="U151" s="481"/>
      <c r="V151" s="470"/>
    </row>
    <row r="152" ht="9.75" hidden="1" customHeight="1" outlineLevel="1">
      <c r="A152" s="385"/>
      <c r="B152" s="385"/>
      <c r="C152" s="493" t="s">
        <v>729</v>
      </c>
      <c r="D152" s="494"/>
      <c r="E152" s="497"/>
      <c r="F152" s="494"/>
      <c r="G152" s="501">
        <f t="shared" ref="G152:J152" si="219">G69+G89+G138</f>
        <v>30137.93754</v>
      </c>
      <c r="H152" s="501">
        <f t="shared" si="219"/>
        <v>21909.23305</v>
      </c>
      <c r="I152" s="501">
        <f t="shared" si="219"/>
        <v>14527.36337</v>
      </c>
      <c r="J152" s="501">
        <f t="shared" si="219"/>
        <v>8839.266097</v>
      </c>
      <c r="K152" s="497"/>
      <c r="L152" s="501">
        <f t="shared" ref="L152:S152" si="220">L69+L89+L138</f>
        <v>5975.111526</v>
      </c>
      <c r="M152" s="501">
        <f t="shared" si="220"/>
        <v>9265.87586</v>
      </c>
      <c r="N152" s="501">
        <f t="shared" si="220"/>
        <v>14361.33879</v>
      </c>
      <c r="O152" s="501">
        <f t="shared" si="220"/>
        <v>22410.7499</v>
      </c>
      <c r="P152" s="501">
        <f t="shared" si="220"/>
        <v>30409.31943</v>
      </c>
      <c r="Q152" s="501">
        <f t="shared" si="220"/>
        <v>30329.1634</v>
      </c>
      <c r="R152" s="501">
        <f t="shared" si="220"/>
        <v>28856.13606</v>
      </c>
      <c r="S152" s="501">
        <f t="shared" si="220"/>
        <v>32479.72386</v>
      </c>
      <c r="T152" s="497"/>
      <c r="U152" s="481"/>
      <c r="V152" s="470"/>
    </row>
    <row r="153" ht="9.75" hidden="1" customHeight="1" outlineLevel="1">
      <c r="A153" s="385"/>
      <c r="B153" s="385"/>
      <c r="C153" s="493" t="s">
        <v>730</v>
      </c>
      <c r="D153" s="494"/>
      <c r="E153" s="497"/>
      <c r="F153" s="494"/>
      <c r="G153" s="498">
        <f t="shared" ref="G153:J153" si="221">G152/G69</f>
        <v>0.0801</v>
      </c>
      <c r="H153" s="498">
        <f t="shared" si="221"/>
        <v>0.0801</v>
      </c>
      <c r="I153" s="498">
        <f t="shared" si="221"/>
        <v>0.0801</v>
      </c>
      <c r="J153" s="498">
        <f t="shared" si="221"/>
        <v>0.0801</v>
      </c>
      <c r="K153" s="497"/>
      <c r="L153" s="498">
        <f t="shared" ref="L153:S153" si="222">L152/L69</f>
        <v>0.0801</v>
      </c>
      <c r="M153" s="498">
        <f t="shared" si="222"/>
        <v>0.0801</v>
      </c>
      <c r="N153" s="498">
        <f t="shared" si="222"/>
        <v>0.0801</v>
      </c>
      <c r="O153" s="498">
        <f t="shared" si="222"/>
        <v>0.0801</v>
      </c>
      <c r="P153" s="498">
        <f t="shared" si="222"/>
        <v>0.0801</v>
      </c>
      <c r="Q153" s="498">
        <f t="shared" si="222"/>
        <v>0.0801</v>
      </c>
      <c r="R153" s="498">
        <f t="shared" si="222"/>
        <v>0.0801</v>
      </c>
      <c r="S153" s="498">
        <f t="shared" si="222"/>
        <v>0.0801</v>
      </c>
      <c r="T153" s="497"/>
      <c r="U153" s="481"/>
      <c r="V153" s="470"/>
    </row>
    <row r="154" ht="9.75" customHeight="1" collapsed="1">
      <c r="A154" s="471"/>
      <c r="B154" s="471"/>
      <c r="C154" s="502" t="s">
        <v>731</v>
      </c>
      <c r="D154" s="473"/>
      <c r="E154" s="473"/>
      <c r="F154" s="473"/>
      <c r="G154" s="503">
        <f t="shared" ref="G154:J154" si="223">G155+G158+G160</f>
        <v>-2050000</v>
      </c>
      <c r="H154" s="503">
        <f t="shared" si="223"/>
        <v>-2050000</v>
      </c>
      <c r="I154" s="503">
        <f t="shared" si="223"/>
        <v>-2050000</v>
      </c>
      <c r="J154" s="503">
        <f t="shared" si="223"/>
        <v>-2050000</v>
      </c>
      <c r="K154" s="415">
        <f t="shared" ref="K154:K161" si="226">SUM(G154:J154)</f>
        <v>-8200000</v>
      </c>
      <c r="L154" s="503">
        <f t="shared" ref="L154:S154" si="224">L155+L158+L160</f>
        <v>-4868770.875</v>
      </c>
      <c r="M154" s="503">
        <f t="shared" si="224"/>
        <v>-4868770.875</v>
      </c>
      <c r="N154" s="503">
        <f t="shared" si="224"/>
        <v>-4868770.875</v>
      </c>
      <c r="O154" s="503">
        <f t="shared" si="224"/>
        <v>-4868770.875</v>
      </c>
      <c r="P154" s="503">
        <f t="shared" si="224"/>
        <v>-4868770.875</v>
      </c>
      <c r="Q154" s="503">
        <f t="shared" si="224"/>
        <v>-4868770.875</v>
      </c>
      <c r="R154" s="503">
        <f t="shared" si="224"/>
        <v>-4868770.875</v>
      </c>
      <c r="S154" s="503">
        <f t="shared" si="224"/>
        <v>-4868770.875</v>
      </c>
      <c r="T154" s="415">
        <f t="shared" ref="T154:T161" si="228">SUM(L154:S154)</f>
        <v>-38950167</v>
      </c>
      <c r="U154" s="416">
        <f>SUM(K154+T154)</f>
        <v>-47150167</v>
      </c>
      <c r="V154" s="421"/>
    </row>
    <row r="155" ht="9.75" hidden="1" customHeight="1" outlineLevel="1">
      <c r="A155" s="385"/>
      <c r="B155" s="385"/>
      <c r="C155" s="482" t="s">
        <v>732</v>
      </c>
      <c r="D155" s="411">
        <f>D156</f>
        <v>-800000</v>
      </c>
      <c r="E155" s="392"/>
      <c r="F155" s="392"/>
      <c r="G155" s="411">
        <f t="shared" ref="G155:J155" si="225">G156+G157</f>
        <v>-1000000</v>
      </c>
      <c r="H155" s="411">
        <f t="shared" si="225"/>
        <v>-1000000</v>
      </c>
      <c r="I155" s="411">
        <f t="shared" si="225"/>
        <v>-1000000</v>
      </c>
      <c r="J155" s="411">
        <f t="shared" si="225"/>
        <v>-1000000</v>
      </c>
      <c r="K155" s="415">
        <f t="shared" si="226"/>
        <v>-4000000</v>
      </c>
      <c r="L155" s="411">
        <f t="shared" ref="L155:S155" si="227">L156+L157</f>
        <v>-1470005.75</v>
      </c>
      <c r="M155" s="411">
        <f t="shared" si="227"/>
        <v>-1470005.75</v>
      </c>
      <c r="N155" s="411">
        <f t="shared" si="227"/>
        <v>-1470005.75</v>
      </c>
      <c r="O155" s="411">
        <f t="shared" si="227"/>
        <v>-1470005.75</v>
      </c>
      <c r="P155" s="411">
        <f t="shared" si="227"/>
        <v>-1470005.75</v>
      </c>
      <c r="Q155" s="411">
        <f t="shared" si="227"/>
        <v>-1470005.75</v>
      </c>
      <c r="R155" s="411">
        <f t="shared" si="227"/>
        <v>-1470005.75</v>
      </c>
      <c r="S155" s="411">
        <f t="shared" si="227"/>
        <v>-1470005.75</v>
      </c>
      <c r="T155" s="415">
        <f t="shared" si="228"/>
        <v>-11760046</v>
      </c>
      <c r="U155" s="395"/>
      <c r="V155" s="395"/>
    </row>
    <row r="156" ht="9.75" hidden="1" customHeight="1" outlineLevel="1">
      <c r="A156" s="385"/>
      <c r="B156" s="385"/>
      <c r="C156" s="482" t="s">
        <v>733</v>
      </c>
      <c r="D156" s="411">
        <v>-800000.0</v>
      </c>
      <c r="E156" s="392"/>
      <c r="F156" s="392"/>
      <c r="G156" s="411">
        <f t="shared" ref="G156:J156" si="229">$D$156</f>
        <v>-800000</v>
      </c>
      <c r="H156" s="411">
        <f t="shared" si="229"/>
        <v>-800000</v>
      </c>
      <c r="I156" s="411">
        <f t="shared" si="229"/>
        <v>-800000</v>
      </c>
      <c r="J156" s="411">
        <f t="shared" si="229"/>
        <v>-800000</v>
      </c>
      <c r="K156" s="415">
        <f t="shared" si="226"/>
        <v>-3200000</v>
      </c>
      <c r="L156" s="411">
        <v>-1270005.75</v>
      </c>
      <c r="M156" s="411">
        <v>-1270005.75</v>
      </c>
      <c r="N156" s="411">
        <v>-1270005.75</v>
      </c>
      <c r="O156" s="411">
        <v>-1270005.75</v>
      </c>
      <c r="P156" s="411">
        <v>-1270005.75</v>
      </c>
      <c r="Q156" s="411">
        <v>-1270005.75</v>
      </c>
      <c r="R156" s="411">
        <v>-1270005.75</v>
      </c>
      <c r="S156" s="411">
        <v>-1270005.75</v>
      </c>
      <c r="T156" s="415">
        <f t="shared" si="228"/>
        <v>-10160046</v>
      </c>
      <c r="U156" s="395"/>
      <c r="V156" s="395"/>
    </row>
    <row r="157" ht="9.75" hidden="1" customHeight="1" outlineLevel="1">
      <c r="A157" s="385"/>
      <c r="B157" s="385"/>
      <c r="C157" s="397" t="s">
        <v>734</v>
      </c>
      <c r="D157" s="504">
        <v>-200000.0</v>
      </c>
      <c r="E157" s="411"/>
      <c r="F157" s="392"/>
      <c r="G157" s="466">
        <f t="shared" ref="G157:J157" si="230">$D$157</f>
        <v>-200000</v>
      </c>
      <c r="H157" s="466">
        <f t="shared" si="230"/>
        <v>-200000</v>
      </c>
      <c r="I157" s="466">
        <f t="shared" si="230"/>
        <v>-200000</v>
      </c>
      <c r="J157" s="466">
        <f t="shared" si="230"/>
        <v>-200000</v>
      </c>
      <c r="K157" s="415">
        <f t="shared" si="226"/>
        <v>-800000</v>
      </c>
      <c r="L157" s="466">
        <f t="shared" ref="L157:S157" si="231">$D$157</f>
        <v>-200000</v>
      </c>
      <c r="M157" s="466">
        <f t="shared" si="231"/>
        <v>-200000</v>
      </c>
      <c r="N157" s="466">
        <f t="shared" si="231"/>
        <v>-200000</v>
      </c>
      <c r="O157" s="466">
        <f t="shared" si="231"/>
        <v>-200000</v>
      </c>
      <c r="P157" s="466">
        <f t="shared" si="231"/>
        <v>-200000</v>
      </c>
      <c r="Q157" s="466">
        <f t="shared" si="231"/>
        <v>-200000</v>
      </c>
      <c r="R157" s="466">
        <f t="shared" si="231"/>
        <v>-200000</v>
      </c>
      <c r="S157" s="466">
        <f t="shared" si="231"/>
        <v>-200000</v>
      </c>
      <c r="T157" s="415">
        <f t="shared" si="228"/>
        <v>-1600000</v>
      </c>
      <c r="U157" s="416">
        <f>SUM(K157+T157)</f>
        <v>-2400000</v>
      </c>
      <c r="V157" s="421"/>
    </row>
    <row r="158" ht="9.75" hidden="1" customHeight="1" outlineLevel="1">
      <c r="A158" s="385"/>
      <c r="B158" s="385"/>
      <c r="C158" s="482" t="s">
        <v>735</v>
      </c>
      <c r="D158" s="411">
        <v>-50000.0</v>
      </c>
      <c r="E158" s="392"/>
      <c r="F158" s="392"/>
      <c r="G158" s="411">
        <f t="shared" ref="G158:J158" si="232">G159</f>
        <v>-50000</v>
      </c>
      <c r="H158" s="411">
        <f t="shared" si="232"/>
        <v>-50000</v>
      </c>
      <c r="I158" s="411">
        <f t="shared" si="232"/>
        <v>-50000</v>
      </c>
      <c r="J158" s="411">
        <f t="shared" si="232"/>
        <v>-50000</v>
      </c>
      <c r="K158" s="415">
        <f t="shared" si="226"/>
        <v>-200000</v>
      </c>
      <c r="L158" s="411">
        <v>-120000.0</v>
      </c>
      <c r="M158" s="411">
        <v>-120000.0</v>
      </c>
      <c r="N158" s="411">
        <v>-120000.0</v>
      </c>
      <c r="O158" s="411">
        <v>-120000.0</v>
      </c>
      <c r="P158" s="411">
        <v>-120000.0</v>
      </c>
      <c r="Q158" s="411">
        <v>-120000.0</v>
      </c>
      <c r="R158" s="411">
        <v>-120000.0</v>
      </c>
      <c r="S158" s="411">
        <v>-120000.0</v>
      </c>
      <c r="T158" s="415">
        <f t="shared" si="228"/>
        <v>-960000</v>
      </c>
      <c r="U158" s="395"/>
      <c r="V158" s="395"/>
    </row>
    <row r="159" ht="9.75" hidden="1" customHeight="1" outlineLevel="1">
      <c r="A159" s="385"/>
      <c r="B159" s="385"/>
      <c r="C159" s="482" t="s">
        <v>733</v>
      </c>
      <c r="D159" s="411">
        <v>-50000.0</v>
      </c>
      <c r="E159" s="392"/>
      <c r="F159" s="392"/>
      <c r="G159" s="411">
        <f t="shared" ref="G159:J159" si="233">$D$159</f>
        <v>-50000</v>
      </c>
      <c r="H159" s="411">
        <f t="shared" si="233"/>
        <v>-50000</v>
      </c>
      <c r="I159" s="411">
        <f t="shared" si="233"/>
        <v>-50000</v>
      </c>
      <c r="J159" s="411">
        <f t="shared" si="233"/>
        <v>-50000</v>
      </c>
      <c r="K159" s="415">
        <f t="shared" si="226"/>
        <v>-200000</v>
      </c>
      <c r="L159" s="411">
        <v>-120000.0</v>
      </c>
      <c r="M159" s="411">
        <v>-120000.0</v>
      </c>
      <c r="N159" s="411">
        <v>-120000.0</v>
      </c>
      <c r="O159" s="411">
        <v>-120000.0</v>
      </c>
      <c r="P159" s="411">
        <v>-120000.0</v>
      </c>
      <c r="Q159" s="411">
        <v>-120000.0</v>
      </c>
      <c r="R159" s="411">
        <v>-120000.0</v>
      </c>
      <c r="S159" s="411">
        <v>-120000.0</v>
      </c>
      <c r="T159" s="415">
        <f t="shared" si="228"/>
        <v>-960000</v>
      </c>
      <c r="U159" s="395"/>
      <c r="V159" s="395"/>
    </row>
    <row r="160" ht="9.75" hidden="1" customHeight="1" outlineLevel="1">
      <c r="A160" s="385"/>
      <c r="B160" s="385"/>
      <c r="C160" s="482" t="s">
        <v>736</v>
      </c>
      <c r="D160" s="411">
        <v>-1000000.0</v>
      </c>
      <c r="E160" s="392"/>
      <c r="F160" s="392"/>
      <c r="G160" s="411">
        <f t="shared" ref="G160:J160" si="234">$D$160</f>
        <v>-1000000</v>
      </c>
      <c r="H160" s="505">
        <f t="shared" si="234"/>
        <v>-1000000</v>
      </c>
      <c r="I160" s="411">
        <f t="shared" si="234"/>
        <v>-1000000</v>
      </c>
      <c r="J160" s="411">
        <f t="shared" si="234"/>
        <v>-1000000</v>
      </c>
      <c r="K160" s="415">
        <f t="shared" si="226"/>
        <v>-4000000</v>
      </c>
      <c r="L160" s="411">
        <v>-3278765.125</v>
      </c>
      <c r="M160" s="411">
        <v>-3278765.125</v>
      </c>
      <c r="N160" s="411">
        <v>-3278765.125</v>
      </c>
      <c r="O160" s="411">
        <v>-3278765.125</v>
      </c>
      <c r="P160" s="411">
        <v>-3278765.125</v>
      </c>
      <c r="Q160" s="411">
        <v>-3278765.125</v>
      </c>
      <c r="R160" s="411">
        <v>-3278765.125</v>
      </c>
      <c r="S160" s="411">
        <v>-3278765.125</v>
      </c>
      <c r="T160" s="415">
        <f t="shared" si="228"/>
        <v>-26230121</v>
      </c>
      <c r="U160" s="395"/>
      <c r="V160" s="395"/>
    </row>
    <row r="161" ht="9.75" customHeight="1" collapsed="1">
      <c r="A161" s="385"/>
      <c r="B161" s="385"/>
      <c r="C161" s="493" t="s">
        <v>737</v>
      </c>
      <c r="D161" s="494"/>
      <c r="E161" s="496">
        <f>E140-E154</f>
        <v>0</v>
      </c>
      <c r="F161" s="494"/>
      <c r="G161" s="496">
        <f t="shared" ref="G161:J161" si="235">G140+G154</f>
        <v>8024300.522</v>
      </c>
      <c r="H161" s="496">
        <f t="shared" si="235"/>
        <v>5569961.586</v>
      </c>
      <c r="I161" s="496">
        <f t="shared" si="235"/>
        <v>3135780.386</v>
      </c>
      <c r="J161" s="496">
        <f t="shared" si="235"/>
        <v>1176139.393</v>
      </c>
      <c r="K161" s="496">
        <f t="shared" si="226"/>
        <v>17906181.89</v>
      </c>
      <c r="L161" s="496">
        <f t="shared" ref="L161:S161" si="236">L140+L154</f>
        <v>-2617407.701</v>
      </c>
      <c r="M161" s="496">
        <f t="shared" si="236"/>
        <v>-1412267.501</v>
      </c>
      <c r="N161" s="496">
        <f t="shared" si="236"/>
        <v>481434.6263</v>
      </c>
      <c r="O161" s="496">
        <f t="shared" si="236"/>
        <v>3026052.956</v>
      </c>
      <c r="P161" s="496">
        <f t="shared" si="236"/>
        <v>5809883.693</v>
      </c>
      <c r="Q161" s="496">
        <f t="shared" si="236"/>
        <v>6009443.617</v>
      </c>
      <c r="R161" s="496">
        <f t="shared" si="236"/>
        <v>5331290.181</v>
      </c>
      <c r="S161" s="496">
        <f t="shared" si="236"/>
        <v>6346267.623</v>
      </c>
      <c r="T161" s="496">
        <f t="shared" si="228"/>
        <v>22974697.49</v>
      </c>
      <c r="U161" s="416">
        <f>SUM(K161+T161)</f>
        <v>40880879.38</v>
      </c>
      <c r="V161" s="421"/>
    </row>
    <row r="162" ht="9.75" customHeight="1">
      <c r="A162" s="385"/>
      <c r="B162" s="385"/>
      <c r="C162" s="493" t="s">
        <v>738</v>
      </c>
      <c r="D162" s="494"/>
      <c r="E162" s="497"/>
      <c r="F162" s="494"/>
      <c r="G162" s="498">
        <f t="shared" ref="G162:U162" si="237">G161/G17</f>
        <v>0.10023607</v>
      </c>
      <c r="H162" s="498">
        <f t="shared" si="237"/>
        <v>0.09570957747</v>
      </c>
      <c r="I162" s="498">
        <f t="shared" si="237"/>
        <v>0.0812623194</v>
      </c>
      <c r="J162" s="498">
        <f t="shared" si="237"/>
        <v>0.05009252947</v>
      </c>
      <c r="K162" s="498">
        <f t="shared" si="237"/>
        <v>0.08938868337</v>
      </c>
      <c r="L162" s="498">
        <f t="shared" si="237"/>
        <v>-0.1649133197</v>
      </c>
      <c r="M162" s="498">
        <f t="shared" si="237"/>
        <v>-0.05738004203</v>
      </c>
      <c r="N162" s="498">
        <f t="shared" si="237"/>
        <v>0.01262038981</v>
      </c>
      <c r="O162" s="498">
        <f t="shared" si="237"/>
        <v>0.05083355806</v>
      </c>
      <c r="P162" s="498">
        <f t="shared" si="237"/>
        <v>0.07192686173</v>
      </c>
      <c r="Q162" s="498">
        <f t="shared" si="237"/>
        <v>0.07459405354</v>
      </c>
      <c r="R162" s="498">
        <f t="shared" si="237"/>
        <v>0.0695543856</v>
      </c>
      <c r="S162" s="498">
        <f t="shared" si="237"/>
        <v>0.07355910358</v>
      </c>
      <c r="T162" s="498">
        <f t="shared" si="237"/>
        <v>0.04968356946</v>
      </c>
      <c r="U162" s="499">
        <f t="shared" si="237"/>
        <v>0.06168476743</v>
      </c>
      <c r="V162" s="470"/>
    </row>
    <row r="163" ht="9.75" customHeight="1">
      <c r="A163" s="385"/>
      <c r="B163" s="385"/>
      <c r="C163" s="500"/>
      <c r="D163" s="494"/>
      <c r="E163" s="497"/>
      <c r="F163" s="494"/>
      <c r="G163" s="497"/>
      <c r="H163" s="497"/>
      <c r="I163" s="497"/>
      <c r="J163" s="497"/>
      <c r="K163" s="497"/>
      <c r="L163" s="497"/>
      <c r="M163" s="497"/>
      <c r="N163" s="497"/>
      <c r="O163" s="497"/>
      <c r="P163" s="497"/>
      <c r="Q163" s="497"/>
      <c r="R163" s="497"/>
      <c r="S163" s="497"/>
      <c r="T163" s="497"/>
      <c r="U163" s="481"/>
      <c r="V163" s="470"/>
    </row>
    <row r="164" ht="9.75" customHeight="1" outlineLevel="1">
      <c r="A164" s="385"/>
      <c r="B164" s="385"/>
      <c r="C164" s="493" t="s">
        <v>739</v>
      </c>
      <c r="D164" s="494"/>
      <c r="E164" s="497"/>
      <c r="F164" s="494"/>
      <c r="G164" s="501">
        <f t="shared" ref="G164:S164" si="238">G143+G155</f>
        <v>4001761.419</v>
      </c>
      <c r="H164" s="501">
        <f t="shared" si="238"/>
        <v>2495796.296</v>
      </c>
      <c r="I164" s="501">
        <f t="shared" si="238"/>
        <v>1250792.638</v>
      </c>
      <c r="J164" s="501">
        <f t="shared" si="238"/>
        <v>318916.8503</v>
      </c>
      <c r="K164" s="501">
        <f t="shared" si="238"/>
        <v>-4000000</v>
      </c>
      <c r="L164" s="501">
        <f t="shared" si="238"/>
        <v>-594697.5017</v>
      </c>
      <c r="M164" s="501">
        <f t="shared" si="238"/>
        <v>-94521.35989</v>
      </c>
      <c r="N164" s="501">
        <f t="shared" si="238"/>
        <v>606197.103</v>
      </c>
      <c r="O164" s="501">
        <f t="shared" si="238"/>
        <v>2031227.243</v>
      </c>
      <c r="P164" s="501">
        <f t="shared" si="238"/>
        <v>3281667.598</v>
      </c>
      <c r="Q164" s="501">
        <f t="shared" si="238"/>
        <v>3114942.217</v>
      </c>
      <c r="R164" s="501">
        <f t="shared" si="238"/>
        <v>2991024.704</v>
      </c>
      <c r="S164" s="501">
        <f t="shared" si="238"/>
        <v>3736154.573</v>
      </c>
      <c r="T164" s="497"/>
      <c r="U164" s="481"/>
      <c r="V164" s="470"/>
    </row>
    <row r="165" ht="9.75" customHeight="1" outlineLevel="1">
      <c r="A165" s="385"/>
      <c r="B165" s="385"/>
      <c r="C165" s="493" t="s">
        <v>740</v>
      </c>
      <c r="D165" s="494"/>
      <c r="E165" s="497"/>
      <c r="F165" s="494"/>
      <c r="G165" s="498">
        <f t="shared" ref="G165:S165" si="239">G164/G18</f>
        <v>0.06669602364</v>
      </c>
      <c r="H165" s="498">
        <f t="shared" si="239"/>
        <v>0.05951613769</v>
      </c>
      <c r="I165" s="498">
        <f t="shared" si="239"/>
        <v>0.04632565327</v>
      </c>
      <c r="J165" s="498">
        <f t="shared" si="239"/>
        <v>0.0201572727</v>
      </c>
      <c r="K165" s="498">
        <f t="shared" si="239"/>
        <v>-0.02763266576</v>
      </c>
      <c r="L165" s="498">
        <f t="shared" si="239"/>
        <v>-0.05663785731</v>
      </c>
      <c r="M165" s="498">
        <f t="shared" si="239"/>
        <v>-0.005728567266</v>
      </c>
      <c r="N165" s="498">
        <f t="shared" si="239"/>
        <v>0.02433973217</v>
      </c>
      <c r="O165" s="498">
        <f t="shared" si="239"/>
        <v>0.0483625534</v>
      </c>
      <c r="P165" s="498">
        <f t="shared" si="239"/>
        <v>0.05757311575</v>
      </c>
      <c r="Q165" s="498">
        <f t="shared" si="239"/>
        <v>0.05663531304</v>
      </c>
      <c r="R165" s="498">
        <f t="shared" si="239"/>
        <v>0.05589288589</v>
      </c>
      <c r="S165" s="498">
        <f t="shared" si="239"/>
        <v>0.059824492</v>
      </c>
      <c r="T165" s="497"/>
      <c r="U165" s="481"/>
      <c r="V165" s="470"/>
    </row>
    <row r="166" ht="9.75" customHeight="1" outlineLevel="1">
      <c r="A166" s="385"/>
      <c r="B166" s="385"/>
      <c r="C166" s="500"/>
      <c r="D166" s="494"/>
      <c r="E166" s="497"/>
      <c r="F166" s="494"/>
      <c r="G166" s="497"/>
      <c r="H166" s="497"/>
      <c r="I166" s="497"/>
      <c r="J166" s="497"/>
      <c r="K166" s="497"/>
      <c r="L166" s="497"/>
      <c r="M166" s="497"/>
      <c r="N166" s="497"/>
      <c r="O166" s="497"/>
      <c r="P166" s="497"/>
      <c r="Q166" s="497"/>
      <c r="R166" s="497"/>
      <c r="S166" s="497"/>
      <c r="T166" s="497"/>
      <c r="U166" s="481"/>
      <c r="V166" s="470"/>
    </row>
    <row r="167" ht="9.75" customHeight="1" outlineLevel="1">
      <c r="A167" s="385"/>
      <c r="B167" s="385"/>
      <c r="C167" s="493" t="s">
        <v>741</v>
      </c>
      <c r="D167" s="494"/>
      <c r="E167" s="497"/>
      <c r="F167" s="494"/>
      <c r="G167" s="501">
        <f t="shared" ref="G167:S167" si="240">G146+G158</f>
        <v>1084060.819</v>
      </c>
      <c r="H167" s="501">
        <f t="shared" si="240"/>
        <v>856211.3349</v>
      </c>
      <c r="I167" s="501">
        <f t="shared" si="240"/>
        <v>614769.5834</v>
      </c>
      <c r="J167" s="501">
        <f t="shared" si="240"/>
        <v>487252.5738</v>
      </c>
      <c r="K167" s="501">
        <f t="shared" si="240"/>
        <v>-200000</v>
      </c>
      <c r="L167" s="501">
        <f t="shared" si="240"/>
        <v>148626.2869</v>
      </c>
      <c r="M167" s="501">
        <f t="shared" si="240"/>
        <v>276143.2965</v>
      </c>
      <c r="N167" s="501">
        <f t="shared" si="240"/>
        <v>883950.5089</v>
      </c>
      <c r="O167" s="501">
        <f t="shared" si="240"/>
        <v>1014060.819</v>
      </c>
      <c r="P167" s="501">
        <f t="shared" si="240"/>
        <v>1510536.59</v>
      </c>
      <c r="Q167" s="501">
        <f t="shared" si="240"/>
        <v>1876902.05</v>
      </c>
      <c r="R167" s="501">
        <f t="shared" si="240"/>
        <v>1553906.693</v>
      </c>
      <c r="S167" s="501">
        <f t="shared" si="240"/>
        <v>1298872.674</v>
      </c>
      <c r="T167" s="497"/>
      <c r="U167" s="481"/>
      <c r="V167" s="470"/>
    </row>
    <row r="168" ht="9.75" customHeight="1" outlineLevel="1">
      <c r="A168" s="385"/>
      <c r="B168" s="385"/>
      <c r="C168" s="493" t="s">
        <v>742</v>
      </c>
      <c r="D168" s="494"/>
      <c r="E168" s="497"/>
      <c r="F168" s="494"/>
      <c r="G168" s="498">
        <f t="shared" ref="G168:S168" si="241">G167/G37</f>
        <v>0.1958589592</v>
      </c>
      <c r="H168" s="498">
        <f t="shared" si="241"/>
        <v>0.193587639</v>
      </c>
      <c r="I168" s="498">
        <f t="shared" si="241"/>
        <v>0.1894817436</v>
      </c>
      <c r="J168" s="498">
        <f t="shared" si="241"/>
        <v>0.1858239885</v>
      </c>
      <c r="K168" s="498">
        <f t="shared" si="241"/>
        <v>-0.01263873773</v>
      </c>
      <c r="L168" s="498">
        <f t="shared" si="241"/>
        <v>0.1133635035</v>
      </c>
      <c r="M168" s="498">
        <f t="shared" si="241"/>
        <v>0.1428263488</v>
      </c>
      <c r="N168" s="498">
        <f t="shared" si="241"/>
        <v>0.1804021821</v>
      </c>
      <c r="O168" s="498">
        <f t="shared" si="241"/>
        <v>0.18321195</v>
      </c>
      <c r="P168" s="498">
        <f t="shared" si="241"/>
        <v>0.189813388</v>
      </c>
      <c r="Q168" s="498">
        <f t="shared" si="241"/>
        <v>0.192579913</v>
      </c>
      <c r="R168" s="498">
        <f t="shared" si="241"/>
        <v>0.1902040814</v>
      </c>
      <c r="S168" s="498">
        <f t="shared" si="241"/>
        <v>0.1875639179</v>
      </c>
      <c r="T168" s="497"/>
      <c r="U168" s="481"/>
      <c r="V168" s="470"/>
    </row>
    <row r="169" ht="9.75" customHeight="1" outlineLevel="1">
      <c r="A169" s="385"/>
      <c r="B169" s="385"/>
      <c r="C169" s="500"/>
      <c r="D169" s="494"/>
      <c r="E169" s="497"/>
      <c r="F169" s="494"/>
      <c r="G169" s="497"/>
      <c r="H169" s="497"/>
      <c r="I169" s="497"/>
      <c r="J169" s="497"/>
      <c r="K169" s="497"/>
      <c r="L169" s="497"/>
      <c r="M169" s="497"/>
      <c r="N169" s="497"/>
      <c r="O169" s="497"/>
      <c r="P169" s="497"/>
      <c r="Q169" s="497"/>
      <c r="R169" s="497"/>
      <c r="S169" s="497"/>
      <c r="T169" s="497"/>
      <c r="U169" s="481"/>
      <c r="V169" s="470"/>
    </row>
    <row r="170" ht="9.75" customHeight="1" outlineLevel="1">
      <c r="A170" s="385"/>
      <c r="B170" s="385"/>
      <c r="C170" s="493" t="s">
        <v>743</v>
      </c>
      <c r="D170" s="494"/>
      <c r="E170" s="497"/>
      <c r="F170" s="494"/>
      <c r="G170" s="501">
        <f t="shared" ref="G170:S170" si="242">G149+G160</f>
        <v>2908340.347</v>
      </c>
      <c r="H170" s="501">
        <f t="shared" si="242"/>
        <v>2196044.722</v>
      </c>
      <c r="I170" s="501">
        <f t="shared" si="242"/>
        <v>1255690.801</v>
      </c>
      <c r="J170" s="501">
        <f t="shared" si="242"/>
        <v>361130.7033</v>
      </c>
      <c r="K170" s="501">
        <f t="shared" si="242"/>
        <v>-4000000</v>
      </c>
      <c r="L170" s="501">
        <f t="shared" si="242"/>
        <v>-2177311.597</v>
      </c>
      <c r="M170" s="501">
        <f t="shared" si="242"/>
        <v>-1603155.314</v>
      </c>
      <c r="N170" s="501">
        <f t="shared" si="242"/>
        <v>-1023074.324</v>
      </c>
      <c r="O170" s="501">
        <f t="shared" si="242"/>
        <v>-41645.85551</v>
      </c>
      <c r="P170" s="501">
        <f t="shared" si="242"/>
        <v>987270.1862</v>
      </c>
      <c r="Q170" s="501">
        <f t="shared" si="242"/>
        <v>987270.1862</v>
      </c>
      <c r="R170" s="501">
        <f t="shared" si="242"/>
        <v>757502.648</v>
      </c>
      <c r="S170" s="501">
        <f t="shared" si="242"/>
        <v>1278760.652</v>
      </c>
      <c r="T170" s="497"/>
      <c r="U170" s="481"/>
      <c r="V170" s="470"/>
    </row>
    <row r="171" ht="9.75" customHeight="1" outlineLevel="1">
      <c r="A171" s="385"/>
      <c r="B171" s="385"/>
      <c r="C171" s="493" t="s">
        <v>744</v>
      </c>
      <c r="D171" s="494"/>
      <c r="E171" s="497"/>
      <c r="F171" s="494"/>
      <c r="G171" s="498">
        <f t="shared" ref="G171:S171" si="243">G170/G52</f>
        <v>0.2056401511</v>
      </c>
      <c r="H171" s="498">
        <f t="shared" si="243"/>
        <v>0.1898818239</v>
      </c>
      <c r="I171" s="498">
        <f t="shared" si="243"/>
        <v>0.1538360805</v>
      </c>
      <c r="J171" s="498">
        <f t="shared" si="243"/>
        <v>0.07331952542</v>
      </c>
      <c r="K171" s="498">
        <f t="shared" si="243"/>
        <v>-0.1031030207</v>
      </c>
      <c r="L171" s="498">
        <f t="shared" si="243"/>
        <v>-0.5462726655</v>
      </c>
      <c r="M171" s="498">
        <f t="shared" si="243"/>
        <v>-0.264397757</v>
      </c>
      <c r="N171" s="498">
        <f t="shared" si="243"/>
        <v>-0.1253379766</v>
      </c>
      <c r="O171" s="498">
        <f t="shared" si="243"/>
        <v>-0.00355523366</v>
      </c>
      <c r="P171" s="498">
        <f t="shared" si="243"/>
        <v>0.06395384183</v>
      </c>
      <c r="Q171" s="498">
        <f t="shared" si="243"/>
        <v>0.06395384183</v>
      </c>
      <c r="R171" s="498">
        <f t="shared" si="243"/>
        <v>0.05186319254</v>
      </c>
      <c r="S171" s="498">
        <f t="shared" si="243"/>
        <v>0.07753810681</v>
      </c>
      <c r="T171" s="497"/>
      <c r="U171" s="481"/>
      <c r="V171" s="470"/>
    </row>
    <row r="172" ht="9.75" customHeight="1" outlineLevel="1">
      <c r="A172" s="385"/>
      <c r="B172" s="385"/>
      <c r="C172" s="500"/>
      <c r="D172" s="494"/>
      <c r="E172" s="497"/>
      <c r="F172" s="494"/>
      <c r="G172" s="497"/>
      <c r="H172" s="497"/>
      <c r="I172" s="497"/>
      <c r="J172" s="497"/>
      <c r="K172" s="497"/>
      <c r="L172" s="497"/>
      <c r="M172" s="497"/>
      <c r="N172" s="497"/>
      <c r="O172" s="497"/>
      <c r="P172" s="497"/>
      <c r="Q172" s="497"/>
      <c r="R172" s="497"/>
      <c r="S172" s="497"/>
      <c r="T172" s="497"/>
      <c r="U172" s="481"/>
      <c r="V172" s="470"/>
    </row>
    <row r="173" ht="9.75" customHeight="1" outlineLevel="1">
      <c r="A173" s="385"/>
      <c r="B173" s="385"/>
      <c r="C173" s="493" t="s">
        <v>745</v>
      </c>
      <c r="D173" s="494"/>
      <c r="E173" s="497"/>
      <c r="F173" s="494"/>
      <c r="G173" s="497"/>
      <c r="H173" s="497"/>
      <c r="I173" s="497"/>
      <c r="J173" s="497"/>
      <c r="K173" s="497"/>
      <c r="L173" s="497"/>
      <c r="M173" s="497"/>
      <c r="N173" s="497"/>
      <c r="O173" s="497"/>
      <c r="P173" s="497"/>
      <c r="Q173" s="497"/>
      <c r="R173" s="497"/>
      <c r="S173" s="497"/>
      <c r="T173" s="497"/>
      <c r="U173" s="481"/>
      <c r="V173" s="470"/>
    </row>
    <row r="174" ht="9.75" customHeight="1" outlineLevel="1">
      <c r="A174" s="385"/>
      <c r="B174" s="385"/>
      <c r="C174" s="493" t="s">
        <v>746</v>
      </c>
      <c r="D174" s="494"/>
      <c r="E174" s="497"/>
      <c r="F174" s="494"/>
      <c r="G174" s="497"/>
      <c r="H174" s="497"/>
      <c r="I174" s="497"/>
      <c r="J174" s="497"/>
      <c r="K174" s="497"/>
      <c r="L174" s="497"/>
      <c r="M174" s="497"/>
      <c r="N174" s="497"/>
      <c r="O174" s="497"/>
      <c r="P174" s="497"/>
      <c r="Q174" s="497"/>
      <c r="R174" s="497"/>
      <c r="S174" s="497"/>
      <c r="T174" s="497"/>
      <c r="U174" s="481"/>
      <c r="V174" s="470"/>
    </row>
    <row r="175" ht="9.75" customHeight="1" outlineLevel="1">
      <c r="A175" s="385"/>
      <c r="B175" s="385"/>
      <c r="C175" s="500"/>
      <c r="D175" s="494"/>
      <c r="E175" s="497"/>
      <c r="F175" s="494"/>
      <c r="G175" s="497"/>
      <c r="H175" s="497"/>
      <c r="I175" s="497"/>
      <c r="J175" s="497"/>
      <c r="K175" s="497"/>
      <c r="L175" s="497"/>
      <c r="M175" s="497"/>
      <c r="N175" s="497"/>
      <c r="O175" s="497"/>
      <c r="P175" s="497"/>
      <c r="Q175" s="497"/>
      <c r="R175" s="497"/>
      <c r="S175" s="497"/>
      <c r="T175" s="497"/>
      <c r="U175" s="481"/>
      <c r="V175" s="470"/>
    </row>
    <row r="176" ht="9.75" customHeight="1">
      <c r="A176" s="506"/>
      <c r="B176" s="506"/>
      <c r="C176" s="502" t="s">
        <v>747</v>
      </c>
      <c r="D176" s="507"/>
      <c r="E176" s="503">
        <f>SUM(D177:D187)</f>
        <v>-1785052.23</v>
      </c>
      <c r="F176" s="507"/>
      <c r="G176" s="508">
        <f t="shared" ref="G176:H176" si="244">G177+G189</f>
        <v>-3011052.75</v>
      </c>
      <c r="H176" s="508">
        <f t="shared" si="244"/>
        <v>-4511052.75</v>
      </c>
      <c r="I176" s="508">
        <f>-11023000</f>
        <v>-11023000</v>
      </c>
      <c r="J176" s="508">
        <f>J177+J189</f>
        <v>-4011052.75</v>
      </c>
      <c r="K176" s="415">
        <f t="shared" ref="K176:K185" si="247">SUM(G176:J176)</f>
        <v>-22556158.25</v>
      </c>
      <c r="L176" s="508">
        <f t="shared" ref="L176:S176" si="245">L177+L189</f>
        <v>-4011052.75</v>
      </c>
      <c r="M176" s="508">
        <f t="shared" si="245"/>
        <v>-4011052.75</v>
      </c>
      <c r="N176" s="508">
        <f t="shared" si="245"/>
        <v>-4011052.75</v>
      </c>
      <c r="O176" s="508">
        <f t="shared" si="245"/>
        <v>-3011052.75</v>
      </c>
      <c r="P176" s="508">
        <f t="shared" si="245"/>
        <v>-3011052.75</v>
      </c>
      <c r="Q176" s="508">
        <f t="shared" si="245"/>
        <v>-3011052.75</v>
      </c>
      <c r="R176" s="508">
        <f t="shared" si="245"/>
        <v>-3011052.75</v>
      </c>
      <c r="S176" s="508">
        <f t="shared" si="245"/>
        <v>-3011052.75</v>
      </c>
      <c r="T176" s="415">
        <f t="shared" ref="T176:T185" si="249">SUM(L176:S176)</f>
        <v>-27088422</v>
      </c>
      <c r="U176" s="416">
        <f>SUM(K176+T176)</f>
        <v>-49644580.25</v>
      </c>
      <c r="V176" s="421"/>
    </row>
    <row r="177" ht="9.75" customHeight="1" outlineLevel="1">
      <c r="A177" s="458"/>
      <c r="B177" s="458"/>
      <c r="C177" s="509" t="s">
        <v>363</v>
      </c>
      <c r="D177" s="510"/>
      <c r="E177" s="510"/>
      <c r="F177" s="510"/>
      <c r="G177" s="511">
        <f t="shared" ref="G177:J177" si="246">SUM(G178:G188)</f>
        <v>-2901052.75</v>
      </c>
      <c r="H177" s="511">
        <f t="shared" si="246"/>
        <v>-4201052.75</v>
      </c>
      <c r="I177" s="511">
        <f t="shared" si="246"/>
        <v>-4201052.75</v>
      </c>
      <c r="J177" s="511">
        <f t="shared" si="246"/>
        <v>-3701052.75</v>
      </c>
      <c r="K177" s="415">
        <f t="shared" si="247"/>
        <v>-15004211</v>
      </c>
      <c r="L177" s="511">
        <f t="shared" ref="L177:S177" si="248">SUM(L178:L188)</f>
        <v>-3701052.75</v>
      </c>
      <c r="M177" s="511">
        <f t="shared" si="248"/>
        <v>-3701052.75</v>
      </c>
      <c r="N177" s="511">
        <f t="shared" si="248"/>
        <v>-3701052.75</v>
      </c>
      <c r="O177" s="511">
        <f t="shared" si="248"/>
        <v>-2901052.75</v>
      </c>
      <c r="P177" s="511">
        <f t="shared" si="248"/>
        <v>-2901052.75</v>
      </c>
      <c r="Q177" s="511">
        <f t="shared" si="248"/>
        <v>-2901052.75</v>
      </c>
      <c r="R177" s="511">
        <f t="shared" si="248"/>
        <v>-2901052.75</v>
      </c>
      <c r="S177" s="511">
        <f t="shared" si="248"/>
        <v>-2901052.75</v>
      </c>
      <c r="T177" s="415">
        <f t="shared" si="249"/>
        <v>-25608422</v>
      </c>
      <c r="U177" s="461"/>
      <c r="V177" s="461"/>
    </row>
    <row r="178" ht="9.75" customHeight="1" outlineLevel="2">
      <c r="A178" s="385"/>
      <c r="B178" s="385"/>
      <c r="C178" s="482" t="s">
        <v>733</v>
      </c>
      <c r="D178" s="512">
        <v>-800000.0</v>
      </c>
      <c r="E178" s="392"/>
      <c r="F178" s="392"/>
      <c r="G178" s="505">
        <f t="shared" ref="G178:J178" si="250">$D178</f>
        <v>-800000</v>
      </c>
      <c r="H178" s="505">
        <f t="shared" si="250"/>
        <v>-800000</v>
      </c>
      <c r="I178" s="411">
        <f t="shared" si="250"/>
        <v>-800000</v>
      </c>
      <c r="J178" s="411">
        <f t="shared" si="250"/>
        <v>-800000</v>
      </c>
      <c r="K178" s="415">
        <f t="shared" si="247"/>
        <v>-3200000</v>
      </c>
      <c r="L178" s="411">
        <f t="shared" ref="L178:S178" si="251">$D178</f>
        <v>-800000</v>
      </c>
      <c r="M178" s="411">
        <f t="shared" si="251"/>
        <v>-800000</v>
      </c>
      <c r="N178" s="411">
        <f t="shared" si="251"/>
        <v>-800000</v>
      </c>
      <c r="O178" s="411">
        <f t="shared" si="251"/>
        <v>-800000</v>
      </c>
      <c r="P178" s="411">
        <f t="shared" si="251"/>
        <v>-800000</v>
      </c>
      <c r="Q178" s="411">
        <f t="shared" si="251"/>
        <v>-800000</v>
      </c>
      <c r="R178" s="411">
        <f t="shared" si="251"/>
        <v>-800000</v>
      </c>
      <c r="S178" s="411">
        <f t="shared" si="251"/>
        <v>-800000</v>
      </c>
      <c r="T178" s="415">
        <f t="shared" si="249"/>
        <v>-6400000</v>
      </c>
      <c r="U178" s="395"/>
      <c r="V178" s="395"/>
    </row>
    <row r="179" ht="9.75" customHeight="1" outlineLevel="2">
      <c r="A179" s="385"/>
      <c r="B179" s="385"/>
      <c r="C179" s="482" t="s">
        <v>693</v>
      </c>
      <c r="D179" s="512">
        <v>0.0</v>
      </c>
      <c r="E179" s="392"/>
      <c r="F179" s="392"/>
      <c r="G179" s="411">
        <f t="shared" ref="G179:J179" si="252">$D179</f>
        <v>0</v>
      </c>
      <c r="H179" s="411">
        <f t="shared" si="252"/>
        <v>0</v>
      </c>
      <c r="I179" s="411">
        <f t="shared" si="252"/>
        <v>0</v>
      </c>
      <c r="J179" s="411">
        <f t="shared" si="252"/>
        <v>0</v>
      </c>
      <c r="K179" s="415">
        <f t="shared" si="247"/>
        <v>0</v>
      </c>
      <c r="L179" s="411">
        <f t="shared" ref="L179:S179" si="253">$D179</f>
        <v>0</v>
      </c>
      <c r="M179" s="411">
        <f t="shared" si="253"/>
        <v>0</v>
      </c>
      <c r="N179" s="411">
        <f t="shared" si="253"/>
        <v>0</v>
      </c>
      <c r="O179" s="411">
        <f t="shared" si="253"/>
        <v>0</v>
      </c>
      <c r="P179" s="411">
        <f t="shared" si="253"/>
        <v>0</v>
      </c>
      <c r="Q179" s="411">
        <f t="shared" si="253"/>
        <v>0</v>
      </c>
      <c r="R179" s="411">
        <f t="shared" si="253"/>
        <v>0</v>
      </c>
      <c r="S179" s="411">
        <f t="shared" si="253"/>
        <v>0</v>
      </c>
      <c r="T179" s="415">
        <f t="shared" si="249"/>
        <v>0</v>
      </c>
      <c r="U179" s="395"/>
      <c r="V179" s="395"/>
    </row>
    <row r="180" ht="9.75" customHeight="1" outlineLevel="2">
      <c r="A180" s="385"/>
      <c r="B180" s="385"/>
      <c r="C180" s="482" t="s">
        <v>96</v>
      </c>
      <c r="D180" s="512">
        <v>-100000.0</v>
      </c>
      <c r="E180" s="392"/>
      <c r="F180" s="392"/>
      <c r="G180" s="411">
        <f t="shared" ref="G180:J180" si="254">$D180</f>
        <v>-100000</v>
      </c>
      <c r="H180" s="411">
        <f t="shared" si="254"/>
        <v>-100000</v>
      </c>
      <c r="I180" s="411">
        <f t="shared" si="254"/>
        <v>-100000</v>
      </c>
      <c r="J180" s="411">
        <f t="shared" si="254"/>
        <v>-100000</v>
      </c>
      <c r="K180" s="415">
        <f t="shared" si="247"/>
        <v>-400000</v>
      </c>
      <c r="L180" s="411">
        <f t="shared" ref="L180:S180" si="255">$D180</f>
        <v>-100000</v>
      </c>
      <c r="M180" s="411">
        <f t="shared" si="255"/>
        <v>-100000</v>
      </c>
      <c r="N180" s="411">
        <f t="shared" si="255"/>
        <v>-100000</v>
      </c>
      <c r="O180" s="411">
        <f t="shared" si="255"/>
        <v>-100000</v>
      </c>
      <c r="P180" s="411">
        <f t="shared" si="255"/>
        <v>-100000</v>
      </c>
      <c r="Q180" s="411">
        <f t="shared" si="255"/>
        <v>-100000</v>
      </c>
      <c r="R180" s="411">
        <f t="shared" si="255"/>
        <v>-100000</v>
      </c>
      <c r="S180" s="411">
        <f t="shared" si="255"/>
        <v>-100000</v>
      </c>
      <c r="T180" s="415">
        <f t="shared" si="249"/>
        <v>-800000</v>
      </c>
      <c r="U180" s="395"/>
      <c r="V180" s="395"/>
    </row>
    <row r="181" ht="9.75" customHeight="1" outlineLevel="2">
      <c r="A181" s="385"/>
      <c r="B181" s="385"/>
      <c r="C181" s="482" t="s">
        <v>748</v>
      </c>
      <c r="D181" s="512">
        <v>-91720.5</v>
      </c>
      <c r="E181" s="392"/>
      <c r="F181" s="392"/>
      <c r="G181" s="411">
        <f t="shared" ref="G181:J181" si="256">$D181</f>
        <v>-91720.5</v>
      </c>
      <c r="H181" s="411">
        <f t="shared" si="256"/>
        <v>-91720.5</v>
      </c>
      <c r="I181" s="411">
        <f t="shared" si="256"/>
        <v>-91720.5</v>
      </c>
      <c r="J181" s="411">
        <f t="shared" si="256"/>
        <v>-91720.5</v>
      </c>
      <c r="K181" s="415">
        <f t="shared" si="247"/>
        <v>-366882</v>
      </c>
      <c r="L181" s="411">
        <f t="shared" ref="L181:S181" si="257">$D181</f>
        <v>-91720.5</v>
      </c>
      <c r="M181" s="411">
        <f t="shared" si="257"/>
        <v>-91720.5</v>
      </c>
      <c r="N181" s="411">
        <f t="shared" si="257"/>
        <v>-91720.5</v>
      </c>
      <c r="O181" s="411">
        <f t="shared" si="257"/>
        <v>-91720.5</v>
      </c>
      <c r="P181" s="411">
        <f t="shared" si="257"/>
        <v>-91720.5</v>
      </c>
      <c r="Q181" s="411">
        <f t="shared" si="257"/>
        <v>-91720.5</v>
      </c>
      <c r="R181" s="411">
        <f t="shared" si="257"/>
        <v>-91720.5</v>
      </c>
      <c r="S181" s="411">
        <f t="shared" si="257"/>
        <v>-91720.5</v>
      </c>
      <c r="T181" s="415">
        <f t="shared" si="249"/>
        <v>-733764</v>
      </c>
      <c r="U181" s="395"/>
      <c r="V181" s="395"/>
    </row>
    <row r="182" ht="9.75" customHeight="1" outlineLevel="2">
      <c r="A182" s="385"/>
      <c r="B182" s="385"/>
      <c r="C182" s="482" t="s">
        <v>514</v>
      </c>
      <c r="D182" s="512">
        <v>-500000.0</v>
      </c>
      <c r="E182" s="513"/>
      <c r="F182" s="392"/>
      <c r="G182" s="411">
        <f t="shared" ref="G182:J182" si="258">$D182</f>
        <v>-500000</v>
      </c>
      <c r="H182" s="411">
        <f t="shared" si="258"/>
        <v>-500000</v>
      </c>
      <c r="I182" s="411">
        <f t="shared" si="258"/>
        <v>-500000</v>
      </c>
      <c r="J182" s="411">
        <f t="shared" si="258"/>
        <v>-500000</v>
      </c>
      <c r="K182" s="415">
        <f t="shared" si="247"/>
        <v>-2000000</v>
      </c>
      <c r="L182" s="411">
        <f t="shared" ref="L182:S182" si="259">$D182</f>
        <v>-500000</v>
      </c>
      <c r="M182" s="411">
        <f t="shared" si="259"/>
        <v>-500000</v>
      </c>
      <c r="N182" s="411">
        <f t="shared" si="259"/>
        <v>-500000</v>
      </c>
      <c r="O182" s="411">
        <f t="shared" si="259"/>
        <v>-500000</v>
      </c>
      <c r="P182" s="411">
        <f t="shared" si="259"/>
        <v>-500000</v>
      </c>
      <c r="Q182" s="411">
        <f t="shared" si="259"/>
        <v>-500000</v>
      </c>
      <c r="R182" s="411">
        <f t="shared" si="259"/>
        <v>-500000</v>
      </c>
      <c r="S182" s="411">
        <f t="shared" si="259"/>
        <v>-500000</v>
      </c>
      <c r="T182" s="415">
        <f t="shared" si="249"/>
        <v>-4000000</v>
      </c>
      <c r="U182" s="395"/>
      <c r="V182" s="395"/>
    </row>
    <row r="183" ht="9.75" customHeight="1" outlineLevel="2">
      <c r="A183" s="385"/>
      <c r="B183" s="385"/>
      <c r="C183" s="482" t="s">
        <v>749</v>
      </c>
      <c r="D183" s="514">
        <v>0.52</v>
      </c>
      <c r="E183" s="392"/>
      <c r="F183" s="392"/>
      <c r="G183" s="411">
        <f t="shared" ref="G183:J183" si="260">$D$183*G178</f>
        <v>-416000</v>
      </c>
      <c r="H183" s="411">
        <f t="shared" si="260"/>
        <v>-416000</v>
      </c>
      <c r="I183" s="411">
        <f t="shared" si="260"/>
        <v>-416000</v>
      </c>
      <c r="J183" s="411">
        <f t="shared" si="260"/>
        <v>-416000</v>
      </c>
      <c r="K183" s="415">
        <f t="shared" si="247"/>
        <v>-1664000</v>
      </c>
      <c r="L183" s="411">
        <f t="shared" ref="L183:S183" si="261">$D$183*L178</f>
        <v>-416000</v>
      </c>
      <c r="M183" s="411">
        <f t="shared" si="261"/>
        <v>-416000</v>
      </c>
      <c r="N183" s="411">
        <f t="shared" si="261"/>
        <v>-416000</v>
      </c>
      <c r="O183" s="411">
        <f t="shared" si="261"/>
        <v>-416000</v>
      </c>
      <c r="P183" s="411">
        <f t="shared" si="261"/>
        <v>-416000</v>
      </c>
      <c r="Q183" s="411">
        <f t="shared" si="261"/>
        <v>-416000</v>
      </c>
      <c r="R183" s="411">
        <f t="shared" si="261"/>
        <v>-416000</v>
      </c>
      <c r="S183" s="411">
        <f t="shared" si="261"/>
        <v>-416000</v>
      </c>
      <c r="T183" s="415">
        <f t="shared" si="249"/>
        <v>-3328000</v>
      </c>
      <c r="U183" s="395"/>
      <c r="V183" s="395"/>
    </row>
    <row r="184" ht="9.75" customHeight="1" outlineLevel="2">
      <c r="A184" s="385"/>
      <c r="B184" s="385"/>
      <c r="C184" s="482" t="s">
        <v>750</v>
      </c>
      <c r="D184" s="512">
        <v>-127280.0</v>
      </c>
      <c r="E184" s="392"/>
      <c r="F184" s="392"/>
      <c r="G184" s="411">
        <f t="shared" ref="G184:J184" si="262">$D184</f>
        <v>-127280</v>
      </c>
      <c r="H184" s="411">
        <f t="shared" si="262"/>
        <v>-127280</v>
      </c>
      <c r="I184" s="411">
        <f t="shared" si="262"/>
        <v>-127280</v>
      </c>
      <c r="J184" s="411">
        <f t="shared" si="262"/>
        <v>-127280</v>
      </c>
      <c r="K184" s="415">
        <f t="shared" si="247"/>
        <v>-509120</v>
      </c>
      <c r="L184" s="411">
        <f t="shared" ref="L184:S184" si="263">$D184</f>
        <v>-127280</v>
      </c>
      <c r="M184" s="411">
        <f t="shared" si="263"/>
        <v>-127280</v>
      </c>
      <c r="N184" s="411">
        <f t="shared" si="263"/>
        <v>-127280</v>
      </c>
      <c r="O184" s="411">
        <f t="shared" si="263"/>
        <v>-127280</v>
      </c>
      <c r="P184" s="411">
        <f t="shared" si="263"/>
        <v>-127280</v>
      </c>
      <c r="Q184" s="411">
        <f t="shared" si="263"/>
        <v>-127280</v>
      </c>
      <c r="R184" s="411">
        <f t="shared" si="263"/>
        <v>-127280</v>
      </c>
      <c r="S184" s="411">
        <f t="shared" si="263"/>
        <v>-127280</v>
      </c>
      <c r="T184" s="415">
        <f t="shared" si="249"/>
        <v>-1018240</v>
      </c>
      <c r="U184" s="395"/>
      <c r="V184" s="395"/>
    </row>
    <row r="185" ht="9.75" customHeight="1" outlineLevel="2">
      <c r="A185" s="385"/>
      <c r="B185" s="385"/>
      <c r="C185" s="482" t="s">
        <v>751</v>
      </c>
      <c r="D185" s="512">
        <v>-100000.0</v>
      </c>
      <c r="E185" s="392"/>
      <c r="F185" s="392"/>
      <c r="G185" s="411">
        <f t="shared" ref="G185:J185" si="264">$D185</f>
        <v>-100000</v>
      </c>
      <c r="H185" s="411">
        <f t="shared" si="264"/>
        <v>-100000</v>
      </c>
      <c r="I185" s="411">
        <f t="shared" si="264"/>
        <v>-100000</v>
      </c>
      <c r="J185" s="411">
        <f t="shared" si="264"/>
        <v>-100000</v>
      </c>
      <c r="K185" s="415">
        <f t="shared" si="247"/>
        <v>-400000</v>
      </c>
      <c r="L185" s="411">
        <f t="shared" ref="L185:S185" si="265">$D185</f>
        <v>-100000</v>
      </c>
      <c r="M185" s="411">
        <f t="shared" si="265"/>
        <v>-100000</v>
      </c>
      <c r="N185" s="411">
        <f t="shared" si="265"/>
        <v>-100000</v>
      </c>
      <c r="O185" s="411">
        <f t="shared" si="265"/>
        <v>-100000</v>
      </c>
      <c r="P185" s="411">
        <f t="shared" si="265"/>
        <v>-100000</v>
      </c>
      <c r="Q185" s="411">
        <f t="shared" si="265"/>
        <v>-100000</v>
      </c>
      <c r="R185" s="411">
        <f t="shared" si="265"/>
        <v>-100000</v>
      </c>
      <c r="S185" s="411">
        <f t="shared" si="265"/>
        <v>-100000</v>
      </c>
      <c r="T185" s="415">
        <f t="shared" si="249"/>
        <v>-800000</v>
      </c>
      <c r="U185" s="395"/>
      <c r="V185" s="395"/>
    </row>
    <row r="186" ht="9.75" customHeight="1" outlineLevel="2">
      <c r="A186" s="385"/>
      <c r="B186" s="385"/>
      <c r="C186" s="392"/>
      <c r="D186" s="512"/>
      <c r="E186" s="392"/>
      <c r="F186" s="392"/>
      <c r="G186" s="396"/>
      <c r="H186" s="396"/>
      <c r="I186" s="396"/>
      <c r="J186" s="396"/>
      <c r="K186" s="426"/>
      <c r="L186" s="396"/>
      <c r="M186" s="396"/>
      <c r="N186" s="396"/>
      <c r="O186" s="396"/>
      <c r="P186" s="396"/>
      <c r="Q186" s="396"/>
      <c r="R186" s="396"/>
      <c r="S186" s="396"/>
      <c r="T186" s="426"/>
      <c r="U186" s="395"/>
      <c r="V186" s="395"/>
    </row>
    <row r="187" ht="9.75" customHeight="1" outlineLevel="2">
      <c r="A187" s="385"/>
      <c r="B187" s="385"/>
      <c r="C187" s="482" t="s">
        <v>83</v>
      </c>
      <c r="D187" s="512">
        <v>-66052.25</v>
      </c>
      <c r="E187" s="392"/>
      <c r="F187" s="392"/>
      <c r="G187" s="411">
        <f t="shared" ref="G187:J187" si="266">$D187</f>
        <v>-66052.25</v>
      </c>
      <c r="H187" s="411">
        <f t="shared" si="266"/>
        <v>-66052.25</v>
      </c>
      <c r="I187" s="411">
        <f t="shared" si="266"/>
        <v>-66052.25</v>
      </c>
      <c r="J187" s="411">
        <f t="shared" si="266"/>
        <v>-66052.25</v>
      </c>
      <c r="K187" s="415">
        <f>SUM(G187:J187)</f>
        <v>-264209</v>
      </c>
      <c r="L187" s="411">
        <f t="shared" ref="L187:S187" si="267">$D187</f>
        <v>-66052.25</v>
      </c>
      <c r="M187" s="411">
        <f t="shared" si="267"/>
        <v>-66052.25</v>
      </c>
      <c r="N187" s="411">
        <f t="shared" si="267"/>
        <v>-66052.25</v>
      </c>
      <c r="O187" s="411">
        <f t="shared" si="267"/>
        <v>-66052.25</v>
      </c>
      <c r="P187" s="411">
        <f t="shared" si="267"/>
        <v>-66052.25</v>
      </c>
      <c r="Q187" s="411">
        <f t="shared" si="267"/>
        <v>-66052.25</v>
      </c>
      <c r="R187" s="411">
        <f t="shared" si="267"/>
        <v>-66052.25</v>
      </c>
      <c r="S187" s="411">
        <f t="shared" si="267"/>
        <v>-66052.25</v>
      </c>
      <c r="T187" s="415">
        <f>SUM(L187:S187)</f>
        <v>-528418</v>
      </c>
      <c r="U187" s="395"/>
      <c r="V187" s="395"/>
    </row>
    <row r="188" ht="9.75" customHeight="1" outlineLevel="2">
      <c r="A188" s="385"/>
      <c r="B188" s="385"/>
      <c r="C188" s="482" t="s">
        <v>389</v>
      </c>
      <c r="D188" s="512">
        <v>-700000.0</v>
      </c>
      <c r="E188" s="392"/>
      <c r="F188" s="392"/>
      <c r="G188" s="411">
        <f>$D188</f>
        <v>-700000</v>
      </c>
      <c r="H188" s="411">
        <v>-2000000.0</v>
      </c>
      <c r="I188" s="411">
        <v>-2000000.0</v>
      </c>
      <c r="J188" s="411">
        <v>-1500000.0</v>
      </c>
      <c r="K188" s="426"/>
      <c r="L188" s="411">
        <v>-1500000.0</v>
      </c>
      <c r="M188" s="411">
        <v>-1500000.0</v>
      </c>
      <c r="N188" s="411">
        <v>-1500000.0</v>
      </c>
      <c r="O188" s="411">
        <f t="shared" ref="O188:S188" si="268">$D188</f>
        <v>-700000</v>
      </c>
      <c r="P188" s="411">
        <f t="shared" si="268"/>
        <v>-700000</v>
      </c>
      <c r="Q188" s="411">
        <f t="shared" si="268"/>
        <v>-700000</v>
      </c>
      <c r="R188" s="411">
        <f t="shared" si="268"/>
        <v>-700000</v>
      </c>
      <c r="S188" s="411">
        <f t="shared" si="268"/>
        <v>-700000</v>
      </c>
      <c r="T188" s="426"/>
      <c r="U188" s="395"/>
      <c r="V188" s="395"/>
    </row>
    <row r="189" ht="9.75" customHeight="1" outlineLevel="1">
      <c r="A189" s="458"/>
      <c r="B189" s="458"/>
      <c r="C189" s="509" t="s">
        <v>369</v>
      </c>
      <c r="D189" s="510"/>
      <c r="E189" s="510"/>
      <c r="F189" s="510"/>
      <c r="G189" s="511">
        <f t="shared" ref="G189:J189" si="269">SUM(G190:G191)</f>
        <v>-110000</v>
      </c>
      <c r="H189" s="511">
        <f t="shared" si="269"/>
        <v>-310000</v>
      </c>
      <c r="I189" s="511">
        <f t="shared" si="269"/>
        <v>-310000</v>
      </c>
      <c r="J189" s="511">
        <f t="shared" si="269"/>
        <v>-310000</v>
      </c>
      <c r="K189" s="415">
        <f t="shared" ref="K189:K192" si="271">SUM(G189:J189)</f>
        <v>-1040000</v>
      </c>
      <c r="L189" s="511">
        <f t="shared" ref="L189:S189" si="270">SUM(L190:L191)</f>
        <v>-310000</v>
      </c>
      <c r="M189" s="511">
        <f t="shared" si="270"/>
        <v>-310000</v>
      </c>
      <c r="N189" s="511">
        <f t="shared" si="270"/>
        <v>-310000</v>
      </c>
      <c r="O189" s="511">
        <f t="shared" si="270"/>
        <v>-110000</v>
      </c>
      <c r="P189" s="511">
        <f t="shared" si="270"/>
        <v>-110000</v>
      </c>
      <c r="Q189" s="511">
        <f t="shared" si="270"/>
        <v>-110000</v>
      </c>
      <c r="R189" s="511">
        <f t="shared" si="270"/>
        <v>-110000</v>
      </c>
      <c r="S189" s="511">
        <f t="shared" si="270"/>
        <v>-110000</v>
      </c>
      <c r="T189" s="415">
        <f t="shared" ref="T189:T192" si="273">SUM(L189:S189)</f>
        <v>-1480000</v>
      </c>
      <c r="U189" s="461"/>
      <c r="V189" s="461"/>
    </row>
    <row r="190" ht="9.75" customHeight="1" outlineLevel="1">
      <c r="A190" s="385"/>
      <c r="B190" s="385"/>
      <c r="C190" s="482" t="s">
        <v>752</v>
      </c>
      <c r="D190" s="512">
        <v>-100000.0</v>
      </c>
      <c r="E190" s="392"/>
      <c r="F190" s="392"/>
      <c r="G190" s="411">
        <f t="shared" ref="G190:G191" si="274">$D190</f>
        <v>-100000</v>
      </c>
      <c r="H190" s="411">
        <v>-300000.0</v>
      </c>
      <c r="I190" s="411">
        <v>-300000.0</v>
      </c>
      <c r="J190" s="411">
        <v>-300000.0</v>
      </c>
      <c r="K190" s="415">
        <f t="shared" si="271"/>
        <v>-1000000</v>
      </c>
      <c r="L190" s="411">
        <v>-300000.0</v>
      </c>
      <c r="M190" s="411">
        <v>-300000.0</v>
      </c>
      <c r="N190" s="411">
        <v>-300000.0</v>
      </c>
      <c r="O190" s="411">
        <f t="shared" ref="O190:S190" si="272">$D190</f>
        <v>-100000</v>
      </c>
      <c r="P190" s="411">
        <f t="shared" si="272"/>
        <v>-100000</v>
      </c>
      <c r="Q190" s="411">
        <f t="shared" si="272"/>
        <v>-100000</v>
      </c>
      <c r="R190" s="411">
        <f t="shared" si="272"/>
        <v>-100000</v>
      </c>
      <c r="S190" s="411">
        <f t="shared" si="272"/>
        <v>-100000</v>
      </c>
      <c r="T190" s="415">
        <f t="shared" si="273"/>
        <v>-1400000</v>
      </c>
      <c r="U190" s="395"/>
      <c r="V190" s="395"/>
    </row>
    <row r="191" ht="9.75" customHeight="1" outlineLevel="1">
      <c r="A191" s="385"/>
      <c r="B191" s="385"/>
      <c r="C191" s="482" t="s">
        <v>753</v>
      </c>
      <c r="D191" s="512">
        <v>-10000.0</v>
      </c>
      <c r="E191" s="392"/>
      <c r="F191" s="392"/>
      <c r="G191" s="411">
        <f t="shared" si="274"/>
        <v>-10000</v>
      </c>
      <c r="H191" s="411">
        <f t="shared" ref="H191:J191" si="275">$D191</f>
        <v>-10000</v>
      </c>
      <c r="I191" s="411">
        <f t="shared" si="275"/>
        <v>-10000</v>
      </c>
      <c r="J191" s="411">
        <f t="shared" si="275"/>
        <v>-10000</v>
      </c>
      <c r="K191" s="415">
        <f t="shared" si="271"/>
        <v>-40000</v>
      </c>
      <c r="L191" s="411">
        <f t="shared" ref="L191:S191" si="276">$D191</f>
        <v>-10000</v>
      </c>
      <c r="M191" s="411">
        <f t="shared" si="276"/>
        <v>-10000</v>
      </c>
      <c r="N191" s="411">
        <f t="shared" si="276"/>
        <v>-10000</v>
      </c>
      <c r="O191" s="411">
        <f t="shared" si="276"/>
        <v>-10000</v>
      </c>
      <c r="P191" s="411">
        <f t="shared" si="276"/>
        <v>-10000</v>
      </c>
      <c r="Q191" s="411">
        <f t="shared" si="276"/>
        <v>-10000</v>
      </c>
      <c r="R191" s="411">
        <f t="shared" si="276"/>
        <v>-10000</v>
      </c>
      <c r="S191" s="411">
        <f t="shared" si="276"/>
        <v>-10000</v>
      </c>
      <c r="T191" s="415">
        <f t="shared" si="273"/>
        <v>-80000</v>
      </c>
      <c r="U191" s="395"/>
      <c r="V191" s="395"/>
    </row>
    <row r="192" ht="9.75" customHeight="1">
      <c r="A192" s="385"/>
      <c r="B192" s="385"/>
      <c r="C192" s="515" t="s">
        <v>754</v>
      </c>
      <c r="D192" s="516"/>
      <c r="E192" s="517">
        <f>E161-E176</f>
        <v>1785052.23</v>
      </c>
      <c r="F192" s="516"/>
      <c r="G192" s="518">
        <f t="shared" ref="G192:J192" si="277">G161+G176</f>
        <v>5013247.772</v>
      </c>
      <c r="H192" s="519">
        <f t="shared" si="277"/>
        <v>1058908.836</v>
      </c>
      <c r="I192" s="520">
        <f t="shared" si="277"/>
        <v>-7887219.614</v>
      </c>
      <c r="J192" s="521">
        <f t="shared" si="277"/>
        <v>-2834913.357</v>
      </c>
      <c r="K192" s="496">
        <f t="shared" si="271"/>
        <v>-4649976.363</v>
      </c>
      <c r="L192" s="522">
        <f t="shared" ref="L192:S192" si="278">L161+L176</f>
        <v>-6628460.451</v>
      </c>
      <c r="M192" s="523">
        <f t="shared" si="278"/>
        <v>-5423320.251</v>
      </c>
      <c r="N192" s="524">
        <f t="shared" si="278"/>
        <v>-3529618.124</v>
      </c>
      <c r="O192" s="525">
        <f t="shared" si="278"/>
        <v>15000.2062</v>
      </c>
      <c r="P192" s="526">
        <f t="shared" si="278"/>
        <v>2798830.943</v>
      </c>
      <c r="Q192" s="527">
        <f t="shared" si="278"/>
        <v>2998390.867</v>
      </c>
      <c r="R192" s="528">
        <f t="shared" si="278"/>
        <v>2320237.431</v>
      </c>
      <c r="S192" s="529">
        <f t="shared" si="278"/>
        <v>3335214.873</v>
      </c>
      <c r="T192" s="496">
        <f t="shared" si="273"/>
        <v>-4113724.506</v>
      </c>
      <c r="U192" s="416">
        <f>SUM(K192+T192)</f>
        <v>-8763700.869</v>
      </c>
      <c r="V192" s="421"/>
    </row>
    <row r="193" ht="9.75" customHeight="1">
      <c r="A193" s="385"/>
      <c r="B193" s="385"/>
      <c r="C193" s="515" t="s">
        <v>755</v>
      </c>
      <c r="D193" s="516"/>
      <c r="E193" s="530"/>
      <c r="F193" s="516"/>
      <c r="G193" s="531">
        <f t="shared" ref="G193:U193" si="279">G192/G17</f>
        <v>0.06262330945</v>
      </c>
      <c r="H193" s="532">
        <f t="shared" si="279"/>
        <v>0.01819540686</v>
      </c>
      <c r="I193" s="533">
        <f t="shared" si="279"/>
        <v>-0.2043937013</v>
      </c>
      <c r="J193" s="534">
        <f t="shared" si="279"/>
        <v>-0.1207407741</v>
      </c>
      <c r="K193" s="535">
        <f t="shared" si="279"/>
        <v>-0.02321294777</v>
      </c>
      <c r="L193" s="536">
        <f t="shared" si="279"/>
        <v>-0.4176351345</v>
      </c>
      <c r="M193" s="537">
        <f t="shared" si="279"/>
        <v>-0.2203480174</v>
      </c>
      <c r="N193" s="538">
        <f t="shared" si="279"/>
        <v>-0.09252586783</v>
      </c>
      <c r="O193" s="539">
        <f t="shared" si="279"/>
        <v>0.0002519829838</v>
      </c>
      <c r="P193" s="540">
        <f t="shared" si="279"/>
        <v>0.03464976872</v>
      </c>
      <c r="Q193" s="541">
        <f t="shared" si="279"/>
        <v>0.03721844203</v>
      </c>
      <c r="R193" s="542">
        <f t="shared" si="279"/>
        <v>0.03027085067</v>
      </c>
      <c r="S193" s="543">
        <f t="shared" si="279"/>
        <v>0.038658221</v>
      </c>
      <c r="T193" s="498">
        <f t="shared" si="279"/>
        <v>-0.008896070003</v>
      </c>
      <c r="U193" s="499">
        <f t="shared" si="279"/>
        <v>-0.01322346432</v>
      </c>
      <c r="V193" s="470"/>
    </row>
    <row r="194" ht="9.75" customHeight="1">
      <c r="A194" s="506"/>
      <c r="B194" s="506"/>
      <c r="C194" s="502" t="s">
        <v>756</v>
      </c>
      <c r="D194" s="507"/>
      <c r="E194" s="544"/>
      <c r="F194" s="507"/>
      <c r="G194" s="508">
        <f t="shared" ref="G194:J194" si="280">SUM(G195:G200)</f>
        <v>67157.875</v>
      </c>
      <c r="H194" s="508">
        <f t="shared" si="280"/>
        <v>67157.875</v>
      </c>
      <c r="I194" s="508">
        <f t="shared" si="280"/>
        <v>67157.875</v>
      </c>
      <c r="J194" s="508">
        <f t="shared" si="280"/>
        <v>67157.875</v>
      </c>
      <c r="K194" s="415">
        <f t="shared" ref="K194:K196" si="283">SUM(G194:J194)</f>
        <v>268631.5</v>
      </c>
      <c r="L194" s="508">
        <f t="shared" ref="L194:S194" si="281">SUM(L195:L200)</f>
        <v>67157.875</v>
      </c>
      <c r="M194" s="508">
        <f t="shared" si="281"/>
        <v>67157.875</v>
      </c>
      <c r="N194" s="508">
        <f t="shared" si="281"/>
        <v>67157.875</v>
      </c>
      <c r="O194" s="508">
        <f t="shared" si="281"/>
        <v>67157.875</v>
      </c>
      <c r="P194" s="508">
        <f t="shared" si="281"/>
        <v>67157.875</v>
      </c>
      <c r="Q194" s="508">
        <f t="shared" si="281"/>
        <v>67157.875</v>
      </c>
      <c r="R194" s="508">
        <f t="shared" si="281"/>
        <v>67157.875</v>
      </c>
      <c r="S194" s="508">
        <f t="shared" si="281"/>
        <v>67157.875</v>
      </c>
      <c r="T194" s="415">
        <f t="shared" ref="T194:T196" si="285">SUM(L194:S194)</f>
        <v>537263</v>
      </c>
      <c r="U194" s="481"/>
      <c r="V194" s="421"/>
    </row>
    <row r="195" ht="9.75" hidden="1" customHeight="1" outlineLevel="1">
      <c r="A195" s="385"/>
      <c r="B195" s="385"/>
      <c r="C195" s="482" t="s">
        <v>757</v>
      </c>
      <c r="D195" s="411">
        <v>66283.75</v>
      </c>
      <c r="E195" s="392"/>
      <c r="F195" s="392"/>
      <c r="G195" s="411">
        <f t="shared" ref="G195:J195" si="282">$D195</f>
        <v>66283.75</v>
      </c>
      <c r="H195" s="411">
        <f t="shared" si="282"/>
        <v>66283.75</v>
      </c>
      <c r="I195" s="411">
        <f t="shared" si="282"/>
        <v>66283.75</v>
      </c>
      <c r="J195" s="411">
        <f t="shared" si="282"/>
        <v>66283.75</v>
      </c>
      <c r="K195" s="415">
        <f t="shared" si="283"/>
        <v>265135</v>
      </c>
      <c r="L195" s="411">
        <f t="shared" ref="L195:S195" si="284">$D195</f>
        <v>66283.75</v>
      </c>
      <c r="M195" s="411">
        <f t="shared" si="284"/>
        <v>66283.75</v>
      </c>
      <c r="N195" s="411">
        <f t="shared" si="284"/>
        <v>66283.75</v>
      </c>
      <c r="O195" s="411">
        <f t="shared" si="284"/>
        <v>66283.75</v>
      </c>
      <c r="P195" s="411">
        <f t="shared" si="284"/>
        <v>66283.75</v>
      </c>
      <c r="Q195" s="411">
        <f t="shared" si="284"/>
        <v>66283.75</v>
      </c>
      <c r="R195" s="411">
        <f t="shared" si="284"/>
        <v>66283.75</v>
      </c>
      <c r="S195" s="411">
        <f t="shared" si="284"/>
        <v>66283.75</v>
      </c>
      <c r="T195" s="415">
        <f t="shared" si="285"/>
        <v>530270</v>
      </c>
      <c r="U195" s="395"/>
      <c r="V195" s="395"/>
    </row>
    <row r="196" ht="9.75" hidden="1" customHeight="1" outlineLevel="1">
      <c r="A196" s="385"/>
      <c r="B196" s="385"/>
      <c r="C196" s="482" t="s">
        <v>758</v>
      </c>
      <c r="D196" s="411">
        <v>375.0</v>
      </c>
      <c r="E196" s="392"/>
      <c r="F196" s="392"/>
      <c r="G196" s="411">
        <f t="shared" ref="G196:J196" si="286">$D196</f>
        <v>375</v>
      </c>
      <c r="H196" s="411">
        <f t="shared" si="286"/>
        <v>375</v>
      </c>
      <c r="I196" s="411">
        <f t="shared" si="286"/>
        <v>375</v>
      </c>
      <c r="J196" s="411">
        <f t="shared" si="286"/>
        <v>375</v>
      </c>
      <c r="K196" s="415">
        <f t="shared" si="283"/>
        <v>1500</v>
      </c>
      <c r="L196" s="411">
        <f t="shared" ref="L196:S196" si="287">$D196</f>
        <v>375</v>
      </c>
      <c r="M196" s="411">
        <f t="shared" si="287"/>
        <v>375</v>
      </c>
      <c r="N196" s="411">
        <f t="shared" si="287"/>
        <v>375</v>
      </c>
      <c r="O196" s="411">
        <f t="shared" si="287"/>
        <v>375</v>
      </c>
      <c r="P196" s="411">
        <f t="shared" si="287"/>
        <v>375</v>
      </c>
      <c r="Q196" s="411">
        <f t="shared" si="287"/>
        <v>375</v>
      </c>
      <c r="R196" s="411">
        <f t="shared" si="287"/>
        <v>375</v>
      </c>
      <c r="S196" s="411">
        <f t="shared" si="287"/>
        <v>375</v>
      </c>
      <c r="T196" s="415">
        <f t="shared" si="285"/>
        <v>3000</v>
      </c>
      <c r="U196" s="395"/>
      <c r="V196" s="395"/>
    </row>
    <row r="197" ht="9.75" hidden="1" customHeight="1" outlineLevel="1">
      <c r="A197" s="385"/>
      <c r="B197" s="385"/>
      <c r="C197" s="392"/>
      <c r="D197" s="411"/>
      <c r="E197" s="392"/>
      <c r="F197" s="392"/>
      <c r="G197" s="411"/>
      <c r="H197" s="411"/>
      <c r="I197" s="411"/>
      <c r="J197" s="411"/>
      <c r="K197" s="426"/>
      <c r="L197" s="411"/>
      <c r="M197" s="411"/>
      <c r="N197" s="411"/>
      <c r="O197" s="411"/>
      <c r="P197" s="411"/>
      <c r="Q197" s="411"/>
      <c r="R197" s="411"/>
      <c r="S197" s="411"/>
      <c r="T197" s="426"/>
      <c r="U197" s="395"/>
      <c r="V197" s="395"/>
    </row>
    <row r="198" ht="9.75" hidden="1" customHeight="1" outlineLevel="1">
      <c r="A198" s="385"/>
      <c r="B198" s="385"/>
      <c r="C198" s="482" t="s">
        <v>759</v>
      </c>
      <c r="D198" s="411">
        <v>499.125</v>
      </c>
      <c r="E198" s="392"/>
      <c r="F198" s="392"/>
      <c r="G198" s="411">
        <f t="shared" ref="G198:J198" si="288">$D198</f>
        <v>499.125</v>
      </c>
      <c r="H198" s="411">
        <f t="shared" si="288"/>
        <v>499.125</v>
      </c>
      <c r="I198" s="411">
        <f t="shared" si="288"/>
        <v>499.125</v>
      </c>
      <c r="J198" s="411">
        <f t="shared" si="288"/>
        <v>499.125</v>
      </c>
      <c r="K198" s="415">
        <f>SUM(G198:J198)</f>
        <v>1996.5</v>
      </c>
      <c r="L198" s="411">
        <f t="shared" ref="L198:S198" si="289">$D198</f>
        <v>499.125</v>
      </c>
      <c r="M198" s="411">
        <f t="shared" si="289"/>
        <v>499.125</v>
      </c>
      <c r="N198" s="411">
        <f t="shared" si="289"/>
        <v>499.125</v>
      </c>
      <c r="O198" s="411">
        <f t="shared" si="289"/>
        <v>499.125</v>
      </c>
      <c r="P198" s="411">
        <f t="shared" si="289"/>
        <v>499.125</v>
      </c>
      <c r="Q198" s="411">
        <f t="shared" si="289"/>
        <v>499.125</v>
      </c>
      <c r="R198" s="411">
        <f t="shared" si="289"/>
        <v>499.125</v>
      </c>
      <c r="S198" s="411">
        <f t="shared" si="289"/>
        <v>499.125</v>
      </c>
      <c r="T198" s="415">
        <f>SUM(L198:S198)</f>
        <v>3993</v>
      </c>
      <c r="U198" s="395"/>
      <c r="V198" s="395"/>
    </row>
    <row r="199" ht="9.75" hidden="1" customHeight="1" outlineLevel="1">
      <c r="A199" s="385"/>
      <c r="B199" s="385"/>
      <c r="C199" s="392"/>
      <c r="D199" s="411"/>
      <c r="E199" s="392"/>
      <c r="F199" s="392"/>
      <c r="G199" s="411"/>
      <c r="H199" s="411"/>
      <c r="I199" s="411"/>
      <c r="J199" s="411"/>
      <c r="K199" s="426"/>
      <c r="L199" s="411"/>
      <c r="M199" s="411"/>
      <c r="N199" s="411"/>
      <c r="O199" s="411"/>
      <c r="P199" s="411"/>
      <c r="Q199" s="411"/>
      <c r="R199" s="411"/>
      <c r="S199" s="411"/>
      <c r="T199" s="426"/>
      <c r="U199" s="395"/>
      <c r="V199" s="395"/>
    </row>
    <row r="200" ht="9.75" hidden="1" customHeight="1" outlineLevel="1">
      <c r="A200" s="385"/>
      <c r="B200" s="385"/>
      <c r="C200" s="392"/>
      <c r="D200" s="411"/>
      <c r="E200" s="392"/>
      <c r="F200" s="392"/>
      <c r="G200" s="411"/>
      <c r="H200" s="411"/>
      <c r="I200" s="411"/>
      <c r="J200" s="411"/>
      <c r="K200" s="426"/>
      <c r="L200" s="411"/>
      <c r="M200" s="411"/>
      <c r="N200" s="411"/>
      <c r="O200" s="411"/>
      <c r="P200" s="411"/>
      <c r="Q200" s="411"/>
      <c r="R200" s="411"/>
      <c r="S200" s="411"/>
      <c r="T200" s="426"/>
      <c r="U200" s="395"/>
      <c r="V200" s="395"/>
    </row>
    <row r="201" ht="9.75" customHeight="1" collapsed="1">
      <c r="A201" s="506"/>
      <c r="B201" s="506"/>
      <c r="C201" s="502" t="s">
        <v>760</v>
      </c>
      <c r="D201" s="507"/>
      <c r="E201" s="544"/>
      <c r="F201" s="507"/>
      <c r="G201" s="508">
        <f t="shared" ref="G201:J201" si="290">SUM(G202:G213)</f>
        <v>-1128036.554</v>
      </c>
      <c r="H201" s="508">
        <f t="shared" si="290"/>
        <v>-337168.7671</v>
      </c>
      <c r="I201" s="508">
        <f t="shared" si="290"/>
        <v>-125387</v>
      </c>
      <c r="J201" s="508">
        <f t="shared" si="290"/>
        <v>-125387</v>
      </c>
      <c r="K201" s="415">
        <f t="shared" ref="K201:K203" si="293">SUM(G201:J201)</f>
        <v>-1715979.321</v>
      </c>
      <c r="L201" s="508">
        <f t="shared" ref="L201:S201" si="291">SUM(L202:L213)</f>
        <v>-125387</v>
      </c>
      <c r="M201" s="508">
        <f t="shared" si="291"/>
        <v>-125387</v>
      </c>
      <c r="N201" s="508">
        <f t="shared" si="291"/>
        <v>-125387</v>
      </c>
      <c r="O201" s="508">
        <f t="shared" si="291"/>
        <v>-128387.0412</v>
      </c>
      <c r="P201" s="508">
        <f t="shared" si="291"/>
        <v>-685153.1886</v>
      </c>
      <c r="Q201" s="508">
        <f t="shared" si="291"/>
        <v>-725065.1734</v>
      </c>
      <c r="R201" s="508">
        <f t="shared" si="291"/>
        <v>-589434.4863</v>
      </c>
      <c r="S201" s="508">
        <f t="shared" si="291"/>
        <v>-792429.9745</v>
      </c>
      <c r="T201" s="415">
        <f t="shared" ref="T201:T203" si="295">SUM(L201:S201)</f>
        <v>-3296630.864</v>
      </c>
      <c r="U201" s="481"/>
      <c r="V201" s="421"/>
    </row>
    <row r="202" ht="9.75" hidden="1" customHeight="1" outlineLevel="1">
      <c r="A202" s="385"/>
      <c r="B202" s="385"/>
      <c r="C202" s="482" t="s">
        <v>761</v>
      </c>
      <c r="D202" s="411">
        <v>-208.25</v>
      </c>
      <c r="E202" s="392"/>
      <c r="F202" s="392"/>
      <c r="G202" s="411">
        <f t="shared" ref="G202:J202" si="292">$D202</f>
        <v>-208.25</v>
      </c>
      <c r="H202" s="411">
        <f t="shared" si="292"/>
        <v>-208.25</v>
      </c>
      <c r="I202" s="411">
        <f t="shared" si="292"/>
        <v>-208.25</v>
      </c>
      <c r="J202" s="411">
        <f t="shared" si="292"/>
        <v>-208.25</v>
      </c>
      <c r="K202" s="415">
        <f t="shared" si="293"/>
        <v>-833</v>
      </c>
      <c r="L202" s="411">
        <f t="shared" ref="L202:S202" si="294">$D202</f>
        <v>-208.25</v>
      </c>
      <c r="M202" s="411">
        <f t="shared" si="294"/>
        <v>-208.25</v>
      </c>
      <c r="N202" s="411">
        <f t="shared" si="294"/>
        <v>-208.25</v>
      </c>
      <c r="O202" s="411">
        <f t="shared" si="294"/>
        <v>-208.25</v>
      </c>
      <c r="P202" s="411">
        <f t="shared" si="294"/>
        <v>-208.25</v>
      </c>
      <c r="Q202" s="411">
        <f t="shared" si="294"/>
        <v>-208.25</v>
      </c>
      <c r="R202" s="411">
        <f t="shared" si="294"/>
        <v>-208.25</v>
      </c>
      <c r="S202" s="411">
        <f t="shared" si="294"/>
        <v>-208.25</v>
      </c>
      <c r="T202" s="415">
        <f t="shared" si="295"/>
        <v>-1666</v>
      </c>
      <c r="U202" s="395"/>
      <c r="V202" s="395"/>
    </row>
    <row r="203" ht="9.75" hidden="1" customHeight="1" outlineLevel="1">
      <c r="A203" s="385"/>
      <c r="B203" s="385"/>
      <c r="C203" s="482" t="s">
        <v>762</v>
      </c>
      <c r="D203" s="411">
        <v>-100.0</v>
      </c>
      <c r="E203" s="392"/>
      <c r="F203" s="392"/>
      <c r="G203" s="411">
        <f t="shared" ref="G203:J203" si="296">$D203</f>
        <v>-100</v>
      </c>
      <c r="H203" s="411">
        <f t="shared" si="296"/>
        <v>-100</v>
      </c>
      <c r="I203" s="411">
        <f t="shared" si="296"/>
        <v>-100</v>
      </c>
      <c r="J203" s="411">
        <f t="shared" si="296"/>
        <v>-100</v>
      </c>
      <c r="K203" s="415">
        <f t="shared" si="293"/>
        <v>-400</v>
      </c>
      <c r="L203" s="411">
        <f t="shared" ref="L203:S203" si="297">$D203</f>
        <v>-100</v>
      </c>
      <c r="M203" s="411">
        <f t="shared" si="297"/>
        <v>-100</v>
      </c>
      <c r="N203" s="411">
        <f t="shared" si="297"/>
        <v>-100</v>
      </c>
      <c r="O203" s="411">
        <f t="shared" si="297"/>
        <v>-100</v>
      </c>
      <c r="P203" s="411">
        <f t="shared" si="297"/>
        <v>-100</v>
      </c>
      <c r="Q203" s="411">
        <f t="shared" si="297"/>
        <v>-100</v>
      </c>
      <c r="R203" s="411">
        <f t="shared" si="297"/>
        <v>-100</v>
      </c>
      <c r="S203" s="411">
        <f t="shared" si="297"/>
        <v>-100</v>
      </c>
      <c r="T203" s="415">
        <f t="shared" si="295"/>
        <v>-800</v>
      </c>
      <c r="U203" s="395"/>
      <c r="V203" s="395"/>
    </row>
    <row r="204" ht="9.75" hidden="1" customHeight="1" outlineLevel="1">
      <c r="A204" s="385"/>
      <c r="B204" s="385"/>
      <c r="C204" s="392"/>
      <c r="D204" s="411"/>
      <c r="E204" s="392"/>
      <c r="F204" s="392"/>
      <c r="G204" s="411"/>
      <c r="H204" s="411"/>
      <c r="I204" s="411"/>
      <c r="J204" s="411"/>
      <c r="K204" s="426"/>
      <c r="L204" s="411"/>
      <c r="M204" s="411"/>
      <c r="N204" s="411"/>
      <c r="O204" s="411"/>
      <c r="P204" s="411"/>
      <c r="Q204" s="411"/>
      <c r="R204" s="411"/>
      <c r="S204" s="411"/>
      <c r="T204" s="426"/>
      <c r="U204" s="395"/>
      <c r="V204" s="395"/>
    </row>
    <row r="205" ht="9.75" hidden="1" customHeight="1" outlineLevel="1">
      <c r="A205" s="385"/>
      <c r="B205" s="385"/>
      <c r="C205" s="482" t="s">
        <v>763</v>
      </c>
      <c r="D205" s="411">
        <v>-589.625</v>
      </c>
      <c r="E205" s="392"/>
      <c r="F205" s="392"/>
      <c r="G205" s="411">
        <f t="shared" ref="G205:J205" si="298">$D205</f>
        <v>-589.625</v>
      </c>
      <c r="H205" s="411">
        <f t="shared" si="298"/>
        <v>-589.625</v>
      </c>
      <c r="I205" s="411">
        <f t="shared" si="298"/>
        <v>-589.625</v>
      </c>
      <c r="J205" s="411">
        <f t="shared" si="298"/>
        <v>-589.625</v>
      </c>
      <c r="K205" s="415">
        <f t="shared" ref="K205:K207" si="301">SUM(G205:J205)</f>
        <v>-2358.5</v>
      </c>
      <c r="L205" s="411">
        <f t="shared" ref="L205:S205" si="299">$D205</f>
        <v>-589.625</v>
      </c>
      <c r="M205" s="411">
        <f t="shared" si="299"/>
        <v>-589.625</v>
      </c>
      <c r="N205" s="411">
        <f t="shared" si="299"/>
        <v>-589.625</v>
      </c>
      <c r="O205" s="411">
        <f t="shared" si="299"/>
        <v>-589.625</v>
      </c>
      <c r="P205" s="411">
        <f t="shared" si="299"/>
        <v>-589.625</v>
      </c>
      <c r="Q205" s="411">
        <f t="shared" si="299"/>
        <v>-589.625</v>
      </c>
      <c r="R205" s="411">
        <f t="shared" si="299"/>
        <v>-589.625</v>
      </c>
      <c r="S205" s="411">
        <f t="shared" si="299"/>
        <v>-589.625</v>
      </c>
      <c r="T205" s="415">
        <f t="shared" ref="T205:T208" si="303">SUM(L205:S205)</f>
        <v>-4717</v>
      </c>
      <c r="U205" s="395"/>
      <c r="V205" s="395"/>
    </row>
    <row r="206" ht="9.75" hidden="1" customHeight="1" outlineLevel="1">
      <c r="A206" s="545"/>
      <c r="B206" s="545"/>
      <c r="C206" s="546" t="s">
        <v>764</v>
      </c>
      <c r="D206" s="547">
        <v>-0.17</v>
      </c>
      <c r="E206" s="513"/>
      <c r="F206" s="513"/>
      <c r="G206" s="505">
        <f t="shared" ref="G206:J206" si="300">IF(G192&lt;=0,0,G192*$D$206)</f>
        <v>-852252.1212</v>
      </c>
      <c r="H206" s="505">
        <f t="shared" si="300"/>
        <v>-180014.5021</v>
      </c>
      <c r="I206" s="505">
        <f t="shared" si="300"/>
        <v>0</v>
      </c>
      <c r="J206" s="505">
        <f t="shared" si="300"/>
        <v>0</v>
      </c>
      <c r="K206" s="415">
        <f t="shared" si="301"/>
        <v>-1032266.623</v>
      </c>
      <c r="L206" s="505">
        <f t="shared" ref="L206:S206" si="302">IF(L192&lt;=0,0,L192*$D$206)</f>
        <v>0</v>
      </c>
      <c r="M206" s="505">
        <f t="shared" si="302"/>
        <v>0</v>
      </c>
      <c r="N206" s="505">
        <f t="shared" si="302"/>
        <v>0</v>
      </c>
      <c r="O206" s="505">
        <f t="shared" si="302"/>
        <v>-2550.035054</v>
      </c>
      <c r="P206" s="505">
        <f t="shared" si="302"/>
        <v>-475801.2603</v>
      </c>
      <c r="Q206" s="505">
        <f t="shared" si="302"/>
        <v>-509726.4474</v>
      </c>
      <c r="R206" s="505">
        <f t="shared" si="302"/>
        <v>-394440.3633</v>
      </c>
      <c r="S206" s="505">
        <f t="shared" si="302"/>
        <v>-566986.5284</v>
      </c>
      <c r="T206" s="415">
        <f t="shared" si="303"/>
        <v>-1949504.634</v>
      </c>
      <c r="U206" s="548"/>
      <c r="V206" s="548"/>
    </row>
    <row r="207" ht="9.75" hidden="1" customHeight="1" outlineLevel="1">
      <c r="A207" s="545"/>
      <c r="B207" s="545"/>
      <c r="C207" s="546" t="s">
        <v>765</v>
      </c>
      <c r="D207" s="547">
        <v>-0.03</v>
      </c>
      <c r="E207" s="513"/>
      <c r="F207" s="513"/>
      <c r="G207" s="505">
        <f t="shared" ref="G207:J207" si="304">IF(G192&lt;=0,0,$D$207*G192)</f>
        <v>-150397.4332</v>
      </c>
      <c r="H207" s="505">
        <f t="shared" si="304"/>
        <v>-31767.26507</v>
      </c>
      <c r="I207" s="505">
        <f t="shared" si="304"/>
        <v>0</v>
      </c>
      <c r="J207" s="505">
        <f t="shared" si="304"/>
        <v>0</v>
      </c>
      <c r="K207" s="415">
        <f t="shared" si="301"/>
        <v>-182164.6982</v>
      </c>
      <c r="L207" s="505">
        <f t="shared" ref="L207:S207" si="305">IF(L192&lt;=0,0,$D$207*L192)</f>
        <v>0</v>
      </c>
      <c r="M207" s="505">
        <f t="shared" si="305"/>
        <v>0</v>
      </c>
      <c r="N207" s="505">
        <f t="shared" si="305"/>
        <v>0</v>
      </c>
      <c r="O207" s="505">
        <f t="shared" si="305"/>
        <v>-450.0061861</v>
      </c>
      <c r="P207" s="505">
        <f t="shared" si="305"/>
        <v>-83964.92829</v>
      </c>
      <c r="Q207" s="505">
        <f t="shared" si="305"/>
        <v>-89951.72601</v>
      </c>
      <c r="R207" s="505">
        <f t="shared" si="305"/>
        <v>-69607.12294</v>
      </c>
      <c r="S207" s="505">
        <f t="shared" si="305"/>
        <v>-100056.4462</v>
      </c>
      <c r="T207" s="415">
        <f t="shared" si="303"/>
        <v>-344030.2296</v>
      </c>
      <c r="U207" s="548"/>
      <c r="V207" s="548"/>
    </row>
    <row r="208" ht="9.75" hidden="1" customHeight="1" outlineLevel="1">
      <c r="A208" s="385"/>
      <c r="B208" s="385"/>
      <c r="C208" s="392"/>
      <c r="D208" s="411"/>
      <c r="E208" s="392"/>
      <c r="F208" s="392"/>
      <c r="G208" s="411"/>
      <c r="H208" s="411"/>
      <c r="I208" s="411"/>
      <c r="J208" s="411"/>
      <c r="K208" s="426"/>
      <c r="L208" s="411"/>
      <c r="M208" s="411"/>
      <c r="N208" s="411"/>
      <c r="O208" s="411"/>
      <c r="P208" s="411"/>
      <c r="Q208" s="411"/>
      <c r="R208" s="411"/>
      <c r="S208" s="411"/>
      <c r="T208" s="415">
        <f t="shared" si="303"/>
        <v>0</v>
      </c>
      <c r="U208" s="395"/>
      <c r="V208" s="395"/>
    </row>
    <row r="209" ht="9.75" hidden="1" customHeight="1" outlineLevel="1">
      <c r="A209" s="385"/>
      <c r="B209" s="385"/>
      <c r="C209" s="392"/>
      <c r="D209" s="411"/>
      <c r="E209" s="392"/>
      <c r="F209" s="392"/>
      <c r="G209" s="411"/>
      <c r="H209" s="411"/>
      <c r="I209" s="411"/>
      <c r="J209" s="411"/>
      <c r="K209" s="426"/>
      <c r="L209" s="411"/>
      <c r="M209" s="411"/>
      <c r="N209" s="411"/>
      <c r="O209" s="411"/>
      <c r="P209" s="411"/>
      <c r="Q209" s="411"/>
      <c r="R209" s="411"/>
      <c r="S209" s="411"/>
      <c r="T209" s="426"/>
      <c r="U209" s="395"/>
      <c r="V209" s="395"/>
    </row>
    <row r="210" ht="9.75" hidden="1" customHeight="1" outlineLevel="1">
      <c r="A210" s="385"/>
      <c r="B210" s="385"/>
      <c r="C210" s="482" t="s">
        <v>766</v>
      </c>
      <c r="D210" s="411">
        <v>-15003.875</v>
      </c>
      <c r="E210" s="392"/>
      <c r="F210" s="392"/>
      <c r="G210" s="411">
        <f t="shared" ref="G210:J210" si="306">$D210</f>
        <v>-15003.875</v>
      </c>
      <c r="H210" s="411">
        <f t="shared" si="306"/>
        <v>-15003.875</v>
      </c>
      <c r="I210" s="411">
        <f t="shared" si="306"/>
        <v>-15003.875</v>
      </c>
      <c r="J210" s="411">
        <f t="shared" si="306"/>
        <v>-15003.875</v>
      </c>
      <c r="K210" s="415">
        <f t="shared" ref="K210:K211" si="309">SUM(G210:J210)</f>
        <v>-60015.5</v>
      </c>
      <c r="L210" s="411">
        <f t="shared" ref="L210:S210" si="307">$D210</f>
        <v>-15003.875</v>
      </c>
      <c r="M210" s="411">
        <f t="shared" si="307"/>
        <v>-15003.875</v>
      </c>
      <c r="N210" s="411">
        <f t="shared" si="307"/>
        <v>-15003.875</v>
      </c>
      <c r="O210" s="411">
        <f t="shared" si="307"/>
        <v>-15003.875</v>
      </c>
      <c r="P210" s="411">
        <f t="shared" si="307"/>
        <v>-15003.875</v>
      </c>
      <c r="Q210" s="411">
        <f t="shared" si="307"/>
        <v>-15003.875</v>
      </c>
      <c r="R210" s="411">
        <f t="shared" si="307"/>
        <v>-15003.875</v>
      </c>
      <c r="S210" s="411">
        <f t="shared" si="307"/>
        <v>-15003.875</v>
      </c>
      <c r="T210" s="415">
        <f t="shared" ref="T210:T211" si="311">SUM(L210:S210)</f>
        <v>-120031</v>
      </c>
      <c r="U210" s="395"/>
      <c r="V210" s="395"/>
    </row>
    <row r="211" ht="9.75" hidden="1" customHeight="1" outlineLevel="1">
      <c r="A211" s="385"/>
      <c r="B211" s="385"/>
      <c r="C211" s="482" t="s">
        <v>767</v>
      </c>
      <c r="D211" s="411">
        <v>-109485.25</v>
      </c>
      <c r="E211" s="392"/>
      <c r="F211" s="392"/>
      <c r="G211" s="411">
        <f t="shared" ref="G211:J211" si="308">$D211</f>
        <v>-109485.25</v>
      </c>
      <c r="H211" s="411">
        <f t="shared" si="308"/>
        <v>-109485.25</v>
      </c>
      <c r="I211" s="411">
        <f t="shared" si="308"/>
        <v>-109485.25</v>
      </c>
      <c r="J211" s="411">
        <f t="shared" si="308"/>
        <v>-109485.25</v>
      </c>
      <c r="K211" s="415">
        <f t="shared" si="309"/>
        <v>-437941</v>
      </c>
      <c r="L211" s="411">
        <f t="shared" ref="L211:S211" si="310">$D211</f>
        <v>-109485.25</v>
      </c>
      <c r="M211" s="411">
        <f t="shared" si="310"/>
        <v>-109485.25</v>
      </c>
      <c r="N211" s="411">
        <f t="shared" si="310"/>
        <v>-109485.25</v>
      </c>
      <c r="O211" s="411">
        <f t="shared" si="310"/>
        <v>-109485.25</v>
      </c>
      <c r="P211" s="411">
        <f t="shared" si="310"/>
        <v>-109485.25</v>
      </c>
      <c r="Q211" s="411">
        <f t="shared" si="310"/>
        <v>-109485.25</v>
      </c>
      <c r="R211" s="411">
        <f t="shared" si="310"/>
        <v>-109485.25</v>
      </c>
      <c r="S211" s="411">
        <f t="shared" si="310"/>
        <v>-109485.25</v>
      </c>
      <c r="T211" s="415">
        <f t="shared" si="311"/>
        <v>-875882</v>
      </c>
      <c r="U211" s="395"/>
      <c r="V211" s="395"/>
    </row>
    <row r="212" ht="9.75" hidden="1" customHeight="1" outlineLevel="1">
      <c r="A212" s="385"/>
      <c r="B212" s="385"/>
      <c r="C212" s="392"/>
      <c r="D212" s="411"/>
      <c r="E212" s="392"/>
      <c r="F212" s="392"/>
      <c r="G212" s="411"/>
      <c r="H212" s="411"/>
      <c r="I212" s="411"/>
      <c r="J212" s="411"/>
      <c r="K212" s="426"/>
      <c r="L212" s="411"/>
      <c r="M212" s="411"/>
      <c r="N212" s="411"/>
      <c r="O212" s="411"/>
      <c r="P212" s="411"/>
      <c r="Q212" s="411"/>
      <c r="R212" s="411"/>
      <c r="S212" s="411"/>
      <c r="T212" s="426"/>
      <c r="U212" s="395"/>
      <c r="V212" s="395"/>
    </row>
    <row r="213" ht="9.75" hidden="1" customHeight="1" outlineLevel="1">
      <c r="A213" s="385"/>
      <c r="B213" s="385"/>
      <c r="C213" s="392"/>
      <c r="D213" s="411"/>
      <c r="E213" s="411"/>
      <c r="F213" s="396"/>
      <c r="G213" s="395"/>
      <c r="H213" s="395"/>
      <c r="I213" s="395"/>
      <c r="J213" s="395"/>
      <c r="K213" s="395"/>
      <c r="L213" s="395"/>
      <c r="M213" s="395"/>
      <c r="N213" s="395"/>
      <c r="O213" s="395"/>
      <c r="P213" s="395"/>
      <c r="Q213" s="395"/>
      <c r="R213" s="395"/>
      <c r="S213" s="395"/>
      <c r="T213" s="415">
        <f t="shared" ref="T213:T214" si="314">SUM(L213:S213)</f>
        <v>0</v>
      </c>
      <c r="U213" s="395"/>
      <c r="V213" s="395"/>
    </row>
    <row r="214" ht="9.75" customHeight="1" collapsed="1">
      <c r="A214" s="549"/>
      <c r="B214" s="549"/>
      <c r="C214" s="550" t="s">
        <v>44</v>
      </c>
      <c r="D214" s="438"/>
      <c r="E214" s="442"/>
      <c r="F214" s="440"/>
      <c r="G214" s="551">
        <f t="shared" ref="G214:J214" si="312">G192+SUM(G202:G213)+SUM(G195:G200)</f>
        <v>3952369.092</v>
      </c>
      <c r="H214" s="551">
        <f t="shared" si="312"/>
        <v>788897.9435</v>
      </c>
      <c r="I214" s="551">
        <f t="shared" si="312"/>
        <v>-7945448.739</v>
      </c>
      <c r="J214" s="551">
        <f t="shared" si="312"/>
        <v>-2893142.482</v>
      </c>
      <c r="K214" s="415">
        <f>SUM(G214:J214)</f>
        <v>-6097324.185</v>
      </c>
      <c r="L214" s="551">
        <f t="shared" ref="L214:S214" si="313">L192+SUM(L202:L213)+SUM(L195:L200)</f>
        <v>-6686689.576</v>
      </c>
      <c r="M214" s="551">
        <f t="shared" si="313"/>
        <v>-5481549.376</v>
      </c>
      <c r="N214" s="551">
        <f t="shared" si="313"/>
        <v>-3587847.249</v>
      </c>
      <c r="O214" s="551">
        <f t="shared" si="313"/>
        <v>-46228.96004</v>
      </c>
      <c r="P214" s="551">
        <f t="shared" si="313"/>
        <v>2180835.629</v>
      </c>
      <c r="Q214" s="551">
        <f t="shared" si="313"/>
        <v>2340483.569</v>
      </c>
      <c r="R214" s="551">
        <f t="shared" si="313"/>
        <v>1797960.82</v>
      </c>
      <c r="S214" s="551">
        <f t="shared" si="313"/>
        <v>2609942.773</v>
      </c>
      <c r="T214" s="415">
        <f t="shared" si="314"/>
        <v>-6873092.37</v>
      </c>
      <c r="U214" s="416">
        <f>SUM(K214+T214)</f>
        <v>-12970416.55</v>
      </c>
      <c r="V214" s="421"/>
    </row>
    <row r="215" ht="9.75" customHeight="1">
      <c r="A215" s="552"/>
      <c r="B215" s="552"/>
      <c r="C215" s="553" t="s">
        <v>650</v>
      </c>
      <c r="D215" s="554"/>
      <c r="E215" s="554"/>
      <c r="F215" s="555"/>
      <c r="G215" s="553">
        <f t="shared" ref="G215:U215" si="315">G214/G17</f>
        <v>0.04937127467</v>
      </c>
      <c r="H215" s="553">
        <f t="shared" si="315"/>
        <v>0.01355576474</v>
      </c>
      <c r="I215" s="553">
        <f t="shared" si="315"/>
        <v>-0.2059026825</v>
      </c>
      <c r="J215" s="553">
        <f t="shared" si="315"/>
        <v>-0.1232207898</v>
      </c>
      <c r="K215" s="556">
        <f t="shared" si="315"/>
        <v>-0.03043819081</v>
      </c>
      <c r="L215" s="553">
        <f t="shared" si="315"/>
        <v>-0.4213039395</v>
      </c>
      <c r="M215" s="553">
        <f t="shared" si="315"/>
        <v>-0.2227138508</v>
      </c>
      <c r="N215" s="553">
        <f t="shared" si="315"/>
        <v>-0.09405229367</v>
      </c>
      <c r="O215" s="553">
        <f t="shared" si="315"/>
        <v>-0.0007765834102</v>
      </c>
      <c r="P215" s="553">
        <f t="shared" si="315"/>
        <v>0.02699893338</v>
      </c>
      <c r="Q215" s="553">
        <f t="shared" si="315"/>
        <v>0.02905196683</v>
      </c>
      <c r="R215" s="553">
        <f t="shared" si="315"/>
        <v>0.02345699745</v>
      </c>
      <c r="S215" s="553">
        <f t="shared" si="315"/>
        <v>0.03025164746</v>
      </c>
      <c r="T215" s="556">
        <f t="shared" si="315"/>
        <v>-0.01486329743</v>
      </c>
      <c r="U215" s="499">
        <f t="shared" si="315"/>
        <v>-0.01957093734</v>
      </c>
      <c r="V215" s="470"/>
    </row>
    <row r="216" ht="9.75" customHeight="1">
      <c r="A216" s="385"/>
      <c r="B216" s="385"/>
      <c r="C216" s="397" t="s">
        <v>768</v>
      </c>
      <c r="D216" s="396"/>
      <c r="E216" s="395"/>
      <c r="F216" s="396"/>
      <c r="G216" s="395">
        <f>G214</f>
        <v>3952369.092</v>
      </c>
      <c r="H216" s="485">
        <f t="shared" ref="H216:J216" si="316">G216+H214</f>
        <v>4741267.036</v>
      </c>
      <c r="I216" s="485">
        <f t="shared" si="316"/>
        <v>-3204181.703</v>
      </c>
      <c r="J216" s="485">
        <f t="shared" si="316"/>
        <v>-6097324.185</v>
      </c>
      <c r="K216" s="485">
        <f>J216</f>
        <v>-6097324.185</v>
      </c>
      <c r="L216" s="485">
        <f>J216+L214</f>
        <v>-12784013.76</v>
      </c>
      <c r="M216" s="485">
        <f t="shared" ref="M216:S216" si="317">L216+M214</f>
        <v>-18265563.14</v>
      </c>
      <c r="N216" s="485">
        <f t="shared" si="317"/>
        <v>-21853410.39</v>
      </c>
      <c r="O216" s="485">
        <f t="shared" si="317"/>
        <v>-21899639.35</v>
      </c>
      <c r="P216" s="485">
        <f t="shared" si="317"/>
        <v>-19718803.72</v>
      </c>
      <c r="Q216" s="485">
        <f t="shared" si="317"/>
        <v>-17378320.15</v>
      </c>
      <c r="R216" s="485">
        <f t="shared" si="317"/>
        <v>-15580359.33</v>
      </c>
      <c r="S216" s="485">
        <f t="shared" si="317"/>
        <v>-12970416.55</v>
      </c>
      <c r="T216" s="415">
        <f>SUM(L216:S216)</f>
        <v>-140450526.4</v>
      </c>
      <c r="U216" s="416">
        <f>SUM(K216+T216)</f>
        <v>-146547850.6</v>
      </c>
      <c r="V216" s="421"/>
    </row>
    <row r="217" ht="9.75" customHeight="1">
      <c r="A217" s="385"/>
      <c r="B217" s="385"/>
      <c r="C217" s="482"/>
      <c r="D217" s="396"/>
      <c r="E217" s="395"/>
      <c r="F217" s="396"/>
      <c r="G217" s="396"/>
      <c r="H217" s="396"/>
      <c r="I217" s="396"/>
      <c r="J217" s="396"/>
      <c r="K217" s="396"/>
      <c r="L217" s="396"/>
      <c r="M217" s="396"/>
      <c r="N217" s="396"/>
      <c r="O217" s="396"/>
      <c r="P217" s="396"/>
      <c r="Q217" s="396"/>
      <c r="R217" s="396"/>
      <c r="S217" s="396"/>
      <c r="T217" s="426"/>
      <c r="U217" s="481"/>
      <c r="V217" s="421"/>
    </row>
    <row r="218" ht="9.75" customHeight="1">
      <c r="A218" s="385"/>
      <c r="B218" s="385"/>
      <c r="C218" s="557" t="s">
        <v>161</v>
      </c>
      <c r="D218" s="413"/>
      <c r="E218" s="413"/>
      <c r="F218" s="413"/>
      <c r="G218" s="457">
        <f t="shared" ref="G218:J218" si="318">SUM(G219:G221,G223:G225)</f>
        <v>-1185619.853</v>
      </c>
      <c r="H218" s="457">
        <f t="shared" si="318"/>
        <v>-236578.508</v>
      </c>
      <c r="I218" s="457">
        <f t="shared" si="318"/>
        <v>90.875</v>
      </c>
      <c r="J218" s="457">
        <f t="shared" si="318"/>
        <v>90.875</v>
      </c>
      <c r="K218" s="415">
        <f t="shared" ref="K218:K224" si="321">SUM(G218:J218)</f>
        <v>-1422016.611</v>
      </c>
      <c r="L218" s="457">
        <f t="shared" ref="L218:S218" si="319">SUM(L219:L221,L223)</f>
        <v>-308.25</v>
      </c>
      <c r="M218" s="457">
        <f t="shared" si="319"/>
        <v>-308.25</v>
      </c>
      <c r="N218" s="457">
        <f t="shared" si="319"/>
        <v>-308.25</v>
      </c>
      <c r="O218" s="457">
        <f t="shared" si="319"/>
        <v>-308.25</v>
      </c>
      <c r="P218" s="457">
        <f t="shared" si="319"/>
        <v>-654558.9388</v>
      </c>
      <c r="Q218" s="457">
        <f t="shared" si="319"/>
        <v>-702453.3206</v>
      </c>
      <c r="R218" s="457">
        <f t="shared" si="319"/>
        <v>-539696.496</v>
      </c>
      <c r="S218" s="457">
        <f t="shared" si="319"/>
        <v>-783291.0819</v>
      </c>
      <c r="T218" s="415">
        <f t="shared" ref="T218:T223" si="323">SUM(L218:S218)</f>
        <v>-2681232.837</v>
      </c>
      <c r="U218" s="416">
        <f t="shared" ref="U218:U223" si="324">SUM(K218+T218)</f>
        <v>-4103249.448</v>
      </c>
      <c r="V218" s="421"/>
    </row>
    <row r="219" ht="9.75" customHeight="1">
      <c r="A219" s="385"/>
      <c r="B219" s="385"/>
      <c r="C219" s="397" t="s">
        <v>769</v>
      </c>
      <c r="D219" s="558">
        <v>0.2</v>
      </c>
      <c r="E219" s="395"/>
      <c r="F219" s="396"/>
      <c r="G219" s="466">
        <f t="shared" ref="G219:J219" si="320">-IF(G$214&lt;0,0,G$214*$D$219)</f>
        <v>-790473.8185</v>
      </c>
      <c r="H219" s="466">
        <f t="shared" si="320"/>
        <v>-157779.5887</v>
      </c>
      <c r="I219" s="466">
        <f t="shared" si="320"/>
        <v>0</v>
      </c>
      <c r="J219" s="466">
        <f t="shared" si="320"/>
        <v>0</v>
      </c>
      <c r="K219" s="415">
        <f t="shared" si="321"/>
        <v>-948253.4072</v>
      </c>
      <c r="L219" s="466">
        <f t="shared" ref="L219:S219" si="322">-IF(L$214&lt;0,0,L$214*$D$219)</f>
        <v>0</v>
      </c>
      <c r="M219" s="466">
        <f t="shared" si="322"/>
        <v>0</v>
      </c>
      <c r="N219" s="466">
        <f t="shared" si="322"/>
        <v>0</v>
      </c>
      <c r="O219" s="466">
        <f t="shared" si="322"/>
        <v>0</v>
      </c>
      <c r="P219" s="466">
        <f t="shared" si="322"/>
        <v>-436167.1259</v>
      </c>
      <c r="Q219" s="466">
        <f t="shared" si="322"/>
        <v>-468096.7137</v>
      </c>
      <c r="R219" s="466">
        <f t="shared" si="322"/>
        <v>-359592.164</v>
      </c>
      <c r="S219" s="466">
        <f t="shared" si="322"/>
        <v>-521988.5546</v>
      </c>
      <c r="T219" s="415">
        <f t="shared" si="323"/>
        <v>-1785844.558</v>
      </c>
      <c r="U219" s="416">
        <f t="shared" si="324"/>
        <v>-2734097.965</v>
      </c>
      <c r="V219" s="421"/>
    </row>
    <row r="220" ht="9.75" customHeight="1">
      <c r="A220" s="385"/>
      <c r="B220" s="385"/>
      <c r="C220" s="397" t="s">
        <v>770</v>
      </c>
      <c r="D220" s="558">
        <v>0.1</v>
      </c>
      <c r="E220" s="395"/>
      <c r="F220" s="396"/>
      <c r="G220" s="466">
        <f t="shared" ref="G220:J220" si="325">-IF(G$214&lt;0,0,G$214*$D$220)</f>
        <v>-395236.9092</v>
      </c>
      <c r="H220" s="466">
        <f t="shared" si="325"/>
        <v>-78889.79435</v>
      </c>
      <c r="I220" s="466">
        <f t="shared" si="325"/>
        <v>0</v>
      </c>
      <c r="J220" s="466">
        <f t="shared" si="325"/>
        <v>0</v>
      </c>
      <c r="K220" s="415">
        <f t="shared" si="321"/>
        <v>-474126.7036</v>
      </c>
      <c r="L220" s="466">
        <f t="shared" ref="L220:S220" si="326">-IF(L$214&lt;0,0,L$214*$D$220)</f>
        <v>0</v>
      </c>
      <c r="M220" s="466">
        <f t="shared" si="326"/>
        <v>0</v>
      </c>
      <c r="N220" s="466">
        <f t="shared" si="326"/>
        <v>0</v>
      </c>
      <c r="O220" s="466">
        <f t="shared" si="326"/>
        <v>0</v>
      </c>
      <c r="P220" s="466">
        <f t="shared" si="326"/>
        <v>-218083.5629</v>
      </c>
      <c r="Q220" s="466">
        <f t="shared" si="326"/>
        <v>-234048.3569</v>
      </c>
      <c r="R220" s="466">
        <f t="shared" si="326"/>
        <v>-179796.082</v>
      </c>
      <c r="S220" s="466">
        <f t="shared" si="326"/>
        <v>-260994.2773</v>
      </c>
      <c r="T220" s="415">
        <f t="shared" si="323"/>
        <v>-892922.2791</v>
      </c>
      <c r="U220" s="416">
        <f t="shared" si="324"/>
        <v>-1367048.983</v>
      </c>
      <c r="V220" s="421"/>
    </row>
    <row r="221" ht="9.75" hidden="1" customHeight="1">
      <c r="A221" s="385"/>
      <c r="B221" s="385"/>
      <c r="C221" s="482"/>
      <c r="D221" s="559"/>
      <c r="E221" s="395"/>
      <c r="F221" s="396"/>
      <c r="G221" s="466">
        <f t="shared" ref="G221:J221" si="327">-IF(G$214&lt;0,0,G$214*$D$221)</f>
        <v>0</v>
      </c>
      <c r="H221" s="466">
        <f t="shared" si="327"/>
        <v>0</v>
      </c>
      <c r="I221" s="466">
        <f t="shared" si="327"/>
        <v>0</v>
      </c>
      <c r="J221" s="466">
        <f t="shared" si="327"/>
        <v>0</v>
      </c>
      <c r="K221" s="415">
        <f t="shared" si="321"/>
        <v>0</v>
      </c>
      <c r="L221" s="466">
        <f t="shared" ref="L221:S221" si="328">-IF(L$214&lt;0,0,L$214*$D$221)</f>
        <v>0</v>
      </c>
      <c r="M221" s="466">
        <f t="shared" si="328"/>
        <v>0</v>
      </c>
      <c r="N221" s="466">
        <f t="shared" si="328"/>
        <v>0</v>
      </c>
      <c r="O221" s="466">
        <f t="shared" si="328"/>
        <v>0</v>
      </c>
      <c r="P221" s="466">
        <f t="shared" si="328"/>
        <v>0</v>
      </c>
      <c r="Q221" s="466">
        <f t="shared" si="328"/>
        <v>0</v>
      </c>
      <c r="R221" s="466">
        <f t="shared" si="328"/>
        <v>0</v>
      </c>
      <c r="S221" s="466">
        <f t="shared" si="328"/>
        <v>0</v>
      </c>
      <c r="T221" s="415">
        <f t="shared" si="323"/>
        <v>0</v>
      </c>
      <c r="U221" s="416">
        <f t="shared" si="324"/>
        <v>0</v>
      </c>
      <c r="V221" s="421"/>
    </row>
    <row r="222" ht="9.75" customHeight="1">
      <c r="A222" s="385"/>
      <c r="B222" s="385"/>
      <c r="C222" s="397" t="s">
        <v>771</v>
      </c>
      <c r="D222" s="396"/>
      <c r="E222" s="395"/>
      <c r="F222" s="396"/>
      <c r="G222" s="466">
        <f>SUM(G219:G221)</f>
        <v>-1185710.728</v>
      </c>
      <c r="H222" s="466">
        <f t="shared" ref="H222:J222" si="329">G222+SUM(H219:H221)</f>
        <v>-1422380.111</v>
      </c>
      <c r="I222" s="466">
        <f t="shared" si="329"/>
        <v>-1422380.111</v>
      </c>
      <c r="J222" s="466">
        <f t="shared" si="329"/>
        <v>-1422380.111</v>
      </c>
      <c r="K222" s="415">
        <f t="shared" si="321"/>
        <v>-5452851.06</v>
      </c>
      <c r="L222" s="466">
        <f>J222+SUM(L219:L221)</f>
        <v>-1422380.111</v>
      </c>
      <c r="M222" s="466">
        <f t="shared" ref="M222:S222" si="330">L222+SUM(M219:M221)</f>
        <v>-1422380.111</v>
      </c>
      <c r="N222" s="466">
        <f t="shared" si="330"/>
        <v>-1422380.111</v>
      </c>
      <c r="O222" s="466">
        <f t="shared" si="330"/>
        <v>-1422380.111</v>
      </c>
      <c r="P222" s="466">
        <f t="shared" si="330"/>
        <v>-2076630.8</v>
      </c>
      <c r="Q222" s="466">
        <f t="shared" si="330"/>
        <v>-2778775.87</v>
      </c>
      <c r="R222" s="466">
        <f t="shared" si="330"/>
        <v>-3318164.116</v>
      </c>
      <c r="S222" s="466">
        <f t="shared" si="330"/>
        <v>-4101146.948</v>
      </c>
      <c r="T222" s="415">
        <f t="shared" si="323"/>
        <v>-17964238.18</v>
      </c>
      <c r="U222" s="416">
        <f t="shared" si="324"/>
        <v>-23417089.24</v>
      </c>
      <c r="V222" s="421"/>
    </row>
    <row r="223" ht="9.75" customHeight="1">
      <c r="A223" s="385"/>
      <c r="B223" s="385"/>
      <c r="C223" s="397" t="s">
        <v>772</v>
      </c>
      <c r="D223" s="396"/>
      <c r="E223" s="395"/>
      <c r="F223" s="396"/>
      <c r="G223" s="466">
        <f t="shared" ref="G223:J223" si="331">G202+G203</f>
        <v>-308.25</v>
      </c>
      <c r="H223" s="466">
        <f t="shared" si="331"/>
        <v>-308.25</v>
      </c>
      <c r="I223" s="466">
        <f t="shared" si="331"/>
        <v>-308.25</v>
      </c>
      <c r="J223" s="466">
        <f t="shared" si="331"/>
        <v>-308.25</v>
      </c>
      <c r="K223" s="415">
        <f t="shared" si="321"/>
        <v>-1233</v>
      </c>
      <c r="L223" s="466">
        <f t="shared" ref="L223:S223" si="332">L202+L203</f>
        <v>-308.25</v>
      </c>
      <c r="M223" s="466">
        <f t="shared" si="332"/>
        <v>-308.25</v>
      </c>
      <c r="N223" s="466">
        <f t="shared" si="332"/>
        <v>-308.25</v>
      </c>
      <c r="O223" s="466">
        <f t="shared" si="332"/>
        <v>-308.25</v>
      </c>
      <c r="P223" s="466">
        <f t="shared" si="332"/>
        <v>-308.25</v>
      </c>
      <c r="Q223" s="466">
        <f t="shared" si="332"/>
        <v>-308.25</v>
      </c>
      <c r="R223" s="466">
        <f t="shared" si="332"/>
        <v>-308.25</v>
      </c>
      <c r="S223" s="466">
        <f t="shared" si="332"/>
        <v>-308.25</v>
      </c>
      <c r="T223" s="415">
        <f t="shared" si="323"/>
        <v>-2466</v>
      </c>
      <c r="U223" s="416">
        <f t="shared" si="324"/>
        <v>-3699</v>
      </c>
      <c r="V223" s="421"/>
    </row>
    <row r="224" ht="9.75" customHeight="1">
      <c r="A224" s="385"/>
      <c r="B224" s="385"/>
      <c r="C224" s="397" t="s">
        <v>773</v>
      </c>
      <c r="D224" s="560">
        <v>-100.0</v>
      </c>
      <c r="E224" s="395"/>
      <c r="F224" s="396"/>
      <c r="G224" s="466">
        <f t="shared" ref="G224:J224" si="333">$D$224</f>
        <v>-100</v>
      </c>
      <c r="H224" s="466">
        <f t="shared" si="333"/>
        <v>-100</v>
      </c>
      <c r="I224" s="466">
        <f t="shared" si="333"/>
        <v>-100</v>
      </c>
      <c r="J224" s="466">
        <f t="shared" si="333"/>
        <v>-100</v>
      </c>
      <c r="K224" s="415">
        <f t="shared" si="321"/>
        <v>-400</v>
      </c>
      <c r="L224" s="466">
        <f t="shared" ref="L224:S224" si="334">$D$224</f>
        <v>-100</v>
      </c>
      <c r="M224" s="466">
        <f t="shared" si="334"/>
        <v>-100</v>
      </c>
      <c r="N224" s="466">
        <f t="shared" si="334"/>
        <v>-100</v>
      </c>
      <c r="O224" s="466">
        <f t="shared" si="334"/>
        <v>-100</v>
      </c>
      <c r="P224" s="466">
        <f t="shared" si="334"/>
        <v>-100</v>
      </c>
      <c r="Q224" s="466">
        <f t="shared" si="334"/>
        <v>-100</v>
      </c>
      <c r="R224" s="466">
        <f t="shared" si="334"/>
        <v>-100</v>
      </c>
      <c r="S224" s="466">
        <f t="shared" si="334"/>
        <v>-100</v>
      </c>
      <c r="T224" s="426"/>
      <c r="U224" s="481"/>
      <c r="V224" s="421"/>
    </row>
    <row r="225" ht="9.75" customHeight="1">
      <c r="A225" s="385"/>
      <c r="B225" s="385"/>
      <c r="C225" s="397" t="s">
        <v>774</v>
      </c>
      <c r="D225" s="396"/>
      <c r="E225" s="395"/>
      <c r="F225" s="396"/>
      <c r="G225" s="466">
        <f t="shared" ref="G225:J225" si="335">G198</f>
        <v>499.125</v>
      </c>
      <c r="H225" s="466">
        <f t="shared" si="335"/>
        <v>499.125</v>
      </c>
      <c r="I225" s="466">
        <f t="shared" si="335"/>
        <v>499.125</v>
      </c>
      <c r="J225" s="466">
        <f t="shared" si="335"/>
        <v>499.125</v>
      </c>
      <c r="K225" s="561"/>
      <c r="L225" s="466">
        <f t="shared" ref="L225:S225" si="336">L198</f>
        <v>499.125</v>
      </c>
      <c r="M225" s="466">
        <f t="shared" si="336"/>
        <v>499.125</v>
      </c>
      <c r="N225" s="466">
        <f t="shared" si="336"/>
        <v>499.125</v>
      </c>
      <c r="O225" s="466">
        <f t="shared" si="336"/>
        <v>499.125</v>
      </c>
      <c r="P225" s="466">
        <f t="shared" si="336"/>
        <v>499.125</v>
      </c>
      <c r="Q225" s="466">
        <f t="shared" si="336"/>
        <v>499.125</v>
      </c>
      <c r="R225" s="466">
        <f t="shared" si="336"/>
        <v>499.125</v>
      </c>
      <c r="S225" s="466">
        <f t="shared" si="336"/>
        <v>499.125</v>
      </c>
      <c r="T225" s="426"/>
      <c r="U225" s="481"/>
      <c r="V225" s="421"/>
    </row>
    <row r="226" ht="9.75" customHeight="1">
      <c r="A226" s="458"/>
      <c r="B226" s="458"/>
      <c r="C226" s="562" t="s">
        <v>47</v>
      </c>
      <c r="D226" s="462"/>
      <c r="E226" s="461"/>
      <c r="F226" s="462"/>
      <c r="G226" s="563">
        <f t="shared" ref="G226:J226" si="337">G232+G238+G244-G250-G256</f>
        <v>-54150856.94</v>
      </c>
      <c r="H226" s="563">
        <f t="shared" si="337"/>
        <v>-38471138.38</v>
      </c>
      <c r="I226" s="563">
        <f t="shared" si="337"/>
        <v>-25150012.28</v>
      </c>
      <c r="J226" s="563">
        <f t="shared" si="337"/>
        <v>12020692.66</v>
      </c>
      <c r="K226" s="564"/>
      <c r="L226" s="563">
        <f t="shared" ref="L226:S226" si="338">L232+L238+L244-L250-L256</f>
        <v>19190155.24</v>
      </c>
      <c r="M226" s="563">
        <f t="shared" si="338"/>
        <v>11781809.94</v>
      </c>
      <c r="N226" s="563">
        <f t="shared" si="338"/>
        <v>-24640843.49</v>
      </c>
      <c r="O226" s="563">
        <f t="shared" si="338"/>
        <v>-39334023.62</v>
      </c>
      <c r="P226" s="563">
        <f t="shared" si="338"/>
        <v>-53635859.91</v>
      </c>
      <c r="Q226" s="563">
        <f t="shared" si="338"/>
        <v>-53296858.52</v>
      </c>
      <c r="R226" s="563">
        <f t="shared" si="338"/>
        <v>-50866801.18</v>
      </c>
      <c r="S226" s="563">
        <f t="shared" si="338"/>
        <v>-57433515.63</v>
      </c>
      <c r="T226" s="415">
        <f t="shared" ref="T226:T245" si="341">SUM(L226:S226)</f>
        <v>-248235937.2</v>
      </c>
      <c r="U226" s="416">
        <f t="shared" ref="U226:U245" si="342">SUM(K226+T226)</f>
        <v>-248235937.2</v>
      </c>
      <c r="V226" s="421"/>
    </row>
    <row r="227" ht="9.75" customHeight="1">
      <c r="A227" s="385"/>
      <c r="B227" s="385"/>
      <c r="C227" s="397" t="s">
        <v>84</v>
      </c>
      <c r="D227" s="396"/>
      <c r="E227" s="395"/>
      <c r="F227" s="396"/>
      <c r="G227" s="466">
        <f t="shared" ref="G227:J227" si="339">G233+G239+G245-G251-G257</f>
        <v>79555186.14</v>
      </c>
      <c r="H227" s="466">
        <f t="shared" si="339"/>
        <v>19083820.2</v>
      </c>
      <c r="I227" s="466">
        <f t="shared" si="339"/>
        <v>16176248.72</v>
      </c>
      <c r="J227" s="466">
        <f t="shared" si="339"/>
        <v>39268415</v>
      </c>
      <c r="K227" s="396"/>
      <c r="L227" s="466">
        <f t="shared" ref="L227:S227" si="340">L233+L239+L245-L251-L257</f>
        <v>8323538.75</v>
      </c>
      <c r="M227" s="466">
        <f t="shared" si="340"/>
        <v>-8578882.385</v>
      </c>
      <c r="N227" s="466">
        <f t="shared" si="340"/>
        <v>-38383804.36</v>
      </c>
      <c r="O227" s="466">
        <f t="shared" si="340"/>
        <v>-17851138.15</v>
      </c>
      <c r="P227" s="466">
        <f t="shared" si="340"/>
        <v>-17360237.66</v>
      </c>
      <c r="Q227" s="466">
        <f t="shared" si="340"/>
        <v>421831.4558</v>
      </c>
      <c r="R227" s="466">
        <f t="shared" si="340"/>
        <v>2938953.172</v>
      </c>
      <c r="S227" s="466">
        <f t="shared" si="340"/>
        <v>-7975610.028</v>
      </c>
      <c r="T227" s="415">
        <f t="shared" si="341"/>
        <v>-78465349.21</v>
      </c>
      <c r="U227" s="416">
        <f t="shared" si="342"/>
        <v>-78465349.21</v>
      </c>
      <c r="V227" s="421"/>
    </row>
    <row r="228" ht="9.75" customHeight="1">
      <c r="A228" s="385"/>
      <c r="B228" s="385"/>
      <c r="C228" s="396"/>
      <c r="D228" s="396"/>
      <c r="E228" s="395"/>
      <c r="F228" s="396"/>
      <c r="G228" s="396"/>
      <c r="H228" s="396"/>
      <c r="I228" s="396"/>
      <c r="J228" s="396"/>
      <c r="K228" s="396"/>
      <c r="L228" s="396"/>
      <c r="M228" s="396"/>
      <c r="N228" s="396"/>
      <c r="O228" s="396"/>
      <c r="P228" s="396"/>
      <c r="Q228" s="396"/>
      <c r="R228" s="396"/>
      <c r="S228" s="396"/>
      <c r="T228" s="415">
        <f t="shared" si="341"/>
        <v>0</v>
      </c>
      <c r="U228" s="416">
        <f t="shared" si="342"/>
        <v>0</v>
      </c>
      <c r="V228" s="421"/>
    </row>
    <row r="229" ht="9.75" customHeight="1">
      <c r="A229" s="458"/>
      <c r="B229" s="458"/>
      <c r="C229" s="565" t="s">
        <v>49</v>
      </c>
      <c r="D229" s="462"/>
      <c r="E229" s="461"/>
      <c r="F229" s="462"/>
      <c r="G229" s="462"/>
      <c r="H229" s="462"/>
      <c r="I229" s="462"/>
      <c r="J229" s="462"/>
      <c r="K229" s="462"/>
      <c r="L229" s="462"/>
      <c r="M229" s="462"/>
      <c r="N229" s="462"/>
      <c r="O229" s="462"/>
      <c r="P229" s="462"/>
      <c r="Q229" s="462"/>
      <c r="R229" s="462"/>
      <c r="S229" s="462"/>
      <c r="T229" s="415">
        <f t="shared" si="341"/>
        <v>0</v>
      </c>
      <c r="U229" s="416">
        <f t="shared" si="342"/>
        <v>0</v>
      </c>
      <c r="V229" s="421"/>
    </row>
    <row r="230" ht="9.75" customHeight="1">
      <c r="A230" s="385"/>
      <c r="B230" s="385"/>
      <c r="C230" s="397" t="s">
        <v>50</v>
      </c>
      <c r="D230" s="392"/>
      <c r="E230" s="406">
        <v>9.5</v>
      </c>
      <c r="F230" s="396"/>
      <c r="G230" s="396"/>
      <c r="H230" s="396"/>
      <c r="I230" s="396"/>
      <c r="J230" s="396"/>
      <c r="K230" s="396"/>
      <c r="L230" s="396"/>
      <c r="M230" s="396"/>
      <c r="N230" s="396"/>
      <c r="O230" s="396"/>
      <c r="P230" s="396"/>
      <c r="Q230" s="396"/>
      <c r="R230" s="396"/>
      <c r="S230" s="396"/>
      <c r="T230" s="415">
        <f t="shared" si="341"/>
        <v>0</v>
      </c>
      <c r="U230" s="416">
        <f t="shared" si="342"/>
        <v>0</v>
      </c>
      <c r="V230" s="421"/>
    </row>
    <row r="231" ht="9.75" customHeight="1">
      <c r="A231" s="388"/>
      <c r="B231" s="388"/>
      <c r="C231" s="466" t="s">
        <v>51</v>
      </c>
      <c r="D231" s="392"/>
      <c r="E231" s="411"/>
      <c r="F231" s="411"/>
      <c r="G231" s="466">
        <f>E232</f>
        <v>85235911</v>
      </c>
      <c r="H231" s="466">
        <f t="shared" ref="H231:J231" si="343">G232</f>
        <v>18356950.23</v>
      </c>
      <c r="I231" s="466">
        <f t="shared" si="343"/>
        <v>12967122.62</v>
      </c>
      <c r="J231" s="466">
        <f t="shared" si="343"/>
        <v>8446511.806</v>
      </c>
      <c r="K231" s="411"/>
      <c r="L231" s="466">
        <f>J232</f>
        <v>32414892.15</v>
      </c>
      <c r="M231" s="466">
        <f t="shared" ref="M231:S231" si="344">L232</f>
        <v>32414892.15</v>
      </c>
      <c r="N231" s="466">
        <f t="shared" si="344"/>
        <v>32414892.15</v>
      </c>
      <c r="O231" s="466">
        <f t="shared" si="344"/>
        <v>8256356.291</v>
      </c>
      <c r="P231" s="466">
        <f t="shared" si="344"/>
        <v>13256456.49</v>
      </c>
      <c r="Q231" s="466">
        <f t="shared" si="344"/>
        <v>18098925.33</v>
      </c>
      <c r="R231" s="466">
        <f t="shared" si="344"/>
        <v>17967777.73</v>
      </c>
      <c r="S231" s="466">
        <f t="shared" si="344"/>
        <v>17162026</v>
      </c>
      <c r="T231" s="415">
        <f t="shared" si="341"/>
        <v>171986218.3</v>
      </c>
      <c r="U231" s="416">
        <f t="shared" si="342"/>
        <v>171986218.3</v>
      </c>
      <c r="V231" s="421"/>
    </row>
    <row r="232" ht="9.75" customHeight="1">
      <c r="A232" s="566"/>
      <c r="B232" s="566"/>
      <c r="C232" s="567" t="s">
        <v>775</v>
      </c>
      <c r="D232" s="513"/>
      <c r="E232" s="567">
        <v>8.5235911E7</v>
      </c>
      <c r="F232" s="505"/>
      <c r="G232" s="567">
        <f t="shared" ref="G232:I232" si="345">-SUM(G81,G84,G89)*$E$230/30</f>
        <v>18356950.23</v>
      </c>
      <c r="H232" s="567">
        <f t="shared" si="345"/>
        <v>12967122.62</v>
      </c>
      <c r="I232" s="567">
        <f t="shared" si="345"/>
        <v>8446511.806</v>
      </c>
      <c r="J232" s="568">
        <v>3.24148921466801E7</v>
      </c>
      <c r="K232" s="505"/>
      <c r="L232" s="568">
        <v>3.24148921466801E7</v>
      </c>
      <c r="M232" s="568">
        <v>3.24148921466801E7</v>
      </c>
      <c r="N232" s="567">
        <f t="shared" ref="N232:S232" si="346">-SUM(N81,N84,N89)*$E$230/30</f>
        <v>8256356.291</v>
      </c>
      <c r="O232" s="567">
        <f t="shared" si="346"/>
        <v>13256456.49</v>
      </c>
      <c r="P232" s="567">
        <f t="shared" si="346"/>
        <v>18098925.33</v>
      </c>
      <c r="Q232" s="567">
        <f t="shared" si="346"/>
        <v>17967777.73</v>
      </c>
      <c r="R232" s="567">
        <f t="shared" si="346"/>
        <v>17162026</v>
      </c>
      <c r="S232" s="567">
        <f t="shared" si="346"/>
        <v>19392777.34</v>
      </c>
      <c r="T232" s="569">
        <f t="shared" si="341"/>
        <v>158964103.5</v>
      </c>
      <c r="U232" s="570">
        <f t="shared" si="342"/>
        <v>158964103.5</v>
      </c>
      <c r="V232" s="548"/>
    </row>
    <row r="233" ht="9.75" customHeight="1">
      <c r="A233" s="388"/>
      <c r="B233" s="388"/>
      <c r="C233" s="466" t="s">
        <v>53</v>
      </c>
      <c r="D233" s="392"/>
      <c r="E233" s="411"/>
      <c r="F233" s="411"/>
      <c r="G233" s="466">
        <f t="shared" ref="G233:J233" si="347">G232-G231</f>
        <v>-66878960.77</v>
      </c>
      <c r="H233" s="466">
        <f t="shared" si="347"/>
        <v>-5389827.604</v>
      </c>
      <c r="I233" s="466">
        <f t="shared" si="347"/>
        <v>-4520610.818</v>
      </c>
      <c r="J233" s="466">
        <f t="shared" si="347"/>
        <v>23968380.34</v>
      </c>
      <c r="K233" s="411"/>
      <c r="L233" s="466">
        <f t="shared" ref="L233:S233" si="348">L232-L231</f>
        <v>0</v>
      </c>
      <c r="M233" s="466">
        <f t="shared" si="348"/>
        <v>0</v>
      </c>
      <c r="N233" s="466">
        <f t="shared" si="348"/>
        <v>-24158535.86</v>
      </c>
      <c r="O233" s="466">
        <f t="shared" si="348"/>
        <v>5000100.198</v>
      </c>
      <c r="P233" s="466">
        <f t="shared" si="348"/>
        <v>4842468.844</v>
      </c>
      <c r="Q233" s="466">
        <f t="shared" si="348"/>
        <v>-131147.6062</v>
      </c>
      <c r="R233" s="466">
        <f t="shared" si="348"/>
        <v>-805751.725</v>
      </c>
      <c r="S233" s="466">
        <f t="shared" si="348"/>
        <v>2230751.337</v>
      </c>
      <c r="T233" s="415">
        <f t="shared" si="341"/>
        <v>-13022114.81</v>
      </c>
      <c r="U233" s="416">
        <f t="shared" si="342"/>
        <v>-13022114.81</v>
      </c>
      <c r="V233" s="421"/>
    </row>
    <row r="234" ht="9.75" customHeight="1">
      <c r="A234" s="385"/>
      <c r="B234" s="385"/>
      <c r="C234" s="396"/>
      <c r="D234" s="392"/>
      <c r="E234" s="396"/>
      <c r="F234" s="396"/>
      <c r="G234" s="396"/>
      <c r="H234" s="396"/>
      <c r="I234" s="396"/>
      <c r="J234" s="396"/>
      <c r="K234" s="396"/>
      <c r="L234" s="396"/>
      <c r="M234" s="396"/>
      <c r="N234" s="396"/>
      <c r="O234" s="396"/>
      <c r="P234" s="396"/>
      <c r="Q234" s="396"/>
      <c r="R234" s="396"/>
      <c r="S234" s="396"/>
      <c r="T234" s="415">
        <f t="shared" si="341"/>
        <v>0</v>
      </c>
      <c r="U234" s="416">
        <f t="shared" si="342"/>
        <v>0</v>
      </c>
      <c r="V234" s="421"/>
    </row>
    <row r="235" ht="9.75" customHeight="1">
      <c r="A235" s="458"/>
      <c r="B235" s="458"/>
      <c r="C235" s="565" t="s">
        <v>563</v>
      </c>
      <c r="D235" s="392"/>
      <c r="E235" s="462"/>
      <c r="F235" s="462"/>
      <c r="G235" s="462"/>
      <c r="H235" s="462"/>
      <c r="I235" s="462"/>
      <c r="J235" s="462"/>
      <c r="K235" s="462"/>
      <c r="L235" s="462"/>
      <c r="M235" s="462"/>
      <c r="N235" s="462"/>
      <c r="O235" s="462"/>
      <c r="P235" s="462"/>
      <c r="Q235" s="462"/>
      <c r="R235" s="462"/>
      <c r="S235" s="462"/>
      <c r="T235" s="415">
        <f t="shared" si="341"/>
        <v>0</v>
      </c>
      <c r="U235" s="416">
        <f t="shared" si="342"/>
        <v>0</v>
      </c>
      <c r="V235" s="421"/>
    </row>
    <row r="236" ht="9.75" customHeight="1">
      <c r="A236" s="385"/>
      <c r="B236" s="385"/>
      <c r="C236" s="397" t="s">
        <v>103</v>
      </c>
      <c r="D236" s="392"/>
      <c r="E236" s="571">
        <v>3.0</v>
      </c>
      <c r="F236" s="396"/>
      <c r="G236" s="396"/>
      <c r="H236" s="396"/>
      <c r="I236" s="396"/>
      <c r="J236" s="396"/>
      <c r="K236" s="396"/>
      <c r="L236" s="396"/>
      <c r="M236" s="396"/>
      <c r="N236" s="396"/>
      <c r="O236" s="396"/>
      <c r="P236" s="396"/>
      <c r="Q236" s="396"/>
      <c r="R236" s="396"/>
      <c r="S236" s="396"/>
      <c r="T236" s="415">
        <f t="shared" si="341"/>
        <v>0</v>
      </c>
      <c r="U236" s="416">
        <f t="shared" si="342"/>
        <v>0</v>
      </c>
      <c r="V236" s="421"/>
    </row>
    <row r="237" ht="9.75" customHeight="1">
      <c r="A237" s="388"/>
      <c r="B237" s="388"/>
      <c r="C237" s="466" t="s">
        <v>104</v>
      </c>
      <c r="D237" s="392"/>
      <c r="E237" s="411"/>
      <c r="F237" s="411"/>
      <c r="G237" s="466">
        <f>E238</f>
        <v>38965892.81</v>
      </c>
      <c r="H237" s="466">
        <f t="shared" ref="H237:J237" si="349">G238</f>
        <v>8005402.167</v>
      </c>
      <c r="I237" s="466">
        <f t="shared" si="349"/>
        <v>5819649.123</v>
      </c>
      <c r="J237" s="466">
        <f t="shared" si="349"/>
        <v>3858836.923</v>
      </c>
      <c r="K237" s="411"/>
      <c r="L237" s="466">
        <f>J238</f>
        <v>2347933.726</v>
      </c>
      <c r="M237" s="466">
        <f t="shared" ref="M237:S237" si="350">L238</f>
        <v>1587141.479</v>
      </c>
      <c r="N237" s="466">
        <f t="shared" si="350"/>
        <v>2461252.121</v>
      </c>
      <c r="O237" s="466">
        <f t="shared" si="350"/>
        <v>3814736.577</v>
      </c>
      <c r="P237" s="466">
        <f t="shared" si="350"/>
        <v>5952864.744</v>
      </c>
      <c r="Q237" s="466">
        <f t="shared" si="350"/>
        <v>8077488.094</v>
      </c>
      <c r="R237" s="466">
        <f t="shared" si="350"/>
        <v>8056196.616</v>
      </c>
      <c r="S237" s="466">
        <f t="shared" si="350"/>
        <v>7664923.118</v>
      </c>
      <c r="T237" s="415">
        <f t="shared" si="341"/>
        <v>39962536.48</v>
      </c>
      <c r="U237" s="416">
        <f t="shared" si="342"/>
        <v>39962536.48</v>
      </c>
      <c r="V237" s="421"/>
    </row>
    <row r="238" ht="9.75" customHeight="1">
      <c r="A238" s="388"/>
      <c r="B238" s="388"/>
      <c r="C238" s="466" t="s">
        <v>105</v>
      </c>
      <c r="D238" s="392"/>
      <c r="E238" s="572">
        <v>3.896589281E7</v>
      </c>
      <c r="F238" s="411"/>
      <c r="G238" s="466">
        <f t="shared" ref="G238:J238" si="351">G17*$E$236/30</f>
        <v>8005402.167</v>
      </c>
      <c r="H238" s="466">
        <f t="shared" si="351"/>
        <v>5819649.123</v>
      </c>
      <c r="I238" s="466">
        <f t="shared" si="351"/>
        <v>3858836.923</v>
      </c>
      <c r="J238" s="466">
        <f t="shared" si="351"/>
        <v>2347933.726</v>
      </c>
      <c r="K238" s="411"/>
      <c r="L238" s="466">
        <f t="shared" ref="L238:S238" si="352">L17*$E$236/30</f>
        <v>1587141.479</v>
      </c>
      <c r="M238" s="466">
        <f t="shared" si="352"/>
        <v>2461252.121</v>
      </c>
      <c r="N238" s="466">
        <f t="shared" si="352"/>
        <v>3814736.577</v>
      </c>
      <c r="O238" s="466">
        <f t="shared" si="352"/>
        <v>5952864.744</v>
      </c>
      <c r="P238" s="466">
        <f t="shared" si="352"/>
        <v>8077488.094</v>
      </c>
      <c r="Q238" s="466">
        <f t="shared" si="352"/>
        <v>8056196.616</v>
      </c>
      <c r="R238" s="466">
        <f t="shared" si="352"/>
        <v>7664923.118</v>
      </c>
      <c r="S238" s="466">
        <f t="shared" si="352"/>
        <v>8627440.131</v>
      </c>
      <c r="T238" s="415">
        <f t="shared" si="341"/>
        <v>46242042.88</v>
      </c>
      <c r="U238" s="416">
        <f t="shared" si="342"/>
        <v>46242042.88</v>
      </c>
      <c r="V238" s="421"/>
    </row>
    <row r="239" ht="9.75" customHeight="1">
      <c r="A239" s="388"/>
      <c r="B239" s="388"/>
      <c r="C239" s="466" t="s">
        <v>106</v>
      </c>
      <c r="D239" s="392"/>
      <c r="E239" s="411"/>
      <c r="F239" s="411"/>
      <c r="G239" s="466">
        <f t="shared" ref="G239:J239" si="353">G238-G237</f>
        <v>-30960490.64</v>
      </c>
      <c r="H239" s="466">
        <f t="shared" si="353"/>
        <v>-2185753.044</v>
      </c>
      <c r="I239" s="466">
        <f t="shared" si="353"/>
        <v>-1960812.2</v>
      </c>
      <c r="J239" s="466">
        <f t="shared" si="353"/>
        <v>-1510903.198</v>
      </c>
      <c r="K239" s="411"/>
      <c r="L239" s="466">
        <f t="shared" ref="L239:S239" si="354">L238-L237</f>
        <v>-760792.2466</v>
      </c>
      <c r="M239" s="466">
        <f t="shared" si="354"/>
        <v>874110.6421</v>
      </c>
      <c r="N239" s="466">
        <f t="shared" si="354"/>
        <v>1353484.456</v>
      </c>
      <c r="O239" s="466">
        <f t="shared" si="354"/>
        <v>2138128.167</v>
      </c>
      <c r="P239" s="466">
        <f t="shared" si="354"/>
        <v>2124623.35</v>
      </c>
      <c r="Q239" s="466">
        <f t="shared" si="354"/>
        <v>-21291.47795</v>
      </c>
      <c r="R239" s="466">
        <f t="shared" si="354"/>
        <v>-391273.498</v>
      </c>
      <c r="S239" s="466">
        <f t="shared" si="354"/>
        <v>962517.013</v>
      </c>
      <c r="T239" s="415">
        <f t="shared" si="341"/>
        <v>6279506.406</v>
      </c>
      <c r="U239" s="416">
        <f t="shared" si="342"/>
        <v>6279506.406</v>
      </c>
      <c r="V239" s="421"/>
    </row>
    <row r="240" ht="9.75" customHeight="1">
      <c r="A240" s="385"/>
      <c r="B240" s="385"/>
      <c r="C240" s="396"/>
      <c r="D240" s="392"/>
      <c r="E240" s="396"/>
      <c r="F240" s="396"/>
      <c r="G240" s="396"/>
      <c r="H240" s="396"/>
      <c r="I240" s="396"/>
      <c r="J240" s="396"/>
      <c r="K240" s="396"/>
      <c r="L240" s="396"/>
      <c r="M240" s="396"/>
      <c r="N240" s="396"/>
      <c r="O240" s="396"/>
      <c r="P240" s="396"/>
      <c r="Q240" s="396"/>
      <c r="R240" s="396"/>
      <c r="S240" s="396"/>
      <c r="T240" s="415">
        <f t="shared" si="341"/>
        <v>0</v>
      </c>
      <c r="U240" s="416">
        <f t="shared" si="342"/>
        <v>0</v>
      </c>
      <c r="V240" s="421"/>
    </row>
    <row r="241" ht="9.75" customHeight="1">
      <c r="A241" s="458"/>
      <c r="B241" s="458"/>
      <c r="C241" s="573" t="s">
        <v>776</v>
      </c>
      <c r="D241" s="392"/>
      <c r="E241" s="462"/>
      <c r="F241" s="462"/>
      <c r="G241" s="462"/>
      <c r="H241" s="462"/>
      <c r="I241" s="462"/>
      <c r="J241" s="462"/>
      <c r="K241" s="462"/>
      <c r="L241" s="462"/>
      <c r="M241" s="462"/>
      <c r="N241" s="462"/>
      <c r="O241" s="462"/>
      <c r="P241" s="462"/>
      <c r="Q241" s="462"/>
      <c r="R241" s="462"/>
      <c r="S241" s="462"/>
      <c r="T241" s="415">
        <f t="shared" si="341"/>
        <v>0</v>
      </c>
      <c r="U241" s="416">
        <f t="shared" si="342"/>
        <v>0</v>
      </c>
      <c r="V241" s="421"/>
    </row>
    <row r="242" ht="9.75" customHeight="1">
      <c r="A242" s="385"/>
      <c r="B242" s="385"/>
      <c r="C242" s="397" t="s">
        <v>103</v>
      </c>
      <c r="D242" s="392"/>
      <c r="E242" s="406">
        <v>3.0</v>
      </c>
      <c r="F242" s="396"/>
      <c r="G242" s="396"/>
      <c r="H242" s="396"/>
      <c r="I242" s="396"/>
      <c r="J242" s="396"/>
      <c r="K242" s="396"/>
      <c r="L242" s="396"/>
      <c r="M242" s="396"/>
      <c r="N242" s="396"/>
      <c r="O242" s="396"/>
      <c r="P242" s="396"/>
      <c r="Q242" s="396"/>
      <c r="R242" s="396"/>
      <c r="S242" s="396"/>
      <c r="T242" s="415">
        <f t="shared" si="341"/>
        <v>0</v>
      </c>
      <c r="U242" s="416">
        <f t="shared" si="342"/>
        <v>0</v>
      </c>
      <c r="V242" s="421"/>
    </row>
    <row r="243" ht="9.75" customHeight="1">
      <c r="A243" s="388"/>
      <c r="B243" s="388"/>
      <c r="C243" s="466" t="s">
        <v>104</v>
      </c>
      <c r="D243" s="392"/>
      <c r="E243" s="411"/>
      <c r="F243" s="411"/>
      <c r="G243" s="466">
        <f>E244</f>
        <v>57367861.16</v>
      </c>
      <c r="H243" s="466">
        <f t="shared" ref="H243:J243" si="355">G244</f>
        <v>5796931.651</v>
      </c>
      <c r="I243" s="466">
        <f t="shared" si="355"/>
        <v>4094880.829</v>
      </c>
      <c r="J243" s="466">
        <f t="shared" si="355"/>
        <v>2667319.518</v>
      </c>
      <c r="K243" s="411"/>
      <c r="L243" s="466">
        <f>J244</f>
        <v>1618464.486</v>
      </c>
      <c r="M243" s="466">
        <f t="shared" ref="M243:S243" si="356">L244</f>
        <v>1041426.4</v>
      </c>
      <c r="N243" s="466">
        <f t="shared" si="356"/>
        <v>1626694.942</v>
      </c>
      <c r="O243" s="466">
        <f t="shared" si="356"/>
        <v>2607270.408</v>
      </c>
      <c r="P243" s="466">
        <f t="shared" si="356"/>
        <v>4186249.418</v>
      </c>
      <c r="Q243" s="466">
        <f t="shared" si="356"/>
        <v>5715450.105</v>
      </c>
      <c r="R243" s="466">
        <f t="shared" si="356"/>
        <v>5674035.072</v>
      </c>
      <c r="S243" s="466">
        <f t="shared" si="356"/>
        <v>5419587.158</v>
      </c>
      <c r="T243" s="415">
        <f t="shared" si="341"/>
        <v>27889177.99</v>
      </c>
      <c r="U243" s="416">
        <f t="shared" si="342"/>
        <v>27889177.99</v>
      </c>
      <c r="V243" s="421"/>
    </row>
    <row r="244" ht="9.75" customHeight="1">
      <c r="A244" s="566"/>
      <c r="B244" s="566"/>
      <c r="C244" s="483" t="s">
        <v>105</v>
      </c>
      <c r="D244" s="513"/>
      <c r="E244" s="567">
        <v>5.736786116E7</v>
      </c>
      <c r="F244" s="505"/>
      <c r="G244" s="483">
        <f t="shared" ref="G244:J244" si="357">-SUM(G81,G84,G89)*$E$242/30</f>
        <v>5796931.651</v>
      </c>
      <c r="H244" s="483">
        <f t="shared" si="357"/>
        <v>4094880.829</v>
      </c>
      <c r="I244" s="483">
        <f t="shared" si="357"/>
        <v>2667319.518</v>
      </c>
      <c r="J244" s="483">
        <f t="shared" si="357"/>
        <v>1618464.486</v>
      </c>
      <c r="K244" s="505"/>
      <c r="L244" s="483">
        <f t="shared" ref="L244:S244" si="358">-SUM(L81,L84,L89)*$E$242/30</f>
        <v>1041426.4</v>
      </c>
      <c r="M244" s="483">
        <f t="shared" si="358"/>
        <v>1626694.942</v>
      </c>
      <c r="N244" s="483">
        <f t="shared" si="358"/>
        <v>2607270.408</v>
      </c>
      <c r="O244" s="483">
        <f t="shared" si="358"/>
        <v>4186249.418</v>
      </c>
      <c r="P244" s="483">
        <f t="shared" si="358"/>
        <v>5715450.105</v>
      </c>
      <c r="Q244" s="483">
        <f t="shared" si="358"/>
        <v>5674035.072</v>
      </c>
      <c r="R244" s="483">
        <f t="shared" si="358"/>
        <v>5419587.158</v>
      </c>
      <c r="S244" s="483">
        <f t="shared" si="358"/>
        <v>6124034.949</v>
      </c>
      <c r="T244" s="569">
        <f t="shared" si="341"/>
        <v>32394748.45</v>
      </c>
      <c r="U244" s="570">
        <f t="shared" si="342"/>
        <v>32394748.45</v>
      </c>
      <c r="V244" s="548"/>
    </row>
    <row r="245" ht="9.75" customHeight="1">
      <c r="A245" s="388"/>
      <c r="B245" s="388"/>
      <c r="C245" s="466" t="s">
        <v>106</v>
      </c>
      <c r="D245" s="392"/>
      <c r="E245" s="411"/>
      <c r="F245" s="411"/>
      <c r="G245" s="466">
        <f t="shared" ref="G245:J245" si="359">G243-G244</f>
        <v>51570929.51</v>
      </c>
      <c r="H245" s="466">
        <f t="shared" si="359"/>
        <v>1702050.822</v>
      </c>
      <c r="I245" s="466">
        <f t="shared" si="359"/>
        <v>1427561.311</v>
      </c>
      <c r="J245" s="466">
        <f t="shared" si="359"/>
        <v>1048855.031</v>
      </c>
      <c r="K245" s="411"/>
      <c r="L245" s="466">
        <f t="shared" ref="L245:S245" si="360">L243-L244</f>
        <v>577038.0859</v>
      </c>
      <c r="M245" s="466">
        <f t="shared" si="360"/>
        <v>-585268.5418</v>
      </c>
      <c r="N245" s="466">
        <f t="shared" si="360"/>
        <v>-980575.4655</v>
      </c>
      <c r="O245" s="466">
        <f t="shared" si="360"/>
        <v>-1578979.01</v>
      </c>
      <c r="P245" s="466">
        <f t="shared" si="360"/>
        <v>-1529200.688</v>
      </c>
      <c r="Q245" s="466">
        <f t="shared" si="360"/>
        <v>41415.03353</v>
      </c>
      <c r="R245" s="466">
        <f t="shared" si="360"/>
        <v>254447.9132</v>
      </c>
      <c r="S245" s="466">
        <f t="shared" si="360"/>
        <v>-704447.7906</v>
      </c>
      <c r="T245" s="415">
        <f t="shared" si="341"/>
        <v>-4505570.463</v>
      </c>
      <c r="U245" s="416">
        <f t="shared" si="342"/>
        <v>-4505570.463</v>
      </c>
      <c r="V245" s="421"/>
    </row>
    <row r="246" ht="9.75" customHeight="1">
      <c r="A246" s="385"/>
      <c r="B246" s="385"/>
      <c r="C246" s="396"/>
      <c r="D246" s="392"/>
      <c r="E246" s="396"/>
      <c r="F246" s="396"/>
      <c r="G246" s="396"/>
      <c r="H246" s="396"/>
      <c r="I246" s="396"/>
      <c r="J246" s="396"/>
      <c r="K246" s="396"/>
      <c r="L246" s="396"/>
      <c r="M246" s="396"/>
      <c r="N246" s="396"/>
      <c r="O246" s="396"/>
      <c r="P246" s="396"/>
      <c r="Q246" s="396"/>
      <c r="R246" s="396"/>
      <c r="S246" s="396"/>
      <c r="T246" s="426"/>
      <c r="U246" s="481"/>
      <c r="V246" s="421"/>
    </row>
    <row r="247" ht="9.75" customHeight="1">
      <c r="A247" s="458"/>
      <c r="B247" s="458"/>
      <c r="C247" s="573" t="s">
        <v>777</v>
      </c>
      <c r="D247" s="392"/>
      <c r="E247" s="462"/>
      <c r="F247" s="462"/>
      <c r="G247" s="462"/>
      <c r="H247" s="462"/>
      <c r="I247" s="462"/>
      <c r="J247" s="462"/>
      <c r="K247" s="462"/>
      <c r="L247" s="462"/>
      <c r="M247" s="462"/>
      <c r="N247" s="462"/>
      <c r="O247" s="462"/>
      <c r="P247" s="462"/>
      <c r="Q247" s="462"/>
      <c r="R247" s="462"/>
      <c r="S247" s="462"/>
      <c r="T247" s="415">
        <f t="shared" ref="T247:T251" si="361">SUM(L247:S247)</f>
        <v>0</v>
      </c>
      <c r="U247" s="416">
        <f t="shared" ref="U247:U251" si="362">SUM(K247+T247)</f>
        <v>0</v>
      </c>
      <c r="V247" s="421"/>
    </row>
    <row r="248" ht="9.75" customHeight="1">
      <c r="A248" s="385"/>
      <c r="B248" s="385"/>
      <c r="C248" s="397" t="s">
        <v>55</v>
      </c>
      <c r="D248" s="392"/>
      <c r="E248" s="406">
        <v>35.0</v>
      </c>
      <c r="F248" s="396"/>
      <c r="G248" s="396"/>
      <c r="H248" s="396"/>
      <c r="I248" s="396"/>
      <c r="J248" s="396"/>
      <c r="K248" s="396"/>
      <c r="L248" s="396"/>
      <c r="M248" s="396"/>
      <c r="N248" s="396"/>
      <c r="O248" s="396"/>
      <c r="P248" s="396"/>
      <c r="Q248" s="396"/>
      <c r="R248" s="396"/>
      <c r="S248" s="396"/>
      <c r="T248" s="415">
        <f t="shared" si="361"/>
        <v>0</v>
      </c>
      <c r="U248" s="416">
        <f t="shared" si="362"/>
        <v>0</v>
      </c>
      <c r="V248" s="421"/>
    </row>
    <row r="249" ht="9.75" customHeight="1">
      <c r="A249" s="385"/>
      <c r="B249" s="385"/>
      <c r="C249" s="397" t="s">
        <v>56</v>
      </c>
      <c r="D249" s="392"/>
      <c r="E249" s="396"/>
      <c r="F249" s="396"/>
      <c r="G249" s="466">
        <f>E250</f>
        <v>154847912.6</v>
      </c>
      <c r="H249" s="466">
        <f t="shared" ref="H249:J249" si="363">G250</f>
        <v>67630869.26</v>
      </c>
      <c r="I249" s="466">
        <f t="shared" si="363"/>
        <v>47773609.67</v>
      </c>
      <c r="J249" s="466">
        <f t="shared" si="363"/>
        <v>31118727.71</v>
      </c>
      <c r="K249" s="396"/>
      <c r="L249" s="466">
        <f>J250</f>
        <v>18882085.67</v>
      </c>
      <c r="M249" s="466">
        <f t="shared" ref="M249:S249" si="364">L250</f>
        <v>12149974.67</v>
      </c>
      <c r="N249" s="466">
        <f t="shared" si="364"/>
        <v>18978107.66</v>
      </c>
      <c r="O249" s="466">
        <f t="shared" si="364"/>
        <v>30418154.76</v>
      </c>
      <c r="P249" s="466">
        <f t="shared" si="364"/>
        <v>48839576.54</v>
      </c>
      <c r="Q249" s="466">
        <f t="shared" si="364"/>
        <v>66680251.23</v>
      </c>
      <c r="R249" s="466">
        <f t="shared" si="364"/>
        <v>66197075.84</v>
      </c>
      <c r="S249" s="466">
        <f t="shared" si="364"/>
        <v>63228516.85</v>
      </c>
      <c r="T249" s="415">
        <f t="shared" si="361"/>
        <v>325373743.2</v>
      </c>
      <c r="U249" s="416">
        <f t="shared" si="362"/>
        <v>325373743.2</v>
      </c>
      <c r="V249" s="421"/>
    </row>
    <row r="250" ht="9.75" customHeight="1">
      <c r="A250" s="385"/>
      <c r="B250" s="385"/>
      <c r="C250" s="397" t="s">
        <v>57</v>
      </c>
      <c r="D250" s="392"/>
      <c r="E250" s="572">
        <v>1.5484791261E8</v>
      </c>
      <c r="F250" s="396"/>
      <c r="G250" s="466">
        <f t="shared" ref="G250:J250" si="365">-SUM(G81,G84,G89)*$E$248/30</f>
        <v>67630869.26</v>
      </c>
      <c r="H250" s="466">
        <f t="shared" si="365"/>
        <v>47773609.67</v>
      </c>
      <c r="I250" s="466">
        <f t="shared" si="365"/>
        <v>31118727.71</v>
      </c>
      <c r="J250" s="466">
        <f t="shared" si="365"/>
        <v>18882085.67</v>
      </c>
      <c r="K250" s="411"/>
      <c r="L250" s="466">
        <f t="shared" ref="L250:S250" si="366">-SUM(L81,L84,L89)*$E$248/30</f>
        <v>12149974.67</v>
      </c>
      <c r="M250" s="466">
        <f t="shared" si="366"/>
        <v>18978107.66</v>
      </c>
      <c r="N250" s="466">
        <f t="shared" si="366"/>
        <v>30418154.76</v>
      </c>
      <c r="O250" s="466">
        <f t="shared" si="366"/>
        <v>48839576.54</v>
      </c>
      <c r="P250" s="466">
        <f t="shared" si="366"/>
        <v>66680251.23</v>
      </c>
      <c r="Q250" s="466">
        <f t="shared" si="366"/>
        <v>66197075.84</v>
      </c>
      <c r="R250" s="466">
        <f t="shared" si="366"/>
        <v>63228516.85</v>
      </c>
      <c r="S250" s="466">
        <f t="shared" si="366"/>
        <v>71447074.4</v>
      </c>
      <c r="T250" s="415">
        <f t="shared" si="361"/>
        <v>377938731.9</v>
      </c>
      <c r="U250" s="416">
        <f t="shared" si="362"/>
        <v>377938731.9</v>
      </c>
      <c r="V250" s="421"/>
    </row>
    <row r="251" ht="9.75" customHeight="1">
      <c r="A251" s="385"/>
      <c r="B251" s="385"/>
      <c r="C251" s="397" t="s">
        <v>58</v>
      </c>
      <c r="D251" s="396"/>
      <c r="E251" s="395"/>
      <c r="F251" s="396"/>
      <c r="G251" s="466">
        <f t="shared" ref="G251:J251" si="367">G250-G249</f>
        <v>-87217043.35</v>
      </c>
      <c r="H251" s="466">
        <f t="shared" si="367"/>
        <v>-19857259.59</v>
      </c>
      <c r="I251" s="466">
        <f t="shared" si="367"/>
        <v>-16654881.96</v>
      </c>
      <c r="J251" s="466">
        <f t="shared" si="367"/>
        <v>-12236642.03</v>
      </c>
      <c r="K251" s="396"/>
      <c r="L251" s="466">
        <f t="shared" ref="L251:S251" si="368">L250-L249</f>
        <v>-6732111.002</v>
      </c>
      <c r="M251" s="466">
        <f t="shared" si="368"/>
        <v>6828132.988</v>
      </c>
      <c r="N251" s="466">
        <f t="shared" si="368"/>
        <v>11440047.1</v>
      </c>
      <c r="O251" s="466">
        <f t="shared" si="368"/>
        <v>18421421.78</v>
      </c>
      <c r="P251" s="466">
        <f t="shared" si="368"/>
        <v>17840674.69</v>
      </c>
      <c r="Q251" s="466">
        <f t="shared" si="368"/>
        <v>-483175.3912</v>
      </c>
      <c r="R251" s="466">
        <f t="shared" si="368"/>
        <v>-2968558.987</v>
      </c>
      <c r="S251" s="466">
        <f t="shared" si="368"/>
        <v>8218557.557</v>
      </c>
      <c r="T251" s="415">
        <f t="shared" si="361"/>
        <v>52564988.73</v>
      </c>
      <c r="U251" s="416">
        <f t="shared" si="362"/>
        <v>52564988.73</v>
      </c>
      <c r="V251" s="421"/>
    </row>
    <row r="252" ht="9.75" customHeight="1">
      <c r="A252" s="385"/>
      <c r="B252" s="385"/>
      <c r="C252" s="482"/>
      <c r="D252" s="396"/>
      <c r="E252" s="395"/>
      <c r="F252" s="396"/>
      <c r="G252" s="396"/>
      <c r="H252" s="396"/>
      <c r="I252" s="396"/>
      <c r="J252" s="396"/>
      <c r="K252" s="396"/>
      <c r="L252" s="396"/>
      <c r="M252" s="396"/>
      <c r="N252" s="396"/>
      <c r="O252" s="396"/>
      <c r="P252" s="396"/>
      <c r="Q252" s="396"/>
      <c r="R252" s="396"/>
      <c r="S252" s="396"/>
      <c r="T252" s="426"/>
      <c r="U252" s="481"/>
      <c r="V252" s="421"/>
    </row>
    <row r="253" ht="9.75" customHeight="1">
      <c r="A253" s="458"/>
      <c r="B253" s="458"/>
      <c r="C253" s="565" t="s">
        <v>778</v>
      </c>
      <c r="D253" s="392"/>
      <c r="E253" s="462"/>
      <c r="F253" s="462"/>
      <c r="G253" s="462"/>
      <c r="H253" s="462"/>
      <c r="I253" s="462"/>
      <c r="J253" s="462"/>
      <c r="K253" s="462"/>
      <c r="L253" s="462"/>
      <c r="M253" s="462"/>
      <c r="N253" s="462"/>
      <c r="O253" s="462"/>
      <c r="P253" s="462"/>
      <c r="Q253" s="462"/>
      <c r="R253" s="462"/>
      <c r="S253" s="462"/>
      <c r="T253" s="415">
        <f t="shared" ref="T253:T269" si="369">SUM(L253:S253)</f>
        <v>0</v>
      </c>
      <c r="U253" s="416">
        <f t="shared" ref="U253:U265" si="370">SUM(K253+T253)</f>
        <v>0</v>
      </c>
      <c r="V253" s="421"/>
    </row>
    <row r="254" ht="9.75" customHeight="1">
      <c r="A254" s="385"/>
      <c r="B254" s="385"/>
      <c r="C254" s="397" t="s">
        <v>55</v>
      </c>
      <c r="D254" s="392"/>
      <c r="E254" s="406">
        <v>7.0</v>
      </c>
      <c r="F254" s="396"/>
      <c r="G254" s="396"/>
      <c r="H254" s="396"/>
      <c r="I254" s="396"/>
      <c r="J254" s="396"/>
      <c r="K254" s="396"/>
      <c r="L254" s="396"/>
      <c r="M254" s="396"/>
      <c r="N254" s="396"/>
      <c r="O254" s="396"/>
      <c r="P254" s="396"/>
      <c r="Q254" s="396"/>
      <c r="R254" s="396"/>
      <c r="S254" s="396"/>
      <c r="T254" s="415">
        <f t="shared" si="369"/>
        <v>0</v>
      </c>
      <c r="U254" s="416">
        <f t="shared" si="370"/>
        <v>0</v>
      </c>
      <c r="V254" s="421"/>
    </row>
    <row r="255" ht="9.75" customHeight="1">
      <c r="A255" s="385"/>
      <c r="B255" s="385"/>
      <c r="C255" s="397" t="s">
        <v>56</v>
      </c>
      <c r="D255" s="392"/>
      <c r="E255" s="396"/>
      <c r="F255" s="396"/>
      <c r="G255" s="466">
        <f>E256</f>
        <v>57285936.42</v>
      </c>
      <c r="H255" s="466">
        <f t="shared" ref="H255:J255" si="371">G256</f>
        <v>18679271.72</v>
      </c>
      <c r="I255" s="466">
        <f t="shared" si="371"/>
        <v>13579181.29</v>
      </c>
      <c r="J255" s="466">
        <f t="shared" si="371"/>
        <v>9003952.821</v>
      </c>
      <c r="K255" s="396"/>
      <c r="L255" s="466">
        <f>J256</f>
        <v>5478512.026</v>
      </c>
      <c r="M255" s="466">
        <f t="shared" ref="M255:S255" si="372">L256</f>
        <v>3703330.118</v>
      </c>
      <c r="N255" s="466">
        <f t="shared" si="372"/>
        <v>5742921.616</v>
      </c>
      <c r="O255" s="466">
        <f t="shared" si="372"/>
        <v>8901052.014</v>
      </c>
      <c r="P255" s="466">
        <f t="shared" si="372"/>
        <v>13890017.74</v>
      </c>
      <c r="Q255" s="466">
        <f t="shared" si="372"/>
        <v>18847472.22</v>
      </c>
      <c r="R255" s="466">
        <f t="shared" si="372"/>
        <v>18797792.1</v>
      </c>
      <c r="S255" s="466">
        <f t="shared" si="372"/>
        <v>17884820.61</v>
      </c>
      <c r="T255" s="415">
        <f t="shared" si="369"/>
        <v>93245918.44</v>
      </c>
      <c r="U255" s="416">
        <f t="shared" si="370"/>
        <v>93245918.44</v>
      </c>
      <c r="V255" s="421"/>
    </row>
    <row r="256" ht="9.75" customHeight="1">
      <c r="A256" s="385"/>
      <c r="B256" s="385"/>
      <c r="C256" s="397" t="s">
        <v>57</v>
      </c>
      <c r="D256" s="392"/>
      <c r="E256" s="572">
        <v>5.728593642E7</v>
      </c>
      <c r="F256" s="396"/>
      <c r="G256" s="466">
        <f t="shared" ref="G256:J256" si="373">G17*$E$254/30</f>
        <v>18679271.72</v>
      </c>
      <c r="H256" s="466">
        <f t="shared" si="373"/>
        <v>13579181.29</v>
      </c>
      <c r="I256" s="466">
        <f t="shared" si="373"/>
        <v>9003952.821</v>
      </c>
      <c r="J256" s="466">
        <f t="shared" si="373"/>
        <v>5478512.026</v>
      </c>
      <c r="K256" s="411"/>
      <c r="L256" s="466">
        <f t="shared" ref="L256:S256" si="374">L17*$E$254/30</f>
        <v>3703330.118</v>
      </c>
      <c r="M256" s="466">
        <f t="shared" si="374"/>
        <v>5742921.616</v>
      </c>
      <c r="N256" s="466">
        <f t="shared" si="374"/>
        <v>8901052.014</v>
      </c>
      <c r="O256" s="466">
        <f t="shared" si="374"/>
        <v>13890017.74</v>
      </c>
      <c r="P256" s="466">
        <f t="shared" si="374"/>
        <v>18847472.22</v>
      </c>
      <c r="Q256" s="466">
        <f t="shared" si="374"/>
        <v>18797792.1</v>
      </c>
      <c r="R256" s="466">
        <f t="shared" si="374"/>
        <v>17884820.61</v>
      </c>
      <c r="S256" s="466">
        <f t="shared" si="374"/>
        <v>20130693.64</v>
      </c>
      <c r="T256" s="415">
        <f t="shared" si="369"/>
        <v>107898100.1</v>
      </c>
      <c r="U256" s="416">
        <f t="shared" si="370"/>
        <v>107898100.1</v>
      </c>
      <c r="V256" s="421"/>
    </row>
    <row r="257" ht="9.75" customHeight="1">
      <c r="A257" s="385"/>
      <c r="B257" s="385"/>
      <c r="C257" s="397" t="s">
        <v>58</v>
      </c>
      <c r="D257" s="396"/>
      <c r="E257" s="395"/>
      <c r="F257" s="396"/>
      <c r="G257" s="466">
        <f t="shared" ref="G257:J257" si="375">G256-G255</f>
        <v>-38606664.7</v>
      </c>
      <c r="H257" s="466">
        <f t="shared" si="375"/>
        <v>-5100090.437</v>
      </c>
      <c r="I257" s="466">
        <f t="shared" si="375"/>
        <v>-4575228.466</v>
      </c>
      <c r="J257" s="466">
        <f t="shared" si="375"/>
        <v>-3525440.795</v>
      </c>
      <c r="K257" s="396"/>
      <c r="L257" s="466">
        <f t="shared" ref="L257:S257" si="376">L256-L255</f>
        <v>-1775181.909</v>
      </c>
      <c r="M257" s="466">
        <f t="shared" si="376"/>
        <v>2039591.498</v>
      </c>
      <c r="N257" s="466">
        <f t="shared" si="376"/>
        <v>3158130.398</v>
      </c>
      <c r="O257" s="466">
        <f t="shared" si="376"/>
        <v>4988965.723</v>
      </c>
      <c r="P257" s="466">
        <f t="shared" si="376"/>
        <v>4957454.482</v>
      </c>
      <c r="Q257" s="466">
        <f t="shared" si="376"/>
        <v>-49680.11521</v>
      </c>
      <c r="R257" s="466">
        <f t="shared" si="376"/>
        <v>-912971.4953</v>
      </c>
      <c r="S257" s="466">
        <f t="shared" si="376"/>
        <v>2245873.03</v>
      </c>
      <c r="T257" s="415">
        <f t="shared" si="369"/>
        <v>14652181.61</v>
      </c>
      <c r="U257" s="416">
        <f t="shared" si="370"/>
        <v>14652181.61</v>
      </c>
      <c r="V257" s="421"/>
    </row>
    <row r="258" ht="9.75" customHeight="1">
      <c r="A258" s="385"/>
      <c r="B258" s="385"/>
      <c r="C258" s="396"/>
      <c r="D258" s="396"/>
      <c r="E258" s="395"/>
      <c r="F258" s="396"/>
      <c r="G258" s="396"/>
      <c r="H258" s="396"/>
      <c r="I258" s="396"/>
      <c r="J258" s="396"/>
      <c r="K258" s="396"/>
      <c r="L258" s="396"/>
      <c r="M258" s="396"/>
      <c r="N258" s="396"/>
      <c r="O258" s="396"/>
      <c r="P258" s="396"/>
      <c r="Q258" s="396"/>
      <c r="R258" s="396"/>
      <c r="S258" s="396"/>
      <c r="T258" s="415">
        <f t="shared" si="369"/>
        <v>0</v>
      </c>
      <c r="U258" s="416">
        <f t="shared" si="370"/>
        <v>0</v>
      </c>
      <c r="V258" s="421"/>
    </row>
    <row r="259" ht="9.75" customHeight="1">
      <c r="A259" s="458"/>
      <c r="B259" s="458"/>
      <c r="C259" s="565" t="s">
        <v>59</v>
      </c>
      <c r="D259" s="462"/>
      <c r="E259" s="461"/>
      <c r="F259" s="462"/>
      <c r="G259" s="462"/>
      <c r="H259" s="462"/>
      <c r="I259" s="462"/>
      <c r="J259" s="462"/>
      <c r="K259" s="462"/>
      <c r="L259" s="462"/>
      <c r="M259" s="462"/>
      <c r="N259" s="462"/>
      <c r="O259" s="462"/>
      <c r="P259" s="462"/>
      <c r="Q259" s="462"/>
      <c r="R259" s="462"/>
      <c r="S259" s="462"/>
      <c r="T259" s="415">
        <f t="shared" si="369"/>
        <v>0</v>
      </c>
      <c r="U259" s="416">
        <f t="shared" si="370"/>
        <v>0</v>
      </c>
      <c r="V259" s="421"/>
    </row>
    <row r="260" ht="9.75" customHeight="1">
      <c r="A260" s="385"/>
      <c r="B260" s="385"/>
      <c r="C260" s="396"/>
      <c r="D260" s="396"/>
      <c r="E260" s="574">
        <v>3.7971458E7</v>
      </c>
      <c r="F260" s="396"/>
      <c r="G260" s="396"/>
      <c r="H260" s="396"/>
      <c r="I260" s="396"/>
      <c r="J260" s="396"/>
      <c r="K260" s="396"/>
      <c r="L260" s="396"/>
      <c r="M260" s="396"/>
      <c r="N260" s="396"/>
      <c r="O260" s="396"/>
      <c r="P260" s="396"/>
      <c r="Q260" s="396"/>
      <c r="R260" s="396"/>
      <c r="S260" s="396"/>
      <c r="T260" s="575">
        <f t="shared" si="369"/>
        <v>0</v>
      </c>
      <c r="U260" s="576">
        <f t="shared" si="370"/>
        <v>0</v>
      </c>
      <c r="V260" s="421"/>
    </row>
    <row r="261" ht="9.75" customHeight="1">
      <c r="A261" s="577"/>
      <c r="B261" s="577"/>
      <c r="C261" s="578" t="s">
        <v>265</v>
      </c>
      <c r="D261" s="579"/>
      <c r="E261" s="580"/>
      <c r="F261" s="579"/>
      <c r="G261" s="581">
        <f>E260</f>
        <v>37971458</v>
      </c>
      <c r="H261" s="582">
        <f t="shared" ref="H261:J261" si="377">G270</f>
        <v>-40483113.76</v>
      </c>
      <c r="I261" s="582">
        <f t="shared" si="377"/>
        <v>-59600562.86</v>
      </c>
      <c r="J261" s="582">
        <f t="shared" si="377"/>
        <v>-83953799.66</v>
      </c>
      <c r="K261" s="579"/>
      <c r="L261" s="582">
        <f>J270</f>
        <v>-28956242.29</v>
      </c>
      <c r="M261" s="582">
        <f t="shared" ref="M261:S261" si="378">L270</f>
        <v>-44062506.48</v>
      </c>
      <c r="N261" s="582">
        <f t="shared" si="378"/>
        <v>-41113655.97</v>
      </c>
      <c r="O261" s="582">
        <f t="shared" si="378"/>
        <v>-6547390.431</v>
      </c>
      <c r="P261" s="582">
        <f t="shared" si="378"/>
        <v>10899539.5</v>
      </c>
      <c r="Q261" s="582">
        <f t="shared" si="378"/>
        <v>28646654.76</v>
      </c>
      <c r="R261" s="582">
        <f t="shared" si="378"/>
        <v>28676837.56</v>
      </c>
      <c r="S261" s="582">
        <f t="shared" si="378"/>
        <v>25996365.95</v>
      </c>
      <c r="T261" s="583">
        <f t="shared" si="369"/>
        <v>-26460397.41</v>
      </c>
      <c r="U261" s="584">
        <f t="shared" si="370"/>
        <v>-26460397.41</v>
      </c>
      <c r="V261" s="585"/>
    </row>
    <row r="262" ht="9.75" customHeight="1">
      <c r="A262" s="586"/>
      <c r="B262" s="586"/>
      <c r="C262" s="587" t="s">
        <v>61</v>
      </c>
      <c r="D262" s="588"/>
      <c r="E262" s="589"/>
      <c r="F262" s="588"/>
      <c r="G262" s="590">
        <f t="shared" ref="G262:J262" si="379">G192+SUM(G195:G197)+SUM(G199:G200)+SUM(G204:G212)-G227</f>
        <v>-75603007.92</v>
      </c>
      <c r="H262" s="590">
        <f t="shared" si="379"/>
        <v>-18295113.13</v>
      </c>
      <c r="I262" s="590">
        <f t="shared" si="379"/>
        <v>-24121888.34</v>
      </c>
      <c r="J262" s="590">
        <f t="shared" si="379"/>
        <v>-42161748.36</v>
      </c>
      <c r="K262" s="589"/>
      <c r="L262" s="590">
        <f t="shared" ref="L262:S262" si="380">L192+SUM(L195:L197)+SUM(L199:L200)+SUM(L204:L212)-L227</f>
        <v>-15010419.2</v>
      </c>
      <c r="M262" s="590">
        <f t="shared" si="380"/>
        <v>3097142.134</v>
      </c>
      <c r="N262" s="590">
        <f t="shared" si="380"/>
        <v>34795766.24</v>
      </c>
      <c r="O262" s="590">
        <f t="shared" si="380"/>
        <v>17804718.32</v>
      </c>
      <c r="P262" s="590">
        <f t="shared" si="380"/>
        <v>19540882.42</v>
      </c>
      <c r="Q262" s="590">
        <f t="shared" si="380"/>
        <v>1918461.238</v>
      </c>
      <c r="R262" s="590">
        <f t="shared" si="380"/>
        <v>-1141183.227</v>
      </c>
      <c r="S262" s="590">
        <f t="shared" si="380"/>
        <v>10585361.93</v>
      </c>
      <c r="T262" s="583">
        <f t="shared" si="369"/>
        <v>71590729.84</v>
      </c>
      <c r="U262" s="584">
        <f t="shared" si="370"/>
        <v>71590729.84</v>
      </c>
      <c r="V262" s="585"/>
    </row>
    <row r="263" ht="9.75" customHeight="1">
      <c r="A263" s="591"/>
      <c r="B263" s="591"/>
      <c r="C263" s="592" t="s">
        <v>779</v>
      </c>
      <c r="D263" s="593"/>
      <c r="E263" s="594">
        <v>0.006</v>
      </c>
      <c r="F263" s="593"/>
      <c r="G263" s="595">
        <f t="shared" ref="G263:J263" si="381">-$E$263*G17</f>
        <v>-480324.13</v>
      </c>
      <c r="H263" s="595">
        <f t="shared" si="381"/>
        <v>-349178.9474</v>
      </c>
      <c r="I263" s="595">
        <f t="shared" si="381"/>
        <v>-231530.2154</v>
      </c>
      <c r="J263" s="595">
        <f t="shared" si="381"/>
        <v>-140876.0235</v>
      </c>
      <c r="K263" s="596"/>
      <c r="L263" s="595">
        <f t="shared" ref="L263:S263" si="382">-$E$263*L17</f>
        <v>-95228.48874</v>
      </c>
      <c r="M263" s="595">
        <f t="shared" si="382"/>
        <v>-147675.1273</v>
      </c>
      <c r="N263" s="595">
        <f t="shared" si="382"/>
        <v>-228884.1946</v>
      </c>
      <c r="O263" s="595">
        <f t="shared" si="382"/>
        <v>-357171.8847</v>
      </c>
      <c r="P263" s="595">
        <f t="shared" si="382"/>
        <v>-484649.2856</v>
      </c>
      <c r="Q263" s="595">
        <f t="shared" si="382"/>
        <v>-483371.797</v>
      </c>
      <c r="R263" s="595">
        <f t="shared" si="382"/>
        <v>-459895.3871</v>
      </c>
      <c r="S263" s="595">
        <f t="shared" si="382"/>
        <v>-517646.4079</v>
      </c>
      <c r="T263" s="583">
        <f t="shared" si="369"/>
        <v>-2774522.573</v>
      </c>
      <c r="U263" s="584">
        <f t="shared" si="370"/>
        <v>-2774522.573</v>
      </c>
      <c r="V263" s="585"/>
    </row>
    <row r="264" ht="9.75" customHeight="1">
      <c r="A264" s="591"/>
      <c r="B264" s="591"/>
      <c r="C264" s="580"/>
      <c r="D264" s="593"/>
      <c r="E264" s="596"/>
      <c r="F264" s="593"/>
      <c r="G264" s="596"/>
      <c r="H264" s="596"/>
      <c r="I264" s="596"/>
      <c r="J264" s="596"/>
      <c r="K264" s="596"/>
      <c r="L264" s="596"/>
      <c r="M264" s="596"/>
      <c r="N264" s="596"/>
      <c r="O264" s="596"/>
      <c r="P264" s="596"/>
      <c r="Q264" s="596"/>
      <c r="R264" s="596"/>
      <c r="S264" s="596"/>
      <c r="T264" s="583">
        <f t="shared" si="369"/>
        <v>0</v>
      </c>
      <c r="U264" s="584">
        <f t="shared" si="370"/>
        <v>0</v>
      </c>
      <c r="V264" s="585"/>
    </row>
    <row r="265" ht="9.75" customHeight="1">
      <c r="A265" s="586"/>
      <c r="B265" s="586"/>
      <c r="C265" s="587" t="s">
        <v>63</v>
      </c>
      <c r="D265" s="588"/>
      <c r="E265" s="589"/>
      <c r="F265" s="588"/>
      <c r="G265" s="590">
        <f t="shared" ref="G265:J265" si="383">G218+G266+G267</f>
        <v>-2371239.705</v>
      </c>
      <c r="H265" s="590">
        <f t="shared" si="383"/>
        <v>-473157.0161</v>
      </c>
      <c r="I265" s="590">
        <f t="shared" si="383"/>
        <v>181.75</v>
      </c>
      <c r="J265" s="590">
        <f t="shared" si="383"/>
        <v>97300181.75</v>
      </c>
      <c r="K265" s="589"/>
      <c r="L265" s="590">
        <f t="shared" ref="L265:S265" si="384">L218+L266+L267</f>
        <v>-616.5</v>
      </c>
      <c r="M265" s="590">
        <f t="shared" si="384"/>
        <v>-616.5</v>
      </c>
      <c r="N265" s="590">
        <f t="shared" si="384"/>
        <v>-616.5</v>
      </c>
      <c r="O265" s="590">
        <f t="shared" si="384"/>
        <v>-616.5</v>
      </c>
      <c r="P265" s="590">
        <f t="shared" si="384"/>
        <v>-1309117.878</v>
      </c>
      <c r="Q265" s="590">
        <f t="shared" si="384"/>
        <v>-1404906.641</v>
      </c>
      <c r="R265" s="590">
        <f t="shared" si="384"/>
        <v>-1079392.992</v>
      </c>
      <c r="S265" s="590">
        <f t="shared" si="384"/>
        <v>-1566582.164</v>
      </c>
      <c r="T265" s="583">
        <f t="shared" si="369"/>
        <v>-5362465.675</v>
      </c>
      <c r="U265" s="584">
        <f t="shared" si="370"/>
        <v>-5362465.675</v>
      </c>
      <c r="V265" s="585"/>
    </row>
    <row r="266" ht="9.75" customHeight="1">
      <c r="A266" s="597"/>
      <c r="B266" s="597"/>
      <c r="C266" s="598" t="s">
        <v>780</v>
      </c>
      <c r="D266" s="599"/>
      <c r="E266" s="599"/>
      <c r="F266" s="598">
        <v>1.0E8</v>
      </c>
      <c r="G266" s="599"/>
      <c r="H266" s="599"/>
      <c r="I266" s="599"/>
      <c r="J266" s="598">
        <v>9.73E7</v>
      </c>
      <c r="K266" s="598">
        <f>SUM(F266:J266)</f>
        <v>197300000</v>
      </c>
      <c r="L266" s="599"/>
      <c r="M266" s="599"/>
      <c r="N266" s="599"/>
      <c r="O266" s="599"/>
      <c r="P266" s="599"/>
      <c r="Q266" s="599"/>
      <c r="R266" s="599"/>
      <c r="S266" s="599"/>
      <c r="T266" s="598">
        <f t="shared" si="369"/>
        <v>0</v>
      </c>
      <c r="U266" s="599"/>
      <c r="V266" s="599"/>
    </row>
    <row r="267" ht="9.75" customHeight="1">
      <c r="A267" s="600"/>
      <c r="B267" s="600"/>
      <c r="C267" s="601" t="s">
        <v>781</v>
      </c>
      <c r="D267" s="602"/>
      <c r="E267" s="603"/>
      <c r="F267" s="602"/>
      <c r="G267" s="604">
        <f t="shared" ref="G267:J267" si="385">G218</f>
        <v>-1185619.853</v>
      </c>
      <c r="H267" s="604">
        <f t="shared" si="385"/>
        <v>-236578.508</v>
      </c>
      <c r="I267" s="604">
        <f t="shared" si="385"/>
        <v>90.875</v>
      </c>
      <c r="J267" s="604">
        <f t="shared" si="385"/>
        <v>90.875</v>
      </c>
      <c r="K267" s="603"/>
      <c r="L267" s="604">
        <f t="shared" ref="L267:S267" si="386">L218</f>
        <v>-308.25</v>
      </c>
      <c r="M267" s="604">
        <f t="shared" si="386"/>
        <v>-308.25</v>
      </c>
      <c r="N267" s="604">
        <f t="shared" si="386"/>
        <v>-308.25</v>
      </c>
      <c r="O267" s="604">
        <f t="shared" si="386"/>
        <v>-308.25</v>
      </c>
      <c r="P267" s="604">
        <f t="shared" si="386"/>
        <v>-654558.9388</v>
      </c>
      <c r="Q267" s="604">
        <f t="shared" si="386"/>
        <v>-702453.3206</v>
      </c>
      <c r="R267" s="604">
        <f t="shared" si="386"/>
        <v>-539696.496</v>
      </c>
      <c r="S267" s="604">
        <f t="shared" si="386"/>
        <v>-783291.0819</v>
      </c>
      <c r="T267" s="604">
        <f t="shared" si="369"/>
        <v>-2681232.837</v>
      </c>
      <c r="U267" s="603"/>
      <c r="V267" s="603"/>
    </row>
    <row r="268" ht="9.75" customHeight="1">
      <c r="A268" s="586"/>
      <c r="B268" s="586"/>
      <c r="C268" s="587" t="s">
        <v>62</v>
      </c>
      <c r="D268" s="588"/>
      <c r="E268" s="589"/>
      <c r="F268" s="588"/>
      <c r="G268" s="589"/>
      <c r="H268" s="589"/>
      <c r="I268" s="589"/>
      <c r="J268" s="589"/>
      <c r="K268" s="589"/>
      <c r="L268" s="589"/>
      <c r="M268" s="589"/>
      <c r="N268" s="589"/>
      <c r="O268" s="589"/>
      <c r="P268" s="589"/>
      <c r="Q268" s="589"/>
      <c r="R268" s="589"/>
      <c r="S268" s="589"/>
      <c r="T268" s="583">
        <f t="shared" si="369"/>
        <v>0</v>
      </c>
      <c r="U268" s="584">
        <f t="shared" ref="U268:U269" si="389">SUM(K268+T268)</f>
        <v>0</v>
      </c>
      <c r="V268" s="585"/>
    </row>
    <row r="269" ht="9.75" customHeight="1">
      <c r="A269" s="591"/>
      <c r="B269" s="591"/>
      <c r="C269" s="592" t="s">
        <v>266</v>
      </c>
      <c r="D269" s="593"/>
      <c r="E269" s="605"/>
      <c r="F269" s="593"/>
      <c r="G269" s="606">
        <f t="shared" ref="G269:J269" si="387">G262+G263+G265+G268</f>
        <v>-78454571.76</v>
      </c>
      <c r="H269" s="606">
        <f t="shared" si="387"/>
        <v>-19117449.1</v>
      </c>
      <c r="I269" s="606">
        <f t="shared" si="387"/>
        <v>-24353236.8</v>
      </c>
      <c r="J269" s="607">
        <f t="shared" si="387"/>
        <v>54997557.37</v>
      </c>
      <c r="K269" s="593"/>
      <c r="L269" s="606">
        <f t="shared" ref="L269:S269" si="388">L262+L263+L265+L268</f>
        <v>-15106264.19</v>
      </c>
      <c r="M269" s="607">
        <f t="shared" si="388"/>
        <v>2948850.507</v>
      </c>
      <c r="N269" s="607">
        <f t="shared" si="388"/>
        <v>34566265.54</v>
      </c>
      <c r="O269" s="607">
        <f t="shared" si="388"/>
        <v>17446929.93</v>
      </c>
      <c r="P269" s="607">
        <f t="shared" si="388"/>
        <v>17747115.26</v>
      </c>
      <c r="Q269" s="607">
        <f t="shared" si="388"/>
        <v>30182.79974</v>
      </c>
      <c r="R269" s="606">
        <f t="shared" si="388"/>
        <v>-2680471.606</v>
      </c>
      <c r="S269" s="607">
        <f t="shared" si="388"/>
        <v>8501133.354</v>
      </c>
      <c r="T269" s="583">
        <f t="shared" si="369"/>
        <v>63453741.59</v>
      </c>
      <c r="U269" s="584">
        <f t="shared" si="389"/>
        <v>63453741.59</v>
      </c>
      <c r="V269" s="585"/>
    </row>
    <row r="270" ht="9.75" customHeight="1">
      <c r="A270" s="591"/>
      <c r="B270" s="591"/>
      <c r="C270" s="592" t="s">
        <v>195</v>
      </c>
      <c r="D270" s="593"/>
      <c r="E270" s="605"/>
      <c r="F270" s="593"/>
      <c r="G270" s="608">
        <f t="shared" ref="G270:J270" si="390">G261+G269</f>
        <v>-40483113.76</v>
      </c>
      <c r="H270" s="608">
        <f t="shared" si="390"/>
        <v>-59600562.86</v>
      </c>
      <c r="I270" s="608">
        <f t="shared" si="390"/>
        <v>-83953799.66</v>
      </c>
      <c r="J270" s="608">
        <f t="shared" si="390"/>
        <v>-28956242.29</v>
      </c>
      <c r="K270" s="593"/>
      <c r="L270" s="608">
        <f t="shared" ref="L270:S270" si="391">L261+L269</f>
        <v>-44062506.48</v>
      </c>
      <c r="M270" s="608">
        <f t="shared" si="391"/>
        <v>-41113655.97</v>
      </c>
      <c r="N270" s="608">
        <f t="shared" si="391"/>
        <v>-6547390.431</v>
      </c>
      <c r="O270" s="609">
        <f t="shared" si="391"/>
        <v>10899539.5</v>
      </c>
      <c r="P270" s="609">
        <f t="shared" si="391"/>
        <v>28646654.76</v>
      </c>
      <c r="Q270" s="609">
        <f t="shared" si="391"/>
        <v>28676837.56</v>
      </c>
      <c r="R270" s="609">
        <f t="shared" si="391"/>
        <v>25996365.95</v>
      </c>
      <c r="S270" s="609">
        <f t="shared" si="391"/>
        <v>34497499.3</v>
      </c>
      <c r="T270" s="610">
        <f t="shared" ref="T270:U270" si="392">S270</f>
        <v>34497499.3</v>
      </c>
      <c r="U270" s="611">
        <f t="shared" si="392"/>
        <v>34497499.3</v>
      </c>
      <c r="V270" s="585"/>
    </row>
  </sheetData>
  <conditionalFormatting sqref="D81:D87 D89 D93:D139 D157">
    <cfRule type="containsBlanks" dxfId="3" priority="1">
      <formula>LEN(TRIM(D81))=0</formula>
    </cfRule>
  </conditionalFormatting>
  <conditionalFormatting sqref="G269:S270">
    <cfRule type="cellIs" dxfId="4" priority="2" operator="greaterThan">
      <formula>0</formula>
    </cfRule>
  </conditionalFormatting>
  <conditionalFormatting sqref="G269:S270">
    <cfRule type="cellIs" dxfId="2" priority="3" operator="lessThanOrEqual">
      <formula>0</formula>
    </cfRule>
  </conditionalFormatting>
  <conditionalFormatting sqref="G192:J192 L192:S192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93:S193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4" width="26.75"/>
  </cols>
  <sheetData>
    <row r="1" ht="15.0" customHeight="1">
      <c r="A1" s="612"/>
      <c r="B1" s="613"/>
      <c r="C1" s="613"/>
      <c r="D1" s="613"/>
    </row>
    <row r="2" ht="63.75" customHeight="1">
      <c r="A2" s="612"/>
      <c r="B2" s="613"/>
    </row>
    <row r="3" ht="11.25" customHeight="1">
      <c r="A3" s="614"/>
      <c r="B3" s="614"/>
    </row>
    <row r="4" ht="39.75" customHeight="1">
      <c r="A4" s="615"/>
      <c r="B4" s="616" t="s">
        <v>782</v>
      </c>
    </row>
    <row r="5" ht="15.0" customHeight="1">
      <c r="A5" s="617"/>
      <c r="B5" s="617"/>
    </row>
    <row r="6" ht="45.75" customHeight="1">
      <c r="A6" s="618"/>
      <c r="B6" s="619" t="s">
        <v>783</v>
      </c>
    </row>
    <row r="7" ht="18.0" customHeight="1">
      <c r="A7" s="620"/>
      <c r="B7" s="621" t="s">
        <v>784</v>
      </c>
    </row>
    <row r="8" ht="42.0" customHeight="1">
      <c r="A8" s="622"/>
      <c r="B8" s="623" t="s">
        <v>785</v>
      </c>
      <c r="C8" s="624"/>
      <c r="D8" s="625"/>
    </row>
    <row r="9" ht="47.25" customHeight="1">
      <c r="A9" s="612"/>
      <c r="B9" s="626" t="s">
        <v>786</v>
      </c>
      <c r="D9" s="627"/>
    </row>
    <row r="10" ht="31.5" customHeight="1">
      <c r="A10" s="628"/>
      <c r="B10" s="626" t="s">
        <v>186</v>
      </c>
      <c r="D10" s="627"/>
    </row>
    <row r="11" ht="31.5" customHeight="1">
      <c r="A11" s="628"/>
      <c r="B11" s="626" t="s">
        <v>787</v>
      </c>
      <c r="D11" s="627"/>
    </row>
    <row r="12" ht="31.5" customHeight="1">
      <c r="A12" s="628"/>
      <c r="B12" s="629" t="s">
        <v>788</v>
      </c>
      <c r="C12" s="630"/>
      <c r="D12" s="631"/>
    </row>
    <row r="13" ht="18.0" customHeight="1">
      <c r="A13" s="620"/>
      <c r="B13" s="620"/>
    </row>
    <row r="14" ht="48.0" customHeight="1">
      <c r="A14" s="632"/>
      <c r="B14" s="633" t="s">
        <v>789</v>
      </c>
      <c r="C14" s="624"/>
      <c r="D14" s="625"/>
    </row>
    <row r="15" ht="26.25" customHeight="1">
      <c r="A15" s="634"/>
      <c r="B15" s="635"/>
      <c r="C15" s="636"/>
      <c r="D15" s="637"/>
    </row>
    <row r="16" ht="5.25" customHeight="1">
      <c r="A16" s="638"/>
      <c r="B16" s="639"/>
      <c r="C16" s="638"/>
      <c r="D16" s="640"/>
    </row>
    <row r="17" ht="22.5" customHeight="1">
      <c r="A17" s="641"/>
      <c r="B17" s="642" t="s">
        <v>790</v>
      </c>
      <c r="C17" s="643" t="s">
        <v>791</v>
      </c>
      <c r="D17" s="644" t="s">
        <v>792</v>
      </c>
    </row>
    <row r="18" ht="22.5" customHeight="1">
      <c r="A18" s="638"/>
      <c r="B18" s="645"/>
      <c r="C18" s="646"/>
      <c r="D18" s="647"/>
    </row>
    <row r="19" ht="18.0" customHeight="1">
      <c r="A19" s="638"/>
      <c r="B19" s="638"/>
      <c r="C19" s="638"/>
      <c r="D19" s="638"/>
    </row>
    <row r="20" ht="42.0" customHeight="1">
      <c r="A20" s="632"/>
      <c r="B20" s="648" t="s">
        <v>793</v>
      </c>
      <c r="C20" s="649"/>
      <c r="D20" s="650"/>
    </row>
    <row r="21" ht="57.75" customHeight="1">
      <c r="A21" s="620"/>
      <c r="B21" s="651"/>
      <c r="C21" s="652"/>
      <c r="D21" s="653" t="s">
        <v>794</v>
      </c>
    </row>
    <row r="22" ht="18.0" customHeight="1">
      <c r="A22" s="620"/>
      <c r="B22" s="654"/>
      <c r="C22" s="654"/>
      <c r="D22" s="655"/>
    </row>
    <row r="23" ht="42.0" customHeight="1">
      <c r="A23" s="656"/>
      <c r="B23" s="657" t="s">
        <v>795</v>
      </c>
      <c r="C23" s="624"/>
      <c r="D23" s="625"/>
    </row>
    <row r="24" ht="36.0" customHeight="1">
      <c r="A24" s="620"/>
      <c r="B24" s="658" t="str">
        <f>HYPERLINK("mailto:hello@noboring-finance.ru","hello@noboring-finance.ru")</f>
        <v>hello@noboring-finance.ru</v>
      </c>
      <c r="C24" s="630"/>
      <c r="D24" s="659" t="s">
        <v>796</v>
      </c>
    </row>
    <row r="25" ht="18.0" customHeight="1">
      <c r="A25" s="620"/>
      <c r="B25" s="620"/>
      <c r="C25" s="620"/>
      <c r="D25" s="660"/>
    </row>
  </sheetData>
  <mergeCells count="17">
    <mergeCell ref="B2:D2"/>
    <mergeCell ref="B3:D3"/>
    <mergeCell ref="B4:D4"/>
    <mergeCell ref="B5:D5"/>
    <mergeCell ref="B6:D6"/>
    <mergeCell ref="B7:D7"/>
    <mergeCell ref="B8:D8"/>
    <mergeCell ref="B21:C21"/>
    <mergeCell ref="B23:D23"/>
    <mergeCell ref="B24:C24"/>
    <mergeCell ref="B9:D9"/>
    <mergeCell ref="B10:D10"/>
    <mergeCell ref="B11:D11"/>
    <mergeCell ref="B12:D12"/>
    <mergeCell ref="B13:D13"/>
    <mergeCell ref="B14:D14"/>
    <mergeCell ref="B20:D20"/>
  </mergeCells>
  <hyperlinks>
    <hyperlink r:id="rId1" ref="B6"/>
    <hyperlink r:id="rId2" ref="B7"/>
    <hyperlink r:id="rId3" ref="B9"/>
    <hyperlink r:id="rId4" ref="B10"/>
    <hyperlink r:id="rId5" ref="B11"/>
    <hyperlink r:id="rId6" ref="B12"/>
    <hyperlink r:id="rId7" ref="B17"/>
    <hyperlink r:id="rId8" ref="C17"/>
    <hyperlink r:id="rId9" ref="D17"/>
    <hyperlink r:id="rId10" ref="D21"/>
  </hyperlinks>
  <drawing r:id="rId11"/>
</worksheet>
</file>